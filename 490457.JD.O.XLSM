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0" yWindow="990" windowWidth="14430" windowHeight="4275" tabRatio="862" activeTab="3"/>
  </bookViews>
  <sheets>
    <sheet name="ImportantDisclosures" sheetId="69" r:id="rId1"/>
    <sheet name="CircularReferenceAlert" sheetId="72" r:id="rId2"/>
    <sheet name="Scenario" sheetId="25" r:id="rId3"/>
    <sheet name="Model" sheetId="6" r:id="rId4"/>
    <sheet name="Valuation" sheetId="20" r:id="rId5"/>
    <sheet name="IndexInformation" sheetId="70" r:id="rId6"/>
    <sheet name="ModPubIndex" sheetId="71" r:id="rId7"/>
    <sheet name="MW-Cache" sheetId="41" state="veryHidden" r:id="rId8"/>
  </sheets>
  <definedNames>
    <definedName name="__FDS_HYPERLINK_TOGGLE_STATE__" hidden="1">"ON"</definedName>
    <definedName name="AdditionalInstructions">IndexInformation!$B$42</definedName>
    <definedName name="Address" localSheetId="0">ImportantDisclosures!$A$2:$A$2</definedName>
    <definedName name="ANA" localSheetId="6">ModPubIndex!$A$7</definedName>
    <definedName name="Authors" localSheetId="0">ImportantDisclosures!$A$7</definedName>
    <definedName name="Authors" localSheetId="5">IndexInformation!$B$18</definedName>
    <definedName name="BRO" localSheetId="6">ModPubIndex!$A$1</definedName>
    <definedName name="Buttons" localSheetId="1">CircularReferenceAlert!$B$13:$B$15</definedName>
    <definedName name="CopyrightStamp">ImportantDisclosures!$A$27</definedName>
    <definedName name="COU" localSheetId="6">ModPubIndex!$A$5</definedName>
    <definedName name="CQEnd" localSheetId="5">IndexInformation!$B$31</definedName>
    <definedName name="Currency" localSheetId="5">IndexInformation!$B$24</definedName>
    <definedName name="CurrentStockPrice" localSheetId="5">IndexInformation!$B$23</definedName>
    <definedName name="CurrQtrEPS" localSheetId="5">IndexInformation!$B$29</definedName>
    <definedName name="CurrYearEPS" localSheetId="5">IndexInformation!$B$11</definedName>
    <definedName name="CurrYearTotalRevenue" localSheetId="5">IndexInformation!$B$10</definedName>
    <definedName name="CurrYearTotalRevenueActual" localSheetId="5">IndexInformation!$B$32</definedName>
    <definedName name="CUSIP" localSheetId="5">IndexInformation!$B$20</definedName>
    <definedName name="CYEnd" localSheetId="5">IndexInformation!$B$30</definedName>
    <definedName name="Date" localSheetId="0">ImportantDisclosures!$A$8</definedName>
    <definedName name="Deleted" localSheetId="5">IndexInformation!$B$27</definedName>
    <definedName name="Description" localSheetId="5">IndexInformation!$B$7</definedName>
    <definedName name="Discipline" localSheetId="5">IndexInformation!$B$3</definedName>
    <definedName name="DISCIPLINE" localSheetId="6">ModPubIndex!$A$12</definedName>
    <definedName name="DisclosuresText">ImportantDisclosures!$A$22</definedName>
    <definedName name="Distribution" localSheetId="5">IndexInformation!$B$26</definedName>
    <definedName name="DistTable" localSheetId="0">ImportantDisclosures!#REF!</definedName>
    <definedName name="DistTablePreamble" localSheetId="0">ImportantDisclosures!#REF!</definedName>
    <definedName name="DOCDAT" localSheetId="6">ModPubIndex!$A$2</definedName>
    <definedName name="DOCTIME" localSheetId="6">ModPubIndex!$A$3</definedName>
    <definedName name="DocType" localSheetId="5">IndexInformation!$B$5</definedName>
    <definedName name="EMAIL_ALERT" localSheetId="6">ModPubIndex!$A$10</definedName>
    <definedName name="EmailAlert" localSheetId="5">IndexInformation!$B$28</definedName>
    <definedName name="FiveYearGrowthRate" localSheetId="5">IndexInformation!$B$16</definedName>
    <definedName name="FollowingYearEPS" localSheetId="5">IndexInformation!$B$15</definedName>
    <definedName name="FollowingYearTotalRevenue" localSheetId="5">IndexInformation!$B$14</definedName>
    <definedName name="FollowingYearTotalRevenueActual" localSheetId="5">IndexInformation!$B$34</definedName>
    <definedName name="HL" localSheetId="6">ModPubIndex!$A$8</definedName>
    <definedName name="IND" localSheetId="6">ModPubIndex!$A$9</definedName>
    <definedName name="Industry" localSheetId="0">ImportantDisclosures!$A$12</definedName>
    <definedName name="IndustryId">IndexInformation!$B$40</definedName>
    <definedName name="IndustryRating" localSheetId="0">ImportantDisclosures!$A$13</definedName>
    <definedName name="KeepVersions" localSheetId="5">IndexInformation!$B$8</definedName>
    <definedName name="LanguageCode">IndexInformation!$B$38</definedName>
    <definedName name="LastCell" localSheetId="0">ImportantDisclosures!$A$22</definedName>
    <definedName name="Linking_23">Valuation!$I$7:$AD$115</definedName>
    <definedName name="Linking_36">Valuation!$I$8:$AD$47</definedName>
    <definedName name="Linking_38">Valuation!$I$7:$AD$37</definedName>
    <definedName name="Linking_Range_10">Valuation!$I$7:$AD$47</definedName>
    <definedName name="Linking_Range_19">Valuation!$I$9:$AD$47</definedName>
    <definedName name="Linking_Range_3">Valuation!$I$6:$AD$47</definedName>
    <definedName name="Linking_Range_4">Valuation!$I$6:$AD$115</definedName>
    <definedName name="MacroVersion" localSheetId="5">IndexInformation!$B$1</definedName>
    <definedName name="MaxChange" localSheetId="1">CircularReferenceAlert!$B$9</definedName>
    <definedName name="MaxIterations" localSheetId="1">CircularReferenceAlert!$B$8</definedName>
    <definedName name="ModelPrice" localSheetId="0">ImportantDisclosures!$A$14</definedName>
    <definedName name="Multiplier" localSheetId="5">IndexInformation!$B$35</definedName>
    <definedName name="NextYearEPS" localSheetId="5">IndexInformation!$B$13</definedName>
    <definedName name="NextYearTotalRevenue" localSheetId="5">IndexInformation!$B$12</definedName>
    <definedName name="NextYearTotalRevenueActual" localSheetId="5">IndexInformation!$B$33</definedName>
    <definedName name="ObjectType">IndexInformation!$B$37</definedName>
    <definedName name="PANA" localSheetId="6">ModPubIndex!$A$11</definedName>
    <definedName name="PathName" localSheetId="5">IndexInformation!$B$25</definedName>
    <definedName name="_xlnm.Print_Area" localSheetId="3">Model!$J$7:$BI$392</definedName>
    <definedName name="_xlnm.Print_Area" localSheetId="4">Valuation!$A$1:$AJ$115</definedName>
    <definedName name="_xlnm.Print_Titles" localSheetId="3">Model!$7:$8</definedName>
    <definedName name="_xlnm.Print_Titles" localSheetId="4">Valuation!$A:$A,Valuation!$7:$7</definedName>
    <definedName name="PRODUCT" localSheetId="6">ModPubIndex!$A$6</definedName>
    <definedName name="PSYM" localSheetId="6">ModPubIndex!$A$4</definedName>
    <definedName name="PublishDate" localSheetId="5">IndexInformation!$B$2</definedName>
    <definedName name="Rating" localSheetId="5">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5">IndexInformation!$B$4</definedName>
    <definedName name="RIC" localSheetId="5">IndexInformation!$B$21</definedName>
    <definedName name="SECSettlement" localSheetId="0">ImportantDisclosures!#REF!</definedName>
    <definedName name="SEDOL" localSheetId="5">IndexInformation!$B$22</definedName>
    <definedName name="SourceDefined" localSheetId="0">ImportantDisclosures!$A$19</definedName>
    <definedName name="StockRating" localSheetId="0">ImportantDisclosures!$A$11</definedName>
    <definedName name="SubjectCode" localSheetId="5">IndexInformation!$B$6</definedName>
    <definedName name="SubmitterUserId">IndexInformation!$B$39</definedName>
    <definedName name="SUPPRESSED" localSheetId="6">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5">IndexInformation!$B$19</definedName>
    <definedName name="UpdateReason" localSheetId="5">IndexInformation!$B$17</definedName>
    <definedName name="USRegDisclosures" localSheetId="0">ImportantDisclosures!#REF!</definedName>
  </definedNames>
  <calcPr calcId="145621" iterate="1" iterateDelta="1.0000000000000002E-3"/>
</workbook>
</file>

<file path=xl/calcChain.xml><?xml version="1.0" encoding="utf-8"?>
<calcChain xmlns="http://schemas.openxmlformats.org/spreadsheetml/2006/main">
  <c r="P291" i="6" l="1"/>
  <c r="Q291" i="6"/>
  <c r="R291" i="6"/>
  <c r="S291" i="6"/>
  <c r="T291" i="6"/>
  <c r="U291" i="6"/>
  <c r="T296" i="6"/>
  <c r="U296" i="6"/>
  <c r="T297" i="6"/>
  <c r="U297" i="6"/>
  <c r="T298" i="6"/>
  <c r="U298" i="6"/>
  <c r="S297" i="6"/>
  <c r="S298" i="6"/>
  <c r="S296" i="6"/>
  <c r="P289" i="6"/>
  <c r="Q289" i="6"/>
  <c r="R289" i="6"/>
  <c r="W327" i="6"/>
  <c r="X327" i="6" s="1"/>
  <c r="Y327" i="6" s="1"/>
  <c r="Z327" i="6" s="1"/>
  <c r="AA327" i="6" s="1"/>
  <c r="AB327" i="6" s="1"/>
  <c r="AC327" i="6" s="1"/>
  <c r="AD327" i="6" s="1"/>
  <c r="T289" i="6"/>
  <c r="U289" i="6"/>
  <c r="S289" i="6"/>
  <c r="U324" i="6"/>
  <c r="U325" i="6"/>
  <c r="T325" i="6"/>
  <c r="T324" i="6"/>
  <c r="T323" i="6" s="1"/>
  <c r="T326" i="6" s="1"/>
  <c r="S311" i="6"/>
  <c r="BK324" i="6"/>
  <c r="BK325" i="6"/>
  <c r="BJ326" i="6"/>
  <c r="BK326" i="6" s="1"/>
  <c r="BL326" i="6" s="1"/>
  <c r="BM326" i="6" s="1"/>
  <c r="BN326" i="6" s="1"/>
  <c r="BO326" i="6" s="1"/>
  <c r="BP326" i="6" s="1"/>
  <c r="BQ326" i="6" s="1"/>
  <c r="BJ325" i="6"/>
  <c r="BJ324" i="6"/>
  <c r="U323" i="6" l="1"/>
  <c r="U326" i="6" s="1"/>
  <c r="U327" i="6" s="1"/>
  <c r="V326" i="6"/>
  <c r="W326" i="6" s="1"/>
  <c r="X326" i="6" s="1"/>
  <c r="Y326" i="6" s="1"/>
  <c r="Z326" i="6" s="1"/>
  <c r="AA326" i="6" s="1"/>
  <c r="AB326" i="6" s="1"/>
  <c r="AC326" i="6" s="1"/>
  <c r="AD326" i="6" s="1"/>
  <c r="BJ323" i="6"/>
  <c r="BK323" i="6"/>
  <c r="U754" i="6"/>
  <c r="T754" i="6"/>
  <c r="S754" i="6"/>
  <c r="R754" i="6"/>
  <c r="Q754" i="6"/>
  <c r="P754" i="6"/>
  <c r="X28" i="25" l="1"/>
  <c r="Y28" i="25"/>
  <c r="Z28" i="25"/>
  <c r="AA28" i="25" s="1"/>
  <c r="AB28" i="25" s="1"/>
  <c r="AC28" i="25" s="1"/>
  <c r="AD28" i="25" s="1"/>
  <c r="W28" i="25"/>
  <c r="W30" i="25"/>
  <c r="X30" i="25"/>
  <c r="Y30" i="25"/>
  <c r="Z30" i="25" s="1"/>
  <c r="AA30" i="25" s="1"/>
  <c r="AB30" i="25" s="1"/>
  <c r="AC30" i="25" s="1"/>
  <c r="AD30" i="25" s="1"/>
  <c r="X29" i="25"/>
  <c r="Y29" i="25"/>
  <c r="Z29" i="25" s="1"/>
  <c r="AA29" i="25" s="1"/>
  <c r="AB29" i="25" s="1"/>
  <c r="AC29" i="25" s="1"/>
  <c r="AD29" i="25" s="1"/>
  <c r="W29" i="25"/>
  <c r="X27" i="25"/>
  <c r="Y27" i="25"/>
  <c r="Z27" i="25"/>
  <c r="AA27" i="25" s="1"/>
  <c r="AB27" i="25" s="1"/>
  <c r="AC27" i="25" s="1"/>
  <c r="AD27" i="25" s="1"/>
  <c r="W27" i="25"/>
  <c r="Y394" i="6"/>
  <c r="Y139" i="6" l="1"/>
  <c r="AA133" i="6"/>
  <c r="Z221" i="6"/>
  <c r="AA221" i="6" s="1"/>
  <c r="AB221" i="6" s="1"/>
  <c r="AC221" i="6" s="1"/>
  <c r="AD221" i="6" s="1"/>
  <c r="Z220" i="6"/>
  <c r="AA220" i="6" s="1"/>
  <c r="AB220" i="6" s="1"/>
  <c r="AC220" i="6" s="1"/>
  <c r="AA219" i="6"/>
  <c r="AB219" i="6" s="1"/>
  <c r="AC219" i="6" s="1"/>
  <c r="AA84" i="6"/>
  <c r="AB84" i="6" s="1"/>
  <c r="AC84" i="6" s="1"/>
  <c r="AD84" i="6" s="1"/>
  <c r="Z179" i="6" l="1"/>
  <c r="AA179" i="6" s="1"/>
  <c r="AA222" i="6"/>
  <c r="AB222" i="6" s="1"/>
  <c r="AD222" i="6" s="1"/>
  <c r="AD220" i="6"/>
  <c r="X220" i="6"/>
  <c r="AD219" i="6"/>
  <c r="AU193" i="6"/>
  <c r="AU212" i="6" s="1"/>
  <c r="AV193" i="6"/>
  <c r="AV212" i="6" s="1"/>
  <c r="AW193" i="6"/>
  <c r="AW212" i="6" s="1"/>
  <c r="AX193" i="6"/>
  <c r="AX212" i="6" s="1"/>
  <c r="AY193" i="6"/>
  <c r="AY212" i="6" s="1"/>
  <c r="AZ193" i="6"/>
  <c r="AZ212" i="6" s="1"/>
  <c r="BA193" i="6"/>
  <c r="BA212" i="6" s="1"/>
  <c r="BB193" i="6"/>
  <c r="BB212" i="6" s="1"/>
  <c r="BC193" i="6"/>
  <c r="BC212" i="6" s="1"/>
  <c r="BD193" i="6"/>
  <c r="BD212" i="6" s="1"/>
  <c r="BE193" i="6"/>
  <c r="BE212" i="6" s="1"/>
  <c r="BF193" i="6"/>
  <c r="BG193" i="6"/>
  <c r="BH193" i="6"/>
  <c r="BI193" i="6"/>
  <c r="BJ193" i="6"/>
  <c r="BK193" i="6"/>
  <c r="BL193" i="6"/>
  <c r="BM193" i="6"/>
  <c r="AU194" i="6"/>
  <c r="AU213" i="6" s="1"/>
  <c r="AV194" i="6"/>
  <c r="AV213" i="6" s="1"/>
  <c r="AW194" i="6"/>
  <c r="AW213" i="6" s="1"/>
  <c r="AX194" i="6"/>
  <c r="AX213" i="6" s="1"/>
  <c r="AY194" i="6"/>
  <c r="AY213" i="6" s="1"/>
  <c r="AZ194" i="6"/>
  <c r="AZ213" i="6" s="1"/>
  <c r="BA194" i="6"/>
  <c r="BA213" i="6" s="1"/>
  <c r="BB194" i="6"/>
  <c r="BB213" i="6" s="1"/>
  <c r="BC194" i="6"/>
  <c r="BC213" i="6" s="1"/>
  <c r="BD194" i="6"/>
  <c r="BD213" i="6" s="1"/>
  <c r="BE194" i="6"/>
  <c r="BE213" i="6" s="1"/>
  <c r="BF194" i="6"/>
  <c r="BF213" i="6" s="1"/>
  <c r="BG194" i="6"/>
  <c r="BG213" i="6" s="1"/>
  <c r="BH194" i="6"/>
  <c r="BH213" i="6" s="1"/>
  <c r="BI194" i="6"/>
  <c r="BI213" i="6" s="1"/>
  <c r="BJ194" i="6"/>
  <c r="BJ213" i="6" s="1"/>
  <c r="BK194" i="6"/>
  <c r="BK213" i="6" s="1"/>
  <c r="BL194" i="6"/>
  <c r="BL213" i="6" s="1"/>
  <c r="BM194" i="6"/>
  <c r="BM213" i="6" s="1"/>
  <c r="AU195" i="6"/>
  <c r="AU214" i="6" s="1"/>
  <c r="AV195" i="6"/>
  <c r="AV214" i="6" s="1"/>
  <c r="AW195" i="6"/>
  <c r="AW214" i="6" s="1"/>
  <c r="AX195" i="6"/>
  <c r="AX214" i="6" s="1"/>
  <c r="AY195" i="6"/>
  <c r="AY214" i="6" s="1"/>
  <c r="AZ195" i="6"/>
  <c r="AZ214" i="6" s="1"/>
  <c r="BA195" i="6"/>
  <c r="BA214" i="6" s="1"/>
  <c r="BB195" i="6"/>
  <c r="BB214" i="6" s="1"/>
  <c r="BC195" i="6"/>
  <c r="BC214" i="6" s="1"/>
  <c r="BD195" i="6"/>
  <c r="BD214" i="6" s="1"/>
  <c r="BE195" i="6"/>
  <c r="BE214" i="6" s="1"/>
  <c r="BF195" i="6"/>
  <c r="BF214" i="6" s="1"/>
  <c r="BG195" i="6"/>
  <c r="BG214" i="6" s="1"/>
  <c r="BH195" i="6"/>
  <c r="BH214" i="6" s="1"/>
  <c r="BI195" i="6"/>
  <c r="BI214" i="6" s="1"/>
  <c r="BJ195" i="6"/>
  <c r="BJ214" i="6" s="1"/>
  <c r="BK195" i="6"/>
  <c r="BK214" i="6" s="1"/>
  <c r="BL195" i="6"/>
  <c r="BL214" i="6" s="1"/>
  <c r="BM195" i="6"/>
  <c r="BM214" i="6" s="1"/>
  <c r="AU196" i="6"/>
  <c r="AU215" i="6" s="1"/>
  <c r="AV196" i="6"/>
  <c r="AV215" i="6" s="1"/>
  <c r="AW196" i="6"/>
  <c r="AW215" i="6" s="1"/>
  <c r="AX196" i="6"/>
  <c r="AX215" i="6" s="1"/>
  <c r="AY196" i="6"/>
  <c r="AY215" i="6" s="1"/>
  <c r="AZ196" i="6"/>
  <c r="AZ215" i="6" s="1"/>
  <c r="BA196" i="6"/>
  <c r="BA215" i="6" s="1"/>
  <c r="BB196" i="6"/>
  <c r="BB215" i="6" s="1"/>
  <c r="BC196" i="6"/>
  <c r="BC215" i="6" s="1"/>
  <c r="BD196" i="6"/>
  <c r="BD215" i="6" s="1"/>
  <c r="BE196" i="6"/>
  <c r="BE215" i="6" s="1"/>
  <c r="BF196" i="6"/>
  <c r="BF215" i="6" s="1"/>
  <c r="BG196" i="6"/>
  <c r="BG215" i="6" s="1"/>
  <c r="BH196" i="6"/>
  <c r="BH215" i="6" s="1"/>
  <c r="BI196" i="6"/>
  <c r="BI215" i="6" s="1"/>
  <c r="BJ196" i="6"/>
  <c r="BJ215" i="6" s="1"/>
  <c r="BK196" i="6"/>
  <c r="BK215" i="6" s="1"/>
  <c r="BL196" i="6"/>
  <c r="BL215" i="6" s="1"/>
  <c r="BM196" i="6"/>
  <c r="BM215" i="6" s="1"/>
  <c r="AT196" i="6"/>
  <c r="AT215" i="6" s="1"/>
  <c r="AT195" i="6"/>
  <c r="AT214" i="6" s="1"/>
  <c r="AT194" i="6"/>
  <c r="AT213" i="6" s="1"/>
  <c r="AT193" i="6"/>
  <c r="AT212" i="6" s="1"/>
  <c r="V196" i="6"/>
  <c r="V215" i="6" s="1"/>
  <c r="BO180" i="6"/>
  <c r="BP180" i="6" s="1"/>
  <c r="BF212" i="6" l="1"/>
  <c r="BF211" i="6" s="1"/>
  <c r="BF225" i="6"/>
  <c r="BM212" i="6"/>
  <c r="BM225" i="6"/>
  <c r="BI212" i="6"/>
  <c r="BI211" i="6" s="1"/>
  <c r="BJ212" i="6"/>
  <c r="BJ211" i="6" s="1"/>
  <c r="BJ225" i="6"/>
  <c r="BL212" i="6"/>
  <c r="BL225" i="6"/>
  <c r="BH212" i="6"/>
  <c r="BH211" i="6" s="1"/>
  <c r="BH225" i="6"/>
  <c r="BK212" i="6"/>
  <c r="BK211" i="6" s="1"/>
  <c r="BK225" i="6"/>
  <c r="BG212" i="6"/>
  <c r="BG211" i="6" s="1"/>
  <c r="BG225" i="6"/>
  <c r="BL211" i="6"/>
  <c r="BD211" i="6"/>
  <c r="AV211" i="6"/>
  <c r="BM211" i="6"/>
  <c r="BE211" i="6"/>
  <c r="BA211" i="6"/>
  <c r="AW211" i="6"/>
  <c r="AT211" i="6"/>
  <c r="BC211" i="6"/>
  <c r="AU211" i="6"/>
  <c r="AZ211" i="6"/>
  <c r="AY211" i="6"/>
  <c r="BB211" i="6"/>
  <c r="AX211" i="6"/>
  <c r="V186" i="6"/>
  <c r="P71" i="6" l="1"/>
  <c r="Q71" i="6"/>
  <c r="R71" i="6"/>
  <c r="S71" i="6"/>
  <c r="T71" i="6"/>
  <c r="W62" i="20" l="1"/>
  <c r="U102" i="20"/>
  <c r="AU19" i="6"/>
  <c r="AV19" i="6"/>
  <c r="AW19" i="6"/>
  <c r="AU20" i="6"/>
  <c r="AV20" i="6"/>
  <c r="AW20" i="6"/>
  <c r="AU21" i="6"/>
  <c r="AV21" i="6"/>
  <c r="AW21" i="6"/>
  <c r="AT21" i="6"/>
  <c r="AT20" i="6"/>
  <c r="AT19" i="6"/>
  <c r="AI12" i="6"/>
  <c r="AJ12" i="6"/>
  <c r="AK12" i="6"/>
  <c r="AL12" i="6"/>
  <c r="AM12" i="6"/>
  <c r="AN12" i="6"/>
  <c r="AO12" i="6"/>
  <c r="AP12" i="6"/>
  <c r="AQ12" i="6"/>
  <c r="AR12" i="6"/>
  <c r="AS12" i="6"/>
  <c r="AT12" i="6"/>
  <c r="AU12" i="6"/>
  <c r="AV12" i="6"/>
  <c r="AW12" i="6"/>
  <c r="AX12" i="6"/>
  <c r="AY12" i="6"/>
  <c r="AZ12" i="6"/>
  <c r="BA12" i="6"/>
  <c r="BB12" i="6"/>
  <c r="BC12" i="6"/>
  <c r="BD12" i="6"/>
  <c r="BE12" i="6"/>
  <c r="BF12" i="6"/>
  <c r="BG12" i="6"/>
  <c r="BH12" i="6"/>
  <c r="BI12" i="6"/>
  <c r="BJ12" i="6"/>
  <c r="BJ24" i="6" s="1"/>
  <c r="BK12" i="6"/>
  <c r="BK24" i="6" s="1"/>
  <c r="BL12" i="6"/>
  <c r="BL24" i="6" s="1"/>
  <c r="BM12" i="6"/>
  <c r="BM24" i="6" s="1"/>
  <c r="AI13" i="6"/>
  <c r="AJ13" i="6"/>
  <c r="AK13" i="6"/>
  <c r="AL13" i="6"/>
  <c r="AM13" i="6"/>
  <c r="AN13" i="6"/>
  <c r="AO13" i="6"/>
  <c r="AP13" i="6"/>
  <c r="AQ13" i="6"/>
  <c r="AR13" i="6"/>
  <c r="AS13" i="6"/>
  <c r="AT13" i="6"/>
  <c r="AU13" i="6"/>
  <c r="AV13" i="6"/>
  <c r="AW13" i="6"/>
  <c r="AX13" i="6"/>
  <c r="AX25" i="6" s="1"/>
  <c r="AY13" i="6"/>
  <c r="AZ13" i="6"/>
  <c r="AZ25" i="6" s="1"/>
  <c r="BA13" i="6"/>
  <c r="BA25" i="6" s="1"/>
  <c r="BB13" i="6"/>
  <c r="BB25" i="6" s="1"/>
  <c r="BC13" i="6"/>
  <c r="BC25" i="6" s="1"/>
  <c r="BD13" i="6"/>
  <c r="BD25" i="6" s="1"/>
  <c r="BE13" i="6"/>
  <c r="BE25" i="6" s="1"/>
  <c r="BF13" i="6"/>
  <c r="BF25" i="6" s="1"/>
  <c r="BG13" i="6"/>
  <c r="BG25" i="6" s="1"/>
  <c r="BH13" i="6"/>
  <c r="BH25" i="6" s="1"/>
  <c r="BI13" i="6"/>
  <c r="BI25" i="6" s="1"/>
  <c r="BJ13" i="6"/>
  <c r="BJ25" i="6" s="1"/>
  <c r="BK13" i="6"/>
  <c r="BK25" i="6" s="1"/>
  <c r="AI14" i="6"/>
  <c r="AJ14" i="6"/>
  <c r="AK14" i="6"/>
  <c r="AL14" i="6"/>
  <c r="AM14" i="6"/>
  <c r="AN14" i="6"/>
  <c r="AO14" i="6"/>
  <c r="AP14" i="6"/>
  <c r="AQ14" i="6"/>
  <c r="AR14" i="6"/>
  <c r="AS14" i="6"/>
  <c r="AT14" i="6"/>
  <c r="AU14" i="6"/>
  <c r="AV14" i="6"/>
  <c r="AW14" i="6"/>
  <c r="AX14" i="6"/>
  <c r="AX26" i="6" s="1"/>
  <c r="AY14" i="6"/>
  <c r="AY26" i="6" s="1"/>
  <c r="AZ14" i="6"/>
  <c r="AZ26" i="6" s="1"/>
  <c r="BA14" i="6"/>
  <c r="BA26" i="6" s="1"/>
  <c r="BB14" i="6"/>
  <c r="BC14" i="6"/>
  <c r="BC26" i="6" s="1"/>
  <c r="BD14" i="6"/>
  <c r="BE14" i="6"/>
  <c r="BE26" i="6" s="1"/>
  <c r="BF14" i="6"/>
  <c r="BF26" i="6" s="1"/>
  <c r="BG14" i="6"/>
  <c r="BG26" i="6" s="1"/>
  <c r="BH14" i="6"/>
  <c r="BI14" i="6"/>
  <c r="BI26" i="6" s="1"/>
  <c r="BJ14" i="6"/>
  <c r="BK14" i="6"/>
  <c r="BK26" i="6" s="1"/>
  <c r="AI15" i="6"/>
  <c r="AJ15" i="6"/>
  <c r="AK15" i="6"/>
  <c r="AL15" i="6"/>
  <c r="AM15" i="6"/>
  <c r="AN15" i="6"/>
  <c r="AO15" i="6"/>
  <c r="AP15" i="6"/>
  <c r="AQ15" i="6"/>
  <c r="AR15" i="6"/>
  <c r="AS15" i="6"/>
  <c r="AT15" i="6"/>
  <c r="AU15" i="6"/>
  <c r="AV15" i="6"/>
  <c r="AW15" i="6"/>
  <c r="AX15" i="6"/>
  <c r="AX27" i="6" s="1"/>
  <c r="AY15" i="6"/>
  <c r="AY27" i="6" s="1"/>
  <c r="AZ15" i="6"/>
  <c r="BA15" i="6"/>
  <c r="BA27" i="6" s="1"/>
  <c r="BB15" i="6"/>
  <c r="BB27" i="6" s="1"/>
  <c r="BC15" i="6"/>
  <c r="BC27" i="6" s="1"/>
  <c r="BD15" i="6"/>
  <c r="BD27" i="6" s="1"/>
  <c r="BE15" i="6"/>
  <c r="BE27" i="6" s="1"/>
  <c r="BF15" i="6"/>
  <c r="BF27" i="6" s="1"/>
  <c r="BG15" i="6"/>
  <c r="BG27" i="6" s="1"/>
  <c r="BH15" i="6"/>
  <c r="BH27" i="6" s="1"/>
  <c r="BI15" i="6"/>
  <c r="BI27" i="6" s="1"/>
  <c r="BJ15" i="6"/>
  <c r="BJ27" i="6" s="1"/>
  <c r="BK15" i="6"/>
  <c r="BK27" i="6" s="1"/>
  <c r="AH15" i="6"/>
  <c r="AH14" i="6"/>
  <c r="AH13" i="6"/>
  <c r="AH12" i="6"/>
  <c r="O12" i="6"/>
  <c r="P12" i="6"/>
  <c r="Q12" i="6"/>
  <c r="R12" i="6"/>
  <c r="S12" i="6"/>
  <c r="T12" i="6"/>
  <c r="O13" i="6"/>
  <c r="P13" i="6"/>
  <c r="Q13" i="6"/>
  <c r="R13" i="6"/>
  <c r="S13" i="6"/>
  <c r="T13" i="6"/>
  <c r="U13" i="6"/>
  <c r="O14" i="6"/>
  <c r="P14" i="6"/>
  <c r="Q14" i="6"/>
  <c r="R14" i="6"/>
  <c r="S14" i="6"/>
  <c r="T14" i="6"/>
  <c r="U14" i="6"/>
  <c r="O15" i="6"/>
  <c r="P15" i="6"/>
  <c r="Q15" i="6"/>
  <c r="R15" i="6"/>
  <c r="S15" i="6"/>
  <c r="T15" i="6"/>
  <c r="U15" i="6"/>
  <c r="N15" i="6"/>
  <c r="N14" i="6"/>
  <c r="N13" i="6"/>
  <c r="N12" i="6"/>
  <c r="T570" i="6"/>
  <c r="U570" i="6"/>
  <c r="U572" i="6" s="1"/>
  <c r="V572" i="6"/>
  <c r="W555" i="6"/>
  <c r="W543" i="6"/>
  <c r="W733" i="6" s="1"/>
  <c r="W537" i="6"/>
  <c r="W531" i="6"/>
  <c r="W528" i="6"/>
  <c r="W527" i="6"/>
  <c r="W526" i="6"/>
  <c r="W524" i="6"/>
  <c r="X524" i="6" s="1"/>
  <c r="Y524" i="6" s="1"/>
  <c r="Z524" i="6" s="1"/>
  <c r="AA524" i="6" s="1"/>
  <c r="AB524" i="6" s="1"/>
  <c r="AC524" i="6" s="1"/>
  <c r="AD524" i="6" s="1"/>
  <c r="W516" i="6"/>
  <c r="W515" i="6"/>
  <c r="W513" i="6"/>
  <c r="W511" i="6"/>
  <c r="W510" i="6"/>
  <c r="W508" i="6"/>
  <c r="W507" i="6"/>
  <c r="W504" i="6"/>
  <c r="X504" i="6" s="1"/>
  <c r="Y504" i="6" s="1"/>
  <c r="Z504" i="6" s="1"/>
  <c r="AA504" i="6" s="1"/>
  <c r="AB504" i="6" s="1"/>
  <c r="AC504" i="6" s="1"/>
  <c r="AD504" i="6" s="1"/>
  <c r="W503" i="6"/>
  <c r="X503" i="6" s="1"/>
  <c r="Y503" i="6" s="1"/>
  <c r="Z503" i="6" s="1"/>
  <c r="AA503" i="6" s="1"/>
  <c r="AB503" i="6" s="1"/>
  <c r="AC503" i="6" s="1"/>
  <c r="AD503" i="6" s="1"/>
  <c r="W495" i="6"/>
  <c r="W709" i="6" s="1"/>
  <c r="W494" i="6"/>
  <c r="V746" i="6"/>
  <c r="W729" i="6"/>
  <c r="V729" i="6"/>
  <c r="V550" i="6"/>
  <c r="W550" i="6" s="1"/>
  <c r="V549" i="6"/>
  <c r="V552" i="6"/>
  <c r="W552" i="6" s="1"/>
  <c r="V553" i="6"/>
  <c r="W553" i="6" s="1"/>
  <c r="V733" i="6"/>
  <c r="V719" i="6"/>
  <c r="W679" i="6"/>
  <c r="V679" i="6"/>
  <c r="V717" i="6"/>
  <c r="V709" i="6"/>
  <c r="U710" i="6"/>
  <c r="O193" i="6"/>
  <c r="O212" i="6" s="1"/>
  <c r="P193" i="6"/>
  <c r="P212" i="6" s="1"/>
  <c r="Q193" i="6"/>
  <c r="Q212" i="6" s="1"/>
  <c r="R193" i="6"/>
  <c r="R212" i="6" s="1"/>
  <c r="S193" i="6"/>
  <c r="S212" i="6" s="1"/>
  <c r="T193" i="6"/>
  <c r="T212" i="6" s="1"/>
  <c r="U193" i="6"/>
  <c r="V193" i="6"/>
  <c r="O194" i="6"/>
  <c r="O213" i="6" s="1"/>
  <c r="P194" i="6"/>
  <c r="P213" i="6" s="1"/>
  <c r="Q194" i="6"/>
  <c r="Q213" i="6" s="1"/>
  <c r="R194" i="6"/>
  <c r="R213" i="6" s="1"/>
  <c r="S194" i="6"/>
  <c r="S213" i="6" s="1"/>
  <c r="T194" i="6"/>
  <c r="T213" i="6" s="1"/>
  <c r="U194" i="6"/>
  <c r="U213" i="6" s="1"/>
  <c r="V194" i="6"/>
  <c r="V213" i="6" s="1"/>
  <c r="O195" i="6"/>
  <c r="O214" i="6" s="1"/>
  <c r="P195" i="6"/>
  <c r="P214" i="6" s="1"/>
  <c r="Q195" i="6"/>
  <c r="Q214" i="6" s="1"/>
  <c r="R195" i="6"/>
  <c r="R214" i="6" s="1"/>
  <c r="S195" i="6"/>
  <c r="S214" i="6" s="1"/>
  <c r="T195" i="6"/>
  <c r="T214" i="6" s="1"/>
  <c r="U195" i="6"/>
  <c r="U214" i="6" s="1"/>
  <c r="V195" i="6"/>
  <c r="V214" i="6" s="1"/>
  <c r="O196" i="6"/>
  <c r="O215" i="6" s="1"/>
  <c r="P196" i="6"/>
  <c r="P215" i="6" s="1"/>
  <c r="Q196" i="6"/>
  <c r="Q215" i="6" s="1"/>
  <c r="R196" i="6"/>
  <c r="R215" i="6" s="1"/>
  <c r="S196" i="6"/>
  <c r="S215" i="6" s="1"/>
  <c r="T196" i="6"/>
  <c r="T215" i="6" s="1"/>
  <c r="U196" i="6"/>
  <c r="U215" i="6" s="1"/>
  <c r="N194" i="6"/>
  <c r="N213" i="6" s="1"/>
  <c r="N195" i="6"/>
  <c r="N214" i="6" s="1"/>
  <c r="N196" i="6"/>
  <c r="N215" i="6" s="1"/>
  <c r="N193" i="6"/>
  <c r="N212" i="6" s="1"/>
  <c r="X391" i="6"/>
  <c r="BE405" i="6"/>
  <c r="V212" i="6" l="1"/>
  <c r="V211" i="6" s="1"/>
  <c r="U212" i="6"/>
  <c r="U211" i="6" s="1"/>
  <c r="U225" i="6"/>
  <c r="W549" i="6"/>
  <c r="W754" i="6" s="1"/>
  <c r="V754" i="6"/>
  <c r="BD26" i="6"/>
  <c r="BB26" i="6"/>
  <c r="R211" i="6"/>
  <c r="N211" i="6"/>
  <c r="Q211" i="6"/>
  <c r="T211" i="6"/>
  <c r="P211" i="6"/>
  <c r="S211" i="6"/>
  <c r="O211" i="6"/>
  <c r="AY25" i="6"/>
  <c r="BJ26" i="6"/>
  <c r="AZ27" i="6"/>
  <c r="BH26" i="6"/>
  <c r="R27" i="6"/>
  <c r="U26" i="6"/>
  <c r="Q26" i="6"/>
  <c r="T25" i="6"/>
  <c r="T27" i="6"/>
  <c r="S26" i="6"/>
  <c r="R25" i="6"/>
  <c r="T26" i="6"/>
  <c r="S27" i="6"/>
  <c r="R26" i="6"/>
  <c r="U25" i="6"/>
  <c r="Q25" i="6"/>
  <c r="U27" i="6"/>
  <c r="Q27" i="6"/>
  <c r="S25" i="6"/>
  <c r="X550" i="6"/>
  <c r="Y550" i="6" s="1"/>
  <c r="Z550" i="6" s="1"/>
  <c r="AA550" i="6" s="1"/>
  <c r="AB550" i="6" s="1"/>
  <c r="AC550" i="6" s="1"/>
  <c r="AD550" i="6" s="1"/>
  <c r="W514" i="6"/>
  <c r="X515" i="6"/>
  <c r="BI553" i="6"/>
  <c r="X549" i="6" l="1"/>
  <c r="Y549" i="6" s="1"/>
  <c r="X754" i="6"/>
  <c r="Y515" i="6"/>
  <c r="U734" i="6"/>
  <c r="Z549" i="6" l="1"/>
  <c r="Y754" i="6"/>
  <c r="Z515" i="6"/>
  <c r="S772" i="6"/>
  <c r="T772" i="6"/>
  <c r="U772" i="6"/>
  <c r="V772" i="6"/>
  <c r="R772" i="6"/>
  <c r="AQ393" i="6"/>
  <c r="AR393" i="6"/>
  <c r="AS393" i="6"/>
  <c r="AT393" i="6"/>
  <c r="AU393" i="6"/>
  <c r="AV393" i="6"/>
  <c r="AW393" i="6"/>
  <c r="AX393" i="6"/>
  <c r="AY393" i="6"/>
  <c r="AZ393" i="6"/>
  <c r="BA393" i="6"/>
  <c r="BB393" i="6"/>
  <c r="BC393" i="6"/>
  <c r="BD393" i="6"/>
  <c r="BE393" i="6"/>
  <c r="BF393" i="6"/>
  <c r="BG393" i="6"/>
  <c r="BH393" i="6"/>
  <c r="BI393" i="6"/>
  <c r="BJ393" i="6"/>
  <c r="BK393" i="6"/>
  <c r="BL393" i="6"/>
  <c r="BM393" i="6"/>
  <c r="AP393" i="6"/>
  <c r="O393" i="6"/>
  <c r="P393" i="6"/>
  <c r="Q393" i="6"/>
  <c r="R393" i="6"/>
  <c r="S393" i="6"/>
  <c r="T393" i="6"/>
  <c r="U393" i="6"/>
  <c r="V393" i="6"/>
  <c r="N393" i="6"/>
  <c r="N376" i="6"/>
  <c r="O376" i="6"/>
  <c r="P376" i="6"/>
  <c r="V125" i="6"/>
  <c r="Y111" i="6"/>
  <c r="Z111" i="6" s="1"/>
  <c r="V68" i="6"/>
  <c r="U729" i="6"/>
  <c r="AA549" i="6" l="1"/>
  <c r="Z754" i="6"/>
  <c r="AA515" i="6"/>
  <c r="Y110" i="6"/>
  <c r="Z110" i="6"/>
  <c r="AA111" i="6"/>
  <c r="AB549" i="6" l="1"/>
  <c r="AA754" i="6"/>
  <c r="AB515" i="6"/>
  <c r="AA110" i="6"/>
  <c r="AB111" i="6"/>
  <c r="AC549" i="6" l="1"/>
  <c r="AB754" i="6"/>
  <c r="AC515" i="6"/>
  <c r="AB110" i="6"/>
  <c r="AC111" i="6"/>
  <c r="AD549" i="6" l="1"/>
  <c r="AD754" i="6" s="1"/>
  <c r="AC754" i="6"/>
  <c r="AD515" i="6"/>
  <c r="AD111" i="6"/>
  <c r="AD110" i="6" s="1"/>
  <c r="AC110" i="6"/>
  <c r="U676" i="6" l="1"/>
  <c r="BQ544" i="6" l="1"/>
  <c r="BM533" i="6"/>
  <c r="BL533" i="6"/>
  <c r="BK533" i="6"/>
  <c r="BJ533" i="6"/>
  <c r="BI533" i="6"/>
  <c r="BH533" i="6"/>
  <c r="BG533" i="6"/>
  <c r="BN534" i="6"/>
  <c r="BO534" i="6" s="1"/>
  <c r="BP534" i="6" s="1"/>
  <c r="S53" i="6" l="1"/>
  <c r="X386" i="6"/>
  <c r="Y386" i="6" s="1"/>
  <c r="Z386" i="6" s="1"/>
  <c r="AA386" i="6" s="1"/>
  <c r="AB386" i="6" s="1"/>
  <c r="AC386" i="6" s="1"/>
  <c r="AD386" i="6" s="1"/>
  <c r="BO455" i="6"/>
  <c r="BP455" i="6"/>
  <c r="BN455" i="6"/>
  <c r="T649" i="6"/>
  <c r="U649" i="6"/>
  <c r="V649" i="6"/>
  <c r="S649" i="6"/>
  <c r="AQ461" i="6"/>
  <c r="AR461" i="6"/>
  <c r="AS461" i="6"/>
  <c r="AT461" i="6"/>
  <c r="AU461" i="6"/>
  <c r="AV461" i="6"/>
  <c r="AW461" i="6"/>
  <c r="AX461" i="6"/>
  <c r="AY461" i="6"/>
  <c r="AZ461" i="6"/>
  <c r="BA461" i="6"/>
  <c r="BB461" i="6"/>
  <c r="BC461" i="6"/>
  <c r="BD461" i="6"/>
  <c r="BE461" i="6"/>
  <c r="BF461" i="6"/>
  <c r="BG461" i="6"/>
  <c r="BH461" i="6"/>
  <c r="BI461" i="6"/>
  <c r="BJ461" i="6"/>
  <c r="BK461" i="6"/>
  <c r="BL461" i="6"/>
  <c r="BM461" i="6"/>
  <c r="AP461" i="6"/>
  <c r="O461" i="6"/>
  <c r="P461" i="6"/>
  <c r="Q461" i="6"/>
  <c r="R461" i="6"/>
  <c r="S461" i="6"/>
  <c r="T461" i="6"/>
  <c r="U461" i="6"/>
  <c r="V461" i="6"/>
  <c r="N461" i="6"/>
  <c r="AU225" i="6"/>
  <c r="AV225" i="6"/>
  <c r="AW225" i="6"/>
  <c r="AX225" i="6"/>
  <c r="AY225" i="6"/>
  <c r="AZ225" i="6"/>
  <c r="BA225" i="6"/>
  <c r="BB225" i="6"/>
  <c r="BC225" i="6"/>
  <c r="BD225" i="6"/>
  <c r="BE225" i="6"/>
  <c r="AT225" i="6"/>
  <c r="N225" i="6"/>
  <c r="O225" i="6"/>
  <c r="P225" i="6"/>
  <c r="Q225" i="6"/>
  <c r="R225" i="6"/>
  <c r="S225" i="6"/>
  <c r="T225" i="6"/>
  <c r="O185" i="6"/>
  <c r="P185" i="6"/>
  <c r="Q185" i="6"/>
  <c r="R185" i="6"/>
  <c r="S185" i="6"/>
  <c r="T185" i="6"/>
  <c r="U185" i="6"/>
  <c r="V185" i="6"/>
  <c r="N185" i="6"/>
  <c r="O120" i="6"/>
  <c r="O17" i="6" s="1"/>
  <c r="P120" i="6"/>
  <c r="P17" i="6" s="1"/>
  <c r="Q120" i="6"/>
  <c r="Q17" i="6" s="1"/>
  <c r="R120" i="6"/>
  <c r="R17" i="6" s="1"/>
  <c r="S120" i="6"/>
  <c r="S17" i="6" s="1"/>
  <c r="T120" i="6"/>
  <c r="T17" i="6" s="1"/>
  <c r="U120" i="6"/>
  <c r="U17" i="6" s="1"/>
  <c r="V120" i="6"/>
  <c r="V17" i="6" s="1"/>
  <c r="O121" i="6"/>
  <c r="O18" i="6" s="1"/>
  <c r="P121" i="6"/>
  <c r="P18" i="6" s="1"/>
  <c r="Q121" i="6"/>
  <c r="Q18" i="6" s="1"/>
  <c r="R121" i="6"/>
  <c r="R18" i="6" s="1"/>
  <c r="S121" i="6"/>
  <c r="S18" i="6" s="1"/>
  <c r="T121" i="6"/>
  <c r="T18" i="6" s="1"/>
  <c r="U121" i="6"/>
  <c r="U18" i="6" s="1"/>
  <c r="V121" i="6"/>
  <c r="V18" i="6" s="1"/>
  <c r="N121" i="6"/>
  <c r="N18" i="6" s="1"/>
  <c r="N120" i="6"/>
  <c r="N17" i="6" s="1"/>
  <c r="AP185" i="6"/>
  <c r="AQ185" i="6"/>
  <c r="AR185" i="6"/>
  <c r="AS185" i="6"/>
  <c r="AT185" i="6"/>
  <c r="AU185" i="6"/>
  <c r="AV185" i="6"/>
  <c r="AW185" i="6"/>
  <c r="AX185" i="6"/>
  <c r="AY185" i="6"/>
  <c r="AZ185" i="6"/>
  <c r="BA185" i="6"/>
  <c r="BB185" i="6"/>
  <c r="BC185" i="6"/>
  <c r="BD185" i="6"/>
  <c r="BE185" i="6"/>
  <c r="BF185" i="6"/>
  <c r="BG185" i="6"/>
  <c r="BH185" i="6"/>
  <c r="BI185" i="6"/>
  <c r="BJ185" i="6"/>
  <c r="BK185" i="6"/>
  <c r="BL185" i="6"/>
  <c r="BM185" i="6"/>
  <c r="BJ466" i="6"/>
  <c r="S30" i="6" l="1"/>
  <c r="S29" i="6"/>
  <c r="U30" i="6"/>
  <c r="Q30" i="6"/>
  <c r="U29" i="6"/>
  <c r="Q29" i="6"/>
  <c r="V30" i="6"/>
  <c r="R30" i="6"/>
  <c r="V29" i="6"/>
  <c r="R29" i="6"/>
  <c r="T30" i="6"/>
  <c r="P30" i="6"/>
  <c r="T29" i="6"/>
  <c r="P29" i="6"/>
  <c r="O30" i="6"/>
  <c r="O29" i="6"/>
  <c r="BG466" i="6"/>
  <c r="BK466" i="6"/>
  <c r="BH466" i="6"/>
  <c r="BL466" i="6"/>
  <c r="BI466" i="6"/>
  <c r="BM466" i="6"/>
  <c r="BK434" i="6"/>
  <c r="BJ434" i="6" s="1"/>
  <c r="BG434" i="6"/>
  <c r="BF434" i="6" s="1"/>
  <c r="Q435" i="6"/>
  <c r="BM398" i="6"/>
  <c r="BM397" i="6"/>
  <c r="BL398" i="6"/>
  <c r="BL397" i="6"/>
  <c r="BK398" i="6"/>
  <c r="BK397" i="6"/>
  <c r="BJ398" i="6"/>
  <c r="BJ397" i="6"/>
  <c r="BI398" i="6"/>
  <c r="BI397" i="6"/>
  <c r="BH398" i="6"/>
  <c r="BH397" i="6"/>
  <c r="BG398" i="6"/>
  <c r="BG397" i="6"/>
  <c r="BF398" i="6"/>
  <c r="BF397" i="6"/>
  <c r="Q460" i="6" l="1"/>
  <c r="BH428" i="6"/>
  <c r="BI428" i="6"/>
  <c r="BF120" i="6"/>
  <c r="BF17" i="6" s="1"/>
  <c r="BG120" i="6"/>
  <c r="BG17" i="6" s="1"/>
  <c r="BH120" i="6"/>
  <c r="BH17" i="6" s="1"/>
  <c r="BI120" i="6"/>
  <c r="BI17" i="6" s="1"/>
  <c r="BJ120" i="6"/>
  <c r="BJ17" i="6" s="1"/>
  <c r="BJ29" i="6" s="1"/>
  <c r="BK120" i="6"/>
  <c r="BK17" i="6" s="1"/>
  <c r="BL120" i="6"/>
  <c r="BL17" i="6" s="1"/>
  <c r="BM120" i="6"/>
  <c r="BM17" i="6" s="1"/>
  <c r="BF121" i="6"/>
  <c r="BF18" i="6" s="1"/>
  <c r="BG121" i="6"/>
  <c r="BG18" i="6" s="1"/>
  <c r="BH121" i="6"/>
  <c r="BH18" i="6" s="1"/>
  <c r="BI121" i="6"/>
  <c r="BI18" i="6" s="1"/>
  <c r="BJ121" i="6"/>
  <c r="BJ18" i="6" s="1"/>
  <c r="BJ30" i="6" s="1"/>
  <c r="BK121" i="6"/>
  <c r="BK18" i="6" s="1"/>
  <c r="BK30" i="6" s="1"/>
  <c r="BL121" i="6"/>
  <c r="BL18" i="6" s="1"/>
  <c r="BM121" i="6"/>
  <c r="BM18" i="6" s="1"/>
  <c r="BM30" i="6" s="1"/>
  <c r="AP120" i="6"/>
  <c r="AQ120" i="6"/>
  <c r="AR120" i="6"/>
  <c r="AS120" i="6"/>
  <c r="AT120" i="6"/>
  <c r="AT17" i="6" s="1"/>
  <c r="AU120" i="6"/>
  <c r="AU17" i="6" s="1"/>
  <c r="AV120" i="6"/>
  <c r="AV17" i="6" s="1"/>
  <c r="AW120" i="6"/>
  <c r="AW17" i="6" s="1"/>
  <c r="AX120" i="6"/>
  <c r="AX17" i="6" s="1"/>
  <c r="AX29" i="6" s="1"/>
  <c r="AY120" i="6"/>
  <c r="AY17" i="6" s="1"/>
  <c r="AZ120" i="6"/>
  <c r="AZ17" i="6" s="1"/>
  <c r="AZ29" i="6" s="1"/>
  <c r="BA120" i="6"/>
  <c r="BA17" i="6" s="1"/>
  <c r="BA29" i="6" s="1"/>
  <c r="BB120" i="6"/>
  <c r="BB17" i="6" s="1"/>
  <c r="BB29" i="6" s="1"/>
  <c r="BC120" i="6"/>
  <c r="BC17" i="6" s="1"/>
  <c r="BD120" i="6"/>
  <c r="BD17" i="6" s="1"/>
  <c r="AP121" i="6"/>
  <c r="AQ121" i="6"/>
  <c r="AR121" i="6"/>
  <c r="AS121" i="6"/>
  <c r="AT121" i="6"/>
  <c r="AT18" i="6" s="1"/>
  <c r="AU121" i="6"/>
  <c r="AU18" i="6" s="1"/>
  <c r="AV121" i="6"/>
  <c r="AV18" i="6" s="1"/>
  <c r="AW121" i="6"/>
  <c r="AW18" i="6" s="1"/>
  <c r="AX121" i="6"/>
  <c r="AX18" i="6" s="1"/>
  <c r="AY121" i="6"/>
  <c r="AY18" i="6" s="1"/>
  <c r="AY30" i="6" s="1"/>
  <c r="AZ121" i="6"/>
  <c r="AZ18" i="6" s="1"/>
  <c r="BA121" i="6"/>
  <c r="BA18" i="6" s="1"/>
  <c r="BA30" i="6" s="1"/>
  <c r="BB121" i="6"/>
  <c r="BB18" i="6" s="1"/>
  <c r="BB30" i="6" s="1"/>
  <c r="BC121" i="6"/>
  <c r="BC18" i="6" s="1"/>
  <c r="BC30" i="6" s="1"/>
  <c r="BD121" i="6"/>
  <c r="BD18" i="6" s="1"/>
  <c r="BE121" i="6"/>
  <c r="BE18" i="6" s="1"/>
  <c r="BE120" i="6"/>
  <c r="BE17" i="6" s="1"/>
  <c r="BE29" i="6" s="1"/>
  <c r="U466" i="6"/>
  <c r="V398" i="6"/>
  <c r="V397" i="6"/>
  <c r="U398" i="6"/>
  <c r="U397" i="6"/>
  <c r="V428" i="6"/>
  <c r="BK428" i="6" s="1"/>
  <c r="BJ428" i="6" s="1"/>
  <c r="U428" i="6"/>
  <c r="T466" i="6"/>
  <c r="T464" i="6"/>
  <c r="T398" i="6"/>
  <c r="T397" i="6"/>
  <c r="S398" i="6"/>
  <c r="S397" i="6"/>
  <c r="BD30" i="6" l="1"/>
  <c r="BM29" i="6"/>
  <c r="BL29" i="6"/>
  <c r="BC29" i="6"/>
  <c r="AZ30" i="6"/>
  <c r="BK29" i="6"/>
  <c r="BD29" i="6"/>
  <c r="BI30" i="6"/>
  <c r="AY29" i="6"/>
  <c r="AX30" i="6"/>
  <c r="BE30" i="6"/>
  <c r="BL30" i="6"/>
  <c r="BF30" i="6"/>
  <c r="BF29" i="6"/>
  <c r="BH30" i="6"/>
  <c r="BH29" i="6"/>
  <c r="BI29" i="6"/>
  <c r="BG30" i="6"/>
  <c r="BG29" i="6"/>
  <c r="BG428" i="6"/>
  <c r="BF428" i="6" s="1"/>
  <c r="Y434" i="6" l="1"/>
  <c r="Z434" i="6" s="1"/>
  <c r="AA434" i="6" s="1"/>
  <c r="AB434" i="6" s="1"/>
  <c r="AC434" i="6" s="1"/>
  <c r="AD434" i="6" s="1"/>
  <c r="BK107" i="6" l="1"/>
  <c r="BH108" i="6" l="1"/>
  <c r="BH107" i="6"/>
  <c r="BK108" i="6"/>
  <c r="BJ107" i="6"/>
  <c r="BJ108" i="6"/>
  <c r="BI107" i="6"/>
  <c r="BI108" i="6"/>
  <c r="AZ89" i="6"/>
  <c r="AZ88" i="6"/>
  <c r="AP403" i="6"/>
  <c r="AQ403" i="6"/>
  <c r="AR403" i="6"/>
  <c r="AS403" i="6"/>
  <c r="Q405" i="6"/>
  <c r="U405" i="6"/>
  <c r="AP404" i="6"/>
  <c r="AQ404" i="6"/>
  <c r="AR404" i="6"/>
  <c r="AS404" i="6"/>
  <c r="AX405" i="6"/>
  <c r="BB405" i="6"/>
  <c r="AY620" i="6"/>
  <c r="N409" i="6"/>
  <c r="O409" i="6"/>
  <c r="P409" i="6"/>
  <c r="Q409" i="6"/>
  <c r="AZ612" i="6"/>
  <c r="T775" i="6"/>
  <c r="U775" i="6"/>
  <c r="BQ416" i="6"/>
  <c r="S388" i="6"/>
  <c r="T388" i="6"/>
  <c r="U388" i="6"/>
  <c r="V388" i="6"/>
  <c r="AP388" i="6"/>
  <c r="AQ388" i="6"/>
  <c r="AR388" i="6"/>
  <c r="AS388" i="6"/>
  <c r="AT388" i="6"/>
  <c r="AU388" i="6"/>
  <c r="AV388" i="6"/>
  <c r="AW388" i="6"/>
  <c r="AX388" i="6"/>
  <c r="AY388" i="6"/>
  <c r="AZ388" i="6"/>
  <c r="BA388" i="6"/>
  <c r="BB388" i="6"/>
  <c r="BC388" i="6"/>
  <c r="BD388" i="6"/>
  <c r="BE388" i="6"/>
  <c r="BF388" i="6"/>
  <c r="BG388" i="6"/>
  <c r="BH388" i="6"/>
  <c r="BI388" i="6"/>
  <c r="BJ388" i="6"/>
  <c r="BK388" i="6"/>
  <c r="BL388" i="6"/>
  <c r="BM388" i="6"/>
  <c r="S383" i="6"/>
  <c r="T383" i="6"/>
  <c r="U383" i="6"/>
  <c r="V383" i="6"/>
  <c r="AP383" i="6"/>
  <c r="AQ383" i="6"/>
  <c r="AR383" i="6"/>
  <c r="AS383" i="6"/>
  <c r="AT383" i="6"/>
  <c r="AU383" i="6"/>
  <c r="AV383" i="6"/>
  <c r="AW383" i="6"/>
  <c r="AX383" i="6"/>
  <c r="AY383" i="6"/>
  <c r="AZ383" i="6"/>
  <c r="BA383" i="6"/>
  <c r="BB383" i="6"/>
  <c r="BC383" i="6"/>
  <c r="BD383" i="6"/>
  <c r="BE383" i="6"/>
  <c r="BG383" i="6"/>
  <c r="BH383" i="6"/>
  <c r="BI383" i="6"/>
  <c r="BJ383" i="6"/>
  <c r="BK383" i="6"/>
  <c r="BL383" i="6"/>
  <c r="BM383" i="6"/>
  <c r="O657" i="6"/>
  <c r="P657" i="6"/>
  <c r="Q657" i="6"/>
  <c r="R657" i="6"/>
  <c r="AA420" i="6"/>
  <c r="AB420" i="6" s="1"/>
  <c r="AC420" i="6" s="1"/>
  <c r="AD420" i="6" s="1"/>
  <c r="X421" i="6"/>
  <c r="Y421" i="6" s="1"/>
  <c r="Z421" i="6" s="1"/>
  <c r="AA421" i="6" s="1"/>
  <c r="BQ422" i="6"/>
  <c r="Z428" i="6"/>
  <c r="AA428" i="6" s="1"/>
  <c r="AB428" i="6" s="1"/>
  <c r="AC428" i="6" s="1"/>
  <c r="AD428" i="6" s="1"/>
  <c r="BN428" i="6"/>
  <c r="BO428" i="6" s="1"/>
  <c r="N429" i="6"/>
  <c r="O429" i="6"/>
  <c r="P429" i="6"/>
  <c r="Q429" i="6"/>
  <c r="R429" i="6"/>
  <c r="N397" i="6"/>
  <c r="O397" i="6"/>
  <c r="P397" i="6"/>
  <c r="Q397" i="6"/>
  <c r="Q437" i="6" s="1"/>
  <c r="Q439" i="6" s="1"/>
  <c r="R397" i="6"/>
  <c r="T399" i="6"/>
  <c r="W397" i="6"/>
  <c r="AX397" i="6"/>
  <c r="N398" i="6"/>
  <c r="O398" i="6"/>
  <c r="P398" i="6"/>
  <c r="Q398" i="6"/>
  <c r="Q438" i="6" s="1"/>
  <c r="Q440" i="6" s="1"/>
  <c r="R398" i="6"/>
  <c r="AX398" i="6"/>
  <c r="N399" i="6"/>
  <c r="O399" i="6"/>
  <c r="P399" i="6"/>
  <c r="Q399" i="6"/>
  <c r="R399" i="6"/>
  <c r="Z394" i="6"/>
  <c r="AA394" i="6" s="1"/>
  <c r="AT772" i="6"/>
  <c r="AU772" i="6"/>
  <c r="AW772" i="6"/>
  <c r="AX772" i="6"/>
  <c r="R376" i="6"/>
  <c r="AU376" i="6"/>
  <c r="AV376" i="6"/>
  <c r="AW376" i="6"/>
  <c r="BN378" i="6"/>
  <c r="S776" i="6"/>
  <c r="T776" i="6"/>
  <c r="U776" i="6"/>
  <c r="V776" i="6"/>
  <c r="BN379" i="6"/>
  <c r="BN380" i="6"/>
  <c r="BN381" i="6"/>
  <c r="BO381" i="6" s="1"/>
  <c r="Q376" i="6"/>
  <c r="AP376" i="6"/>
  <c r="AQ376" i="6"/>
  <c r="AR376" i="6"/>
  <c r="AS376" i="6"/>
  <c r="AT376" i="6"/>
  <c r="AX376" i="6"/>
  <c r="AY376" i="6"/>
  <c r="BO465" i="6"/>
  <c r="N384" i="6"/>
  <c r="O384" i="6"/>
  <c r="P384" i="6"/>
  <c r="Q385" i="6" s="1"/>
  <c r="Q384" i="6"/>
  <c r="R385" i="6" s="1"/>
  <c r="R384" i="6"/>
  <c r="S385" i="6" s="1"/>
  <c r="N383" i="6"/>
  <c r="O383" i="6"/>
  <c r="P383" i="6"/>
  <c r="Q383" i="6"/>
  <c r="R383" i="6"/>
  <c r="N389" i="6"/>
  <c r="O390" i="6" s="1"/>
  <c r="O389" i="6"/>
  <c r="P390" i="6" s="1"/>
  <c r="P389" i="6"/>
  <c r="Q390" i="6" s="1"/>
  <c r="Q389" i="6"/>
  <c r="R389" i="6"/>
  <c r="S390" i="6" s="1"/>
  <c r="O388" i="6"/>
  <c r="P388" i="6"/>
  <c r="Q388" i="6"/>
  <c r="R388" i="6"/>
  <c r="Y391" i="6"/>
  <c r="Z391" i="6" s="1"/>
  <c r="AA391" i="6" s="1"/>
  <c r="AB391" i="6" s="1"/>
  <c r="AC391" i="6" s="1"/>
  <c r="AD391" i="6" s="1"/>
  <c r="U746" i="6"/>
  <c r="V742" i="6" s="1"/>
  <c r="W742" i="6"/>
  <c r="BN495" i="6"/>
  <c r="BO495" i="6" s="1"/>
  <c r="BP495" i="6" s="1"/>
  <c r="BN498" i="6"/>
  <c r="BO498" i="6" s="1"/>
  <c r="BP498" i="6" s="1"/>
  <c r="BQ498" i="6"/>
  <c r="BN499" i="6"/>
  <c r="BO499" i="6" s="1"/>
  <c r="BP499" i="6" s="1"/>
  <c r="BQ499" i="6" s="1"/>
  <c r="N501" i="6"/>
  <c r="N505" i="6" s="1"/>
  <c r="O501" i="6"/>
  <c r="O505" i="6" s="1"/>
  <c r="P501" i="6"/>
  <c r="Q501" i="6"/>
  <c r="Q505" i="6" s="1"/>
  <c r="R501" i="6"/>
  <c r="AX501" i="6"/>
  <c r="AX505" i="6" s="1"/>
  <c r="AY501" i="6"/>
  <c r="AY505" i="6" s="1"/>
  <c r="AZ501" i="6"/>
  <c r="AZ505" i="6" s="1"/>
  <c r="BN503" i="6"/>
  <c r="BN504" i="6"/>
  <c r="BO504" i="6" s="1"/>
  <c r="S573" i="6"/>
  <c r="T573" i="6"/>
  <c r="U573" i="6"/>
  <c r="BN507" i="6"/>
  <c r="BN510" i="6"/>
  <c r="BO510" i="6" s="1"/>
  <c r="BP510" i="6" s="1"/>
  <c r="BN513" i="6"/>
  <c r="BO513" i="6" s="1"/>
  <c r="BP513" i="6" s="1"/>
  <c r="N514" i="6"/>
  <c r="O514" i="6"/>
  <c r="P514" i="6"/>
  <c r="Q514" i="6"/>
  <c r="R514" i="6"/>
  <c r="AX514" i="6"/>
  <c r="AY514" i="6"/>
  <c r="AZ514" i="6"/>
  <c r="BN515" i="6"/>
  <c r="BN516" i="6"/>
  <c r="BO516" i="6" s="1"/>
  <c r="BP516" i="6" s="1"/>
  <c r="BN511" i="6"/>
  <c r="BO511" i="6" s="1"/>
  <c r="BP511" i="6" s="1"/>
  <c r="BN524" i="6"/>
  <c r="BO524" i="6" s="1"/>
  <c r="BP524" i="6" s="1"/>
  <c r="N525" i="6"/>
  <c r="N532" i="6" s="1"/>
  <c r="O525" i="6"/>
  <c r="O532" i="6" s="1"/>
  <c r="P525" i="6"/>
  <c r="P532" i="6" s="1"/>
  <c r="Q525" i="6"/>
  <c r="Q532" i="6" s="1"/>
  <c r="R525" i="6"/>
  <c r="R532" i="6" s="1"/>
  <c r="AX540" i="6"/>
  <c r="AY525" i="6"/>
  <c r="AY532" i="6" s="1"/>
  <c r="AZ525" i="6"/>
  <c r="AZ532" i="6" s="1"/>
  <c r="W681" i="6"/>
  <c r="BN526" i="6"/>
  <c r="X527" i="6"/>
  <c r="Y527" i="6" s="1"/>
  <c r="Z527" i="6" s="1"/>
  <c r="AA527" i="6" s="1"/>
  <c r="AB527" i="6" s="1"/>
  <c r="AC527" i="6" s="1"/>
  <c r="AD527" i="6" s="1"/>
  <c r="BN527" i="6"/>
  <c r="BQ528" i="6"/>
  <c r="BN528" i="6"/>
  <c r="BO528" i="6" s="1"/>
  <c r="BP528" i="6" s="1"/>
  <c r="BN529" i="6"/>
  <c r="BO529" i="6" s="1"/>
  <c r="BP529" i="6" s="1"/>
  <c r="BN531" i="6"/>
  <c r="BO531" i="6" s="1"/>
  <c r="BP531" i="6" s="1"/>
  <c r="BN533" i="6"/>
  <c r="BO533" i="6" s="1"/>
  <c r="BP533" i="6" s="1"/>
  <c r="N536" i="6"/>
  <c r="O536" i="6"/>
  <c r="P536" i="6"/>
  <c r="Q536" i="6"/>
  <c r="R536" i="6"/>
  <c r="S536" i="6" s="1"/>
  <c r="T536" i="6"/>
  <c r="Y536" i="6"/>
  <c r="Z537" i="6"/>
  <c r="BN539" i="6"/>
  <c r="BO539" i="6" s="1"/>
  <c r="BP539" i="6" s="1"/>
  <c r="BQ539" i="6"/>
  <c r="BQ550" i="6"/>
  <c r="BQ555" i="6"/>
  <c r="AZ556" i="6"/>
  <c r="N556" i="6"/>
  <c r="O556" i="6"/>
  <c r="P556" i="6"/>
  <c r="Q556" i="6"/>
  <c r="R556" i="6"/>
  <c r="N570" i="6"/>
  <c r="N572" i="6" s="1"/>
  <c r="O570" i="6"/>
  <c r="O572" i="6" s="1"/>
  <c r="P570" i="6"/>
  <c r="P572" i="6" s="1"/>
  <c r="Q570" i="6"/>
  <c r="Q572" i="6" s="1"/>
  <c r="R570" i="6"/>
  <c r="R572" i="6" s="1"/>
  <c r="S570" i="6"/>
  <c r="S571" i="6"/>
  <c r="Q573" i="6"/>
  <c r="R573" i="6"/>
  <c r="BH578" i="6"/>
  <c r="BI578" i="6"/>
  <c r="BL578" i="6"/>
  <c r="BM578" i="6"/>
  <c r="BF579" i="6"/>
  <c r="BG579" i="6"/>
  <c r="BK579" i="6"/>
  <c r="Y581" i="6"/>
  <c r="AA581" i="6" s="1"/>
  <c r="W607" i="6"/>
  <c r="X608" i="6"/>
  <c r="Y608" i="6" s="1"/>
  <c r="AA608" i="6"/>
  <c r="X609" i="6"/>
  <c r="Y609" i="6" s="1"/>
  <c r="Z609" i="6" s="1"/>
  <c r="Z610" i="6"/>
  <c r="AA610" i="6" s="1"/>
  <c r="P618" i="6"/>
  <c r="P610" i="6" s="1"/>
  <c r="Q618" i="6"/>
  <c r="Q610" i="6" s="1"/>
  <c r="P619" i="6"/>
  <c r="P612" i="6" s="1"/>
  <c r="Q619" i="6"/>
  <c r="Q612" i="6" s="1"/>
  <c r="P620" i="6"/>
  <c r="Q620" i="6"/>
  <c r="X620" i="6"/>
  <c r="Y620" i="6" s="1"/>
  <c r="Z620" i="6" s="1"/>
  <c r="AA620" i="6" s="1"/>
  <c r="AB620" i="6" s="1"/>
  <c r="AC620" i="6" s="1"/>
  <c r="AD620" i="6" s="1"/>
  <c r="BO620" i="6"/>
  <c r="BP620" i="6" s="1"/>
  <c r="P622" i="6"/>
  <c r="N633" i="6"/>
  <c r="O633" i="6"/>
  <c r="N636" i="6"/>
  <c r="O636" i="6"/>
  <c r="P636" i="6"/>
  <c r="Q636" i="6"/>
  <c r="R636" i="6"/>
  <c r="N637" i="6"/>
  <c r="O637" i="6"/>
  <c r="P637" i="6"/>
  <c r="Q637" i="6"/>
  <c r="R637" i="6"/>
  <c r="N638" i="6"/>
  <c r="O638" i="6"/>
  <c r="P638" i="6"/>
  <c r="Q638" i="6"/>
  <c r="R638" i="6"/>
  <c r="N639" i="6"/>
  <c r="O639" i="6"/>
  <c r="P639" i="6"/>
  <c r="Q639" i="6"/>
  <c r="R639" i="6"/>
  <c r="S639" i="6"/>
  <c r="T639" i="6"/>
  <c r="U639" i="6"/>
  <c r="N640" i="6"/>
  <c r="O640" i="6"/>
  <c r="P640" i="6"/>
  <c r="Q640" i="6"/>
  <c r="R640" i="6"/>
  <c r="V640" i="6"/>
  <c r="W640" i="6"/>
  <c r="X640" i="6"/>
  <c r="Y640" i="6"/>
  <c r="Z640" i="6"/>
  <c r="AA640" i="6"/>
  <c r="AB640" i="6"/>
  <c r="AC640" i="6"/>
  <c r="AD640" i="6"/>
  <c r="AP641" i="6"/>
  <c r="AQ641" i="6"/>
  <c r="AR641" i="6"/>
  <c r="AS641" i="6"/>
  <c r="AT641" i="6"/>
  <c r="AU641" i="6"/>
  <c r="AV641" i="6"/>
  <c r="AW641" i="6"/>
  <c r="BO641" i="6"/>
  <c r="BP641" i="6"/>
  <c r="BQ641" i="6"/>
  <c r="N645" i="6"/>
  <c r="O645" i="6"/>
  <c r="P645" i="6"/>
  <c r="Q645" i="6"/>
  <c r="R645" i="6"/>
  <c r="U585" i="6"/>
  <c r="U589" i="6" s="1"/>
  <c r="V650" i="6"/>
  <c r="W650" i="6"/>
  <c r="X650" i="6"/>
  <c r="Y650" i="6"/>
  <c r="Z650" i="6"/>
  <c r="AA650" i="6"/>
  <c r="AB650" i="6"/>
  <c r="AC650" i="6"/>
  <c r="AD650" i="6"/>
  <c r="N657" i="6"/>
  <c r="N658" i="6"/>
  <c r="O658" i="6"/>
  <c r="P658" i="6"/>
  <c r="Q658" i="6"/>
  <c r="R658" i="6"/>
  <c r="N668" i="6"/>
  <c r="O668" i="6"/>
  <c r="P668" i="6"/>
  <c r="Q668" i="6"/>
  <c r="R668" i="6"/>
  <c r="N687" i="6"/>
  <c r="O687" i="6"/>
  <c r="P687" i="6"/>
  <c r="P578" i="6" s="1"/>
  <c r="Q687" i="6"/>
  <c r="R687" i="6"/>
  <c r="R578" i="6" s="1"/>
  <c r="S636" i="6"/>
  <c r="T636" i="6"/>
  <c r="U636" i="6"/>
  <c r="S640" i="6"/>
  <c r="T640" i="6"/>
  <c r="U640" i="6"/>
  <c r="S637" i="6"/>
  <c r="T637" i="6"/>
  <c r="U637" i="6"/>
  <c r="S638" i="6"/>
  <c r="T638" i="6"/>
  <c r="U638" i="6"/>
  <c r="N695" i="6"/>
  <c r="O695" i="6"/>
  <c r="P695" i="6"/>
  <c r="Q695" i="6"/>
  <c r="R695" i="6"/>
  <c r="N701" i="6"/>
  <c r="O701" i="6"/>
  <c r="P701" i="6"/>
  <c r="Q701" i="6"/>
  <c r="R701" i="6"/>
  <c r="V701" i="6"/>
  <c r="W701" i="6"/>
  <c r="X701" i="6"/>
  <c r="Y701" i="6"/>
  <c r="Z701" i="6"/>
  <c r="AA701" i="6"/>
  <c r="AB701" i="6"/>
  <c r="AC701" i="6"/>
  <c r="AD701" i="6"/>
  <c r="N706" i="6"/>
  <c r="O706" i="6"/>
  <c r="P706" i="6"/>
  <c r="Q706" i="6"/>
  <c r="R706" i="6"/>
  <c r="V706" i="6"/>
  <c r="W706" i="6"/>
  <c r="S706" i="6"/>
  <c r="T706" i="6"/>
  <c r="N714" i="6"/>
  <c r="O714" i="6"/>
  <c r="P714" i="6"/>
  <c r="Q714" i="6"/>
  <c r="R714" i="6"/>
  <c r="N721" i="6"/>
  <c r="O721" i="6"/>
  <c r="P721" i="6"/>
  <c r="Q721" i="6"/>
  <c r="R721" i="6"/>
  <c r="S721" i="6"/>
  <c r="N732" i="6"/>
  <c r="O732" i="6"/>
  <c r="P732" i="6"/>
  <c r="Q732" i="6"/>
  <c r="R732" i="6"/>
  <c r="S732" i="6"/>
  <c r="T732" i="6"/>
  <c r="V732" i="6"/>
  <c r="W732" i="6"/>
  <c r="U732" i="6"/>
  <c r="N735" i="6"/>
  <c r="O735" i="6"/>
  <c r="P735" i="6"/>
  <c r="Q735" i="6"/>
  <c r="R735" i="6"/>
  <c r="S735" i="6"/>
  <c r="T735" i="6"/>
  <c r="U735" i="6"/>
  <c r="V735" i="6"/>
  <c r="W735" i="6"/>
  <c r="X735" i="6"/>
  <c r="Y735" i="6"/>
  <c r="Z735" i="6"/>
  <c r="AA735" i="6"/>
  <c r="AB735" i="6"/>
  <c r="AC735" i="6"/>
  <c r="AD735" i="6"/>
  <c r="N743" i="6"/>
  <c r="N746" i="6" s="1"/>
  <c r="O743" i="6"/>
  <c r="O746" i="6" s="1"/>
  <c r="U744" i="6"/>
  <c r="AH752" i="6"/>
  <c r="AI752" i="6"/>
  <c r="AJ752" i="6"/>
  <c r="AK752" i="6"/>
  <c r="AL752" i="6"/>
  <c r="AM752" i="6"/>
  <c r="AN752" i="6"/>
  <c r="AO752" i="6"/>
  <c r="V775" i="6"/>
  <c r="Q776" i="6"/>
  <c r="R776" i="6"/>
  <c r="Q777" i="6"/>
  <c r="BQ553" i="6" l="1"/>
  <c r="Q621" i="6"/>
  <c r="AB421" i="6"/>
  <c r="Q616" i="6"/>
  <c r="Q608" i="6" s="1"/>
  <c r="BQ546" i="6"/>
  <c r="BQ547" i="6"/>
  <c r="X552" i="6"/>
  <c r="Y552" i="6" s="1"/>
  <c r="Z552" i="6" s="1"/>
  <c r="AA552" i="6" s="1"/>
  <c r="AB552" i="6" s="1"/>
  <c r="AC552" i="6" s="1"/>
  <c r="AD552" i="6" s="1"/>
  <c r="BQ552" i="6"/>
  <c r="BQ548" i="6"/>
  <c r="AZ90" i="6"/>
  <c r="AZ87" i="6"/>
  <c r="Q763" i="6"/>
  <c r="O411" i="6"/>
  <c r="N411" i="6"/>
  <c r="N453" i="6" s="1"/>
  <c r="R784" i="6"/>
  <c r="R786" i="6" s="1"/>
  <c r="R462" i="6"/>
  <c r="Q462" i="6"/>
  <c r="V464" i="6"/>
  <c r="AV772" i="6"/>
  <c r="AZ620" i="6"/>
  <c r="Q765" i="6"/>
  <c r="Q775" i="6"/>
  <c r="Q778" i="6" s="1"/>
  <c r="BA612" i="6"/>
  <c r="T405" i="6"/>
  <c r="R775" i="6"/>
  <c r="P617" i="6"/>
  <c r="P609" i="6" s="1"/>
  <c r="V620" i="6"/>
  <c r="AD682" i="6"/>
  <c r="P411" i="6"/>
  <c r="U621" i="6"/>
  <c r="BC772" i="6"/>
  <c r="BD620" i="6"/>
  <c r="S618" i="6"/>
  <c r="S610" i="6" s="1"/>
  <c r="BA772" i="6"/>
  <c r="U620" i="6"/>
  <c r="P405" i="6"/>
  <c r="Q756" i="6" s="1"/>
  <c r="BE772" i="6"/>
  <c r="BA619" i="6"/>
  <c r="T620" i="6"/>
  <c r="V669" i="6"/>
  <c r="W670" i="6"/>
  <c r="U668" i="6"/>
  <c r="AZ772" i="6"/>
  <c r="S775" i="6"/>
  <c r="BD772" i="6"/>
  <c r="AY622" i="6"/>
  <c r="AY772" i="6"/>
  <c r="BE621" i="6"/>
  <c r="AZ610" i="6"/>
  <c r="BC612" i="6"/>
  <c r="S668" i="6"/>
  <c r="Q615" i="6"/>
  <c r="Q607" i="6" s="1"/>
  <c r="Q606" i="6" s="1"/>
  <c r="V680" i="6"/>
  <c r="Q617" i="6"/>
  <c r="Q609" i="6" s="1"/>
  <c r="BB620" i="6"/>
  <c r="P391" i="6"/>
  <c r="AR405" i="6"/>
  <c r="AP409" i="6"/>
  <c r="AP478" i="6" s="1"/>
  <c r="V693" i="6"/>
  <c r="V638" i="6" s="1"/>
  <c r="V678" i="6"/>
  <c r="V692" i="6"/>
  <c r="BB409" i="6"/>
  <c r="AX409" i="6"/>
  <c r="AT409" i="6"/>
  <c r="AT478" i="6" s="1"/>
  <c r="V681" i="6"/>
  <c r="BB621" i="6"/>
  <c r="V677" i="6"/>
  <c r="P505" i="6"/>
  <c r="P518" i="6" s="1"/>
  <c r="BD610" i="6"/>
  <c r="V672" i="6"/>
  <c r="BB770" i="6"/>
  <c r="BB756" i="6"/>
  <c r="V690" i="6"/>
  <c r="W675" i="6"/>
  <c r="T400" i="6"/>
  <c r="P400" i="6"/>
  <c r="U722" i="6"/>
  <c r="AZ622" i="6"/>
  <c r="AZ618" i="6"/>
  <c r="BF383" i="6"/>
  <c r="BJ400" i="6"/>
  <c r="BF400" i="6"/>
  <c r="V683" i="6"/>
  <c r="AZ619" i="6"/>
  <c r="X675" i="6"/>
  <c r="BC620" i="6"/>
  <c r="U399" i="6"/>
  <c r="BG400" i="6"/>
  <c r="T622" i="6"/>
  <c r="BA618" i="6"/>
  <c r="AC682" i="6"/>
  <c r="V673" i="6"/>
  <c r="V670" i="6"/>
  <c r="BB619" i="6"/>
  <c r="R618" i="6"/>
  <c r="R610" i="6" s="1"/>
  <c r="S399" i="6"/>
  <c r="BC400" i="6"/>
  <c r="V400" i="6"/>
  <c r="W400" i="6" s="1"/>
  <c r="X400" i="6" s="1"/>
  <c r="Y400" i="6" s="1"/>
  <c r="Z400" i="6" s="1"/>
  <c r="AA400" i="6" s="1"/>
  <c r="AB400" i="6" s="1"/>
  <c r="AC400" i="6" s="1"/>
  <c r="AD400" i="6" s="1"/>
  <c r="V698" i="6"/>
  <c r="Z682" i="6"/>
  <c r="R620" i="6"/>
  <c r="R611" i="6"/>
  <c r="AY400" i="6"/>
  <c r="R409" i="6"/>
  <c r="BB772" i="6"/>
  <c r="V682" i="6"/>
  <c r="R619" i="6"/>
  <c r="R612" i="6" s="1"/>
  <c r="BH400" i="6"/>
  <c r="T722" i="6"/>
  <c r="BD618" i="6"/>
  <c r="V611" i="6"/>
  <c r="R574" i="6"/>
  <c r="BG514" i="6"/>
  <c r="BC514" i="6"/>
  <c r="V699" i="6"/>
  <c r="AX518" i="6"/>
  <c r="AX558" i="6" s="1"/>
  <c r="BE376" i="6"/>
  <c r="BP504" i="6"/>
  <c r="AZ540" i="6"/>
  <c r="BL400" i="6"/>
  <c r="AZ400" i="6"/>
  <c r="Y682" i="6"/>
  <c r="BE618" i="6"/>
  <c r="V618" i="6"/>
  <c r="V610" i="6" s="1"/>
  <c r="S620" i="6"/>
  <c r="BB612" i="6"/>
  <c r="AY556" i="6"/>
  <c r="V697" i="6"/>
  <c r="AY518" i="6"/>
  <c r="AT462" i="6"/>
  <c r="X508" i="6"/>
  <c r="X693" i="6" s="1"/>
  <c r="X638" i="6" s="1"/>
  <c r="W693" i="6"/>
  <c r="W638" i="6" s="1"/>
  <c r="V536" i="6"/>
  <c r="BB501" i="6"/>
  <c r="S400" i="6"/>
  <c r="BJ536" i="6"/>
  <c r="BL641" i="6"/>
  <c r="BD641" i="6"/>
  <c r="AZ641" i="6"/>
  <c r="T723" i="6"/>
  <c r="BD400" i="6"/>
  <c r="Q574" i="6"/>
  <c r="V675" i="6"/>
  <c r="N518" i="6"/>
  <c r="R400" i="6"/>
  <c r="N400" i="6"/>
  <c r="BC405" i="6"/>
  <c r="AY405" i="6"/>
  <c r="U723" i="6"/>
  <c r="R739" i="6"/>
  <c r="U536" i="6"/>
  <c r="BE612" i="6"/>
  <c r="BE610" i="6"/>
  <c r="BA610" i="6"/>
  <c r="BE400" i="6"/>
  <c r="O400" i="6"/>
  <c r="T409" i="6"/>
  <c r="Q779" i="6"/>
  <c r="AB682" i="6"/>
  <c r="X682" i="6"/>
  <c r="T668" i="6"/>
  <c r="BH579" i="6"/>
  <c r="N574" i="6"/>
  <c r="BE622" i="6"/>
  <c r="BA622" i="6"/>
  <c r="S622" i="6"/>
  <c r="BK400" i="6"/>
  <c r="V622" i="6"/>
  <c r="W622" i="6" s="1"/>
  <c r="X622" i="6" s="1"/>
  <c r="AA682" i="6"/>
  <c r="W682" i="6"/>
  <c r="S574" i="6"/>
  <c r="W674" i="6"/>
  <c r="V674" i="6"/>
  <c r="R505" i="6"/>
  <c r="R518" i="6" s="1"/>
  <c r="BB618" i="6"/>
  <c r="BC610" i="6"/>
  <c r="AZ405" i="6"/>
  <c r="AT405" i="6"/>
  <c r="AP405" i="6"/>
  <c r="W676" i="6"/>
  <c r="V676" i="6"/>
  <c r="U611" i="6"/>
  <c r="U618" i="6"/>
  <c r="U610" i="6" s="1"/>
  <c r="T611" i="6"/>
  <c r="T618" i="6"/>
  <c r="T610" i="6" s="1"/>
  <c r="BD405" i="6"/>
  <c r="R405" i="6"/>
  <c r="R756" i="6" s="1"/>
  <c r="R770" i="6" s="1"/>
  <c r="U695" i="6"/>
  <c r="BE620" i="6"/>
  <c r="BA620" i="6"/>
  <c r="V578" i="6"/>
  <c r="V688" i="6" s="1"/>
  <c r="BL579" i="6"/>
  <c r="BM579" i="6"/>
  <c r="T701" i="6"/>
  <c r="BD619" i="6"/>
  <c r="Q540" i="6"/>
  <c r="Q557" i="6" s="1"/>
  <c r="V573" i="6"/>
  <c r="Q650" i="6"/>
  <c r="Q667" i="6" s="1"/>
  <c r="Q684" i="6" s="1"/>
  <c r="X543" i="6"/>
  <c r="X733" i="6" s="1"/>
  <c r="X732" i="6" s="1"/>
  <c r="AY540" i="6"/>
  <c r="V619" i="6"/>
  <c r="V612" i="6" s="1"/>
  <c r="W612" i="6" s="1"/>
  <c r="U619" i="6"/>
  <c r="U612" i="6" s="1"/>
  <c r="BM400" i="6"/>
  <c r="BI400" i="6"/>
  <c r="BA400" i="6"/>
  <c r="U400" i="6"/>
  <c r="Q400" i="6"/>
  <c r="BD622" i="6"/>
  <c r="R622" i="6"/>
  <c r="Q622" i="6"/>
  <c r="BB622" i="6"/>
  <c r="U622" i="6"/>
  <c r="BC618" i="6"/>
  <c r="BC619" i="6"/>
  <c r="AY610" i="6"/>
  <c r="AY612" i="6"/>
  <c r="AY618" i="6"/>
  <c r="AY619" i="6"/>
  <c r="P616" i="6"/>
  <c r="P608" i="6" s="1"/>
  <c r="P615" i="6"/>
  <c r="P607" i="6" s="1"/>
  <c r="P606" i="6" s="1"/>
  <c r="BD409" i="6"/>
  <c r="AZ409" i="6"/>
  <c r="AR409" i="6"/>
  <c r="AR478" i="6" s="1"/>
  <c r="S611" i="6"/>
  <c r="BH641" i="6"/>
  <c r="BM641" i="6"/>
  <c r="BI641" i="6"/>
  <c r="BE641" i="6"/>
  <c r="BA641" i="6"/>
  <c r="BD612" i="6"/>
  <c r="X555" i="6"/>
  <c r="AV409" i="6"/>
  <c r="AV478" i="6" s="1"/>
  <c r="BG556" i="6"/>
  <c r="O391" i="6"/>
  <c r="BK376" i="6"/>
  <c r="BG376" i="6"/>
  <c r="BC376" i="6"/>
  <c r="V376" i="6"/>
  <c r="V409" i="6"/>
  <c r="U86" i="20" s="1"/>
  <c r="O540" i="6"/>
  <c r="O557" i="6" s="1"/>
  <c r="BA525" i="6"/>
  <c r="BA532" i="6" s="1"/>
  <c r="Q386" i="6"/>
  <c r="V465" i="6"/>
  <c r="X511" i="6"/>
  <c r="BQ511" i="6"/>
  <c r="W699" i="6"/>
  <c r="BO503" i="6"/>
  <c r="BP503" i="6" s="1"/>
  <c r="P540" i="6"/>
  <c r="R650" i="6"/>
  <c r="R667" i="6" s="1"/>
  <c r="R684" i="6" s="1"/>
  <c r="N650" i="6"/>
  <c r="N667" i="6" s="1"/>
  <c r="T650" i="6"/>
  <c r="R635" i="6"/>
  <c r="N635" i="6"/>
  <c r="N641" i="6" s="1"/>
  <c r="BK641" i="6"/>
  <c r="BG641" i="6"/>
  <c r="BC641" i="6"/>
  <c r="AY641" i="6"/>
  <c r="BE619" i="6"/>
  <c r="P574" i="6"/>
  <c r="BQ504" i="6"/>
  <c r="BA405" i="6"/>
  <c r="T695" i="6"/>
  <c r="Q635" i="6"/>
  <c r="BB610" i="6"/>
  <c r="O574" i="6"/>
  <c r="BE525" i="6"/>
  <c r="BE532" i="6" s="1"/>
  <c r="BK514" i="6"/>
  <c r="T514" i="6"/>
  <c r="V514" i="6"/>
  <c r="BM376" i="6"/>
  <c r="BC556" i="6"/>
  <c r="R386" i="6"/>
  <c r="BI376" i="6"/>
  <c r="BA376" i="6"/>
  <c r="AS405" i="6"/>
  <c r="U687" i="6"/>
  <c r="U578" i="6" s="1"/>
  <c r="S501" i="6"/>
  <c r="U635" i="6"/>
  <c r="W683" i="6"/>
  <c r="BO507" i="6"/>
  <c r="S701" i="6"/>
  <c r="Q739" i="6"/>
  <c r="X516" i="6"/>
  <c r="X514" i="6" s="1"/>
  <c r="BQ516" i="6"/>
  <c r="W698" i="6"/>
  <c r="X510" i="6"/>
  <c r="BQ510" i="6"/>
  <c r="W690" i="6"/>
  <c r="Z675" i="6"/>
  <c r="Y675" i="6"/>
  <c r="U714" i="6"/>
  <c r="S695" i="6"/>
  <c r="P650" i="6"/>
  <c r="P667" i="6" s="1"/>
  <c r="P684" i="6" s="1"/>
  <c r="O635" i="6"/>
  <c r="O641" i="6" s="1"/>
  <c r="BK525" i="6"/>
  <c r="BG525" i="6"/>
  <c r="BC525" i="6"/>
  <c r="BC532" i="6" s="1"/>
  <c r="BL514" i="6"/>
  <c r="BH514" i="6"/>
  <c r="BD514" i="6"/>
  <c r="O650" i="6"/>
  <c r="O667" i="6" s="1"/>
  <c r="U650" i="6"/>
  <c r="BN641" i="6"/>
  <c r="BJ641" i="6"/>
  <c r="BF641" i="6"/>
  <c r="BB641" i="6"/>
  <c r="AX641" i="6"/>
  <c r="X528" i="6"/>
  <c r="BB525" i="6"/>
  <c r="U514" i="6"/>
  <c r="X494" i="6"/>
  <c r="BQ494" i="6"/>
  <c r="R711" i="6"/>
  <c r="U701" i="6"/>
  <c r="BH556" i="6"/>
  <c r="BD556" i="6"/>
  <c r="BL536" i="6"/>
  <c r="BH536" i="6"/>
  <c r="BQ527" i="6"/>
  <c r="S525" i="6"/>
  <c r="BJ514" i="6"/>
  <c r="BF514" i="6"/>
  <c r="BB514" i="6"/>
  <c r="AZ518" i="6"/>
  <c r="BD501" i="6"/>
  <c r="U706" i="6"/>
  <c r="P711" i="6"/>
  <c r="S556" i="6"/>
  <c r="BK536" i="6"/>
  <c r="BG536" i="6"/>
  <c r="X537" i="6"/>
  <c r="X536" i="6" s="1"/>
  <c r="BI525" i="6"/>
  <c r="BI532" i="6" s="1"/>
  <c r="BL525" i="6"/>
  <c r="BH525" i="6"/>
  <c r="BD525" i="6"/>
  <c r="N540" i="6"/>
  <c r="N557" i="6" s="1"/>
  <c r="O518" i="6"/>
  <c r="BP381" i="6"/>
  <c r="BQ381" i="6" s="1"/>
  <c r="BO379" i="6"/>
  <c r="BP379" i="6" s="1"/>
  <c r="BQ379" i="6" s="1"/>
  <c r="BA501" i="6"/>
  <c r="U465" i="6"/>
  <c r="AX462" i="6"/>
  <c r="AB394" i="6"/>
  <c r="AC394" i="6" s="1"/>
  <c r="AU405" i="6"/>
  <c r="AQ405" i="6"/>
  <c r="S405" i="6"/>
  <c r="T376" i="6"/>
  <c r="U501" i="6"/>
  <c r="Q411" i="6"/>
  <c r="Q453" i="6" s="1"/>
  <c r="Q19" i="6" s="1"/>
  <c r="S409" i="6"/>
  <c r="BC409" i="6"/>
  <c r="AY409" i="6"/>
  <c r="AU409" i="6"/>
  <c r="AU478" i="6" s="1"/>
  <c r="AQ409" i="6"/>
  <c r="AQ478" i="6" s="1"/>
  <c r="U409" i="6"/>
  <c r="T501" i="6"/>
  <c r="U389" i="6"/>
  <c r="V390" i="6" s="1"/>
  <c r="T465" i="6"/>
  <c r="U376" i="6"/>
  <c r="P739" i="6"/>
  <c r="S635" i="6"/>
  <c r="S650" i="6"/>
  <c r="AB608" i="6"/>
  <c r="P579" i="6"/>
  <c r="Z536" i="6"/>
  <c r="Z718" i="6" s="1"/>
  <c r="AA537" i="6"/>
  <c r="BN536" i="6"/>
  <c r="BC622" i="6"/>
  <c r="BM514" i="6"/>
  <c r="BI514" i="6"/>
  <c r="BE514" i="6"/>
  <c r="BA514" i="6"/>
  <c r="T635" i="6"/>
  <c r="T714" i="6"/>
  <c r="P635" i="6"/>
  <c r="BO527" i="6"/>
  <c r="S714" i="6"/>
  <c r="S739" i="6" s="1"/>
  <c r="Q578" i="6"/>
  <c r="R579" i="6" s="1"/>
  <c r="Q711" i="6"/>
  <c r="T585" i="6"/>
  <c r="T589" i="6" s="1"/>
  <c r="P585" i="6"/>
  <c r="BN494" i="6"/>
  <c r="BO494" i="6" s="1"/>
  <c r="BP494" i="6" s="1"/>
  <c r="T687" i="6"/>
  <c r="Y607" i="6"/>
  <c r="S687" i="6"/>
  <c r="R585" i="6"/>
  <c r="S591" i="6" s="1"/>
  <c r="AB610" i="6"/>
  <c r="Z607" i="6"/>
  <c r="AA609" i="6"/>
  <c r="AB609" i="6" s="1"/>
  <c r="AC609" i="6" s="1"/>
  <c r="AD609" i="6" s="1"/>
  <c r="BA571" i="6"/>
  <c r="S572" i="6"/>
  <c r="BA570" i="6"/>
  <c r="T556" i="6"/>
  <c r="BQ531" i="6"/>
  <c r="X531" i="6"/>
  <c r="R540" i="6"/>
  <c r="Q518" i="6"/>
  <c r="Q585" i="6"/>
  <c r="S585" i="6"/>
  <c r="S589" i="6" s="1"/>
  <c r="BI579" i="6"/>
  <c r="BJ579" i="6"/>
  <c r="X553" i="6"/>
  <c r="S619" i="6"/>
  <c r="S612" i="6" s="1"/>
  <c r="T619" i="6"/>
  <c r="T612" i="6" s="1"/>
  <c r="U556" i="6"/>
  <c r="BN525" i="6"/>
  <c r="BJ525" i="6"/>
  <c r="BF525" i="6"/>
  <c r="W525" i="6"/>
  <c r="BQ525" i="6" s="1"/>
  <c r="BQ526" i="6"/>
  <c r="X526" i="6"/>
  <c r="V384" i="6"/>
  <c r="W385" i="6" s="1"/>
  <c r="W383" i="6" s="1"/>
  <c r="T389" i="6"/>
  <c r="BI556" i="6"/>
  <c r="BJ556" i="6"/>
  <c r="BF556" i="6"/>
  <c r="BO536" i="6"/>
  <c r="BP536" i="6"/>
  <c r="BQ529" i="6"/>
  <c r="U525" i="6"/>
  <c r="BM525" i="6"/>
  <c r="S514" i="6"/>
  <c r="BQ508" i="6"/>
  <c r="V501" i="6"/>
  <c r="BC501" i="6"/>
  <c r="X607" i="6"/>
  <c r="BE556" i="6"/>
  <c r="BM536" i="6"/>
  <c r="BI536" i="6"/>
  <c r="T525" i="6"/>
  <c r="V525" i="6"/>
  <c r="T384" i="6"/>
  <c r="BO515" i="6"/>
  <c r="BN514" i="6"/>
  <c r="BN508" i="6"/>
  <c r="BO508" i="6" s="1"/>
  <c r="BP508" i="6" s="1"/>
  <c r="BO526" i="6"/>
  <c r="S384" i="6"/>
  <c r="T385" i="6" s="1"/>
  <c r="S389" i="6"/>
  <c r="R390" i="6"/>
  <c r="R391" i="6" s="1"/>
  <c r="Q391" i="6"/>
  <c r="AU462" i="6"/>
  <c r="S376" i="6"/>
  <c r="V389" i="6"/>
  <c r="W390" i="6" s="1"/>
  <c r="W388" i="6" s="1"/>
  <c r="U464" i="6"/>
  <c r="AY462" i="6"/>
  <c r="BO380" i="6"/>
  <c r="BP380" i="6" s="1"/>
  <c r="BQ380" i="6" s="1"/>
  <c r="BO378" i="6"/>
  <c r="BN376" i="6"/>
  <c r="BJ376" i="6"/>
  <c r="BF376" i="6"/>
  <c r="BB376" i="6"/>
  <c r="U384" i="6"/>
  <c r="BL376" i="6"/>
  <c r="BH376" i="6"/>
  <c r="BD376" i="6"/>
  <c r="AZ376" i="6"/>
  <c r="BP465" i="6"/>
  <c r="BQ465" i="6" s="1"/>
  <c r="BB400" i="6"/>
  <c r="X397" i="6"/>
  <c r="BP428" i="6"/>
  <c r="BQ428" i="6" s="1"/>
  <c r="V399" i="6"/>
  <c r="W399" i="6" s="1"/>
  <c r="X399" i="6" s="1"/>
  <c r="Y399" i="6" s="1"/>
  <c r="Z399" i="6" s="1"/>
  <c r="AA399" i="6" s="1"/>
  <c r="AB399" i="6" s="1"/>
  <c r="AC399" i="6" s="1"/>
  <c r="AD399" i="6" s="1"/>
  <c r="BN397" i="6"/>
  <c r="BO397" i="6" s="1"/>
  <c r="BP397" i="6" s="1"/>
  <c r="BQ397" i="6" s="1"/>
  <c r="BE409" i="6"/>
  <c r="BA409" i="6"/>
  <c r="AW409" i="6"/>
  <c r="AW478" i="6" s="1"/>
  <c r="AS409" i="6"/>
  <c r="AS478" i="6" s="1"/>
  <c r="S756" i="6" l="1"/>
  <c r="S770" i="6" s="1"/>
  <c r="BQ421" i="6"/>
  <c r="AA536" i="6"/>
  <c r="AA718" i="6" s="1"/>
  <c r="AB537" i="6"/>
  <c r="N478" i="6"/>
  <c r="N39" i="6" s="1"/>
  <c r="N19" i="6"/>
  <c r="Y555" i="6"/>
  <c r="X729" i="6"/>
  <c r="V718" i="6"/>
  <c r="V714" i="6" s="1"/>
  <c r="Y553" i="6"/>
  <c r="W606" i="6"/>
  <c r="Y718" i="6"/>
  <c r="Y531" i="6"/>
  <c r="Y528" i="6"/>
  <c r="X679" i="6"/>
  <c r="T756" i="6"/>
  <c r="T770" i="6" s="1"/>
  <c r="U756" i="6"/>
  <c r="U770" i="6" s="1"/>
  <c r="Q478" i="6"/>
  <c r="Q39" i="6" s="1"/>
  <c r="P448" i="6"/>
  <c r="P453" i="6"/>
  <c r="P19" i="6" s="1"/>
  <c r="O448" i="6"/>
  <c r="O453" i="6"/>
  <c r="O19" i="6" s="1"/>
  <c r="Q443" i="6"/>
  <c r="Q36" i="6" s="1"/>
  <c r="Q448" i="6"/>
  <c r="AC421" i="6"/>
  <c r="AW482" i="6"/>
  <c r="AW479" i="6"/>
  <c r="AW483" i="6"/>
  <c r="AU479" i="6"/>
  <c r="AU483" i="6"/>
  <c r="AU482" i="6"/>
  <c r="AV482" i="6"/>
  <c r="AV479" i="6"/>
  <c r="AV483" i="6"/>
  <c r="AR482" i="6"/>
  <c r="AR479" i="6"/>
  <c r="AR483" i="6"/>
  <c r="AP483" i="6"/>
  <c r="AP479" i="6"/>
  <c r="AP482" i="6"/>
  <c r="AQ479" i="6"/>
  <c r="AQ483" i="6"/>
  <c r="AQ482" i="6"/>
  <c r="AT483" i="6"/>
  <c r="AT482" i="6"/>
  <c r="AT479" i="6"/>
  <c r="AS482" i="6"/>
  <c r="AS479" i="6"/>
  <c r="AS483" i="6"/>
  <c r="O797" i="6"/>
  <c r="O789" i="6" s="1"/>
  <c r="O443" i="6"/>
  <c r="O36" i="6" s="1"/>
  <c r="P797" i="6"/>
  <c r="P789" i="6" s="1"/>
  <c r="P443" i="6"/>
  <c r="P36" i="6" s="1"/>
  <c r="N417" i="6"/>
  <c r="N423" i="6" s="1"/>
  <c r="N443" i="6"/>
  <c r="N36" i="6" s="1"/>
  <c r="V617" i="6"/>
  <c r="V609" i="6" s="1"/>
  <c r="O417" i="6"/>
  <c r="BN383" i="6"/>
  <c r="W419" i="6"/>
  <c r="N797" i="6"/>
  <c r="N789" i="6" s="1"/>
  <c r="AV411" i="6"/>
  <c r="AT411" i="6"/>
  <c r="BD609" i="6"/>
  <c r="S784" i="6"/>
  <c r="S786" i="6" s="1"/>
  <c r="U784" i="6"/>
  <c r="U786" i="6" s="1"/>
  <c r="T784" i="6"/>
  <c r="T786" i="6" s="1"/>
  <c r="V784" i="6"/>
  <c r="V786" i="6" s="1"/>
  <c r="BH462" i="6"/>
  <c r="BC462" i="6"/>
  <c r="BD462" i="6"/>
  <c r="T462" i="6"/>
  <c r="BI462" i="6"/>
  <c r="V462" i="6"/>
  <c r="BE462" i="6"/>
  <c r="U462" i="6"/>
  <c r="BB462" i="6"/>
  <c r="S462" i="6"/>
  <c r="BL462" i="6"/>
  <c r="BF462" i="6"/>
  <c r="BM462" i="6"/>
  <c r="BG462" i="6"/>
  <c r="AZ462" i="6"/>
  <c r="BJ462" i="6"/>
  <c r="BA462" i="6"/>
  <c r="BK462" i="6"/>
  <c r="AP411" i="6"/>
  <c r="AP443" i="6" s="1"/>
  <c r="P581" i="6"/>
  <c r="P417" i="6"/>
  <c r="BB616" i="6"/>
  <c r="T621" i="6"/>
  <c r="P621" i="6"/>
  <c r="R616" i="6"/>
  <c r="R608" i="6" s="1"/>
  <c r="AZ557" i="6"/>
  <c r="X674" i="6"/>
  <c r="AX411" i="6"/>
  <c r="AX453" i="6" s="1"/>
  <c r="V580" i="6"/>
  <c r="U721" i="6"/>
  <c r="R580" i="6"/>
  <c r="X612" i="6"/>
  <c r="X606" i="6" s="1"/>
  <c r="BE501" i="6"/>
  <c r="BB609" i="6"/>
  <c r="BB617" i="6"/>
  <c r="BB411" i="6"/>
  <c r="BB453" i="6" s="1"/>
  <c r="BB19" i="6" s="1"/>
  <c r="AZ558" i="6"/>
  <c r="R617" i="6"/>
  <c r="R609" i="6" s="1"/>
  <c r="R411" i="6"/>
  <c r="R771" i="6" s="1"/>
  <c r="R615" i="6"/>
  <c r="R607" i="6" s="1"/>
  <c r="R606" i="6" s="1"/>
  <c r="BB615" i="6"/>
  <c r="BB608" i="6"/>
  <c r="T411" i="6"/>
  <c r="T721" i="6"/>
  <c r="N558" i="6"/>
  <c r="BD608" i="6"/>
  <c r="W398" i="6"/>
  <c r="V58" i="20" s="1"/>
  <c r="V59" i="20" s="1"/>
  <c r="U103" i="20" s="1"/>
  <c r="BB556" i="6"/>
  <c r="AY557" i="6"/>
  <c r="BA556" i="6"/>
  <c r="T617" i="6"/>
  <c r="T609" i="6" s="1"/>
  <c r="O558" i="6"/>
  <c r="AY558" i="6"/>
  <c r="BB505" i="6"/>
  <c r="BB518" i="6" s="1"/>
  <c r="BC621" i="6"/>
  <c r="R581" i="6"/>
  <c r="V579" i="6"/>
  <c r="V695" i="6"/>
  <c r="BH532" i="6"/>
  <c r="BD505" i="6"/>
  <c r="BD518" i="6" s="1"/>
  <c r="U505" i="6"/>
  <c r="U518" i="6" s="1"/>
  <c r="BD411" i="6"/>
  <c r="T616" i="6"/>
  <c r="T608" i="6" s="1"/>
  <c r="BD617" i="6"/>
  <c r="T615" i="6"/>
  <c r="Q633" i="6"/>
  <c r="Q641" i="6" s="1"/>
  <c r="AZ411" i="6"/>
  <c r="AZ453" i="6" s="1"/>
  <c r="AY621" i="6"/>
  <c r="BQ503" i="6"/>
  <c r="BC770" i="6"/>
  <c r="AZ608" i="6"/>
  <c r="BC756" i="6"/>
  <c r="BE571" i="6"/>
  <c r="BB571" i="6" s="1"/>
  <c r="BC571" i="6" s="1"/>
  <c r="BD571" i="6" s="1"/>
  <c r="Y508" i="6"/>
  <c r="Y693" i="6" s="1"/>
  <c r="Y638" i="6" s="1"/>
  <c r="BE540" i="6"/>
  <c r="BQ513" i="6"/>
  <c r="S505" i="6"/>
  <c r="S518" i="6" s="1"/>
  <c r="R633" i="6"/>
  <c r="R641" i="6" s="1"/>
  <c r="BG532" i="6"/>
  <c r="R743" i="6"/>
  <c r="R746" i="6" s="1"/>
  <c r="S742" i="6" s="1"/>
  <c r="V615" i="6"/>
  <c r="AZ616" i="6"/>
  <c r="X513" i="6"/>
  <c r="Y513" i="6" s="1"/>
  <c r="AR411" i="6"/>
  <c r="Q780" i="6"/>
  <c r="BK532" i="6"/>
  <c r="BK540" i="6" s="1"/>
  <c r="W379" i="6"/>
  <c r="X379" i="6" s="1"/>
  <c r="AZ609" i="6"/>
  <c r="AX756" i="6"/>
  <c r="AX770" i="6"/>
  <c r="AZ621" i="6"/>
  <c r="P557" i="6"/>
  <c r="P558" i="6" s="1"/>
  <c r="BD621" i="6"/>
  <c r="BD770" i="6"/>
  <c r="BD756" i="6"/>
  <c r="S532" i="6"/>
  <c r="BA540" i="6"/>
  <c r="AZ615" i="6"/>
  <c r="V411" i="6"/>
  <c r="U90" i="20" s="1"/>
  <c r="V616" i="6"/>
  <c r="V608" i="6" s="1"/>
  <c r="BD616" i="6"/>
  <c r="BD615" i="6"/>
  <c r="BQ507" i="6"/>
  <c r="W573" i="6"/>
  <c r="X507" i="6"/>
  <c r="W692" i="6"/>
  <c r="V582" i="6"/>
  <c r="R621" i="6"/>
  <c r="U711" i="6"/>
  <c r="BA621" i="6"/>
  <c r="BE756" i="6"/>
  <c r="BE770" i="6"/>
  <c r="BJ532" i="6"/>
  <c r="BL532" i="6"/>
  <c r="S590" i="6"/>
  <c r="T590" i="6" s="1"/>
  <c r="U590" i="6" s="1"/>
  <c r="V590" i="6" s="1"/>
  <c r="Y511" i="6"/>
  <c r="X699" i="6"/>
  <c r="S386" i="6"/>
  <c r="BB532" i="6"/>
  <c r="U411" i="6"/>
  <c r="U616" i="6"/>
  <c r="U608" i="6" s="1"/>
  <c r="U617" i="6"/>
  <c r="U609" i="6" s="1"/>
  <c r="U615" i="6"/>
  <c r="Y510" i="6"/>
  <c r="X690" i="6"/>
  <c r="AU411" i="6"/>
  <c r="W380" i="6"/>
  <c r="X380" i="6" s="1"/>
  <c r="Y380" i="6" s="1"/>
  <c r="Z380" i="6" s="1"/>
  <c r="AA380" i="6" s="1"/>
  <c r="AB380" i="6" s="1"/>
  <c r="AC380" i="6" s="1"/>
  <c r="AD380" i="6" s="1"/>
  <c r="BD532" i="6"/>
  <c r="U532" i="6"/>
  <c r="U540" i="6" s="1"/>
  <c r="T505" i="6"/>
  <c r="T518" i="6" s="1"/>
  <c r="BA505" i="6"/>
  <c r="BA518" i="6" s="1"/>
  <c r="AA607" i="6"/>
  <c r="Q417" i="6"/>
  <c r="Q797" i="6"/>
  <c r="Q789" i="6" s="1"/>
  <c r="Q764" i="6"/>
  <c r="W381" i="6"/>
  <c r="X381" i="6" s="1"/>
  <c r="Y381" i="6" s="1"/>
  <c r="Z381" i="6" s="1"/>
  <c r="AA381" i="6" s="1"/>
  <c r="AB381" i="6" s="1"/>
  <c r="AC381" i="6" s="1"/>
  <c r="AD381" i="6" s="1"/>
  <c r="W536" i="6"/>
  <c r="W718" i="6" s="1"/>
  <c r="W533" i="6" s="1"/>
  <c r="BQ537" i="6"/>
  <c r="AA675" i="6"/>
  <c r="BC411" i="6"/>
  <c r="BC453" i="6" s="1"/>
  <c r="BC19" i="6" s="1"/>
  <c r="BC609" i="6"/>
  <c r="BC608" i="6"/>
  <c r="BC615" i="6"/>
  <c r="BC616" i="6"/>
  <c r="BC617" i="6"/>
  <c r="Y494" i="6"/>
  <c r="Y670" i="6" s="1"/>
  <c r="X670" i="6"/>
  <c r="BP507" i="6"/>
  <c r="Q743" i="6"/>
  <c r="Q746" i="6" s="1"/>
  <c r="AQ411" i="6"/>
  <c r="AQ443" i="6" s="1"/>
  <c r="AY411" i="6"/>
  <c r="AY453" i="6" s="1"/>
  <c r="AY609" i="6"/>
  <c r="AY608" i="6"/>
  <c r="AY615" i="6"/>
  <c r="AY616" i="6"/>
  <c r="S411" i="6"/>
  <c r="S616" i="6"/>
  <c r="S608" i="6" s="1"/>
  <c r="S617" i="6"/>
  <c r="S609" i="6" s="1"/>
  <c r="S615" i="6"/>
  <c r="S607" i="6" s="1"/>
  <c r="S606" i="6" s="1"/>
  <c r="S621" i="6"/>
  <c r="AY756" i="6"/>
  <c r="AY770" i="6"/>
  <c r="Y516" i="6"/>
  <c r="Y514" i="6" s="1"/>
  <c r="X698" i="6"/>
  <c r="X683" i="6"/>
  <c r="BQ495" i="6"/>
  <c r="X495" i="6"/>
  <c r="Q558" i="6"/>
  <c r="AX571" i="6"/>
  <c r="AY571" i="6" s="1"/>
  <c r="AZ571" i="6" s="1"/>
  <c r="W465" i="6"/>
  <c r="X465" i="6" s="1"/>
  <c r="Y465" i="6" s="1"/>
  <c r="Z465" i="6" s="1"/>
  <c r="AA465" i="6" s="1"/>
  <c r="AB465" i="6" s="1"/>
  <c r="AC465" i="6" s="1"/>
  <c r="AD465" i="6" s="1"/>
  <c r="BO525" i="6"/>
  <c r="BP526" i="6"/>
  <c r="V391" i="6"/>
  <c r="U390" i="6"/>
  <c r="U391" i="6" s="1"/>
  <c r="BC505" i="6"/>
  <c r="R557" i="6"/>
  <c r="R558" i="6" s="1"/>
  <c r="P633" i="6"/>
  <c r="P641" i="6" s="1"/>
  <c r="P743" i="6"/>
  <c r="P746" i="6" s="1"/>
  <c r="AB607" i="6"/>
  <c r="AC608" i="6"/>
  <c r="U581" i="6"/>
  <c r="U582" i="6"/>
  <c r="BE411" i="6"/>
  <c r="BE453" i="6" s="1"/>
  <c r="BE19" i="6" s="1"/>
  <c r="BE609" i="6"/>
  <c r="BE615" i="6"/>
  <c r="BE608" i="6"/>
  <c r="BE616" i="6"/>
  <c r="BE617" i="6"/>
  <c r="AS411" i="6"/>
  <c r="AS443" i="6" s="1"/>
  <c r="X398" i="6"/>
  <c r="Y397" i="6"/>
  <c r="AD394" i="6"/>
  <c r="V385" i="6"/>
  <c r="V386" i="6" s="1"/>
  <c r="BN462" i="6"/>
  <c r="W418" i="6"/>
  <c r="BN388" i="6"/>
  <c r="S391" i="6"/>
  <c r="T390" i="6"/>
  <c r="T391" i="6" s="1"/>
  <c r="V505" i="6"/>
  <c r="BP515" i="6"/>
  <c r="BP514" i="6" s="1"/>
  <c r="BO514" i="6"/>
  <c r="T532" i="6"/>
  <c r="V668" i="6"/>
  <c r="X525" i="6"/>
  <c r="Y526" i="6"/>
  <c r="X681" i="6"/>
  <c r="AB581" i="6"/>
  <c r="AC610" i="6"/>
  <c r="S578" i="6"/>
  <c r="S711" i="6"/>
  <c r="Q581" i="6"/>
  <c r="Q580" i="6"/>
  <c r="Q579" i="6"/>
  <c r="BI540" i="6"/>
  <c r="AW411" i="6"/>
  <c r="BQ515" i="6"/>
  <c r="W697" i="6"/>
  <c r="W695" i="6" s="1"/>
  <c r="Y543" i="6"/>
  <c r="Y733" i="6" s="1"/>
  <c r="Y732" i="6" s="1"/>
  <c r="U385" i="6"/>
  <c r="U386" i="6" s="1"/>
  <c r="T386" i="6"/>
  <c r="BF501" i="6"/>
  <c r="BA411" i="6"/>
  <c r="BA453" i="6" s="1"/>
  <c r="BA609" i="6"/>
  <c r="BA615" i="6"/>
  <c r="BA608" i="6"/>
  <c r="BA616" i="6"/>
  <c r="BA617" i="6"/>
  <c r="BP378" i="6"/>
  <c r="BO376" i="6"/>
  <c r="V532" i="6"/>
  <c r="BM532" i="6"/>
  <c r="BF532" i="6"/>
  <c r="BA574" i="6"/>
  <c r="AX570" i="6"/>
  <c r="AY570" i="6" s="1"/>
  <c r="AZ570" i="6" s="1"/>
  <c r="BA572" i="6"/>
  <c r="Y622" i="6"/>
  <c r="S586" i="6"/>
  <c r="T591" i="6"/>
  <c r="U591" i="6" s="1"/>
  <c r="T578" i="6"/>
  <c r="U580" i="6" s="1"/>
  <c r="T711" i="6"/>
  <c r="BP527" i="6"/>
  <c r="U93" i="20" l="1"/>
  <c r="U88" i="20"/>
  <c r="BQ420" i="6"/>
  <c r="AB536" i="6"/>
  <c r="AB718" i="6" s="1"/>
  <c r="AC537" i="6"/>
  <c r="T90" i="20"/>
  <c r="BA478" i="6"/>
  <c r="BA39" i="6" s="1"/>
  <c r="BA19" i="6"/>
  <c r="BE31" i="6" s="1"/>
  <c r="P31" i="6"/>
  <c r="AX478" i="6"/>
  <c r="AX39" i="6" s="1"/>
  <c r="AX19" i="6"/>
  <c r="BB31" i="6" s="1"/>
  <c r="AY478" i="6"/>
  <c r="AY39" i="6" s="1"/>
  <c r="AY19" i="6"/>
  <c r="BC31" i="6" s="1"/>
  <c r="AZ478" i="6"/>
  <c r="AZ39" i="6" s="1"/>
  <c r="AZ19" i="6"/>
  <c r="O31" i="6"/>
  <c r="Q31" i="6"/>
  <c r="Z555" i="6"/>
  <c r="Y729" i="6"/>
  <c r="Z553" i="6"/>
  <c r="W719" i="6"/>
  <c r="BQ533" i="6"/>
  <c r="X718" i="6"/>
  <c r="X533" i="6" s="1"/>
  <c r="Z531" i="6"/>
  <c r="Z528" i="6"/>
  <c r="Y679" i="6"/>
  <c r="Y495" i="6"/>
  <c r="Y709" i="6" s="1"/>
  <c r="Y706" i="6" s="1"/>
  <c r="X709" i="6"/>
  <c r="Q449" i="6"/>
  <c r="N444" i="6"/>
  <c r="N37" i="6" s="1"/>
  <c r="V453" i="6"/>
  <c r="V771" i="6"/>
  <c r="S453" i="6"/>
  <c r="S771" i="6"/>
  <c r="T453" i="6"/>
  <c r="T771" i="6"/>
  <c r="U453" i="6"/>
  <c r="U19" i="6" s="1"/>
  <c r="U771" i="6"/>
  <c r="N798" i="6"/>
  <c r="N799" i="6" s="1"/>
  <c r="BD448" i="6"/>
  <c r="BD453" i="6"/>
  <c r="BD19" i="6" s="1"/>
  <c r="BD31" i="6" s="1"/>
  <c r="R448" i="6"/>
  <c r="R453" i="6"/>
  <c r="R19" i="6" s="1"/>
  <c r="R31" i="6" s="1"/>
  <c r="P478" i="6"/>
  <c r="P486" i="6"/>
  <c r="O478" i="6"/>
  <c r="O39" i="6" s="1"/>
  <c r="O486" i="6"/>
  <c r="BE478" i="6"/>
  <c r="BE39" i="6" s="1"/>
  <c r="BE486" i="6"/>
  <c r="BC486" i="6"/>
  <c r="BC478" i="6"/>
  <c r="BC39" i="6" s="1"/>
  <c r="BB486" i="6"/>
  <c r="BB478" i="6"/>
  <c r="BB39" i="6" s="1"/>
  <c r="Q486" i="6"/>
  <c r="AW443" i="6"/>
  <c r="AW448" i="6"/>
  <c r="AY443" i="6"/>
  <c r="AY36" i="6" s="1"/>
  <c r="AY448" i="6"/>
  <c r="V443" i="6"/>
  <c r="V36" i="6" s="1"/>
  <c r="V448" i="6"/>
  <c r="AZ448" i="6"/>
  <c r="BA443" i="6"/>
  <c r="BA36" i="6" s="1"/>
  <c r="BA448" i="6"/>
  <c r="BE443" i="6"/>
  <c r="BE36" i="6" s="1"/>
  <c r="BE448" i="6"/>
  <c r="BC443" i="6"/>
  <c r="BC36" i="6" s="1"/>
  <c r="BC448" i="6"/>
  <c r="U443" i="6"/>
  <c r="U36" i="6" s="1"/>
  <c r="U448" i="6"/>
  <c r="BB443" i="6"/>
  <c r="BB36" i="6" s="1"/>
  <c r="BB448" i="6"/>
  <c r="AX443" i="6"/>
  <c r="AX36" i="6" s="1"/>
  <c r="AX448" i="6"/>
  <c r="AT443" i="6"/>
  <c r="AT448" i="6"/>
  <c r="T448" i="6"/>
  <c r="AV443" i="6"/>
  <c r="AV448" i="6"/>
  <c r="O798" i="6"/>
  <c r="O799" i="6" s="1"/>
  <c r="O449" i="6"/>
  <c r="S443" i="6"/>
  <c r="S36" i="6" s="1"/>
  <c r="S448" i="6"/>
  <c r="AU443" i="6"/>
  <c r="AU448" i="6"/>
  <c r="P449" i="6"/>
  <c r="AD421" i="6"/>
  <c r="N454" i="6"/>
  <c r="N20" i="6" s="1"/>
  <c r="BD797" i="6"/>
  <c r="BD443" i="6"/>
  <c r="BD36" i="6" s="1"/>
  <c r="T797" i="6"/>
  <c r="T789" i="6" s="1"/>
  <c r="T443" i="6"/>
  <c r="T36" i="6" s="1"/>
  <c r="AR443" i="6"/>
  <c r="AZ417" i="6"/>
  <c r="AZ423" i="6" s="1"/>
  <c r="AZ443" i="6"/>
  <c r="AZ36" i="6" s="1"/>
  <c r="R417" i="6"/>
  <c r="R443" i="6"/>
  <c r="R36" i="6" s="1"/>
  <c r="P454" i="6"/>
  <c r="P20" i="6" s="1"/>
  <c r="P444" i="6"/>
  <c r="P37" i="6" s="1"/>
  <c r="O454" i="6"/>
  <c r="O444" i="6"/>
  <c r="O37" i="6" s="1"/>
  <c r="Q454" i="6"/>
  <c r="Q20" i="6" s="1"/>
  <c r="Q32" i="6" s="1"/>
  <c r="Q444" i="6"/>
  <c r="Q37" i="6" s="1"/>
  <c r="V607" i="6"/>
  <c r="V606" i="6" s="1"/>
  <c r="O423" i="6"/>
  <c r="U607" i="6"/>
  <c r="U606" i="6" s="1"/>
  <c r="T739" i="6"/>
  <c r="U739" i="6"/>
  <c r="N425" i="6"/>
  <c r="N433" i="6" s="1"/>
  <c r="N394" i="6"/>
  <c r="BO383" i="6"/>
  <c r="BN419" i="6"/>
  <c r="BD607" i="6"/>
  <c r="BD606" i="6" s="1"/>
  <c r="AT771" i="6"/>
  <c r="R425" i="6"/>
  <c r="P423" i="6"/>
  <c r="P798" i="6"/>
  <c r="P799" i="6" s="1"/>
  <c r="Y612" i="6"/>
  <c r="Z612" i="6" s="1"/>
  <c r="BN398" i="6"/>
  <c r="Y674" i="6"/>
  <c r="AV417" i="6"/>
  <c r="AZ797" i="6"/>
  <c r="BB607" i="6"/>
  <c r="BB606" i="6" s="1"/>
  <c r="BB797" i="6"/>
  <c r="BB417" i="6"/>
  <c r="BE505" i="6"/>
  <c r="R797" i="6"/>
  <c r="R789" i="6" s="1"/>
  <c r="R394" i="6"/>
  <c r="BH540" i="6"/>
  <c r="BH557" i="6" s="1"/>
  <c r="X676" i="6"/>
  <c r="AX797" i="6"/>
  <c r="AX771" i="6"/>
  <c r="BE557" i="6"/>
  <c r="BB771" i="6"/>
  <c r="T417" i="6"/>
  <c r="BD771" i="6"/>
  <c r="BA557" i="6"/>
  <c r="BJ540" i="6"/>
  <c r="T607" i="6"/>
  <c r="T606" i="6" s="1"/>
  <c r="BD417" i="6"/>
  <c r="BL540" i="6"/>
  <c r="BL557" i="6" s="1"/>
  <c r="S540" i="6"/>
  <c r="S557" i="6" s="1"/>
  <c r="S558" i="6" s="1"/>
  <c r="AZ771" i="6"/>
  <c r="AX417" i="6"/>
  <c r="AZ607" i="6"/>
  <c r="AZ606" i="6" s="1"/>
  <c r="BG540" i="6"/>
  <c r="BG557" i="6" s="1"/>
  <c r="AR417" i="6"/>
  <c r="AR444" i="6" s="1"/>
  <c r="AV771" i="6"/>
  <c r="W776" i="6"/>
  <c r="BE607" i="6"/>
  <c r="BE606" i="6" s="1"/>
  <c r="Z508" i="6"/>
  <c r="Z693" i="6" s="1"/>
  <c r="Z638" i="6" s="1"/>
  <c r="BD540" i="6"/>
  <c r="BD558" i="6" s="1"/>
  <c r="Y507" i="6"/>
  <c r="X692" i="6"/>
  <c r="X573" i="6"/>
  <c r="V797" i="6"/>
  <c r="V789" i="6" s="1"/>
  <c r="V417" i="6"/>
  <c r="U108" i="20" s="1"/>
  <c r="T592" i="6"/>
  <c r="T586" i="6" s="1"/>
  <c r="T587" i="6" s="1"/>
  <c r="Z511" i="6"/>
  <c r="Y699" i="6"/>
  <c r="Y683" i="6"/>
  <c r="BC607" i="6"/>
  <c r="BC606" i="6" s="1"/>
  <c r="BC797" i="6"/>
  <c r="BC771" i="6"/>
  <c r="BC417" i="6"/>
  <c r="Q423" i="6"/>
  <c r="Q798" i="6"/>
  <c r="Q799" i="6" s="1"/>
  <c r="AQ417" i="6"/>
  <c r="AQ444" i="6" s="1"/>
  <c r="U797" i="6"/>
  <c r="U789" i="6" s="1"/>
  <c r="U417" i="6"/>
  <c r="AP417" i="6"/>
  <c r="AP444" i="6" s="1"/>
  <c r="BB540" i="6"/>
  <c r="Z516" i="6"/>
  <c r="Z514" i="6" s="1"/>
  <c r="Y698" i="6"/>
  <c r="AT417" i="6"/>
  <c r="S797" i="6"/>
  <c r="S789" i="6" s="1"/>
  <c r="S417" i="6"/>
  <c r="AY607" i="6"/>
  <c r="AY606" i="6" s="1"/>
  <c r="Z494" i="6"/>
  <c r="Z670" i="6" s="1"/>
  <c r="BQ536" i="6"/>
  <c r="AU771" i="6"/>
  <c r="AU417" i="6"/>
  <c r="AY797" i="6"/>
  <c r="AY771" i="6"/>
  <c r="AY417" i="6"/>
  <c r="Y379" i="6"/>
  <c r="X776" i="6"/>
  <c r="AB675" i="6"/>
  <c r="Z510" i="6"/>
  <c r="Y690" i="6"/>
  <c r="S667" i="6"/>
  <c r="S684" i="6" s="1"/>
  <c r="Z543" i="6"/>
  <c r="Z733" i="6" s="1"/>
  <c r="Z732" i="6" s="1"/>
  <c r="S582" i="6"/>
  <c r="S579" i="6"/>
  <c r="S581" i="6"/>
  <c r="S580" i="6"/>
  <c r="AC581" i="6"/>
  <c r="BK557" i="6"/>
  <c r="S587" i="6"/>
  <c r="BP376" i="6"/>
  <c r="BQ378" i="6"/>
  <c r="BQ376" i="6" s="1"/>
  <c r="BA417" i="6"/>
  <c r="BA771" i="6"/>
  <c r="BA797" i="6"/>
  <c r="U557" i="6"/>
  <c r="U558" i="6" s="1"/>
  <c r="U579" i="6"/>
  <c r="AC607" i="6"/>
  <c r="AD608" i="6"/>
  <c r="Z513" i="6"/>
  <c r="Y676" i="6"/>
  <c r="Z622" i="6"/>
  <c r="BF540" i="6"/>
  <c r="AY574" i="6"/>
  <c r="AY572" i="6"/>
  <c r="BF505" i="6"/>
  <c r="BQ514" i="6"/>
  <c r="AD610" i="6"/>
  <c r="V518" i="6"/>
  <c r="U106" i="20" s="1"/>
  <c r="Y398" i="6"/>
  <c r="Z397" i="6"/>
  <c r="AS417" i="6"/>
  <c r="AS444" i="6" s="1"/>
  <c r="BE417" i="6"/>
  <c r="BE771" i="6"/>
  <c r="BE797" i="6"/>
  <c r="T580" i="6"/>
  <c r="T582" i="6"/>
  <c r="T579" i="6"/>
  <c r="T581" i="6"/>
  <c r="AZ574" i="6"/>
  <c r="AZ572" i="6"/>
  <c r="V540" i="6"/>
  <c r="BP525" i="6"/>
  <c r="BA558" i="6"/>
  <c r="V591" i="6"/>
  <c r="AX572" i="6"/>
  <c r="AX574" i="6"/>
  <c r="BM540" i="6"/>
  <c r="BO462" i="6"/>
  <c r="BA607" i="6"/>
  <c r="BA606" i="6" s="1"/>
  <c r="BG501" i="6"/>
  <c r="BI557" i="6"/>
  <c r="AW417" i="6"/>
  <c r="AW771" i="6"/>
  <c r="Y525" i="6"/>
  <c r="Y681" i="6"/>
  <c r="Z526" i="6"/>
  <c r="T540" i="6"/>
  <c r="BN418" i="6"/>
  <c r="BO388" i="6"/>
  <c r="BC518" i="6"/>
  <c r="AD537" i="6" l="1"/>
  <c r="AD536" i="6" s="1"/>
  <c r="AC536" i="6"/>
  <c r="AC718" i="6" s="1"/>
  <c r="N435" i="6"/>
  <c r="N460" i="6" s="1"/>
  <c r="N470" i="6" s="1"/>
  <c r="N437" i="6"/>
  <c r="N439" i="6" s="1"/>
  <c r="N438" i="6"/>
  <c r="N440" i="6" s="1"/>
  <c r="U109" i="20"/>
  <c r="O487" i="6"/>
  <c r="O20" i="6"/>
  <c r="O32" i="6" s="1"/>
  <c r="T478" i="6"/>
  <c r="T39" i="6" s="1"/>
  <c r="T19" i="6"/>
  <c r="U31" i="6" s="1"/>
  <c r="V478" i="6"/>
  <c r="V39" i="6" s="1"/>
  <c r="V19" i="6"/>
  <c r="V31" i="6" s="1"/>
  <c r="S478" i="6"/>
  <c r="S39" i="6" s="1"/>
  <c r="S19" i="6"/>
  <c r="S31" i="6" s="1"/>
  <c r="Q757" i="6"/>
  <c r="P39" i="6"/>
  <c r="AA555" i="6"/>
  <c r="Z729" i="6"/>
  <c r="AA553" i="6"/>
  <c r="Y533" i="6"/>
  <c r="X719" i="6"/>
  <c r="AA531" i="6"/>
  <c r="AA528" i="6"/>
  <c r="Z679" i="6"/>
  <c r="X706" i="6"/>
  <c r="Z495" i="6"/>
  <c r="Z709" i="6" s="1"/>
  <c r="Z706" i="6" s="1"/>
  <c r="U486" i="6"/>
  <c r="O790" i="6"/>
  <c r="BE449" i="6"/>
  <c r="U449" i="6"/>
  <c r="S449" i="6"/>
  <c r="V486" i="6"/>
  <c r="T486" i="6"/>
  <c r="U478" i="6"/>
  <c r="S486" i="6"/>
  <c r="P487" i="6"/>
  <c r="Q479" i="6"/>
  <c r="Q487" i="6"/>
  <c r="T449" i="6"/>
  <c r="R486" i="6"/>
  <c r="R478" i="6"/>
  <c r="BD486" i="6"/>
  <c r="BD478" i="6"/>
  <c r="BD39" i="6" s="1"/>
  <c r="Q456" i="6"/>
  <c r="Q455" i="6" s="1"/>
  <c r="AW444" i="6"/>
  <c r="AW449" i="6"/>
  <c r="BA444" i="6"/>
  <c r="BA37" i="6" s="1"/>
  <c r="BA449" i="6"/>
  <c r="AT444" i="6"/>
  <c r="AT449" i="6"/>
  <c r="V449" i="6"/>
  <c r="BD444" i="6"/>
  <c r="BD37" i="6" s="1"/>
  <c r="BD449" i="6"/>
  <c r="AV449" i="6"/>
  <c r="AY444" i="6"/>
  <c r="AY37" i="6" s="1"/>
  <c r="AY449" i="6"/>
  <c r="AU444" i="6"/>
  <c r="AU449" i="6"/>
  <c r="BC444" i="6"/>
  <c r="BC37" i="6" s="1"/>
  <c r="BC449" i="6"/>
  <c r="AZ798" i="6"/>
  <c r="AZ799" i="6" s="1"/>
  <c r="AZ449" i="6"/>
  <c r="AX444" i="6"/>
  <c r="AX37" i="6" s="1"/>
  <c r="AX449" i="6"/>
  <c r="BB444" i="6"/>
  <c r="BB37" i="6" s="1"/>
  <c r="BB449" i="6"/>
  <c r="R798" i="6"/>
  <c r="R799" i="6" s="1"/>
  <c r="R449" i="6"/>
  <c r="P790" i="6"/>
  <c r="P479" i="6"/>
  <c r="O456" i="6"/>
  <c r="O479" i="6"/>
  <c r="N456" i="6"/>
  <c r="N479" i="6"/>
  <c r="N790" i="6"/>
  <c r="BO398" i="6"/>
  <c r="BO400" i="6" s="1"/>
  <c r="T454" i="6"/>
  <c r="T20" i="6" s="1"/>
  <c r="T444" i="6"/>
  <c r="T37" i="6" s="1"/>
  <c r="S454" i="6"/>
  <c r="S20" i="6" s="1"/>
  <c r="S444" i="6"/>
  <c r="S37" i="6" s="1"/>
  <c r="U454" i="6"/>
  <c r="U444" i="6"/>
  <c r="U37" i="6" s="1"/>
  <c r="AV444" i="6"/>
  <c r="AZ454" i="6"/>
  <c r="AZ20" i="6" s="1"/>
  <c r="AZ444" i="6"/>
  <c r="AZ37" i="6" s="1"/>
  <c r="V454" i="6"/>
  <c r="V444" i="6"/>
  <c r="V37" i="6" s="1"/>
  <c r="BE454" i="6"/>
  <c r="BE20" i="6" s="1"/>
  <c r="BE444" i="6"/>
  <c r="BE37" i="6" s="1"/>
  <c r="R454" i="6"/>
  <c r="R444" i="6"/>
  <c r="R37" i="6" s="1"/>
  <c r="O394" i="6"/>
  <c r="O425" i="6"/>
  <c r="P394" i="6"/>
  <c r="R433" i="6"/>
  <c r="P425" i="6"/>
  <c r="BP383" i="6"/>
  <c r="BP419" i="6" s="1"/>
  <c r="BO419" i="6"/>
  <c r="BQ462" i="6"/>
  <c r="AZ425" i="6"/>
  <c r="BA454" i="6"/>
  <c r="BA20" i="6" s="1"/>
  <c r="BB454" i="6"/>
  <c r="BB20" i="6" s="1"/>
  <c r="AX454" i="6"/>
  <c r="AX20" i="6" s="1"/>
  <c r="AY454" i="6"/>
  <c r="AY20" i="6" s="1"/>
  <c r="BC454" i="6"/>
  <c r="BC20" i="6" s="1"/>
  <c r="BD454" i="6"/>
  <c r="BD20" i="6" s="1"/>
  <c r="P456" i="6"/>
  <c r="BN400" i="6"/>
  <c r="Y606" i="6"/>
  <c r="AA674" i="6"/>
  <c r="BE518" i="6"/>
  <c r="AV423" i="6"/>
  <c r="BB423" i="6"/>
  <c r="BB798" i="6"/>
  <c r="BB799" i="6" s="1"/>
  <c r="BD557" i="6"/>
  <c r="T423" i="6"/>
  <c r="T798" i="6"/>
  <c r="T799" i="6" s="1"/>
  <c r="AR423" i="6"/>
  <c r="AZ394" i="6"/>
  <c r="BD423" i="6"/>
  <c r="BD798" i="6"/>
  <c r="BD799" i="6" s="1"/>
  <c r="U592" i="6"/>
  <c r="V592" i="6" s="1"/>
  <c r="W592" i="6" s="1"/>
  <c r="X592" i="6" s="1"/>
  <c r="AX423" i="6"/>
  <c r="AX798" i="6"/>
  <c r="AX799" i="6" s="1"/>
  <c r="AA508" i="6"/>
  <c r="AA693" i="6" s="1"/>
  <c r="AA638" i="6" s="1"/>
  <c r="V423" i="6"/>
  <c r="V798" i="6"/>
  <c r="Z507" i="6"/>
  <c r="Y573" i="6"/>
  <c r="Y692" i="6"/>
  <c r="AA511" i="6"/>
  <c r="Z699" i="6"/>
  <c r="W378" i="6"/>
  <c r="W376" i="6" s="1"/>
  <c r="Z690" i="6"/>
  <c r="AA510" i="6"/>
  <c r="AT423" i="6"/>
  <c r="AA516" i="6"/>
  <c r="AA514" i="6" s="1"/>
  <c r="Z698" i="6"/>
  <c r="Q425" i="6"/>
  <c r="Q394" i="6"/>
  <c r="BB557" i="6"/>
  <c r="AP423" i="6"/>
  <c r="U423" i="6"/>
  <c r="U798" i="6"/>
  <c r="U799" i="6" s="1"/>
  <c r="N445" i="6"/>
  <c r="N38" i="6" s="1"/>
  <c r="N752" i="6"/>
  <c r="N800" i="6"/>
  <c r="BB558" i="6"/>
  <c r="S633" i="6"/>
  <c r="S641" i="6" s="1"/>
  <c r="S743" i="6"/>
  <c r="AA494" i="6"/>
  <c r="AA670" i="6" s="1"/>
  <c r="S798" i="6"/>
  <c r="S799" i="6" s="1"/>
  <c r="S423" i="6"/>
  <c r="BC540" i="6"/>
  <c r="BC558" i="6" s="1"/>
  <c r="N458" i="6"/>
  <c r="N457" i="6" s="1"/>
  <c r="Z683" i="6"/>
  <c r="AU423" i="6"/>
  <c r="AC675" i="6"/>
  <c r="Z379" i="6"/>
  <c r="Y776" i="6"/>
  <c r="AY798" i="6"/>
  <c r="AY799" i="6" s="1"/>
  <c r="AY423" i="6"/>
  <c r="AQ423" i="6"/>
  <c r="Q790" i="6"/>
  <c r="BC798" i="6"/>
  <c r="BC799" i="6" s="1"/>
  <c r="BC423" i="6"/>
  <c r="AA526" i="6"/>
  <c r="Z525" i="6"/>
  <c r="Z681" i="6"/>
  <c r="AW423" i="6"/>
  <c r="AS423" i="6"/>
  <c r="BG505" i="6"/>
  <c r="AA397" i="6"/>
  <c r="Z398" i="6"/>
  <c r="BF518" i="6"/>
  <c r="AD607" i="6"/>
  <c r="AA612" i="6"/>
  <c r="Z606" i="6"/>
  <c r="BA423" i="6"/>
  <c r="BA798" i="6"/>
  <c r="BA799" i="6" s="1"/>
  <c r="BP462" i="6"/>
  <c r="AD581" i="6"/>
  <c r="BH501" i="6"/>
  <c r="BM557" i="6"/>
  <c r="T574" i="6"/>
  <c r="T572" i="6"/>
  <c r="BE570" i="6"/>
  <c r="BE423" i="6"/>
  <c r="BE798" i="6"/>
  <c r="BE799" i="6" s="1"/>
  <c r="AA622" i="6"/>
  <c r="AA513" i="6"/>
  <c r="Z676" i="6"/>
  <c r="AA543" i="6"/>
  <c r="AA733" i="6" s="1"/>
  <c r="AA732" i="6" s="1"/>
  <c r="BF557" i="6"/>
  <c r="BO418" i="6"/>
  <c r="BP388" i="6"/>
  <c r="BP418" i="6" s="1"/>
  <c r="T557" i="6"/>
  <c r="T558" i="6" s="1"/>
  <c r="W591" i="6"/>
  <c r="V557" i="6"/>
  <c r="V558" i="6" s="1"/>
  <c r="S746" i="6" l="1"/>
  <c r="S744" i="6" s="1"/>
  <c r="AD718" i="6"/>
  <c r="U20" i="6"/>
  <c r="U32" i="6" s="1"/>
  <c r="N472" i="6"/>
  <c r="N474" i="6" s="1"/>
  <c r="N473" i="6"/>
  <c r="R435" i="6"/>
  <c r="R450" i="6" s="1"/>
  <c r="R438" i="6"/>
  <c r="R440" i="6" s="1"/>
  <c r="R437" i="6"/>
  <c r="R439" i="6" s="1"/>
  <c r="P32" i="6"/>
  <c r="BD32" i="6"/>
  <c r="T31" i="6"/>
  <c r="BB32" i="6"/>
  <c r="N483" i="6"/>
  <c r="N41" i="6" s="1"/>
  <c r="N21" i="6"/>
  <c r="N198" i="6"/>
  <c r="N40" i="6"/>
  <c r="V790" i="6"/>
  <c r="V20" i="6"/>
  <c r="V32" i="6" s="1"/>
  <c r="BC32" i="6"/>
  <c r="T32" i="6"/>
  <c r="R757" i="6"/>
  <c r="R39" i="6"/>
  <c r="Q198" i="6"/>
  <c r="Q40" i="6"/>
  <c r="V757" i="6"/>
  <c r="U39" i="6"/>
  <c r="R487" i="6"/>
  <c r="R20" i="6"/>
  <c r="R32" i="6" s="1"/>
  <c r="P198" i="6"/>
  <c r="P40" i="6"/>
  <c r="BE32" i="6"/>
  <c r="O198" i="6"/>
  <c r="O40" i="6"/>
  <c r="T757" i="6"/>
  <c r="AB555" i="6"/>
  <c r="AA729" i="6"/>
  <c r="AB553" i="6"/>
  <c r="Z533" i="6"/>
  <c r="Y719" i="6"/>
  <c r="AB531" i="6"/>
  <c r="AB528" i="6"/>
  <c r="AA679" i="6"/>
  <c r="AA495" i="6"/>
  <c r="AA709" i="6" s="1"/>
  <c r="AA706" i="6" s="1"/>
  <c r="X697" i="6"/>
  <c r="X695" i="6" s="1"/>
  <c r="BD487" i="6"/>
  <c r="P488" i="6"/>
  <c r="U757" i="6"/>
  <c r="Q758" i="6"/>
  <c r="V487" i="6"/>
  <c r="S757" i="6"/>
  <c r="BC487" i="6"/>
  <c r="BB487" i="6"/>
  <c r="S487" i="6"/>
  <c r="O482" i="6"/>
  <c r="O488" i="6"/>
  <c r="Q482" i="6"/>
  <c r="Q488" i="6"/>
  <c r="U456" i="6"/>
  <c r="U487" i="6"/>
  <c r="T479" i="6"/>
  <c r="T487" i="6"/>
  <c r="BE479" i="6"/>
  <c r="BE487" i="6"/>
  <c r="R625" i="6"/>
  <c r="O791" i="6"/>
  <c r="R460" i="6"/>
  <c r="R470" i="6" s="1"/>
  <c r="BP398" i="6"/>
  <c r="BP400" i="6" s="1"/>
  <c r="AY456" i="6"/>
  <c r="AY482" i="6" s="1"/>
  <c r="AY479" i="6"/>
  <c r="BB456" i="6"/>
  <c r="BB479" i="6"/>
  <c r="P455" i="6"/>
  <c r="P482" i="6"/>
  <c r="BA456" i="6"/>
  <c r="BA482" i="6" s="1"/>
  <c r="BA479" i="6"/>
  <c r="R479" i="6"/>
  <c r="R40" i="6" s="1"/>
  <c r="V479" i="6"/>
  <c r="S479" i="6"/>
  <c r="N791" i="6"/>
  <c r="N482" i="6"/>
  <c r="BD456" i="6"/>
  <c r="BD479" i="6"/>
  <c r="AX456" i="6"/>
  <c r="AX482" i="6" s="1"/>
  <c r="AX479" i="6"/>
  <c r="BC456" i="6"/>
  <c r="BC479" i="6"/>
  <c r="AZ456" i="6"/>
  <c r="AZ479" i="6"/>
  <c r="U479" i="6"/>
  <c r="R456" i="6"/>
  <c r="R488" i="6" s="1"/>
  <c r="S790" i="6"/>
  <c r="U790" i="6"/>
  <c r="R790" i="6"/>
  <c r="S456" i="6"/>
  <c r="S488" i="6" s="1"/>
  <c r="V456" i="6"/>
  <c r="U95" i="20" s="1"/>
  <c r="R800" i="6"/>
  <c r="O433" i="6"/>
  <c r="R626" i="6"/>
  <c r="R628" i="6"/>
  <c r="R445" i="6"/>
  <c r="R38" i="6" s="1"/>
  <c r="R752" i="6"/>
  <c r="R627" i="6"/>
  <c r="P433" i="6"/>
  <c r="BQ419" i="6"/>
  <c r="BQ383" i="6"/>
  <c r="AZ433" i="6"/>
  <c r="AV394" i="6"/>
  <c r="BD394" i="6"/>
  <c r="BB425" i="6"/>
  <c r="W784" i="6"/>
  <c r="P791" i="6"/>
  <c r="T790" i="6"/>
  <c r="T456" i="6"/>
  <c r="BE558" i="6"/>
  <c r="Z674" i="6"/>
  <c r="AV425" i="6"/>
  <c r="X378" i="6"/>
  <c r="X376" i="6" s="1"/>
  <c r="BD425" i="6"/>
  <c r="BB394" i="6"/>
  <c r="AR394" i="6"/>
  <c r="AR425" i="6"/>
  <c r="T425" i="6"/>
  <c r="T394" i="6"/>
  <c r="U593" i="6"/>
  <c r="AX425" i="6"/>
  <c r="AX394" i="6"/>
  <c r="BQ418" i="6"/>
  <c r="AB508" i="6"/>
  <c r="AC508" i="6" s="1"/>
  <c r="AA507" i="6"/>
  <c r="Z573" i="6"/>
  <c r="Z692" i="6"/>
  <c r="V425" i="6"/>
  <c r="V551" i="6" s="1"/>
  <c r="V394" i="6"/>
  <c r="BJ557" i="6"/>
  <c r="BQ388" i="6"/>
  <c r="AB511" i="6"/>
  <c r="AA699" i="6"/>
  <c r="AA379" i="6"/>
  <c r="Z776" i="6"/>
  <c r="BC557" i="6"/>
  <c r="N801" i="6"/>
  <c r="U425" i="6"/>
  <c r="U394" i="6"/>
  <c r="Q470" i="6"/>
  <c r="N792" i="6"/>
  <c r="AB516" i="6"/>
  <c r="AB514" i="6" s="1"/>
  <c r="AA698" i="6"/>
  <c r="AT425" i="6"/>
  <c r="AT394" i="6"/>
  <c r="Q791" i="6"/>
  <c r="AY394" i="6"/>
  <c r="AY425" i="6"/>
  <c r="AD675" i="6"/>
  <c r="AU425" i="6"/>
  <c r="AU394" i="6"/>
  <c r="AA683" i="6"/>
  <c r="AB510" i="6"/>
  <c r="AA690" i="6"/>
  <c r="BC394" i="6"/>
  <c r="BC425" i="6"/>
  <c r="AQ394" i="6"/>
  <c r="AQ425" i="6"/>
  <c r="S425" i="6"/>
  <c r="S394" i="6"/>
  <c r="AB494" i="6"/>
  <c r="AB670" i="6" s="1"/>
  <c r="AP425" i="6"/>
  <c r="AP394" i="6"/>
  <c r="AB543" i="6"/>
  <c r="AB733" i="6" s="1"/>
  <c r="AB732" i="6" s="1"/>
  <c r="W462" i="6"/>
  <c r="AB622" i="6"/>
  <c r="BE425" i="6"/>
  <c r="BE394" i="6"/>
  <c r="U574" i="6"/>
  <c r="V570" i="6"/>
  <c r="BI570" i="6"/>
  <c r="AS425" i="6"/>
  <c r="AS394" i="6"/>
  <c r="AA525" i="6"/>
  <c r="AB526" i="6"/>
  <c r="AA681" i="6"/>
  <c r="AW425" i="6"/>
  <c r="AW394" i="6"/>
  <c r="AB513" i="6"/>
  <c r="AA676" i="6"/>
  <c r="BE574" i="6"/>
  <c r="BB570" i="6"/>
  <c r="BC570" i="6" s="1"/>
  <c r="BE572" i="6"/>
  <c r="BH505" i="6"/>
  <c r="BF558" i="6"/>
  <c r="BI501" i="6"/>
  <c r="BI505" i="6" s="1"/>
  <c r="BA425" i="6"/>
  <c r="BA394" i="6"/>
  <c r="AB612" i="6"/>
  <c r="AA606" i="6"/>
  <c r="AA398" i="6"/>
  <c r="AB397" i="6"/>
  <c r="BG518" i="6"/>
  <c r="AB674" i="6"/>
  <c r="T742" i="6" l="1"/>
  <c r="R801" i="6"/>
  <c r="BA40" i="6"/>
  <c r="BB40" i="6"/>
  <c r="AY40" i="6"/>
  <c r="AZ40" i="6"/>
  <c r="AX40" i="6"/>
  <c r="BC40" i="6"/>
  <c r="BD40" i="6"/>
  <c r="BE40" i="6"/>
  <c r="U791" i="6"/>
  <c r="AZ435" i="6"/>
  <c r="AZ460" i="6" s="1"/>
  <c r="AZ470" i="6" s="1"/>
  <c r="AZ437" i="6"/>
  <c r="AZ439" i="6" s="1"/>
  <c r="AZ438" i="6"/>
  <c r="AZ440" i="6" s="1"/>
  <c r="O435" i="6"/>
  <c r="O450" i="6" s="1"/>
  <c r="O437" i="6"/>
  <c r="O439" i="6" s="1"/>
  <c r="O438" i="6"/>
  <c r="O440" i="6" s="1"/>
  <c r="P435" i="6"/>
  <c r="Q450" i="6" s="1"/>
  <c r="P437" i="6"/>
  <c r="P439" i="6" s="1"/>
  <c r="P438" i="6"/>
  <c r="P440" i="6" s="1"/>
  <c r="V198" i="6"/>
  <c r="V40" i="6"/>
  <c r="S198" i="6"/>
  <c r="S40" i="6"/>
  <c r="U198" i="6"/>
  <c r="U40" i="6"/>
  <c r="T198" i="6"/>
  <c r="T40" i="6"/>
  <c r="S32" i="6"/>
  <c r="AC555" i="6"/>
  <c r="AB729" i="6"/>
  <c r="V644" i="6"/>
  <c r="AC553" i="6"/>
  <c r="AA533" i="6"/>
  <c r="Z719" i="6"/>
  <c r="AC531" i="6"/>
  <c r="AC528" i="6"/>
  <c r="AB679" i="6"/>
  <c r="Y697" i="6"/>
  <c r="Y695" i="6" s="1"/>
  <c r="AB495" i="6"/>
  <c r="AB709" i="6" s="1"/>
  <c r="AB706" i="6" s="1"/>
  <c r="R758" i="6"/>
  <c r="R198" i="6"/>
  <c r="T758" i="6"/>
  <c r="Q759" i="6"/>
  <c r="S758" i="6"/>
  <c r="U758" i="6"/>
  <c r="V758" i="6"/>
  <c r="V488" i="6"/>
  <c r="T488" i="6"/>
  <c r="R791" i="6"/>
  <c r="BC482" i="6"/>
  <c r="BC488" i="6"/>
  <c r="BD482" i="6"/>
  <c r="BD488" i="6"/>
  <c r="U482" i="6"/>
  <c r="U488" i="6"/>
  <c r="BB488" i="6"/>
  <c r="P460" i="6"/>
  <c r="P470" i="6" s="1"/>
  <c r="O460" i="6"/>
  <c r="O470" i="6" s="1"/>
  <c r="R458" i="6"/>
  <c r="R457" i="6" s="1"/>
  <c r="BQ398" i="6"/>
  <c r="BQ400" i="6" s="1"/>
  <c r="R455" i="6"/>
  <c r="R482" i="6"/>
  <c r="R759" i="6" s="1"/>
  <c r="S455" i="6"/>
  <c r="S482" i="6"/>
  <c r="AZ482" i="6"/>
  <c r="BB482" i="6"/>
  <c r="T455" i="6"/>
  <c r="T482" i="6"/>
  <c r="T759" i="6" s="1"/>
  <c r="V482" i="6"/>
  <c r="O752" i="6"/>
  <c r="V791" i="6"/>
  <c r="Q458" i="6"/>
  <c r="Q457" i="6" s="1"/>
  <c r="O445" i="6"/>
  <c r="O38" i="6" s="1"/>
  <c r="S791" i="6"/>
  <c r="O800" i="6"/>
  <c r="P625" i="6"/>
  <c r="P626" i="6"/>
  <c r="P752" i="6"/>
  <c r="P627" i="6"/>
  <c r="P800" i="6"/>
  <c r="P628" i="6"/>
  <c r="P445" i="6"/>
  <c r="P38" i="6" s="1"/>
  <c r="AR433" i="6"/>
  <c r="AR435" i="6" s="1"/>
  <c r="AR460" i="6" s="1"/>
  <c r="AR470" i="6" s="1"/>
  <c r="AV433" i="6"/>
  <c r="T433" i="6"/>
  <c r="BB433" i="6"/>
  <c r="S433" i="6"/>
  <c r="U433" i="6"/>
  <c r="V433" i="6"/>
  <c r="BD433" i="6"/>
  <c r="AZ627" i="6"/>
  <c r="AZ445" i="6"/>
  <c r="AZ38" i="6" s="1"/>
  <c r="AZ752" i="6"/>
  <c r="AZ625" i="6"/>
  <c r="AZ626" i="6"/>
  <c r="AZ800" i="6"/>
  <c r="AZ628" i="6"/>
  <c r="X784" i="6"/>
  <c r="T791" i="6"/>
  <c r="Y378" i="6"/>
  <c r="Z378" i="6" s="1"/>
  <c r="V593" i="6"/>
  <c r="W593" i="6" s="1"/>
  <c r="X593" i="6" s="1"/>
  <c r="Y593" i="6" s="1"/>
  <c r="U586" i="6"/>
  <c r="U587" i="6" s="1"/>
  <c r="AX433" i="6"/>
  <c r="AB693" i="6"/>
  <c r="AB638" i="6" s="1"/>
  <c r="AC693" i="6"/>
  <c r="AC638" i="6" s="1"/>
  <c r="AD508" i="6"/>
  <c r="AD693" i="6" s="1"/>
  <c r="AD638" i="6" s="1"/>
  <c r="AB507" i="6"/>
  <c r="AA573" i="6"/>
  <c r="AA692" i="6"/>
  <c r="AB699" i="6"/>
  <c r="AC511" i="6"/>
  <c r="BC433" i="6"/>
  <c r="AB683" i="6"/>
  <c r="AT433" i="6"/>
  <c r="AC516" i="6"/>
  <c r="AC514" i="6" s="1"/>
  <c r="AB698" i="6"/>
  <c r="N475" i="6"/>
  <c r="N793" i="6"/>
  <c r="AQ433" i="6"/>
  <c r="AQ435" i="6" s="1"/>
  <c r="AQ460" i="6" s="1"/>
  <c r="AQ470" i="6" s="1"/>
  <c r="Q445" i="6"/>
  <c r="Q38" i="6" s="1"/>
  <c r="Q626" i="6"/>
  <c r="Q625" i="6"/>
  <c r="Q800" i="6"/>
  <c r="Q752" i="6"/>
  <c r="Q627" i="6"/>
  <c r="Q628" i="6"/>
  <c r="AB379" i="6"/>
  <c r="AA776" i="6"/>
  <c r="AY433" i="6"/>
  <c r="AP433" i="6"/>
  <c r="AP435" i="6" s="1"/>
  <c r="AP460" i="6" s="1"/>
  <c r="AP470" i="6" s="1"/>
  <c r="AC494" i="6"/>
  <c r="AC670" i="6" s="1"/>
  <c r="AC510" i="6"/>
  <c r="AB690" i="6"/>
  <c r="AU433" i="6"/>
  <c r="BC574" i="6"/>
  <c r="BC572" i="6"/>
  <c r="BD570" i="6"/>
  <c r="BI518" i="6"/>
  <c r="BM570" i="6"/>
  <c r="V574" i="6"/>
  <c r="AC622" i="6"/>
  <c r="BG558" i="6"/>
  <c r="BJ501" i="6"/>
  <c r="BH518" i="6"/>
  <c r="AC513" i="6"/>
  <c r="AB676" i="6"/>
  <c r="AC612" i="6"/>
  <c r="AB606" i="6"/>
  <c r="X462" i="6"/>
  <c r="AW433" i="6"/>
  <c r="BI571" i="6"/>
  <c r="BI572" i="6" s="1"/>
  <c r="AC543" i="6"/>
  <c r="AC733" i="6" s="1"/>
  <c r="AC732" i="6" s="1"/>
  <c r="BB572" i="6"/>
  <c r="BB574" i="6"/>
  <c r="AB525" i="6"/>
  <c r="AC526" i="6"/>
  <c r="AB681" i="6"/>
  <c r="AS433" i="6"/>
  <c r="AS435" i="6" s="1"/>
  <c r="AS460" i="6" s="1"/>
  <c r="AS470" i="6" s="1"/>
  <c r="BE433" i="6"/>
  <c r="AB398" i="6"/>
  <c r="AC397" i="6"/>
  <c r="BA433" i="6"/>
  <c r="BI574" i="6"/>
  <c r="BF570" i="6"/>
  <c r="BG570" i="6" s="1"/>
  <c r="BH570" i="6" s="1"/>
  <c r="V759" i="6" l="1"/>
  <c r="AV435" i="6"/>
  <c r="AZ450" i="6" s="1"/>
  <c r="AW435" i="6"/>
  <c r="AW450" i="6" s="1"/>
  <c r="AU435" i="6"/>
  <c r="AU450" i="6" s="1"/>
  <c r="AT435" i="6"/>
  <c r="AT450" i="6" s="1"/>
  <c r="P450" i="6"/>
  <c r="BA435" i="6"/>
  <c r="BA460" i="6" s="1"/>
  <c r="BA470" i="6" s="1"/>
  <c r="BA437" i="6"/>
  <c r="BA439" i="6" s="1"/>
  <c r="BA438" i="6"/>
  <c r="BA440" i="6" s="1"/>
  <c r="BE435" i="6"/>
  <c r="BE460" i="6" s="1"/>
  <c r="BE438" i="6"/>
  <c r="BE440" i="6" s="1"/>
  <c r="BE437" i="6"/>
  <c r="BE439" i="6" s="1"/>
  <c r="AY435" i="6"/>
  <c r="AY437" i="6"/>
  <c r="AY439" i="6" s="1"/>
  <c r="AY438" i="6"/>
  <c r="AY440" i="6" s="1"/>
  <c r="V435" i="6"/>
  <c r="V460" i="6" s="1"/>
  <c r="V437" i="6"/>
  <c r="U67" i="20" s="1"/>
  <c r="U68" i="20" s="1"/>
  <c r="V438" i="6"/>
  <c r="U73" i="20" s="1"/>
  <c r="U74" i="20" s="1"/>
  <c r="T435" i="6"/>
  <c r="T460" i="6" s="1"/>
  <c r="T437" i="6"/>
  <c r="T439" i="6" s="1"/>
  <c r="T438" i="6"/>
  <c r="T440" i="6" s="1"/>
  <c r="BC435" i="6"/>
  <c r="BC460" i="6" s="1"/>
  <c r="BC470" i="6" s="1"/>
  <c r="BC438" i="6"/>
  <c r="BC440" i="6" s="1"/>
  <c r="BC437" i="6"/>
  <c r="BC439" i="6" s="1"/>
  <c r="U438" i="6"/>
  <c r="U437" i="6"/>
  <c r="Q21" i="6"/>
  <c r="Q473" i="6"/>
  <c r="Q472" i="6"/>
  <c r="Q474" i="6" s="1"/>
  <c r="AX437" i="6"/>
  <c r="AX439" i="6" s="1"/>
  <c r="AX438" i="6"/>
  <c r="AX440" i="6" s="1"/>
  <c r="S435" i="6"/>
  <c r="S460" i="6" s="1"/>
  <c r="S470" i="6" s="1"/>
  <c r="S438" i="6"/>
  <c r="S440" i="6" s="1"/>
  <c r="S437" i="6"/>
  <c r="S439" i="6" s="1"/>
  <c r="R21" i="6"/>
  <c r="R33" i="6" s="1"/>
  <c r="R472" i="6"/>
  <c r="R474" i="6" s="1"/>
  <c r="R473" i="6"/>
  <c r="BD435" i="6"/>
  <c r="BD460" i="6" s="1"/>
  <c r="BD470" i="6" s="1"/>
  <c r="BD437" i="6"/>
  <c r="BD439" i="6" s="1"/>
  <c r="BD438" i="6"/>
  <c r="BD440" i="6" s="1"/>
  <c r="BB435" i="6"/>
  <c r="BB460" i="6" s="1"/>
  <c r="BB470" i="6" s="1"/>
  <c r="BB437" i="6"/>
  <c r="BB439" i="6" s="1"/>
  <c r="BB438" i="6"/>
  <c r="BB440" i="6" s="1"/>
  <c r="AD555" i="6"/>
  <c r="AD729" i="6" s="1"/>
  <c r="AC729" i="6"/>
  <c r="AD553" i="6"/>
  <c r="AB533" i="6"/>
  <c r="AB384" i="6" s="1"/>
  <c r="AA719" i="6"/>
  <c r="AD531" i="6"/>
  <c r="AD528" i="6"/>
  <c r="AD679" i="6" s="1"/>
  <c r="AC679" i="6"/>
  <c r="AC495" i="6"/>
  <c r="AC709" i="6" s="1"/>
  <c r="AC706" i="6" s="1"/>
  <c r="Z697" i="6"/>
  <c r="Z695" i="6" s="1"/>
  <c r="P458" i="6"/>
  <c r="P457" i="6" s="1"/>
  <c r="S759" i="6"/>
  <c r="U759" i="6"/>
  <c r="AZ458" i="6"/>
  <c r="Q483" i="6"/>
  <c r="Q41" i="6" s="1"/>
  <c r="R792" i="6"/>
  <c r="R489" i="6"/>
  <c r="O458" i="6"/>
  <c r="O457" i="6" s="1"/>
  <c r="AU460" i="6"/>
  <c r="AU470" i="6" s="1"/>
  <c r="R483" i="6"/>
  <c r="R41" i="6" s="1"/>
  <c r="AR445" i="6"/>
  <c r="O801" i="6"/>
  <c r="AR752" i="6"/>
  <c r="P801" i="6"/>
  <c r="BD445" i="6"/>
  <c r="BD38" i="6" s="1"/>
  <c r="BD626" i="6"/>
  <c r="BB627" i="6"/>
  <c r="BD752" i="6"/>
  <c r="BB625" i="6"/>
  <c r="AV752" i="6"/>
  <c r="BD800" i="6"/>
  <c r="BD625" i="6"/>
  <c r="BB626" i="6"/>
  <c r="BB800" i="6"/>
  <c r="AV445" i="6"/>
  <c r="BD628" i="6"/>
  <c r="BD627" i="6"/>
  <c r="BB628" i="6"/>
  <c r="BB752" i="6"/>
  <c r="BB445" i="6"/>
  <c r="BB38" i="6" s="1"/>
  <c r="AZ801" i="6"/>
  <c r="AX435" i="6"/>
  <c r="U435" i="6"/>
  <c r="Y376" i="6"/>
  <c r="T445" i="6"/>
  <c r="T38" i="6" s="1"/>
  <c r="T627" i="6"/>
  <c r="T626" i="6"/>
  <c r="T628" i="6"/>
  <c r="T800" i="6"/>
  <c r="T625" i="6"/>
  <c r="T752" i="6"/>
  <c r="AX800" i="6"/>
  <c r="AX752" i="6"/>
  <c r="AX445" i="6"/>
  <c r="AX38" i="6" s="1"/>
  <c r="AB692" i="6"/>
  <c r="AC507" i="6"/>
  <c r="AB573" i="6"/>
  <c r="V445" i="6"/>
  <c r="V38" i="6" s="1"/>
  <c r="V628" i="6"/>
  <c r="V800" i="6"/>
  <c r="V627" i="6"/>
  <c r="V625" i="6"/>
  <c r="U104" i="20" s="1"/>
  <c r="V752" i="6"/>
  <c r="V626" i="6"/>
  <c r="AD511" i="6"/>
  <c r="AD699" i="6" s="1"/>
  <c r="AC699" i="6"/>
  <c r="AY625" i="6"/>
  <c r="AY626" i="6"/>
  <c r="AY627" i="6"/>
  <c r="AY752" i="6"/>
  <c r="AY445" i="6"/>
  <c r="AY38" i="6" s="1"/>
  <c r="AY800" i="6"/>
  <c r="AY628" i="6"/>
  <c r="Q792" i="6"/>
  <c r="AQ445" i="6"/>
  <c r="AQ752" i="6"/>
  <c r="AD494" i="6"/>
  <c r="AD670" i="6" s="1"/>
  <c r="U625" i="6"/>
  <c r="U628" i="6"/>
  <c r="U800" i="6"/>
  <c r="U627" i="6"/>
  <c r="U752" i="6"/>
  <c r="U626" i="6"/>
  <c r="U445" i="6"/>
  <c r="U38" i="6" s="1"/>
  <c r="S628" i="6"/>
  <c r="S752" i="6"/>
  <c r="S625" i="6"/>
  <c r="S800" i="6"/>
  <c r="S445" i="6"/>
  <c r="S38" i="6" s="1"/>
  <c r="S626" i="6"/>
  <c r="S627" i="6"/>
  <c r="AC379" i="6"/>
  <c r="AB776" i="6"/>
  <c r="AD516" i="6"/>
  <c r="AC698" i="6"/>
  <c r="AD683" i="6"/>
  <c r="AC683" i="6"/>
  <c r="Q801" i="6"/>
  <c r="AU445" i="6"/>
  <c r="AU752" i="6"/>
  <c r="AD510" i="6"/>
  <c r="AD690" i="6" s="1"/>
  <c r="AC690" i="6"/>
  <c r="AP752" i="6"/>
  <c r="AP445" i="6"/>
  <c r="AT445" i="6"/>
  <c r="AT752" i="6"/>
  <c r="BC626" i="6"/>
  <c r="BC627" i="6"/>
  <c r="BC752" i="6"/>
  <c r="BC445" i="6"/>
  <c r="BC38" i="6" s="1"/>
  <c r="BC628" i="6"/>
  <c r="BC625" i="6"/>
  <c r="BC800" i="6"/>
  <c r="BH574" i="6"/>
  <c r="AS445" i="6"/>
  <c r="AS752" i="6"/>
  <c r="AD612" i="6"/>
  <c r="AC606" i="6"/>
  <c r="AD622" i="6"/>
  <c r="Z376" i="6"/>
  <c r="AA378" i="6"/>
  <c r="AD674" i="6"/>
  <c r="AC525" i="6"/>
  <c r="AD526" i="6"/>
  <c r="AC681" i="6"/>
  <c r="BF571" i="6"/>
  <c r="BG571" i="6" s="1"/>
  <c r="BH558" i="6"/>
  <c r="BK501" i="6"/>
  <c r="BM574" i="6"/>
  <c r="BJ570" i="6"/>
  <c r="BD574" i="6"/>
  <c r="BD572" i="6"/>
  <c r="AC398" i="6"/>
  <c r="AD397" i="6"/>
  <c r="AW445" i="6"/>
  <c r="AW752" i="6"/>
  <c r="BI558" i="6"/>
  <c r="BG574" i="6"/>
  <c r="AD513" i="6"/>
  <c r="AD676" i="6" s="1"/>
  <c r="AC676" i="6"/>
  <c r="BF574" i="6"/>
  <c r="BA445" i="6"/>
  <c r="BA38" i="6" s="1"/>
  <c r="BA625" i="6"/>
  <c r="BA627" i="6"/>
  <c r="BA626" i="6"/>
  <c r="BA628" i="6"/>
  <c r="BA800" i="6"/>
  <c r="BA752" i="6"/>
  <c r="AC674" i="6"/>
  <c r="BE445" i="6"/>
  <c r="BE38" i="6" s="1"/>
  <c r="BE625" i="6"/>
  <c r="BE627" i="6"/>
  <c r="BE626" i="6"/>
  <c r="BE628" i="6"/>
  <c r="BE800" i="6"/>
  <c r="BE752" i="6"/>
  <c r="AD543" i="6"/>
  <c r="AD733" i="6" s="1"/>
  <c r="AD732" i="6" s="1"/>
  <c r="BJ505" i="6"/>
  <c r="AV450" i="6" l="1"/>
  <c r="AV460" i="6"/>
  <c r="AV470" i="6" s="1"/>
  <c r="AT460" i="6"/>
  <c r="AT470" i="6" s="1"/>
  <c r="BE450" i="6"/>
  <c r="AW460" i="6"/>
  <c r="AW470" i="6" s="1"/>
  <c r="AY450" i="6"/>
  <c r="BA450" i="6"/>
  <c r="BB801" i="6"/>
  <c r="S450" i="6"/>
  <c r="AY460" i="6"/>
  <c r="AY470" i="6" s="1"/>
  <c r="AY458" i="6" s="1"/>
  <c r="BC450" i="6"/>
  <c r="T450" i="6"/>
  <c r="BD450" i="6"/>
  <c r="R475" i="6"/>
  <c r="R793" i="6"/>
  <c r="U439" i="6"/>
  <c r="V440" i="6"/>
  <c r="O473" i="6"/>
  <c r="O472" i="6"/>
  <c r="O474" i="6" s="1"/>
  <c r="U440" i="6"/>
  <c r="V439" i="6"/>
  <c r="AZ473" i="6"/>
  <c r="AZ472" i="6"/>
  <c r="AZ474" i="6" s="1"/>
  <c r="P473" i="6"/>
  <c r="P472" i="6"/>
  <c r="P474" i="6" s="1"/>
  <c r="O489" i="6"/>
  <c r="O21" i="6"/>
  <c r="O33" i="6" s="1"/>
  <c r="AZ21" i="6"/>
  <c r="Q489" i="6"/>
  <c r="P21" i="6"/>
  <c r="AC533" i="6"/>
  <c r="AB719" i="6"/>
  <c r="AD698" i="6"/>
  <c r="AD514" i="6"/>
  <c r="AA697" i="6"/>
  <c r="AA695" i="6" s="1"/>
  <c r="AD495" i="6"/>
  <c r="AD709" i="6" s="1"/>
  <c r="AD706" i="6" s="1"/>
  <c r="P792" i="6"/>
  <c r="P483" i="6"/>
  <c r="O792" i="6"/>
  <c r="O483" i="6"/>
  <c r="O41" i="6" s="1"/>
  <c r="R760" i="6"/>
  <c r="AZ483" i="6"/>
  <c r="BB458" i="6"/>
  <c r="P489" i="6"/>
  <c r="S458" i="6"/>
  <c r="S457" i="6" s="1"/>
  <c r="BA458" i="6"/>
  <c r="BD458" i="6"/>
  <c r="U460" i="6"/>
  <c r="U450" i="6"/>
  <c r="V450" i="6"/>
  <c r="AX460" i="6"/>
  <c r="AX470" i="6" s="1"/>
  <c r="AX450" i="6"/>
  <c r="BB450" i="6"/>
  <c r="BC458" i="6"/>
  <c r="BD801" i="6"/>
  <c r="Z784" i="6"/>
  <c r="Y784" i="6"/>
  <c r="Y462" i="6"/>
  <c r="T801" i="6"/>
  <c r="AX801" i="6"/>
  <c r="BF572" i="6"/>
  <c r="V801" i="6"/>
  <c r="AC692" i="6"/>
  <c r="AC573" i="6"/>
  <c r="AD507" i="6"/>
  <c r="AD379" i="6"/>
  <c r="AD776" i="6" s="1"/>
  <c r="AC776" i="6"/>
  <c r="Q475" i="6"/>
  <c r="Q793" i="6"/>
  <c r="S801" i="6"/>
  <c r="BC801" i="6"/>
  <c r="U801" i="6"/>
  <c r="AY801" i="6"/>
  <c r="BG572" i="6"/>
  <c r="BH571" i="6"/>
  <c r="BH572" i="6" s="1"/>
  <c r="BL501" i="6"/>
  <c r="BJ518" i="6"/>
  <c r="AD398" i="6"/>
  <c r="Z462" i="6"/>
  <c r="AD606" i="6"/>
  <c r="BA801" i="6"/>
  <c r="BJ574" i="6"/>
  <c r="BK570" i="6"/>
  <c r="AD525" i="6"/>
  <c r="AD681" i="6"/>
  <c r="BE801" i="6"/>
  <c r="BK505" i="6"/>
  <c r="AA376" i="6"/>
  <c r="AB378" i="6"/>
  <c r="AZ41" i="6" l="1"/>
  <c r="BD473" i="6"/>
  <c r="BD472" i="6"/>
  <c r="BD474" i="6" s="1"/>
  <c r="BB472" i="6"/>
  <c r="BB474" i="6" s="1"/>
  <c r="BB473" i="6"/>
  <c r="AY472" i="6"/>
  <c r="AY474" i="6" s="1"/>
  <c r="AY473" i="6"/>
  <c r="AY793" i="6" s="1"/>
  <c r="AZ475" i="6"/>
  <c r="AZ793" i="6"/>
  <c r="BC21" i="6"/>
  <c r="BC473" i="6"/>
  <c r="BC793" i="6" s="1"/>
  <c r="BC472" i="6"/>
  <c r="BA472" i="6"/>
  <c r="BA473" i="6"/>
  <c r="BA475" i="6" s="1"/>
  <c r="S21" i="6"/>
  <c r="S33" i="6" s="1"/>
  <c r="S473" i="6"/>
  <c r="S475" i="6" s="1"/>
  <c r="S472" i="6"/>
  <c r="S474" i="6" s="1"/>
  <c r="P793" i="6"/>
  <c r="P475" i="6"/>
  <c r="O793" i="6"/>
  <c r="O475" i="6"/>
  <c r="BA483" i="6"/>
  <c r="BA21" i="6"/>
  <c r="Q760" i="6"/>
  <c r="P41" i="6"/>
  <c r="P33" i="6"/>
  <c r="Q33" i="6"/>
  <c r="BD21" i="6"/>
  <c r="BD33" i="6" s="1"/>
  <c r="BB21" i="6"/>
  <c r="AY483" i="6"/>
  <c r="AY21" i="6"/>
  <c r="AD533" i="6"/>
  <c r="AD719" i="6" s="1"/>
  <c r="AC719" i="6"/>
  <c r="AB697" i="6"/>
  <c r="AB695" i="6" s="1"/>
  <c r="BC489" i="6"/>
  <c r="BD483" i="6"/>
  <c r="AX458" i="6"/>
  <c r="BB483" i="6"/>
  <c r="S792" i="6"/>
  <c r="S489" i="6"/>
  <c r="BD459" i="6"/>
  <c r="BD489" i="6"/>
  <c r="BB459" i="6"/>
  <c r="S483" i="6"/>
  <c r="BC483" i="6"/>
  <c r="BC459" i="6"/>
  <c r="AA784" i="6"/>
  <c r="AD573" i="6"/>
  <c r="AD692" i="6"/>
  <c r="BK518" i="6"/>
  <c r="BK574" i="6"/>
  <c r="BL570" i="6"/>
  <c r="BM501" i="6"/>
  <c r="BM505" i="6" s="1"/>
  <c r="AC378" i="6"/>
  <c r="AB376" i="6"/>
  <c r="BL505" i="6"/>
  <c r="AA462" i="6"/>
  <c r="BJ558" i="6"/>
  <c r="AY475" i="6" l="1"/>
  <c r="BC475" i="6"/>
  <c r="BA793" i="6"/>
  <c r="BD41" i="6"/>
  <c r="BB41" i="6"/>
  <c r="AY41" i="6"/>
  <c r="BC41" i="6"/>
  <c r="BA41" i="6"/>
  <c r="BC33" i="6"/>
  <c r="AX472" i="6"/>
  <c r="AX474" i="6" s="1"/>
  <c r="AX473" i="6"/>
  <c r="S793" i="6"/>
  <c r="BD793" i="6"/>
  <c r="BD475" i="6"/>
  <c r="BB475" i="6"/>
  <c r="BB793" i="6"/>
  <c r="S760" i="6"/>
  <c r="S41" i="6"/>
  <c r="AX483" i="6"/>
  <c r="AX21" i="6"/>
  <c r="BB33" i="6" s="1"/>
  <c r="AD697" i="6"/>
  <c r="AD695" i="6" s="1"/>
  <c r="AC697" i="6"/>
  <c r="AC695" i="6" s="1"/>
  <c r="BB489" i="6"/>
  <c r="BA474" i="6"/>
  <c r="BC474" i="6"/>
  <c r="AB784" i="6"/>
  <c r="AB462" i="6"/>
  <c r="AC376" i="6"/>
  <c r="AD378" i="6"/>
  <c r="AD376" i="6" s="1"/>
  <c r="BL518" i="6"/>
  <c r="BM518" i="6"/>
  <c r="BL574" i="6"/>
  <c r="BK558" i="6"/>
  <c r="BG138" i="6"/>
  <c r="BH138" i="6"/>
  <c r="BI138" i="6"/>
  <c r="BG139" i="6"/>
  <c r="BH139" i="6"/>
  <c r="BI139" i="6"/>
  <c r="BF139" i="6"/>
  <c r="BF138" i="6"/>
  <c r="BO139" i="6"/>
  <c r="BP139" i="6"/>
  <c r="BQ139" i="6"/>
  <c r="BN139" i="6"/>
  <c r="BK139" i="6"/>
  <c r="BL139" i="6"/>
  <c r="BM139" i="6"/>
  <c r="BJ139" i="6"/>
  <c r="AX41" i="6" l="1"/>
  <c r="AX793" i="6"/>
  <c r="AX475" i="6"/>
  <c r="AD784" i="6"/>
  <c r="AC784" i="6"/>
  <c r="AD462" i="6"/>
  <c r="BM558" i="6"/>
  <c r="AC462" i="6"/>
  <c r="BL558" i="6"/>
  <c r="V189" i="6"/>
  <c r="V225" i="6" s="1"/>
  <c r="V162" i="6"/>
  <c r="V178" i="6" s="1"/>
  <c r="V177" i="6" l="1"/>
  <c r="V370" i="6"/>
  <c r="V373" i="6"/>
  <c r="V369" i="6"/>
  <c r="BM618" i="6"/>
  <c r="BM619" i="6"/>
  <c r="V372" i="6"/>
  <c r="BM119" i="6"/>
  <c r="BM123" i="6"/>
  <c r="BM192" i="6"/>
  <c r="BM622" i="6"/>
  <c r="BN622" i="6" s="1"/>
  <c r="V371" i="6"/>
  <c r="BM222" i="6" l="1"/>
  <c r="BM219" i="6"/>
  <c r="BM220" i="6"/>
  <c r="BM221" i="6"/>
  <c r="BM218" i="6"/>
  <c r="BM377" i="6"/>
  <c r="BM16" i="6"/>
  <c r="BM409" i="6"/>
  <c r="BM620" i="6"/>
  <c r="BO622" i="6"/>
  <c r="V470" i="6"/>
  <c r="BN158" i="6"/>
  <c r="BN159" i="6"/>
  <c r="V458" i="6" l="1"/>
  <c r="BM406" i="6"/>
  <c r="BP622" i="6"/>
  <c r="BM411" i="6"/>
  <c r="BM453" i="6" s="1"/>
  <c r="BM19" i="6" s="1"/>
  <c r="BM615" i="6"/>
  <c r="BM621" i="6"/>
  <c r="BN621" i="6" s="1"/>
  <c r="BO621" i="6" s="1"/>
  <c r="BP621" i="6" s="1"/>
  <c r="BM616" i="6"/>
  <c r="BM617" i="6"/>
  <c r="V457" i="6" l="1"/>
  <c r="V459" i="6"/>
  <c r="V21" i="6"/>
  <c r="V473" i="6"/>
  <c r="V472" i="6"/>
  <c r="V474" i="6" s="1"/>
  <c r="BM478" i="6"/>
  <c r="BM39" i="6" s="1"/>
  <c r="V483" i="6"/>
  <c r="V41" i="6" s="1"/>
  <c r="BM443" i="6"/>
  <c r="BM36" i="6" s="1"/>
  <c r="V792" i="6"/>
  <c r="BM417" i="6"/>
  <c r="BM797" i="6"/>
  <c r="U70" i="20" l="1"/>
  <c r="U71" i="20" s="1"/>
  <c r="U76" i="20"/>
  <c r="U77" i="20" s="1"/>
  <c r="BM444" i="6"/>
  <c r="BM37" i="6" s="1"/>
  <c r="BM454" i="6"/>
  <c r="BM20" i="6" s="1"/>
  <c r="V793" i="6"/>
  <c r="V475" i="6"/>
  <c r="BM423" i="6"/>
  <c r="BM798" i="6"/>
  <c r="BM799" i="6" s="1"/>
  <c r="Y74" i="6"/>
  <c r="Z74" i="6" s="1"/>
  <c r="AA74" i="6" s="1"/>
  <c r="AB74" i="6" s="1"/>
  <c r="AC74" i="6" s="1"/>
  <c r="BM456" i="6" l="1"/>
  <c r="BM479" i="6"/>
  <c r="BM425" i="6"/>
  <c r="BM394" i="6"/>
  <c r="AD74" i="6"/>
  <c r="BM40" i="6" l="1"/>
  <c r="BM482" i="6"/>
  <c r="BM433" i="6"/>
  <c r="BM585" i="6"/>
  <c r="BM435" i="6" l="1"/>
  <c r="BM460" i="6" s="1"/>
  <c r="BM470" i="6" s="1"/>
  <c r="BM437" i="6"/>
  <c r="BM439" i="6" s="1"/>
  <c r="BM438" i="6"/>
  <c r="BM440" i="6" s="1"/>
  <c r="BM445" i="6"/>
  <c r="BM38" i="6" s="1"/>
  <c r="BM625" i="6"/>
  <c r="BM627" i="6"/>
  <c r="BM626" i="6"/>
  <c r="BM628" i="6"/>
  <c r="BM800" i="6"/>
  <c r="BM752" i="6"/>
  <c r="BM458" i="6" l="1"/>
  <c r="BM457" i="6" s="1"/>
  <c r="BM801" i="6"/>
  <c r="AB68" i="6"/>
  <c r="AC68" i="6" s="1"/>
  <c r="AD68" i="6" s="1"/>
  <c r="Z139" i="6"/>
  <c r="AA139" i="6" s="1"/>
  <c r="AB139" i="6" s="1"/>
  <c r="U140" i="6"/>
  <c r="W110" i="6"/>
  <c r="X110" i="6"/>
  <c r="BM21" i="6" l="1"/>
  <c r="BM472" i="6"/>
  <c r="BM473" i="6"/>
  <c r="BM475" i="6" s="1"/>
  <c r="BM483" i="6"/>
  <c r="BG140" i="6"/>
  <c r="BF140" i="6"/>
  <c r="BI140" i="6"/>
  <c r="BH140" i="6"/>
  <c r="AC139" i="6"/>
  <c r="BM41" i="6" l="1"/>
  <c r="BM793" i="6"/>
  <c r="BM474" i="6"/>
  <c r="AD139" i="6"/>
  <c r="AX89" i="6" l="1"/>
  <c r="AY89" i="6"/>
  <c r="X49" i="25" l="1"/>
  <c r="Y49" i="25" s="1"/>
  <c r="Z49" i="25" s="1"/>
  <c r="AA49" i="25" s="1"/>
  <c r="AB49" i="25" s="1"/>
  <c r="AC49" i="25" s="1"/>
  <c r="AD49" i="25" s="1"/>
  <c r="X51" i="25"/>
  <c r="Y51" i="25" s="1"/>
  <c r="Z51" i="25" s="1"/>
  <c r="AA51" i="25" s="1"/>
  <c r="AB51" i="25" s="1"/>
  <c r="AC51" i="25" s="1"/>
  <c r="AD51" i="25" s="1"/>
  <c r="X52" i="25"/>
  <c r="Y52" i="25"/>
  <c r="Z52" i="25" s="1"/>
  <c r="AA52" i="25" s="1"/>
  <c r="AB52" i="25" s="1"/>
  <c r="AC52" i="25" s="1"/>
  <c r="AD52" i="25" s="1"/>
  <c r="X50" i="25"/>
  <c r="Y50" i="25" s="1"/>
  <c r="Z50" i="25" s="1"/>
  <c r="AA50" i="25" s="1"/>
  <c r="AB50" i="25" s="1"/>
  <c r="AC50" i="25" s="1"/>
  <c r="AD50" i="25" s="1"/>
  <c r="W51" i="25"/>
  <c r="W52" i="25"/>
  <c r="BO369" i="6" l="1"/>
  <c r="BP369" i="6" s="1"/>
  <c r="X84" i="6"/>
  <c r="Y84" i="6" s="1"/>
  <c r="BJ406" i="6" l="1"/>
  <c r="BJ73" i="6"/>
  <c r="BL406" i="6"/>
  <c r="BL73" i="6"/>
  <c r="BM73" i="6"/>
  <c r="BH406" i="6"/>
  <c r="BH73" i="6"/>
  <c r="BK406" i="6"/>
  <c r="BK73" i="6"/>
  <c r="BG406" i="6"/>
  <c r="BF406" i="6"/>
  <c r="BI406" i="6"/>
  <c r="BI73" i="6"/>
  <c r="BJ72" i="6"/>
  <c r="U71" i="6"/>
  <c r="U12" i="6" s="1"/>
  <c r="BK72" i="6"/>
  <c r="BL72" i="6"/>
  <c r="BG73" i="6"/>
  <c r="U406" i="6" l="1"/>
  <c r="BL409" i="6" l="1"/>
  <c r="BL123" i="6"/>
  <c r="BL620" i="6"/>
  <c r="BL612" i="6"/>
  <c r="BM612" i="6" s="1"/>
  <c r="BN612" i="6" s="1"/>
  <c r="BO612" i="6" s="1"/>
  <c r="BP612" i="6" s="1"/>
  <c r="BQ612" i="6" s="1"/>
  <c r="BL619" i="6"/>
  <c r="BL610" i="6"/>
  <c r="BM610" i="6" s="1"/>
  <c r="BN610" i="6" s="1"/>
  <c r="BO610" i="6" s="1"/>
  <c r="BP610" i="6" s="1"/>
  <c r="BQ610" i="6" s="1"/>
  <c r="BL618" i="6"/>
  <c r="BL126" i="6"/>
  <c r="BL372" i="6"/>
  <c r="BL373" i="6"/>
  <c r="BL370" i="6"/>
  <c r="BL371" i="6"/>
  <c r="BL369" i="6"/>
  <c r="BL187" i="6"/>
  <c r="BL188" i="6" s="1"/>
  <c r="BL119" i="6"/>
  <c r="BL221" i="6" l="1"/>
  <c r="BL220" i="6"/>
  <c r="BL222" i="6"/>
  <c r="BL219" i="6"/>
  <c r="BL218" i="6"/>
  <c r="BL16" i="6"/>
  <c r="BM159" i="6"/>
  <c r="BL377" i="6"/>
  <c r="BL622" i="6"/>
  <c r="BL411" i="6"/>
  <c r="BL453" i="6" s="1"/>
  <c r="BL19" i="6" s="1"/>
  <c r="BL608" i="6"/>
  <c r="BL616" i="6"/>
  <c r="BL617" i="6"/>
  <c r="BL615" i="6"/>
  <c r="BL609" i="6"/>
  <c r="BM609" i="6" s="1"/>
  <c r="BN609" i="6" s="1"/>
  <c r="BO609" i="6" s="1"/>
  <c r="BP609" i="6" s="1"/>
  <c r="BQ609" i="6" s="1"/>
  <c r="BL192" i="6"/>
  <c r="BL206" i="6" s="1"/>
  <c r="BL200" i="6"/>
  <c r="BL201" i="6"/>
  <c r="BM158" i="6"/>
  <c r="BL202" i="6"/>
  <c r="BL366" i="6"/>
  <c r="BL203" i="6"/>
  <c r="BL478" i="6" l="1"/>
  <c r="BL39" i="6" s="1"/>
  <c r="BL443" i="6"/>
  <c r="BL36" i="6" s="1"/>
  <c r="BL417" i="6"/>
  <c r="BL797" i="6"/>
  <c r="BL607" i="6"/>
  <c r="BL606" i="6" s="1"/>
  <c r="BM608" i="6"/>
  <c r="BL199" i="6"/>
  <c r="BL209" i="6"/>
  <c r="BL207" i="6"/>
  <c r="BL208" i="6"/>
  <c r="BL444" i="6" l="1"/>
  <c r="BL37" i="6" s="1"/>
  <c r="BL454" i="6"/>
  <c r="BL20" i="6" s="1"/>
  <c r="BL423" i="6"/>
  <c r="BL798" i="6"/>
  <c r="BL799" i="6" s="1"/>
  <c r="BM607" i="6"/>
  <c r="BM606" i="6" s="1"/>
  <c r="BN608" i="6"/>
  <c r="BL456" i="6" l="1"/>
  <c r="BL479" i="6"/>
  <c r="BN607" i="6"/>
  <c r="BN606" i="6" s="1"/>
  <c r="BO608" i="6"/>
  <c r="BL425" i="6"/>
  <c r="BL394" i="6"/>
  <c r="BL40" i="6" l="1"/>
  <c r="BL482" i="6"/>
  <c r="BL433" i="6"/>
  <c r="BP608" i="6"/>
  <c r="BO607" i="6"/>
  <c r="BO606" i="6" s="1"/>
  <c r="BL585" i="6"/>
  <c r="BL435" i="6" l="1"/>
  <c r="BL460" i="6" s="1"/>
  <c r="BL470" i="6" s="1"/>
  <c r="BL437" i="6"/>
  <c r="BL439" i="6" s="1"/>
  <c r="BL438" i="6"/>
  <c r="BL440" i="6" s="1"/>
  <c r="BP607" i="6"/>
  <c r="BP606" i="6" s="1"/>
  <c r="BQ608" i="6"/>
  <c r="BQ607" i="6" s="1"/>
  <c r="BQ606" i="6" s="1"/>
  <c r="BL445" i="6"/>
  <c r="BL38" i="6" s="1"/>
  <c r="BL626" i="6"/>
  <c r="BL628" i="6"/>
  <c r="BL627" i="6"/>
  <c r="BL625" i="6"/>
  <c r="BL800" i="6"/>
  <c r="BL752" i="6"/>
  <c r="BL458" i="6" l="1"/>
  <c r="BL457" i="6" s="1"/>
  <c r="BL801" i="6"/>
  <c r="AD464" i="6"/>
  <c r="AC464" i="6"/>
  <c r="BL21" i="6" l="1"/>
  <c r="BL472" i="6"/>
  <c r="BL473" i="6"/>
  <c r="BL793" i="6" s="1"/>
  <c r="BL483" i="6"/>
  <c r="BL41" i="6" l="1"/>
  <c r="BL475" i="6"/>
  <c r="BL474" i="6"/>
  <c r="AB180" i="6" l="1"/>
  <c r="AD180" i="6" s="1"/>
  <c r="BJ369" i="6" l="1"/>
  <c r="BG369" i="6"/>
  <c r="BI369" i="6"/>
  <c r="BH369" i="6"/>
  <c r="BK369" i="6"/>
  <c r="BF369" i="6"/>
  <c r="BJ187" i="6" l="1"/>
  <c r="BI187" i="6"/>
  <c r="BK187" i="6"/>
  <c r="BK188" i="6" s="1"/>
  <c r="BF187" i="6"/>
  <c r="BH187" i="6"/>
  <c r="BJ188" i="6" l="1"/>
  <c r="BK132" i="6"/>
  <c r="BK74" i="6"/>
  <c r="BK110" i="6"/>
  <c r="BK111" i="6"/>
  <c r="BK612" i="6"/>
  <c r="BK619" i="6"/>
  <c r="BK610" i="6"/>
  <c r="BK618" i="6"/>
  <c r="BK123" i="6"/>
  <c r="BF610" i="6"/>
  <c r="BF618" i="6"/>
  <c r="BF619" i="6"/>
  <c r="BF612" i="6"/>
  <c r="BI618" i="6"/>
  <c r="BI612" i="6"/>
  <c r="BI619" i="6"/>
  <c r="BI610" i="6"/>
  <c r="BJ610" i="6"/>
  <c r="BJ618" i="6"/>
  <c r="BJ612" i="6"/>
  <c r="BJ619" i="6"/>
  <c r="BK405" i="6"/>
  <c r="BK162" i="6"/>
  <c r="BG187" i="6"/>
  <c r="BH612" i="6"/>
  <c r="BH619" i="6"/>
  <c r="BH610" i="6"/>
  <c r="BH618" i="6"/>
  <c r="BK163" i="6"/>
  <c r="BK126" i="6"/>
  <c r="BK119" i="6"/>
  <c r="BK370" i="6"/>
  <c r="BK373" i="6"/>
  <c r="BK371" i="6"/>
  <c r="BK365" i="6"/>
  <c r="BK129" i="6"/>
  <c r="BK372" i="6"/>
  <c r="BK84" i="6"/>
  <c r="BK221" i="6" l="1"/>
  <c r="BK222" i="6"/>
  <c r="BK219" i="6"/>
  <c r="BK220" i="6"/>
  <c r="BK218" i="6"/>
  <c r="BK16" i="6"/>
  <c r="BK180" i="6"/>
  <c r="BK366" i="6"/>
  <c r="BK377" i="6"/>
  <c r="BG612" i="6"/>
  <c r="BG619" i="6"/>
  <c r="BG610" i="6"/>
  <c r="BG618" i="6"/>
  <c r="BK621" i="6"/>
  <c r="BK409" i="6"/>
  <c r="BK620" i="6"/>
  <c r="BK136" i="6"/>
  <c r="BK137" i="6"/>
  <c r="BK83" i="6"/>
  <c r="BK161" i="6"/>
  <c r="BK217" i="6" s="1"/>
  <c r="BK178" i="6"/>
  <c r="BK167" i="6" l="1"/>
  <c r="BK411" i="6"/>
  <c r="BK453" i="6" s="1"/>
  <c r="BK19" i="6" s="1"/>
  <c r="BK616" i="6"/>
  <c r="BK617" i="6"/>
  <c r="BK609" i="6"/>
  <c r="BK615" i="6"/>
  <c r="BK608" i="6"/>
  <c r="BK177" i="6"/>
  <c r="BK131" i="6"/>
  <c r="BK175" i="6"/>
  <c r="BK367" i="6"/>
  <c r="BK168" i="6"/>
  <c r="BK478" i="6" l="1"/>
  <c r="BK39" i="6" s="1"/>
  <c r="BK443" i="6"/>
  <c r="BK36" i="6" s="1"/>
  <c r="BK607" i="6"/>
  <c r="BK606" i="6" s="1"/>
  <c r="BK797" i="6"/>
  <c r="V246" i="6" l="1"/>
  <c r="W246" i="6" s="1"/>
  <c r="X246" i="6" s="1"/>
  <c r="Y246" i="6" s="1"/>
  <c r="Z246" i="6" s="1"/>
  <c r="AA246" i="6" s="1"/>
  <c r="AB246" i="6" s="1"/>
  <c r="AC246" i="6" s="1"/>
  <c r="AD246" i="6" s="1"/>
  <c r="U260" i="6"/>
  <c r="U275" i="6"/>
  <c r="Z265" i="6"/>
  <c r="AA265" i="6" s="1"/>
  <c r="AB265" i="6" s="1"/>
  <c r="AC265" i="6" s="1"/>
  <c r="AD265" i="6" s="1"/>
  <c r="W83" i="6"/>
  <c r="V83" i="6"/>
  <c r="X317" i="6"/>
  <c r="Y317" i="6" s="1"/>
  <c r="Z317" i="6" s="1"/>
  <c r="AA317" i="6" s="1"/>
  <c r="AB317" i="6" s="1"/>
  <c r="AC317" i="6" s="1"/>
  <c r="AD317" i="6" s="1"/>
  <c r="Y62" i="6"/>
  <c r="Y17" i="25" s="1"/>
  <c r="V317" i="6"/>
  <c r="U243" i="6"/>
  <c r="U244" i="6"/>
  <c r="X305" i="6"/>
  <c r="Y305" i="6" s="1"/>
  <c r="Z305" i="6" s="1"/>
  <c r="AA305" i="6" s="1"/>
  <c r="AB305" i="6" s="1"/>
  <c r="AD305" i="6"/>
  <c r="V110" i="6"/>
  <c r="V114" i="6"/>
  <c r="AB133" i="6"/>
  <c r="AC133" i="6" s="1"/>
  <c r="AD133" i="6" s="1"/>
  <c r="AB179" i="6"/>
  <c r="AC179" i="6" s="1"/>
  <c r="AD179" i="6" s="1"/>
  <c r="V25" i="20"/>
  <c r="W25" i="20"/>
  <c r="X24" i="20"/>
  <c r="Y24" i="20" s="1"/>
  <c r="BN10" i="6"/>
  <c r="BO10" i="6" s="1"/>
  <c r="BP10" i="6" s="1"/>
  <c r="BQ10" i="6" s="1"/>
  <c r="BQ246" i="6"/>
  <c r="BP246" i="6"/>
  <c r="BO246" i="6"/>
  <c r="BN246" i="6"/>
  <c r="BO240" i="6"/>
  <c r="BP240" i="6" s="1"/>
  <c r="BQ240" i="6" s="1"/>
  <c r="T243" i="6"/>
  <c r="T244" i="6"/>
  <c r="T236" i="6"/>
  <c r="R141" i="20"/>
  <c r="AB138" i="20" s="1"/>
  <c r="AA41" i="20"/>
  <c r="Z41" i="20" s="1"/>
  <c r="Y41" i="20" s="1"/>
  <c r="AA47" i="20"/>
  <c r="Z47" i="20" s="1"/>
  <c r="Y47" i="20" s="1"/>
  <c r="AB41" i="20"/>
  <c r="AC41" i="20" s="1"/>
  <c r="AB47" i="20"/>
  <c r="AC47" i="20" s="1"/>
  <c r="O131" i="20"/>
  <c r="T813" i="6"/>
  <c r="W372" i="6"/>
  <c r="W371" i="6"/>
  <c r="BN371" i="6" s="1"/>
  <c r="BO371" i="6" s="1"/>
  <c r="BP371" i="6" s="1"/>
  <c r="W370" i="6"/>
  <c r="BN370" i="6" s="1"/>
  <c r="BO370" i="6" s="1"/>
  <c r="BP370" i="6" s="1"/>
  <c r="BJ373" i="6"/>
  <c r="BH373" i="6"/>
  <c r="BG373" i="6"/>
  <c r="BF373" i="6"/>
  <c r="BJ372" i="6"/>
  <c r="BI372" i="6"/>
  <c r="BH372" i="6"/>
  <c r="BG372" i="6"/>
  <c r="BF372" i="6"/>
  <c r="BJ371" i="6"/>
  <c r="BI371" i="6"/>
  <c r="BH371" i="6"/>
  <c r="BG371" i="6"/>
  <c r="BF371" i="6"/>
  <c r="BJ370" i="6"/>
  <c r="BI370" i="6"/>
  <c r="BH370" i="6"/>
  <c r="BG370" i="6"/>
  <c r="Q341" i="6"/>
  <c r="R342" i="6" s="1"/>
  <c r="S342" i="6" s="1"/>
  <c r="T342" i="6" s="1"/>
  <c r="U342" i="6" s="1"/>
  <c r="V342" i="6" s="1"/>
  <c r="W342" i="6" s="1"/>
  <c r="X342" i="6" s="1"/>
  <c r="Y342" i="6" s="1"/>
  <c r="Z342" i="6" s="1"/>
  <c r="AA342" i="6" s="1"/>
  <c r="AB342" i="6" s="1"/>
  <c r="AC342" i="6" s="1"/>
  <c r="AD342" i="6" s="1"/>
  <c r="Q340" i="6"/>
  <c r="R340" i="6" s="1"/>
  <c r="S340" i="6" s="1"/>
  <c r="T340" i="6" s="1"/>
  <c r="U340" i="6" s="1"/>
  <c r="V340" i="6" s="1"/>
  <c r="W340" i="6" s="1"/>
  <c r="X340" i="6" s="1"/>
  <c r="Y340" i="6" s="1"/>
  <c r="Z340" i="6" s="1"/>
  <c r="AA340" i="6" s="1"/>
  <c r="AB340" i="6" s="1"/>
  <c r="AC340" i="6" s="1"/>
  <c r="AD340" i="6" s="1"/>
  <c r="P337" i="6"/>
  <c r="O337" i="6"/>
  <c r="N337" i="6"/>
  <c r="U309" i="6"/>
  <c r="R312" i="6"/>
  <c r="Q312" i="6"/>
  <c r="P312" i="6"/>
  <c r="T309" i="6"/>
  <c r="S309" i="6"/>
  <c r="R310" i="6"/>
  <c r="S310" i="6" s="1"/>
  <c r="T310" i="6" s="1"/>
  <c r="U310" i="6" s="1"/>
  <c r="V310" i="6" s="1"/>
  <c r="W310" i="6" s="1"/>
  <c r="X310" i="6" s="1"/>
  <c r="Y310" i="6" s="1"/>
  <c r="Z310" i="6" s="1"/>
  <c r="AA310" i="6" s="1"/>
  <c r="AB310" i="6" s="1"/>
  <c r="AC310" i="6" s="1"/>
  <c r="AD310" i="6" s="1"/>
  <c r="Q310" i="6"/>
  <c r="R309" i="6"/>
  <c r="Q309" i="6"/>
  <c r="U303" i="6"/>
  <c r="T303" i="6"/>
  <c r="S303" i="6"/>
  <c r="R303" i="6"/>
  <c r="Q303" i="6"/>
  <c r="P303" i="6"/>
  <c r="R299" i="6"/>
  <c r="S299" i="6" s="1"/>
  <c r="T299" i="6" s="1"/>
  <c r="U299" i="6" s="1"/>
  <c r="V299" i="6" s="1"/>
  <c r="W299" i="6" s="1"/>
  <c r="X299" i="6" s="1"/>
  <c r="Y299" i="6" s="1"/>
  <c r="Z299" i="6" s="1"/>
  <c r="AA299" i="6" s="1"/>
  <c r="AB299" i="6" s="1"/>
  <c r="AC299" i="6" s="1"/>
  <c r="AD299" i="6" s="1"/>
  <c r="T284" i="6"/>
  <c r="U284" i="6" s="1"/>
  <c r="V284" i="6" s="1"/>
  <c r="W284" i="6" s="1"/>
  <c r="X284" i="6" s="1"/>
  <c r="Y284" i="6" s="1"/>
  <c r="Z284" i="6" s="1"/>
  <c r="AA284" i="6" s="1"/>
  <c r="AB284" i="6" s="1"/>
  <c r="AC284" i="6" s="1"/>
  <c r="AD284" i="6" s="1"/>
  <c r="W277" i="6"/>
  <c r="V277" i="6"/>
  <c r="V276" i="6"/>
  <c r="V275" i="6" s="1"/>
  <c r="W275" i="6"/>
  <c r="Y276" i="6"/>
  <c r="Z276" i="6" s="1"/>
  <c r="Z275" i="6" s="1"/>
  <c r="T275" i="6"/>
  <c r="S275" i="6"/>
  <c r="P259" i="6"/>
  <c r="P258" i="6" s="1"/>
  <c r="T260" i="6"/>
  <c r="S260" i="6"/>
  <c r="R260" i="6"/>
  <c r="Q260" i="6"/>
  <c r="U259" i="6"/>
  <c r="T259" i="6"/>
  <c r="S259" i="6"/>
  <c r="R259" i="6"/>
  <c r="Q259" i="6"/>
  <c r="BM246" i="6"/>
  <c r="BL246" i="6"/>
  <c r="BK246" i="6"/>
  <c r="BJ246" i="6"/>
  <c r="BI246" i="6"/>
  <c r="BH246" i="6"/>
  <c r="BG246" i="6"/>
  <c r="BF246" i="6"/>
  <c r="BE246" i="6"/>
  <c r="BD246" i="6"/>
  <c r="BC246" i="6"/>
  <c r="BB246" i="6"/>
  <c r="BA246" i="6"/>
  <c r="AZ246" i="6"/>
  <c r="AY246" i="6"/>
  <c r="AX246" i="6"/>
  <c r="U246" i="6"/>
  <c r="T246" i="6"/>
  <c r="S246" i="6"/>
  <c r="R246" i="6"/>
  <c r="Q246" i="6"/>
  <c r="BK240" i="6"/>
  <c r="BL240" i="6" s="1"/>
  <c r="BM240" i="6" s="1"/>
  <c r="BG240" i="6"/>
  <c r="BH240" i="6" s="1"/>
  <c r="BI240" i="6" s="1"/>
  <c r="R229" i="6"/>
  <c r="R320" i="6" s="1"/>
  <c r="S320" i="6" s="1"/>
  <c r="Q229" i="6"/>
  <c r="AS209" i="6"/>
  <c r="AR209" i="6"/>
  <c r="AQ209" i="6"/>
  <c r="AP209" i="6"/>
  <c r="AO209" i="6"/>
  <c r="AN209" i="6"/>
  <c r="AM209" i="6"/>
  <c r="AL209" i="6"/>
  <c r="AK209" i="6"/>
  <c r="AJ209" i="6"/>
  <c r="AI209" i="6"/>
  <c r="AH209" i="6"/>
  <c r="AS208" i="6"/>
  <c r="AR208" i="6"/>
  <c r="AQ208" i="6"/>
  <c r="AP208" i="6"/>
  <c r="AO208" i="6"/>
  <c r="AN208" i="6"/>
  <c r="AM208" i="6"/>
  <c r="AL208" i="6"/>
  <c r="AK208" i="6"/>
  <c r="AJ208" i="6"/>
  <c r="AI208" i="6"/>
  <c r="AH208" i="6"/>
  <c r="AS207" i="6"/>
  <c r="AR207" i="6"/>
  <c r="AQ207" i="6"/>
  <c r="AP207" i="6"/>
  <c r="AO207" i="6"/>
  <c r="AN207" i="6"/>
  <c r="AM207" i="6"/>
  <c r="AL207" i="6"/>
  <c r="AK207" i="6"/>
  <c r="AJ207" i="6"/>
  <c r="AI207" i="6"/>
  <c r="AH207" i="6"/>
  <c r="AS206" i="6"/>
  <c r="AR206" i="6"/>
  <c r="AQ206" i="6"/>
  <c r="AP206" i="6"/>
  <c r="AO206" i="6"/>
  <c r="AN206" i="6"/>
  <c r="AM206" i="6"/>
  <c r="AL206" i="6"/>
  <c r="AK206" i="6"/>
  <c r="AJ206" i="6"/>
  <c r="AI206" i="6"/>
  <c r="AH206" i="6"/>
  <c r="J131" i="6"/>
  <c r="AO185" i="6"/>
  <c r="AN185" i="6"/>
  <c r="AM185" i="6"/>
  <c r="AL185" i="6"/>
  <c r="AK161" i="6"/>
  <c r="AJ161" i="6"/>
  <c r="AJ168" i="6" s="1"/>
  <c r="AI161" i="6"/>
  <c r="AI168" i="6" s="1"/>
  <c r="AH161" i="6"/>
  <c r="AH167" i="6" s="1"/>
  <c r="AO121" i="6"/>
  <c r="AN121" i="6"/>
  <c r="AM121" i="6"/>
  <c r="AL121" i="6"/>
  <c r="AO120" i="6"/>
  <c r="AN120" i="6"/>
  <c r="AM120" i="6"/>
  <c r="AL120" i="6"/>
  <c r="AK119" i="6"/>
  <c r="AJ119" i="6"/>
  <c r="AJ137" i="6" s="1"/>
  <c r="AI119" i="6"/>
  <c r="AH119" i="6"/>
  <c r="AH136" i="6" s="1"/>
  <c r="P132" i="6"/>
  <c r="N163" i="6"/>
  <c r="J68" i="6"/>
  <c r="X64" i="6"/>
  <c r="Y64" i="6" s="1"/>
  <c r="Z64" i="6" s="1"/>
  <c r="AA64" i="6" s="1"/>
  <c r="AB64" i="6" s="1"/>
  <c r="AC64" i="6" s="1"/>
  <c r="AD64" i="6" s="1"/>
  <c r="P11" i="25"/>
  <c r="U114" i="6"/>
  <c r="T114" i="6"/>
  <c r="BW104" i="6"/>
  <c r="BW105" i="6" s="1"/>
  <c r="BF108" i="6"/>
  <c r="BG107" i="6"/>
  <c r="BE108" i="6"/>
  <c r="BD108" i="6"/>
  <c r="BE107" i="6"/>
  <c r="BD107" i="6"/>
  <c r="BH88" i="6"/>
  <c r="BF88" i="6"/>
  <c r="BB81" i="6"/>
  <c r="BB88" i="6"/>
  <c r="BB90" i="6" s="1"/>
  <c r="AY244" i="6"/>
  <c r="AX244" i="6"/>
  <c r="AY243" i="6"/>
  <c r="AX243" i="6"/>
  <c r="AT88" i="6"/>
  <c r="T242" i="6"/>
  <c r="S244" i="6"/>
  <c r="P325" i="6"/>
  <c r="Q88" i="6"/>
  <c r="P324" i="6"/>
  <c r="BJ10" i="6"/>
  <c r="BF10" i="6"/>
  <c r="BB10" i="6"/>
  <c r="AX10" i="6"/>
  <c r="AT10" i="6"/>
  <c r="X10" i="6"/>
  <c r="Y10" i="6" s="1"/>
  <c r="Z10" i="6" s="1"/>
  <c r="AA10" i="6" s="1"/>
  <c r="AB10" i="6" s="1"/>
  <c r="AC10" i="6" s="1"/>
  <c r="AD10" i="6" s="1"/>
  <c r="O19" i="25"/>
  <c r="X17" i="25"/>
  <c r="X45" i="25" s="1"/>
  <c r="W17" i="25"/>
  <c r="W45" i="25" s="1"/>
  <c r="V17" i="25"/>
  <c r="V23" i="25" s="1"/>
  <c r="AD16" i="25"/>
  <c r="AD44" i="25" s="1"/>
  <c r="AC16" i="25"/>
  <c r="AC44" i="25" s="1"/>
  <c r="AB16" i="25"/>
  <c r="AB44" i="25" s="1"/>
  <c r="AA16" i="25"/>
  <c r="AA33" i="25" s="1"/>
  <c r="Z16" i="25"/>
  <c r="Y16" i="25"/>
  <c r="Y44" i="25" s="1"/>
  <c r="X16" i="25"/>
  <c r="X33" i="25" s="1"/>
  <c r="W16" i="25"/>
  <c r="V16" i="25"/>
  <c r="U229" i="6"/>
  <c r="Q11" i="25"/>
  <c r="Q10" i="25"/>
  <c r="AT84" i="6"/>
  <c r="AT83" i="6" s="1"/>
  <c r="AT110" i="6"/>
  <c r="O61" i="6"/>
  <c r="O68" i="6"/>
  <c r="O63" i="6"/>
  <c r="P111" i="6"/>
  <c r="P131" i="20"/>
  <c r="AT111" i="6"/>
  <c r="AX81" i="6"/>
  <c r="AQ163" i="6"/>
  <c r="AY163" i="6"/>
  <c r="AX248" i="6"/>
  <c r="AX163" i="6"/>
  <c r="AX79" i="6"/>
  <c r="AY110" i="6"/>
  <c r="AY111" i="6"/>
  <c r="AX80" i="6"/>
  <c r="AX84" i="6"/>
  <c r="AX83" i="6" s="1"/>
  <c r="AX110" i="6"/>
  <c r="AX108" i="6"/>
  <c r="AX111" i="6"/>
  <c r="AU84" i="6"/>
  <c r="AU83" i="6" s="1"/>
  <c r="AU110" i="6"/>
  <c r="AU111" i="6"/>
  <c r="P305" i="6"/>
  <c r="AY242" i="6"/>
  <c r="Q80" i="6"/>
  <c r="P84" i="6"/>
  <c r="P83" i="6" s="1"/>
  <c r="Q108" i="6"/>
  <c r="AY107" i="6"/>
  <c r="AY108" i="6"/>
  <c r="Q110" i="6"/>
  <c r="Q111" i="6"/>
  <c r="Q89" i="6"/>
  <c r="AU88" i="6"/>
  <c r="AY88" i="6"/>
  <c r="AU89" i="6"/>
  <c r="Q267" i="6"/>
  <c r="Q271" i="6" s="1"/>
  <c r="Q248" i="6"/>
  <c r="Q48" i="6"/>
  <c r="P51" i="6"/>
  <c r="Q61" i="6"/>
  <c r="P63" i="6"/>
  <c r="P68" i="6"/>
  <c r="AX129" i="6"/>
  <c r="P10" i="25"/>
  <c r="Q305" i="6"/>
  <c r="Q242" i="6"/>
  <c r="Q324" i="6"/>
  <c r="Q243" i="6"/>
  <c r="Q325" i="6"/>
  <c r="Q280" i="6"/>
  <c r="Q244" i="6"/>
  <c r="AX242" i="6"/>
  <c r="Q79" i="6"/>
  <c r="Q81" i="6"/>
  <c r="AY79" i="6"/>
  <c r="AY80" i="6"/>
  <c r="AY81" i="6"/>
  <c r="AY84" i="6"/>
  <c r="AY83" i="6" s="1"/>
  <c r="Q84" i="6"/>
  <c r="Q277" i="6" s="1"/>
  <c r="Q107" i="6"/>
  <c r="AX107" i="6"/>
  <c r="P110" i="6"/>
  <c r="P88" i="6"/>
  <c r="P89" i="6"/>
  <c r="AX88" i="6"/>
  <c r="AT89" i="6"/>
  <c r="P267" i="6"/>
  <c r="P264" i="6" s="1"/>
  <c r="P48" i="6"/>
  <c r="Q51" i="6"/>
  <c r="P61" i="6"/>
  <c r="Q63" i="6"/>
  <c r="Q68" i="6"/>
  <c r="Q16" i="25" s="1"/>
  <c r="X275" i="6"/>
  <c r="T4" i="25"/>
  <c r="T3" i="25"/>
  <c r="U4" i="25"/>
  <c r="U3" i="25"/>
  <c r="V138" i="20" l="1"/>
  <c r="Z138" i="20"/>
  <c r="U138" i="20"/>
  <c r="Y138" i="20"/>
  <c r="AC138" i="20"/>
  <c r="S138" i="20"/>
  <c r="W138" i="20"/>
  <c r="AA138" i="20"/>
  <c r="T138" i="20"/>
  <c r="X138" i="20"/>
  <c r="X25" i="20"/>
  <c r="BC10" i="6"/>
  <c r="BD10" i="6" s="1"/>
  <c r="BG10" i="6"/>
  <c r="BH10" i="6" s="1"/>
  <c r="AU10" i="6"/>
  <c r="BK10" i="6"/>
  <c r="BN372" i="6"/>
  <c r="BE456" i="6"/>
  <c r="AM119" i="6"/>
  <c r="U132" i="6"/>
  <c r="T163" i="6"/>
  <c r="T132" i="6"/>
  <c r="BF89" i="6"/>
  <c r="BF87" i="6" s="1"/>
  <c r="Q163" i="6"/>
  <c r="Q132" i="6"/>
  <c r="Q131" i="6" s="1"/>
  <c r="S132" i="6"/>
  <c r="BA132" i="6"/>
  <c r="BC132" i="6"/>
  <c r="BC131" i="6" s="1"/>
  <c r="AZ163" i="6"/>
  <c r="AZ132" i="6"/>
  <c r="BJ132" i="6"/>
  <c r="BJ131" i="6" s="1"/>
  <c r="BB132" i="6"/>
  <c r="BH132" i="6"/>
  <c r="BF132" i="6"/>
  <c r="BI132" i="6"/>
  <c r="BG132" i="6"/>
  <c r="BG110" i="6"/>
  <c r="BG111" i="6"/>
  <c r="BD111" i="6"/>
  <c r="BD110" i="6"/>
  <c r="BH111" i="6"/>
  <c r="BH110" i="6"/>
  <c r="BC108" i="6"/>
  <c r="BG108" i="6"/>
  <c r="BB107" i="6"/>
  <c r="BF107" i="6"/>
  <c r="BE110" i="6"/>
  <c r="BE111" i="6"/>
  <c r="BI110" i="6"/>
  <c r="BI111" i="6"/>
  <c r="BF111" i="6"/>
  <c r="BF110" i="6"/>
  <c r="BJ74" i="6"/>
  <c r="BJ110" i="6"/>
  <c r="BJ111" i="6"/>
  <c r="BI74" i="6"/>
  <c r="BA48" i="6"/>
  <c r="BE48" i="6"/>
  <c r="BI48" i="6"/>
  <c r="AX48" i="6"/>
  <c r="BB48" i="6"/>
  <c r="BF48" i="6"/>
  <c r="BJ48" i="6"/>
  <c r="AY48" i="6"/>
  <c r="BC48" i="6"/>
  <c r="BG48" i="6"/>
  <c r="BH365" i="6"/>
  <c r="BK48" i="6"/>
  <c r="AZ48" i="6"/>
  <c r="BD48" i="6"/>
  <c r="BH48" i="6"/>
  <c r="AV89" i="6"/>
  <c r="BJ119" i="6"/>
  <c r="S243" i="6"/>
  <c r="S249" i="6" s="1"/>
  <c r="S252" i="6" s="1"/>
  <c r="S242" i="6"/>
  <c r="R242" i="6"/>
  <c r="AN162" i="6"/>
  <c r="AX142" i="6"/>
  <c r="AY129" i="6"/>
  <c r="R108" i="6"/>
  <c r="AU129" i="6"/>
  <c r="AT58" i="6"/>
  <c r="AL162" i="6"/>
  <c r="R81" i="6"/>
  <c r="T143" i="6"/>
  <c r="BF142" i="6"/>
  <c r="W23" i="25"/>
  <c r="W69" i="6" s="1"/>
  <c r="S267" i="6"/>
  <c r="S264" i="6" s="1"/>
  <c r="BD88" i="6"/>
  <c r="BE243" i="6"/>
  <c r="BE249" i="6" s="1"/>
  <c r="BE88" i="6"/>
  <c r="S324" i="6"/>
  <c r="S88" i="6"/>
  <c r="BF93" i="6"/>
  <c r="AY57" i="6"/>
  <c r="BB242" i="6"/>
  <c r="BA370" i="6"/>
  <c r="AZ68" i="6"/>
  <c r="T248" i="6"/>
  <c r="T255" i="6" s="1"/>
  <c r="BB58" i="6"/>
  <c r="BA371" i="6"/>
  <c r="Q83" i="6"/>
  <c r="AY252" i="6"/>
  <c r="R48" i="6"/>
  <c r="R13" i="25" s="1"/>
  <c r="AU56" i="6"/>
  <c r="R61" i="6"/>
  <c r="AT56" i="6"/>
  <c r="BJ88" i="6"/>
  <c r="BJ93" i="6" s="1"/>
  <c r="BJ365" i="6"/>
  <c r="BF242" i="6"/>
  <c r="AX365" i="6"/>
  <c r="BJ79" i="6"/>
  <c r="AX373" i="6"/>
  <c r="BJ242" i="6"/>
  <c r="AX245" i="6"/>
  <c r="BH129" i="6"/>
  <c r="BF365" i="6"/>
  <c r="BH89" i="6"/>
  <c r="BH94" i="6" s="1"/>
  <c r="AX99" i="6"/>
  <c r="BC58" i="6"/>
  <c r="BH57" i="6"/>
  <c r="BF79" i="6"/>
  <c r="BH244" i="6"/>
  <c r="BJ95" i="6"/>
  <c r="T80" i="6"/>
  <c r="BC372" i="6"/>
  <c r="BC370" i="6"/>
  <c r="AU373" i="6"/>
  <c r="AU365" i="6"/>
  <c r="BJ243" i="6"/>
  <c r="BJ252" i="6" s="1"/>
  <c r="BI143" i="6"/>
  <c r="BG126" i="6"/>
  <c r="AY371" i="6"/>
  <c r="R79" i="6"/>
  <c r="BI68" i="6"/>
  <c r="R95" i="6"/>
  <c r="R305" i="6"/>
  <c r="AV58" i="6"/>
  <c r="T129" i="6"/>
  <c r="BI126" i="6"/>
  <c r="U258" i="6"/>
  <c r="U262" i="6" s="1"/>
  <c r="AV365" i="6"/>
  <c r="BD371" i="6"/>
  <c r="BA372" i="6"/>
  <c r="R110" i="6"/>
  <c r="R10" i="25"/>
  <c r="BG79" i="6"/>
  <c r="R68" i="6"/>
  <c r="R16" i="25" s="1"/>
  <c r="AU58" i="6"/>
  <c r="R244" i="6"/>
  <c r="BA57" i="6"/>
  <c r="T258" i="6"/>
  <c r="T261" i="6" s="1"/>
  <c r="BD370" i="6"/>
  <c r="AV372" i="6"/>
  <c r="AX57" i="6"/>
  <c r="BA107" i="6"/>
  <c r="U370" i="6"/>
  <c r="BE80" i="6"/>
  <c r="AV370" i="6"/>
  <c r="AV371" i="6"/>
  <c r="AZ373" i="6"/>
  <c r="BB57" i="6"/>
  <c r="AY99" i="6"/>
  <c r="AZ57" i="6"/>
  <c r="BB365" i="6"/>
  <c r="AY370" i="6"/>
  <c r="AU371" i="6"/>
  <c r="BC371" i="6"/>
  <c r="BC373" i="6"/>
  <c r="AC22" i="25"/>
  <c r="AU372" i="6"/>
  <c r="AU370" i="6"/>
  <c r="AY373" i="6"/>
  <c r="R89" i="6"/>
  <c r="R94" i="6" s="1"/>
  <c r="U80" i="6"/>
  <c r="AX249" i="6"/>
  <c r="AX250" i="6" s="1"/>
  <c r="AX247" i="6" s="1"/>
  <c r="AX253" i="6" s="1"/>
  <c r="X34" i="25"/>
  <c r="BB371" i="6"/>
  <c r="AH168" i="6"/>
  <c r="Q249" i="6"/>
  <c r="Q252" i="6" s="1"/>
  <c r="T10" i="25"/>
  <c r="R84" i="6"/>
  <c r="AY365" i="6"/>
  <c r="R280" i="6"/>
  <c r="AV373" i="6"/>
  <c r="AZ370" i="6"/>
  <c r="AW370" i="6"/>
  <c r="BE370" i="6"/>
  <c r="AW371" i="6"/>
  <c r="BE371" i="6"/>
  <c r="AW372" i="6"/>
  <c r="BE372" i="6"/>
  <c r="AW373" i="6"/>
  <c r="AY93" i="6"/>
  <c r="AA276" i="6"/>
  <c r="AB276" i="6" s="1"/>
  <c r="AC276" i="6" s="1"/>
  <c r="X23" i="25"/>
  <c r="X69" i="6" s="1"/>
  <c r="AY372" i="6"/>
  <c r="BB370" i="6"/>
  <c r="R341" i="6"/>
  <c r="R337" i="6" s="1"/>
  <c r="Y275" i="6"/>
  <c r="BE61" i="6"/>
  <c r="BB56" i="6"/>
  <c r="T305" i="6"/>
  <c r="Q87" i="6"/>
  <c r="AI136" i="6"/>
  <c r="BC365" i="6"/>
  <c r="BG142" i="6"/>
  <c r="BB192" i="6"/>
  <c r="T304" i="6"/>
  <c r="AX370" i="6"/>
  <c r="AX371" i="6"/>
  <c r="AX372" i="6"/>
  <c r="BB372" i="6"/>
  <c r="BB373" i="6"/>
  <c r="BE57" i="6"/>
  <c r="AZ372" i="6"/>
  <c r="AW365" i="6"/>
  <c r="BD373" i="6"/>
  <c r="BD372" i="6"/>
  <c r="BF370" i="6"/>
  <c r="BH68" i="6"/>
  <c r="U63" i="6"/>
  <c r="BC84" i="6"/>
  <c r="BC83" i="6" s="1"/>
  <c r="BD61" i="6"/>
  <c r="S258" i="6"/>
  <c r="S262" i="6" s="1"/>
  <c r="BH243" i="6"/>
  <c r="BH249" i="6" s="1"/>
  <c r="T48" i="6"/>
  <c r="T13" i="25" s="1"/>
  <c r="T764" i="6"/>
  <c r="T763" i="6"/>
  <c r="T765" i="6"/>
  <c r="T777" i="6"/>
  <c r="BH772" i="6"/>
  <c r="BL772" i="6"/>
  <c r="U764" i="6"/>
  <c r="U765" i="6"/>
  <c r="U763" i="6"/>
  <c r="U777" i="6"/>
  <c r="BH162" i="6"/>
  <c r="BH122" i="6"/>
  <c r="BH123" i="6"/>
  <c r="BH124" i="6"/>
  <c r="BG162" i="6"/>
  <c r="BE129" i="6"/>
  <c r="W34" i="25"/>
  <c r="BD365" i="6"/>
  <c r="AZ365" i="6"/>
  <c r="BD68" i="6"/>
  <c r="BI405" i="6"/>
  <c r="BF620" i="6"/>
  <c r="BF622" i="6"/>
  <c r="BI772" i="6"/>
  <c r="BM772" i="6"/>
  <c r="U470" i="6"/>
  <c r="BI409" i="6"/>
  <c r="BI122" i="6"/>
  <c r="BI123" i="6"/>
  <c r="BI124" i="6"/>
  <c r="BJ405" i="6"/>
  <c r="BG122" i="6"/>
  <c r="BG123" i="6"/>
  <c r="BG124" i="6"/>
  <c r="R763" i="6"/>
  <c r="R766" i="6" s="1"/>
  <c r="R765" i="6"/>
  <c r="R768" i="6" s="1"/>
  <c r="R777" i="6"/>
  <c r="R764" i="6"/>
  <c r="R767" i="6" s="1"/>
  <c r="BE470" i="6"/>
  <c r="BI620" i="6"/>
  <c r="BJ620" i="6"/>
  <c r="BJ123" i="6"/>
  <c r="AV405" i="6"/>
  <c r="BE365" i="6"/>
  <c r="AZ371" i="6"/>
  <c r="T267" i="6"/>
  <c r="BC80" i="6"/>
  <c r="BH61" i="6"/>
  <c r="R287" i="6"/>
  <c r="R286" i="6" s="1"/>
  <c r="AY249" i="6"/>
  <c r="BG129" i="6"/>
  <c r="S764" i="6"/>
  <c r="S763" i="6"/>
  <c r="S765" i="6"/>
  <c r="S777" i="6"/>
  <c r="AZ162" i="6"/>
  <c r="BF163" i="6"/>
  <c r="BF409" i="6"/>
  <c r="BF122" i="6"/>
  <c r="BF123" i="6"/>
  <c r="BF124" i="6"/>
  <c r="BF772" i="6"/>
  <c r="R162" i="6"/>
  <c r="AT162" i="6"/>
  <c r="BD132" i="6"/>
  <c r="BD131" i="6" s="1"/>
  <c r="AX68" i="6"/>
  <c r="BB68" i="6"/>
  <c r="BF68" i="6"/>
  <c r="BJ68" i="6"/>
  <c r="BE142" i="6"/>
  <c r="BE162" i="6"/>
  <c r="BC126" i="6"/>
  <c r="T280" i="6"/>
  <c r="S325" i="6"/>
  <c r="S81" i="6"/>
  <c r="AW56" i="6"/>
  <c r="BH74" i="6"/>
  <c r="BH79" i="6"/>
  <c r="BF80" i="6"/>
  <c r="BF57" i="6"/>
  <c r="BF58" i="6"/>
  <c r="BF81" i="6"/>
  <c r="BA108" i="6"/>
  <c r="U81" i="6"/>
  <c r="U280" i="6"/>
  <c r="BH58" i="6"/>
  <c r="U373" i="6"/>
  <c r="BI142" i="6"/>
  <c r="AX132" i="6"/>
  <c r="AX131" i="6" s="1"/>
  <c r="AX119" i="6"/>
  <c r="T229" i="6"/>
  <c r="T231" i="6" s="1"/>
  <c r="T237" i="6" s="1"/>
  <c r="U371" i="6"/>
  <c r="U372" i="6"/>
  <c r="T11" i="25"/>
  <c r="BH163" i="6"/>
  <c r="BI163" i="6"/>
  <c r="R236" i="6"/>
  <c r="BB143" i="6"/>
  <c r="U122" i="6"/>
  <c r="U123" i="6"/>
  <c r="U124" i="6"/>
  <c r="Y25" i="20"/>
  <c r="Z24" i="20"/>
  <c r="AZ58" i="6"/>
  <c r="BH93" i="6"/>
  <c r="BJ80" i="6"/>
  <c r="AY58" i="6"/>
  <c r="AW111" i="6"/>
  <c r="AZ81" i="6"/>
  <c r="AB22" i="25"/>
  <c r="BD56" i="6"/>
  <c r="BD79" i="6"/>
  <c r="BH242" i="6"/>
  <c r="BD242" i="6"/>
  <c r="AZ242" i="6"/>
  <c r="T81" i="6"/>
  <c r="AN163" i="6"/>
  <c r="Q143" i="6"/>
  <c r="T116" i="6"/>
  <c r="T117" i="6" s="1"/>
  <c r="BE119" i="6"/>
  <c r="BF61" i="6"/>
  <c r="AX58" i="6"/>
  <c r="S280" i="6"/>
  <c r="BB61" i="6"/>
  <c r="AI137" i="6"/>
  <c r="BE49" i="6"/>
  <c r="BD94" i="6"/>
  <c r="BA162" i="6"/>
  <c r="BI162" i="6"/>
  <c r="BI129" i="6"/>
  <c r="BJ162" i="6"/>
  <c r="BJ129" i="6"/>
  <c r="AV84" i="6"/>
  <c r="AV83" i="6" s="1"/>
  <c r="AV56" i="6"/>
  <c r="BC79" i="6"/>
  <c r="BC56" i="6"/>
  <c r="BC242" i="6"/>
  <c r="BC243" i="6"/>
  <c r="BC249" i="6" s="1"/>
  <c r="BC88" i="6"/>
  <c r="BC57" i="6"/>
  <c r="BC129" i="6"/>
  <c r="BC244" i="6"/>
  <c r="BC81" i="6"/>
  <c r="BC94" i="6"/>
  <c r="BG74" i="6"/>
  <c r="BG242" i="6"/>
  <c r="BG365" i="6"/>
  <c r="BG95" i="6"/>
  <c r="BD57" i="6"/>
  <c r="BD80" i="6"/>
  <c r="BH80" i="6"/>
  <c r="BI88" i="6"/>
  <c r="BI93" i="6" s="1"/>
  <c r="BI57" i="6"/>
  <c r="BI244" i="6"/>
  <c r="BI89" i="6"/>
  <c r="BI94" i="6" s="1"/>
  <c r="BI58" i="6"/>
  <c r="T107" i="6"/>
  <c r="S107" i="6"/>
  <c r="T108" i="6"/>
  <c r="S108" i="6"/>
  <c r="BB108" i="6"/>
  <c r="BB111" i="6"/>
  <c r="T61" i="6"/>
  <c r="T16" i="25" s="1"/>
  <c r="S61" i="6"/>
  <c r="S16" i="25" s="1"/>
  <c r="T68" i="6"/>
  <c r="S68" i="6"/>
  <c r="BA68" i="6"/>
  <c r="BA61" i="6"/>
  <c r="BE68" i="6"/>
  <c r="BI61" i="6"/>
  <c r="BA119" i="6"/>
  <c r="BE143" i="6"/>
  <c r="BC111" i="6"/>
  <c r="BI80" i="6"/>
  <c r="S142" i="6"/>
  <c r="R258" i="6"/>
  <c r="AC33" i="25"/>
  <c r="Y22" i="25"/>
  <c r="Y68" i="6" s="1"/>
  <c r="Y33" i="25"/>
  <c r="AW88" i="6"/>
  <c r="BA80" i="6"/>
  <c r="AZ56" i="6"/>
  <c r="U125" i="6"/>
  <c r="U126" i="6" s="1"/>
  <c r="BJ84" i="6"/>
  <c r="BJ83" i="6" s="1"/>
  <c r="BE126" i="6"/>
  <c r="BF95" i="6"/>
  <c r="BF74" i="6"/>
  <c r="AV88" i="6"/>
  <c r="AZ80" i="6"/>
  <c r="U249" i="6"/>
  <c r="U252" i="6" s="1"/>
  <c r="R248" i="6"/>
  <c r="BE56" i="6"/>
  <c r="BE242" i="6"/>
  <c r="BI242" i="6"/>
  <c r="BI84" i="6"/>
  <c r="BI83" i="6" s="1"/>
  <c r="BJ244" i="6"/>
  <c r="BJ81" i="6"/>
  <c r="BJ89" i="6"/>
  <c r="BJ94" i="6" s="1"/>
  <c r="R51" i="6"/>
  <c r="R64" i="6" s="1"/>
  <c r="R267" i="6"/>
  <c r="R63" i="6"/>
  <c r="S63" i="6"/>
  <c r="AY248" i="6"/>
  <c r="BC248" i="6"/>
  <c r="BG248" i="6"/>
  <c r="S163" i="6"/>
  <c r="BB142" i="6"/>
  <c r="BB162" i="6"/>
  <c r="BB129" i="6"/>
  <c r="BF129" i="6"/>
  <c r="BJ142" i="6"/>
  <c r="BJ126" i="6" s="1"/>
  <c r="BD143" i="6"/>
  <c r="BD126" i="6"/>
  <c r="BC162" i="6"/>
  <c r="R192" i="6"/>
  <c r="AX192" i="6"/>
  <c r="U11" i="25"/>
  <c r="U61" i="6"/>
  <c r="U16" i="25" s="1"/>
  <c r="U68" i="6"/>
  <c r="U267" i="6"/>
  <c r="U248" i="6"/>
  <c r="AX255" i="6"/>
  <c r="AY162" i="6"/>
  <c r="T371" i="6"/>
  <c r="T372" i="6"/>
  <c r="T365" i="6"/>
  <c r="T373" i="6"/>
  <c r="T370" i="6"/>
  <c r="T234" i="6"/>
  <c r="T233" i="6"/>
  <c r="BL68" i="6"/>
  <c r="BL61" i="6"/>
  <c r="BH143" i="6"/>
  <c r="U119" i="6"/>
  <c r="U142" i="6"/>
  <c r="U143" i="6"/>
  <c r="U304" i="6"/>
  <c r="BI243" i="6"/>
  <c r="BI252" i="6" s="1"/>
  <c r="BH126" i="6"/>
  <c r="BG163" i="6"/>
  <c r="BP47" i="6"/>
  <c r="BJ163" i="6"/>
  <c r="X22" i="25"/>
  <c r="X44" i="25"/>
  <c r="X68" i="6" s="1"/>
  <c r="AB33" i="25"/>
  <c r="AM163" i="6"/>
  <c r="AJ136" i="6"/>
  <c r="AO119" i="6"/>
  <c r="AO137" i="6" s="1"/>
  <c r="BC142" i="6"/>
  <c r="AP119" i="6"/>
  <c r="O162" i="6"/>
  <c r="AU87" i="6"/>
  <c r="BB99" i="6"/>
  <c r="P87" i="6"/>
  <c r="AI167" i="6"/>
  <c r="Q64" i="6"/>
  <c r="BB93" i="6"/>
  <c r="AX252" i="6"/>
  <c r="P52" i="6"/>
  <c r="AX100" i="6"/>
  <c r="AY119" i="6"/>
  <c r="Q270" i="6"/>
  <c r="Q273" i="6" s="1"/>
  <c r="Q62" i="6"/>
  <c r="Q17" i="25" s="1"/>
  <c r="Q264" i="6"/>
  <c r="AX87" i="6"/>
  <c r="P13" i="25"/>
  <c r="AY10" i="6"/>
  <c r="Q13" i="25"/>
  <c r="Q69" i="6"/>
  <c r="Q272" i="6"/>
  <c r="AJ167" i="6"/>
  <c r="AK136" i="6"/>
  <c r="Q52" i="6"/>
  <c r="Q337" i="6"/>
  <c r="AK137" i="6"/>
  <c r="R142" i="6"/>
  <c r="R304" i="6"/>
  <c r="AM162" i="6"/>
  <c r="BH188" i="6"/>
  <c r="BF188" i="6"/>
  <c r="U107" i="6"/>
  <c r="BD163" i="6"/>
  <c r="U369" i="6"/>
  <c r="BC163" i="6"/>
  <c r="BC172" i="6" s="1"/>
  <c r="BB163" i="6"/>
  <c r="BB172" i="6" s="1"/>
  <c r="AU142" i="6"/>
  <c r="P129" i="6"/>
  <c r="P142" i="6"/>
  <c r="AO163" i="6"/>
  <c r="Q236" i="6"/>
  <c r="Q234" i="6"/>
  <c r="Q233" i="6"/>
  <c r="S229" i="6"/>
  <c r="AT119" i="6"/>
  <c r="Q231" i="6"/>
  <c r="Q237" i="6" s="1"/>
  <c r="AT142" i="6"/>
  <c r="AT129" i="6"/>
  <c r="AY143" i="6"/>
  <c r="AX143" i="6"/>
  <c r="N162" i="6"/>
  <c r="N161" i="6" s="1"/>
  <c r="AY142" i="6"/>
  <c r="AU119" i="6"/>
  <c r="AL163" i="6"/>
  <c r="AU143" i="6"/>
  <c r="AT143" i="6"/>
  <c r="AQ119" i="6"/>
  <c r="Q129" i="6"/>
  <c r="Q142" i="6"/>
  <c r="Q119" i="6"/>
  <c r="Q162" i="6"/>
  <c r="O119" i="6"/>
  <c r="N192" i="6"/>
  <c r="P192" i="6"/>
  <c r="P206" i="6" s="1"/>
  <c r="R370" i="6"/>
  <c r="Q131" i="20"/>
  <c r="Q323" i="6"/>
  <c r="Q326" i="6" s="1"/>
  <c r="Q258" i="6"/>
  <c r="Q262" i="6" s="1"/>
  <c r="Q266" i="6"/>
  <c r="Q274" i="6"/>
  <c r="AZ108" i="6"/>
  <c r="BF162" i="6"/>
  <c r="U129" i="6"/>
  <c r="Y129" i="6" s="1"/>
  <c r="Z129" i="6" s="1"/>
  <c r="AA129" i="6" s="1"/>
  <c r="AB129" i="6" s="1"/>
  <c r="AC129" i="6" s="1"/>
  <c r="AD129" i="6" s="1"/>
  <c r="BG119" i="6"/>
  <c r="T162" i="6"/>
  <c r="AY56" i="6"/>
  <c r="S305" i="6"/>
  <c r="S79" i="6"/>
  <c r="S84" i="6"/>
  <c r="S110" i="6"/>
  <c r="T79" i="6"/>
  <c r="AX56" i="6"/>
  <c r="S51" i="6"/>
  <c r="BA79" i="6"/>
  <c r="BA56" i="6"/>
  <c r="BA242" i="6"/>
  <c r="BA365" i="6"/>
  <c r="BA243" i="6"/>
  <c r="BA129" i="6"/>
  <c r="BA88" i="6"/>
  <c r="BA244" i="6"/>
  <c r="BA58" i="6"/>
  <c r="BA84" i="6"/>
  <c r="BE79" i="6"/>
  <c r="BI79" i="6"/>
  <c r="BI365" i="6"/>
  <c r="BI95" i="6"/>
  <c r="BG88" i="6"/>
  <c r="BG80" i="6"/>
  <c r="BG57" i="6"/>
  <c r="BK81" i="6"/>
  <c r="BG244" i="6"/>
  <c r="BG89" i="6"/>
  <c r="BG81" i="6"/>
  <c r="BG58" i="6"/>
  <c r="BG84" i="6"/>
  <c r="AZ107" i="6"/>
  <c r="AV110" i="6"/>
  <c r="BC110" i="6"/>
  <c r="BC107" i="6"/>
  <c r="BE94" i="6"/>
  <c r="S248" i="6"/>
  <c r="T63" i="6"/>
  <c r="AY68" i="6"/>
  <c r="BC68" i="6"/>
  <c r="BC61" i="6"/>
  <c r="BG61" i="6"/>
  <c r="BG68" i="6"/>
  <c r="BA248" i="6"/>
  <c r="BA255" i="6" s="1"/>
  <c r="BC49" i="6"/>
  <c r="BE248" i="6"/>
  <c r="BE255" i="6" s="1"/>
  <c r="BG49" i="6"/>
  <c r="BI248" i="6"/>
  <c r="BI49" i="6"/>
  <c r="T142" i="6"/>
  <c r="S162" i="6"/>
  <c r="S304" i="6"/>
  <c r="S129" i="6"/>
  <c r="S119" i="6"/>
  <c r="P163" i="6"/>
  <c r="P143" i="6"/>
  <c r="AZ119" i="6"/>
  <c r="AZ129" i="6"/>
  <c r="BD142" i="6"/>
  <c r="BD162" i="6"/>
  <c r="BD119" i="6"/>
  <c r="BD129" i="6"/>
  <c r="BH142" i="6"/>
  <c r="BF143" i="6"/>
  <c r="BF126" i="6"/>
  <c r="BJ143" i="6"/>
  <c r="AT163" i="6"/>
  <c r="AU163" i="6"/>
  <c r="AU172" i="6" s="1"/>
  <c r="AZ79" i="6"/>
  <c r="AZ110" i="6"/>
  <c r="AZ244" i="6"/>
  <c r="AZ84" i="6"/>
  <c r="AZ83" i="6" s="1"/>
  <c r="BH95" i="6"/>
  <c r="BH84" i="6"/>
  <c r="BH83" i="6" s="1"/>
  <c r="BF243" i="6"/>
  <c r="BF252" i="6" s="1"/>
  <c r="BF244" i="6"/>
  <c r="BF84" i="6"/>
  <c r="T111" i="6"/>
  <c r="BJ61" i="6"/>
  <c r="AZ248" i="6"/>
  <c r="BB49" i="6"/>
  <c r="O163" i="6"/>
  <c r="O172" i="6" s="1"/>
  <c r="BE163" i="6"/>
  <c r="AP163" i="6"/>
  <c r="BA163" i="6"/>
  <c r="P162" i="6"/>
  <c r="V33" i="25"/>
  <c r="V22" i="25"/>
  <c r="V44" i="25"/>
  <c r="Z44" i="25"/>
  <c r="Z22" i="25"/>
  <c r="Z33" i="25"/>
  <c r="AD33" i="25"/>
  <c r="AD22" i="25"/>
  <c r="AO162" i="6"/>
  <c r="Q235" i="6"/>
  <c r="U242" i="6"/>
  <c r="AZ111" i="6"/>
  <c r="AZ243" i="6"/>
  <c r="AZ249" i="6" s="1"/>
  <c r="R325" i="6"/>
  <c r="BA192" i="6"/>
  <c r="BE192" i="6"/>
  <c r="AV111" i="6"/>
  <c r="BI192" i="6"/>
  <c r="BI208" i="6" s="1"/>
  <c r="BF192" i="6"/>
  <c r="S10" i="25"/>
  <c r="S111" i="6"/>
  <c r="S48" i="6"/>
  <c r="BB79" i="6"/>
  <c r="BB110" i="6"/>
  <c r="BB243" i="6"/>
  <c r="BB249" i="6" s="1"/>
  <c r="BB80" i="6"/>
  <c r="BB244" i="6"/>
  <c r="BB84" i="6"/>
  <c r="BK79" i="6"/>
  <c r="BD243" i="6"/>
  <c r="BD249" i="6" s="1"/>
  <c r="T119" i="6"/>
  <c r="BB119" i="6"/>
  <c r="BG143" i="6"/>
  <c r="AW192" i="6"/>
  <c r="BI373" i="6"/>
  <c r="AS163" i="6"/>
  <c r="AW163" i="6"/>
  <c r="R111" i="6"/>
  <c r="BK61" i="6"/>
  <c r="BD248" i="6"/>
  <c r="BF49" i="6"/>
  <c r="BH248" i="6"/>
  <c r="BH255" i="6" s="1"/>
  <c r="BK49" i="6"/>
  <c r="BJ49" i="6"/>
  <c r="BH49" i="6"/>
  <c r="BC143" i="6"/>
  <c r="BK142" i="6"/>
  <c r="BG243" i="6"/>
  <c r="BG249" i="6" s="1"/>
  <c r="BK80" i="6"/>
  <c r="AZ49" i="6"/>
  <c r="BK143" i="6"/>
  <c r="BA49" i="6"/>
  <c r="T125" i="6"/>
  <c r="BA110" i="6"/>
  <c r="BA111" i="6"/>
  <c r="BA373" i="6"/>
  <c r="BE373" i="6"/>
  <c r="BO47" i="6"/>
  <c r="BK68" i="6"/>
  <c r="T110" i="6"/>
  <c r="T51" i="6"/>
  <c r="T84" i="6"/>
  <c r="AW110" i="6"/>
  <c r="R107" i="6"/>
  <c r="U116" i="6"/>
  <c r="U117" i="6" s="1"/>
  <c r="BC119" i="6"/>
  <c r="BF119" i="6"/>
  <c r="BN47" i="6"/>
  <c r="AX49" i="6"/>
  <c r="AW49" i="6"/>
  <c r="AY49" i="6"/>
  <c r="BB248" i="6"/>
  <c r="BD49" i="6"/>
  <c r="BF248" i="6"/>
  <c r="BF255" i="6" s="1"/>
  <c r="BJ248" i="6"/>
  <c r="BJ255" i="6" s="1"/>
  <c r="S11" i="25"/>
  <c r="BH119" i="6"/>
  <c r="R11" i="25"/>
  <c r="U231" i="6"/>
  <c r="U237" i="6" s="1"/>
  <c r="AY132" i="6"/>
  <c r="Q304" i="6"/>
  <c r="BO177" i="6"/>
  <c r="AK167" i="6"/>
  <c r="AK168" i="6"/>
  <c r="V45" i="25"/>
  <c r="V69" i="6" s="1"/>
  <c r="V34" i="25"/>
  <c r="Y45" i="25"/>
  <c r="Y34" i="25"/>
  <c r="Y23" i="25"/>
  <c r="W33" i="25"/>
  <c r="W22" i="25"/>
  <c r="W44" i="25"/>
  <c r="W68" i="6" s="1"/>
  <c r="AA44" i="25"/>
  <c r="AA22" i="25"/>
  <c r="X83" i="6"/>
  <c r="X277" i="6"/>
  <c r="Q255" i="6"/>
  <c r="Q245" i="6"/>
  <c r="AT87" i="6"/>
  <c r="Z62" i="6"/>
  <c r="AA62" i="6" s="1"/>
  <c r="AH137" i="6"/>
  <c r="P323" i="6"/>
  <c r="P326" i="6" s="1"/>
  <c r="X371" i="6"/>
  <c r="Y371" i="6" s="1"/>
  <c r="Z371" i="6" s="1"/>
  <c r="AA371" i="6" s="1"/>
  <c r="AB371" i="6" s="1"/>
  <c r="AC371" i="6" s="1"/>
  <c r="AD371" i="6" s="1"/>
  <c r="X372" i="6"/>
  <c r="AY94" i="6"/>
  <c r="AY100" i="6"/>
  <c r="AY87" i="6"/>
  <c r="AQ162" i="6"/>
  <c r="N119" i="6"/>
  <c r="AN119" i="6"/>
  <c r="O192" i="6"/>
  <c r="Q192" i="6"/>
  <c r="X370" i="6"/>
  <c r="Y370" i="6" s="1"/>
  <c r="Z370" i="6" s="1"/>
  <c r="AA370" i="6" s="1"/>
  <c r="AB370" i="6" s="1"/>
  <c r="AC370" i="6" s="1"/>
  <c r="AD370" i="6" s="1"/>
  <c r="P119" i="6"/>
  <c r="AL119" i="6"/>
  <c r="AL136" i="6" s="1"/>
  <c r="Q327" i="6" l="1"/>
  <c r="Y69" i="6"/>
  <c r="BC219" i="6"/>
  <c r="BC220" i="6"/>
  <c r="BC221" i="6"/>
  <c r="BC222" i="6"/>
  <c r="BC218" i="6"/>
  <c r="BD219" i="6"/>
  <c r="BD221" i="6"/>
  <c r="BD220" i="6"/>
  <c r="BD222" i="6"/>
  <c r="BD218" i="6"/>
  <c r="AY220" i="6"/>
  <c r="AY222" i="6"/>
  <c r="AY219" i="6"/>
  <c r="AY221" i="6"/>
  <c r="AY218" i="6"/>
  <c r="BF222" i="6"/>
  <c r="BF220" i="6"/>
  <c r="BF219" i="6"/>
  <c r="BF221" i="6"/>
  <c r="BF218" i="6"/>
  <c r="S222" i="6"/>
  <c r="S221" i="6"/>
  <c r="S220" i="6"/>
  <c r="S219" i="6"/>
  <c r="S218" i="6"/>
  <c r="BF171" i="6"/>
  <c r="Q222" i="6"/>
  <c r="Q220" i="6"/>
  <c r="Q221" i="6"/>
  <c r="Q219" i="6"/>
  <c r="Q218" i="6"/>
  <c r="AU222" i="6"/>
  <c r="AU220" i="6"/>
  <c r="AU219" i="6"/>
  <c r="AU221" i="6"/>
  <c r="AU218" i="6"/>
  <c r="BJ221" i="6"/>
  <c r="BJ220" i="6"/>
  <c r="BJ222" i="6"/>
  <c r="BJ219" i="6"/>
  <c r="BJ218" i="6"/>
  <c r="AZ219" i="6"/>
  <c r="AZ222" i="6"/>
  <c r="AZ221" i="6"/>
  <c r="AZ220" i="6"/>
  <c r="AZ218" i="6"/>
  <c r="U222" i="6"/>
  <c r="U220" i="6"/>
  <c r="U221" i="6"/>
  <c r="U219" i="6"/>
  <c r="U218" i="6"/>
  <c r="BH219" i="6"/>
  <c r="BH221" i="6"/>
  <c r="BH222" i="6"/>
  <c r="BH220" i="6"/>
  <c r="BH218" i="6"/>
  <c r="T221" i="6"/>
  <c r="T219" i="6"/>
  <c r="T222" i="6"/>
  <c r="T220" i="6"/>
  <c r="T218" i="6"/>
  <c r="BG221" i="6"/>
  <c r="BG220" i="6"/>
  <c r="BG222" i="6"/>
  <c r="BG219" i="6"/>
  <c r="BG218" i="6"/>
  <c r="O222" i="6"/>
  <c r="O221" i="6"/>
  <c r="O220" i="6"/>
  <c r="O219" i="6"/>
  <c r="O218" i="6"/>
  <c r="N217" i="6"/>
  <c r="BD172" i="6"/>
  <c r="BA220" i="6"/>
  <c r="BA221" i="6"/>
  <c r="BA222" i="6"/>
  <c r="BA219" i="6"/>
  <c r="BA218" i="6"/>
  <c r="BE221" i="6"/>
  <c r="BE220" i="6"/>
  <c r="BE222" i="6"/>
  <c r="BE219" i="6"/>
  <c r="BE218" i="6"/>
  <c r="AX219" i="6"/>
  <c r="AX221" i="6"/>
  <c r="AX220" i="6"/>
  <c r="AX222" i="6"/>
  <c r="AX218" i="6"/>
  <c r="P221" i="6"/>
  <c r="P219" i="6"/>
  <c r="P222" i="6"/>
  <c r="P220" i="6"/>
  <c r="P218" i="6"/>
  <c r="BB221" i="6"/>
  <c r="BB219" i="6"/>
  <c r="BB220" i="6"/>
  <c r="BB222" i="6"/>
  <c r="BB218" i="6"/>
  <c r="AT221" i="6"/>
  <c r="AT222" i="6"/>
  <c r="AT219" i="6"/>
  <c r="AT220" i="6"/>
  <c r="AT218" i="6"/>
  <c r="Q16" i="6"/>
  <c r="AU16" i="6"/>
  <c r="BJ16" i="6"/>
  <c r="P16" i="6"/>
  <c r="N222" i="6"/>
  <c r="N219" i="6"/>
  <c r="N220" i="6"/>
  <c r="N221" i="6"/>
  <c r="N218" i="6"/>
  <c r="AZ16" i="6"/>
  <c r="T16" i="6"/>
  <c r="BE16" i="6"/>
  <c r="AX16" i="6"/>
  <c r="AT16" i="6"/>
  <c r="BD377" i="6"/>
  <c r="BD16" i="6"/>
  <c r="AY377" i="6"/>
  <c r="AY16" i="6"/>
  <c r="AY28" i="6" s="1"/>
  <c r="BA377" i="6"/>
  <c r="BA16" i="6"/>
  <c r="BF377" i="6"/>
  <c r="BF16" i="6"/>
  <c r="S377" i="6"/>
  <c r="S16" i="6"/>
  <c r="BG377" i="6"/>
  <c r="BG16" i="6"/>
  <c r="O377" i="6"/>
  <c r="O16" i="6"/>
  <c r="P28" i="6" s="1"/>
  <c r="U377" i="6"/>
  <c r="U16" i="6"/>
  <c r="BH377" i="6"/>
  <c r="BH16" i="6"/>
  <c r="N377" i="6"/>
  <c r="N16" i="6"/>
  <c r="BC377" i="6"/>
  <c r="BC16" i="6"/>
  <c r="BB377" i="6"/>
  <c r="BB16" i="6"/>
  <c r="AW172" i="6"/>
  <c r="P171" i="6"/>
  <c r="BD171" i="6"/>
  <c r="BE482" i="6"/>
  <c r="BE488" i="6"/>
  <c r="BA172" i="6"/>
  <c r="BE172" i="6"/>
  <c r="P172" i="6"/>
  <c r="S171" i="6"/>
  <c r="BG180" i="6"/>
  <c r="BG172" i="6"/>
  <c r="BK172" i="6"/>
  <c r="BI180" i="6"/>
  <c r="BI172" i="6"/>
  <c r="R178" i="6"/>
  <c r="R171" i="6"/>
  <c r="BG171" i="6"/>
  <c r="BK171" i="6"/>
  <c r="AT172" i="6"/>
  <c r="BJ178" i="6"/>
  <c r="BJ177" i="6" s="1"/>
  <c r="BN177" i="6" s="1"/>
  <c r="BJ171" i="6"/>
  <c r="BA178" i="6"/>
  <c r="BH180" i="6"/>
  <c r="BH172" i="6"/>
  <c r="T171" i="6"/>
  <c r="BF180" i="6"/>
  <c r="BF172" i="6"/>
  <c r="AY172" i="6"/>
  <c r="Q171" i="6"/>
  <c r="O178" i="6"/>
  <c r="O171" i="6"/>
  <c r="BJ180" i="6"/>
  <c r="BJ172" i="6"/>
  <c r="BC171" i="6"/>
  <c r="BI178" i="6"/>
  <c r="BI171" i="6"/>
  <c r="BE171" i="6"/>
  <c r="BH171" i="6"/>
  <c r="Q172" i="6"/>
  <c r="T172" i="6"/>
  <c r="AX172" i="6"/>
  <c r="BE458" i="6"/>
  <c r="U458" i="6"/>
  <c r="U459" i="6" s="1"/>
  <c r="BD51" i="6"/>
  <c r="AX51" i="6"/>
  <c r="AZ51" i="6"/>
  <c r="BA51" i="6"/>
  <c r="BF51" i="6"/>
  <c r="BB51" i="6"/>
  <c r="BE10" i="6"/>
  <c r="BI10" i="6"/>
  <c r="BL10" i="6"/>
  <c r="AV10" i="6"/>
  <c r="T203" i="6"/>
  <c r="T377" i="6"/>
  <c r="AX201" i="6"/>
  <c r="AX377" i="6"/>
  <c r="AZ377" i="6"/>
  <c r="AT201" i="6"/>
  <c r="AT377" i="6"/>
  <c r="AU377" i="6"/>
  <c r="BE137" i="6"/>
  <c r="BE377" i="6"/>
  <c r="BJ366" i="6"/>
  <c r="BJ377" i="6"/>
  <c r="Y372" i="6"/>
  <c r="BO372" i="6"/>
  <c r="BH182" i="6"/>
  <c r="BH165" i="6"/>
  <c r="U182" i="6"/>
  <c r="U165" i="6"/>
  <c r="BF182" i="6"/>
  <c r="BF165" i="6"/>
  <c r="BG182" i="6"/>
  <c r="BG165" i="6"/>
  <c r="AV87" i="6"/>
  <c r="BH99" i="6"/>
  <c r="BD87" i="6"/>
  <c r="BE90" i="6"/>
  <c r="BE95" i="6" s="1"/>
  <c r="BE87" i="6"/>
  <c r="BC99" i="6"/>
  <c r="BC90" i="6"/>
  <c r="BC95" i="6" s="1"/>
  <c r="BJ152" i="6"/>
  <c r="AM137" i="6"/>
  <c r="AM136" i="6"/>
  <c r="U88" i="6"/>
  <c r="U93" i="6" s="1"/>
  <c r="BJ153" i="6"/>
  <c r="BJ149" i="6"/>
  <c r="BJ136" i="6"/>
  <c r="BN155" i="6"/>
  <c r="BK158" i="6"/>
  <c r="BK159" i="6"/>
  <c r="BJ137" i="6"/>
  <c r="BN156" i="6"/>
  <c r="BF405" i="6"/>
  <c r="BL74" i="6"/>
  <c r="BM74" i="6" s="1"/>
  <c r="BN74" i="6" s="1"/>
  <c r="BO74" i="6" s="1"/>
  <c r="BP74" i="6" s="1"/>
  <c r="BF94" i="6"/>
  <c r="BF92" i="6" s="1"/>
  <c r="AL161" i="6"/>
  <c r="U766" i="6"/>
  <c r="Q19" i="25"/>
  <c r="T161" i="6"/>
  <c r="T217" i="6" s="1"/>
  <c r="R132" i="6"/>
  <c r="R62" i="6"/>
  <c r="R17" i="25" s="1"/>
  <c r="BK51" i="6"/>
  <c r="BC51" i="6"/>
  <c r="BE51" i="6"/>
  <c r="BH51" i="6"/>
  <c r="AY51" i="6"/>
  <c r="AY52" i="6" s="1"/>
  <c r="BJ51" i="6"/>
  <c r="BG51" i="6"/>
  <c r="AN161" i="6"/>
  <c r="BH178" i="6"/>
  <c r="BB245" i="6"/>
  <c r="BE93" i="6"/>
  <c r="BE92" i="6" s="1"/>
  <c r="BJ99" i="6"/>
  <c r="R69" i="6"/>
  <c r="BH87" i="6"/>
  <c r="BD141" i="6"/>
  <c r="BD93" i="6"/>
  <c r="BD92" i="6" s="1"/>
  <c r="BD90" i="6"/>
  <c r="BD95" i="6" s="1"/>
  <c r="BH252" i="6"/>
  <c r="U264" i="6"/>
  <c r="AR162" i="6"/>
  <c r="AR178" i="6" s="1"/>
  <c r="AR177" i="6" s="1"/>
  <c r="S323" i="6"/>
  <c r="BC178" i="6"/>
  <c r="S766" i="6"/>
  <c r="S272" i="6"/>
  <c r="U261" i="6"/>
  <c r="T88" i="6"/>
  <c r="T93" i="6" s="1"/>
  <c r="S271" i="6"/>
  <c r="S270" i="6" s="1"/>
  <c r="S273" i="6" s="1"/>
  <c r="BE252" i="6"/>
  <c r="Q261" i="6"/>
  <c r="U250" i="6"/>
  <c r="U253" i="6" s="1"/>
  <c r="U251" i="6" s="1"/>
  <c r="U254" i="6" s="1"/>
  <c r="BI249" i="6"/>
  <c r="BI250" i="6" s="1"/>
  <c r="BI247" i="6" s="1"/>
  <c r="BI253" i="6" s="1"/>
  <c r="BI251" i="6" s="1"/>
  <c r="BF159" i="6"/>
  <c r="R245" i="6"/>
  <c r="BH100" i="6"/>
  <c r="BB208" i="6"/>
  <c r="U108" i="6"/>
  <c r="BJ249" i="6"/>
  <c r="BJ250" i="6" s="1"/>
  <c r="BJ247" i="6" s="1"/>
  <c r="BJ253" i="6" s="1"/>
  <c r="BJ251" i="6" s="1"/>
  <c r="BJ254" i="6" s="1"/>
  <c r="BA200" i="6"/>
  <c r="S768" i="6"/>
  <c r="AZ250" i="6"/>
  <c r="AZ247" i="6" s="1"/>
  <c r="AZ253" i="6" s="1"/>
  <c r="BB209" i="6"/>
  <c r="BG200" i="6"/>
  <c r="AZ245" i="6"/>
  <c r="AY92" i="6"/>
  <c r="S341" i="6"/>
  <c r="T341" i="6" s="1"/>
  <c r="U341" i="6" s="1"/>
  <c r="V341" i="6" s="1"/>
  <c r="W341" i="6" s="1"/>
  <c r="X341" i="6" s="1"/>
  <c r="Y341" i="6" s="1"/>
  <c r="Z341" i="6" s="1"/>
  <c r="AA341" i="6" s="1"/>
  <c r="AB341" i="6" s="1"/>
  <c r="AC341" i="6" s="1"/>
  <c r="AD341" i="6" s="1"/>
  <c r="R231" i="6"/>
  <c r="R237" i="6" s="1"/>
  <c r="AY200" i="6"/>
  <c r="Q250" i="6"/>
  <c r="Q253" i="6" s="1"/>
  <c r="Q251" i="6" s="1"/>
  <c r="Q254" i="6" s="1"/>
  <c r="R235" i="6"/>
  <c r="S767" i="6"/>
  <c r="T264" i="6"/>
  <c r="U48" i="6"/>
  <c r="BF161" i="6"/>
  <c r="BF217" i="6" s="1"/>
  <c r="U768" i="6"/>
  <c r="BE200" i="6"/>
  <c r="AY250" i="6"/>
  <c r="AY247" i="6" s="1"/>
  <c r="AY253" i="6" s="1"/>
  <c r="AY251" i="6" s="1"/>
  <c r="AY254" i="6" s="1"/>
  <c r="T262" i="6"/>
  <c r="AV129" i="6"/>
  <c r="BE366" i="6"/>
  <c r="BI156" i="6"/>
  <c r="T235" i="6"/>
  <c r="T201" i="6"/>
  <c r="T136" i="6"/>
  <c r="Q265" i="6"/>
  <c r="BE152" i="6"/>
  <c r="BE201" i="6"/>
  <c r="BI155" i="6"/>
  <c r="T202" i="6"/>
  <c r="AY192" i="6"/>
  <c r="AV162" i="6"/>
  <c r="AZ171" i="6" s="1"/>
  <c r="BE202" i="6"/>
  <c r="BE153" i="6"/>
  <c r="BF158" i="6"/>
  <c r="BC69" i="6"/>
  <c r="BG366" i="6"/>
  <c r="AA275" i="6"/>
  <c r="AX199" i="6"/>
  <c r="U141" i="6"/>
  <c r="T137" i="6"/>
  <c r="T366" i="6"/>
  <c r="BC161" i="6"/>
  <c r="BC217" i="6" s="1"/>
  <c r="BJ245" i="6"/>
  <c r="AY245" i="6"/>
  <c r="BG203" i="6"/>
  <c r="R373" i="6"/>
  <c r="BG250" i="6"/>
  <c r="BG247" i="6" s="1"/>
  <c r="BG253" i="6" s="1"/>
  <c r="AX202" i="6"/>
  <c r="BJ92" i="6"/>
  <c r="BG152" i="6"/>
  <c r="AB275" i="6"/>
  <c r="BB156" i="6"/>
  <c r="AX203" i="6"/>
  <c r="BA158" i="6"/>
  <c r="BH161" i="6"/>
  <c r="BH217" i="6" s="1"/>
  <c r="BB206" i="6"/>
  <c r="BB199" i="6"/>
  <c r="BH92" i="6"/>
  <c r="BB207" i="6"/>
  <c r="BJ161" i="6"/>
  <c r="BJ217" i="6" s="1"/>
  <c r="AZ161" i="6"/>
  <c r="AZ217" i="6" s="1"/>
  <c r="AZ178" i="6"/>
  <c r="AY255" i="6"/>
  <c r="AR119" i="6"/>
  <c r="AR136" i="6" s="1"/>
  <c r="AX162" i="6"/>
  <c r="BB171" i="6" s="1"/>
  <c r="AX137" i="6"/>
  <c r="BI161" i="6"/>
  <c r="AZ142" i="6"/>
  <c r="AX366" i="6"/>
  <c r="AX136" i="6"/>
  <c r="AU192" i="6"/>
  <c r="AU208" i="6" s="1"/>
  <c r="AV142" i="6"/>
  <c r="AX200" i="6"/>
  <c r="BB155" i="6"/>
  <c r="S131" i="6"/>
  <c r="BG153" i="6"/>
  <c r="BH158" i="6"/>
  <c r="BG201" i="6"/>
  <c r="BC62" i="6"/>
  <c r="R371" i="6"/>
  <c r="AP162" i="6"/>
  <c r="AP178" i="6" s="1"/>
  <c r="AP177" i="6" s="1"/>
  <c r="BI100" i="6"/>
  <c r="T249" i="6"/>
  <c r="R83" i="6"/>
  <c r="R277" i="6"/>
  <c r="BP68" i="6"/>
  <c r="BB178" i="6"/>
  <c r="BG137" i="6"/>
  <c r="BC192" i="6"/>
  <c r="BB161" i="6"/>
  <c r="BB217" i="6" s="1"/>
  <c r="BC255" i="6"/>
  <c r="S19" i="25"/>
  <c r="S161" i="6"/>
  <c r="S217" i="6" s="1"/>
  <c r="BG149" i="6"/>
  <c r="BG136" i="6"/>
  <c r="BC252" i="6"/>
  <c r="BI87" i="6"/>
  <c r="U767" i="6"/>
  <c r="BF411" i="6"/>
  <c r="BF453" i="6" s="1"/>
  <c r="BF19" i="6" s="1"/>
  <c r="BF31" i="6" s="1"/>
  <c r="BF609" i="6"/>
  <c r="BF615" i="6"/>
  <c r="BF608" i="6"/>
  <c r="BF616" i="6"/>
  <c r="BF617" i="6"/>
  <c r="BF582" i="6"/>
  <c r="BI621" i="6"/>
  <c r="BI756" i="6"/>
  <c r="BI770" i="6"/>
  <c r="BG409" i="6"/>
  <c r="BG620" i="6"/>
  <c r="T767" i="6"/>
  <c r="V765" i="6"/>
  <c r="V768" i="6" s="1"/>
  <c r="V777" i="6"/>
  <c r="V764" i="6"/>
  <c r="V767" i="6" s="1"/>
  <c r="BJ622" i="6"/>
  <c r="BK622" i="6"/>
  <c r="BK417" i="6"/>
  <c r="AZ756" i="6"/>
  <c r="AZ770" i="6"/>
  <c r="BF164" i="6"/>
  <c r="S778" i="6"/>
  <c r="S779" i="6"/>
  <c r="T271" i="6"/>
  <c r="T272" i="6"/>
  <c r="U667" i="6"/>
  <c r="BH164" i="6"/>
  <c r="T778" i="6"/>
  <c r="T779" i="6"/>
  <c r="S261" i="6"/>
  <c r="BK772" i="6"/>
  <c r="BF181" i="6"/>
  <c r="BI411" i="6"/>
  <c r="BI453" i="6" s="1"/>
  <c r="BI19" i="6" s="1"/>
  <c r="BI609" i="6"/>
  <c r="BI615" i="6"/>
  <c r="BI608" i="6"/>
  <c r="BI616" i="6"/>
  <c r="BI617" i="6"/>
  <c r="BH181" i="6"/>
  <c r="T470" i="6"/>
  <c r="T768" i="6"/>
  <c r="BH405" i="6"/>
  <c r="BJ772" i="6"/>
  <c r="AW84" i="6"/>
  <c r="AW83" i="6" s="1"/>
  <c r="BG405" i="6"/>
  <c r="BI622" i="6"/>
  <c r="BJ409" i="6"/>
  <c r="R779" i="6"/>
  <c r="R778" i="6"/>
  <c r="BJ621" i="6"/>
  <c r="BH409" i="6"/>
  <c r="BH620" i="6"/>
  <c r="U779" i="6"/>
  <c r="U778" i="6"/>
  <c r="T766" i="6"/>
  <c r="O137" i="6"/>
  <c r="O136" i="6"/>
  <c r="O200" i="6"/>
  <c r="R234" i="6"/>
  <c r="R233" i="6"/>
  <c r="O202" i="6"/>
  <c r="O201" i="6"/>
  <c r="Q202" i="6"/>
  <c r="AU137" i="6"/>
  <c r="O203" i="6"/>
  <c r="AY201" i="6"/>
  <c r="BC250" i="6"/>
  <c r="BC247" i="6" s="1"/>
  <c r="BC253" i="6" s="1"/>
  <c r="BE132" i="6"/>
  <c r="BE131" i="6" s="1"/>
  <c r="T200" i="6"/>
  <c r="BE178" i="6"/>
  <c r="BD84" i="6"/>
  <c r="BD83" i="6" s="1"/>
  <c r="BD58" i="6"/>
  <c r="BH81" i="6"/>
  <c r="BD81" i="6"/>
  <c r="BD244" i="6"/>
  <c r="AT203" i="6"/>
  <c r="W47" i="6"/>
  <c r="AY161" i="6"/>
  <c r="AY217" i="6" s="1"/>
  <c r="AU201" i="6"/>
  <c r="AU136" i="6"/>
  <c r="BG245" i="6"/>
  <c r="AU202" i="6"/>
  <c r="AU366" i="6"/>
  <c r="R255" i="6"/>
  <c r="U271" i="6"/>
  <c r="U274" i="6" s="1"/>
  <c r="BD245" i="6"/>
  <c r="BE156" i="6"/>
  <c r="V45" i="20"/>
  <c r="AT137" i="6"/>
  <c r="P19" i="25"/>
  <c r="AV163" i="6"/>
  <c r="AO136" i="6"/>
  <c r="AP136" i="6"/>
  <c r="Z25" i="20"/>
  <c r="AA24" i="20"/>
  <c r="BE136" i="6"/>
  <c r="BE149" i="6"/>
  <c r="BE203" i="6"/>
  <c r="BI92" i="6"/>
  <c r="BC245" i="6"/>
  <c r="T126" i="6"/>
  <c r="AX98" i="6"/>
  <c r="BA366" i="6"/>
  <c r="U272" i="6"/>
  <c r="BF249" i="6"/>
  <c r="BF250" i="6" s="1"/>
  <c r="BF247" i="6" s="1"/>
  <c r="BF253" i="6" s="1"/>
  <c r="BF251" i="6" s="1"/>
  <c r="BF254" i="6" s="1"/>
  <c r="AT136" i="6"/>
  <c r="BE141" i="6"/>
  <c r="BB158" i="6"/>
  <c r="BA153" i="6"/>
  <c r="U270" i="6"/>
  <c r="U273" i="6" s="1"/>
  <c r="AZ203" i="6"/>
  <c r="BA137" i="6"/>
  <c r="BD161" i="6"/>
  <c r="BD217" i="6" s="1"/>
  <c r="AM161" i="6"/>
  <c r="BC87" i="6"/>
  <c r="BI99" i="6"/>
  <c r="BA136" i="6"/>
  <c r="BE155" i="6"/>
  <c r="BA152" i="6"/>
  <c r="BC93" i="6"/>
  <c r="BC92" i="6" s="1"/>
  <c r="BC100" i="6"/>
  <c r="BA202" i="6"/>
  <c r="BA203" i="6"/>
  <c r="R52" i="6"/>
  <c r="AX141" i="6"/>
  <c r="BA201" i="6"/>
  <c r="BB159" i="6"/>
  <c r="R261" i="6"/>
  <c r="R262" i="6"/>
  <c r="AY98" i="6"/>
  <c r="AY95" i="6"/>
  <c r="U10" i="25"/>
  <c r="BA245" i="6"/>
  <c r="BA159" i="6"/>
  <c r="AZ201" i="6"/>
  <c r="AY178" i="6"/>
  <c r="AY177" i="6" s="1"/>
  <c r="AZ153" i="6"/>
  <c r="AZ152" i="6"/>
  <c r="AZ136" i="6"/>
  <c r="AP137" i="6"/>
  <c r="BD156" i="6"/>
  <c r="AZ200" i="6"/>
  <c r="AT141" i="6"/>
  <c r="U203" i="6"/>
  <c r="R272" i="6"/>
  <c r="R271" i="6"/>
  <c r="R264" i="6"/>
  <c r="R208" i="6"/>
  <c r="R206" i="6"/>
  <c r="R207" i="6"/>
  <c r="R209" i="6"/>
  <c r="BJ100" i="6"/>
  <c r="BJ87" i="6"/>
  <c r="BJ98" i="6" s="1"/>
  <c r="AX208" i="6"/>
  <c r="AX206" i="6"/>
  <c r="AX209" i="6"/>
  <c r="AX207" i="6"/>
  <c r="U137" i="6"/>
  <c r="AR163" i="6"/>
  <c r="T192" i="6"/>
  <c r="U366" i="6"/>
  <c r="AW129" i="6"/>
  <c r="BG252" i="6"/>
  <c r="U136" i="6"/>
  <c r="U200" i="6"/>
  <c r="S255" i="6"/>
  <c r="T131" i="20"/>
  <c r="N206" i="6"/>
  <c r="R113" i="6"/>
  <c r="R116" i="6" s="1"/>
  <c r="R117" i="6" s="1"/>
  <c r="AV143" i="6"/>
  <c r="AZ143" i="6"/>
  <c r="O177" i="6"/>
  <c r="AV119" i="6"/>
  <c r="AY366" i="6"/>
  <c r="AS162" i="6"/>
  <c r="Q136" i="6"/>
  <c r="Q200" i="6"/>
  <c r="N178" i="6"/>
  <c r="Q137" i="6"/>
  <c r="Q201" i="6"/>
  <c r="BG141" i="6"/>
  <c r="T178" i="6"/>
  <c r="AZ159" i="6"/>
  <c r="AY136" i="6"/>
  <c r="AY203" i="6"/>
  <c r="AX251" i="6"/>
  <c r="AX254" i="6" s="1"/>
  <c r="Q366" i="6"/>
  <c r="BH245" i="6"/>
  <c r="AY141" i="6"/>
  <c r="Q203" i="6"/>
  <c r="AY137" i="6"/>
  <c r="AZ158" i="6"/>
  <c r="BD252" i="6"/>
  <c r="Q113" i="6"/>
  <c r="Q116" i="6" s="1"/>
  <c r="Q117" i="6" s="1"/>
  <c r="N207" i="6"/>
  <c r="N209" i="6"/>
  <c r="R163" i="6"/>
  <c r="S172" i="6" s="1"/>
  <c r="BA142" i="6"/>
  <c r="BC156" i="6"/>
  <c r="AY202" i="6"/>
  <c r="BC155" i="6"/>
  <c r="N208" i="6"/>
  <c r="P161" i="6"/>
  <c r="P217" i="6" s="1"/>
  <c r="AW142" i="6"/>
  <c r="Q275" i="6"/>
  <c r="S64" i="6"/>
  <c r="Q65" i="6"/>
  <c r="AC275" i="6"/>
  <c r="AD276" i="6"/>
  <c r="AD275" i="6" s="1"/>
  <c r="AZ10" i="6"/>
  <c r="R131" i="20"/>
  <c r="BF245" i="6"/>
  <c r="AY63" i="6"/>
  <c r="BH250" i="6"/>
  <c r="BH247" i="6" s="1"/>
  <c r="BH253" i="6" s="1"/>
  <c r="BO68" i="6"/>
  <c r="BI189" i="6"/>
  <c r="BI225" i="6" s="1"/>
  <c r="BI255" i="6" s="1"/>
  <c r="BG188" i="6"/>
  <c r="BG164" i="6" s="1"/>
  <c r="W373" i="6"/>
  <c r="W369" i="6"/>
  <c r="X369" i="6" s="1"/>
  <c r="Y369" i="6" s="1"/>
  <c r="AO161" i="6"/>
  <c r="AR372" i="6"/>
  <c r="AU141" i="6"/>
  <c r="P209" i="6"/>
  <c r="P207" i="6"/>
  <c r="Q178" i="6"/>
  <c r="O161" i="6"/>
  <c r="O217" i="6" s="1"/>
  <c r="R119" i="6"/>
  <c r="S143" i="6"/>
  <c r="R143" i="6"/>
  <c r="AU203" i="6"/>
  <c r="AU200" i="6"/>
  <c r="R365" i="6"/>
  <c r="R372" i="6"/>
  <c r="P208" i="6"/>
  <c r="Q161" i="6"/>
  <c r="Q217" i="6" s="1"/>
  <c r="AQ137" i="6"/>
  <c r="AQ136" i="6"/>
  <c r="AZ252" i="6"/>
  <c r="BG178" i="6"/>
  <c r="S200" i="6"/>
  <c r="AZ255" i="6"/>
  <c r="U111" i="6"/>
  <c r="BF178" i="6"/>
  <c r="BK141" i="6"/>
  <c r="BG202" i="6"/>
  <c r="BK155" i="6"/>
  <c r="BK156" i="6"/>
  <c r="BH159" i="6"/>
  <c r="BG161" i="6"/>
  <c r="BG217" i="6" s="1"/>
  <c r="BI245" i="6"/>
  <c r="BD178" i="6"/>
  <c r="S113" i="6"/>
  <c r="S116" i="6" s="1"/>
  <c r="S117" i="6" s="1"/>
  <c r="BG87" i="6"/>
  <c r="BG99" i="6"/>
  <c r="BG93" i="6"/>
  <c r="BA99" i="6"/>
  <c r="BA93" i="6"/>
  <c r="BE99" i="6"/>
  <c r="BA252" i="6"/>
  <c r="BA249" i="6"/>
  <c r="BA250" i="6" s="1"/>
  <c r="BA247" i="6" s="1"/>
  <c r="BA253" i="6" s="1"/>
  <c r="BE250" i="6"/>
  <c r="BD250" i="6"/>
  <c r="BA161" i="6"/>
  <c r="BA217" i="6" s="1"/>
  <c r="BE161" i="6"/>
  <c r="BE217" i="6" s="1"/>
  <c r="AU132" i="6"/>
  <c r="AU131" i="6" s="1"/>
  <c r="BG63" i="6"/>
  <c r="BA83" i="6"/>
  <c r="BF83" i="6"/>
  <c r="S137" i="6"/>
  <c r="S136" i="6"/>
  <c r="S178" i="6"/>
  <c r="BI63" i="6"/>
  <c r="S83" i="6"/>
  <c r="S277" i="6"/>
  <c r="P178" i="6"/>
  <c r="AT132" i="6"/>
  <c r="BD153" i="6"/>
  <c r="BD152" i="6"/>
  <c r="BD136" i="6"/>
  <c r="BH156" i="6"/>
  <c r="BE159" i="6"/>
  <c r="BD149" i="6"/>
  <c r="BD137" i="6"/>
  <c r="BD201" i="6"/>
  <c r="BD366" i="6"/>
  <c r="BE158" i="6"/>
  <c r="BH155" i="6"/>
  <c r="AZ137" i="6"/>
  <c r="AZ366" i="6"/>
  <c r="BD155" i="6"/>
  <c r="S250" i="6"/>
  <c r="S245" i="6"/>
  <c r="BG83" i="6"/>
  <c r="BG94" i="6"/>
  <c r="U89" i="6"/>
  <c r="U94" i="6" s="1"/>
  <c r="BG100" i="6"/>
  <c r="BE245" i="6"/>
  <c r="BI119" i="6"/>
  <c r="BB252" i="6"/>
  <c r="BD255" i="6"/>
  <c r="BK133" i="6"/>
  <c r="BH56" i="6"/>
  <c r="BG56" i="6"/>
  <c r="U305" i="6"/>
  <c r="U51" i="6"/>
  <c r="U110" i="6"/>
  <c r="BI56" i="6"/>
  <c r="U79" i="6"/>
  <c r="U84" i="6"/>
  <c r="BF56" i="6"/>
  <c r="U365" i="6"/>
  <c r="S203" i="6"/>
  <c r="S235" i="6"/>
  <c r="S233" i="6"/>
  <c r="S236" i="6"/>
  <c r="S234" i="6"/>
  <c r="S231" i="6"/>
  <c r="S237" i="6" s="1"/>
  <c r="AZ192" i="6"/>
  <c r="AZ209" i="6" s="1"/>
  <c r="AV192" i="6"/>
  <c r="S372" i="6"/>
  <c r="S365" i="6"/>
  <c r="S371" i="6"/>
  <c r="S373" i="6"/>
  <c r="S366" i="6"/>
  <c r="S370" i="6"/>
  <c r="R324" i="6"/>
  <c r="R323" i="6" s="1"/>
  <c r="R326" i="6" s="1"/>
  <c r="AU57" i="6"/>
  <c r="R243" i="6"/>
  <c r="R249" i="6" s="1"/>
  <c r="AT57" i="6"/>
  <c r="R80" i="6"/>
  <c r="R88" i="6"/>
  <c r="AW57" i="6"/>
  <c r="AV57" i="6"/>
  <c r="S80" i="6"/>
  <c r="R129" i="6"/>
  <c r="S201" i="6"/>
  <c r="AZ202" i="6"/>
  <c r="BH192" i="6"/>
  <c r="BD133" i="6"/>
  <c r="AZ131" i="6"/>
  <c r="S192" i="6"/>
  <c r="BD202" i="6"/>
  <c r="BD192" i="6"/>
  <c r="BD209" i="6" s="1"/>
  <c r="BD200" i="6"/>
  <c r="AW89" i="6"/>
  <c r="AW87" i="6" s="1"/>
  <c r="AW58" i="6"/>
  <c r="BA81" i="6"/>
  <c r="S202" i="6"/>
  <c r="BD203" i="6"/>
  <c r="BF207" i="6"/>
  <c r="BI206" i="6"/>
  <c r="BK203" i="6"/>
  <c r="BI207" i="6"/>
  <c r="BK202" i="6"/>
  <c r="BE199" i="6"/>
  <c r="BE207" i="6"/>
  <c r="BE209" i="6"/>
  <c r="BE208" i="6"/>
  <c r="BE206" i="6"/>
  <c r="BK200" i="6"/>
  <c r="BK192" i="6"/>
  <c r="BA207" i="6"/>
  <c r="BA208" i="6"/>
  <c r="BA206" i="6"/>
  <c r="BA199" i="6"/>
  <c r="BA209" i="6"/>
  <c r="BK201" i="6"/>
  <c r="BI209" i="6"/>
  <c r="BF206" i="6"/>
  <c r="BF209" i="6"/>
  <c r="BF208" i="6"/>
  <c r="AW162" i="6"/>
  <c r="AZ63" i="6"/>
  <c r="BJ63" i="6"/>
  <c r="BF63" i="6"/>
  <c r="AW143" i="6"/>
  <c r="BA143" i="6"/>
  <c r="AW119" i="6"/>
  <c r="T141" i="6"/>
  <c r="S13" i="25"/>
  <c r="S52" i="6"/>
  <c r="S69" i="6"/>
  <c r="T69" i="6"/>
  <c r="S62" i="6"/>
  <c r="S17" i="25" s="1"/>
  <c r="T62" i="6"/>
  <c r="T17" i="25" s="1"/>
  <c r="BK63" i="6"/>
  <c r="BB83" i="6"/>
  <c r="AS119" i="6"/>
  <c r="AS137" i="6" s="1"/>
  <c r="AW208" i="6"/>
  <c r="AW209" i="6"/>
  <c r="AW206" i="6"/>
  <c r="AW207" i="6"/>
  <c r="BC158" i="6"/>
  <c r="BB149" i="6"/>
  <c r="BB136" i="6"/>
  <c r="BB201" i="6"/>
  <c r="BB366" i="6"/>
  <c r="BB152" i="6"/>
  <c r="BB153" i="6"/>
  <c r="BB202" i="6"/>
  <c r="BB203" i="6"/>
  <c r="BC159" i="6"/>
  <c r="BF155" i="6"/>
  <c r="BB137" i="6"/>
  <c r="BF156" i="6"/>
  <c r="BB200" i="6"/>
  <c r="BB141" i="6"/>
  <c r="S131" i="20"/>
  <c r="R148" i="20" s="1"/>
  <c r="BL156" i="6"/>
  <c r="BL155" i="6"/>
  <c r="P370" i="6"/>
  <c r="P373" i="6"/>
  <c r="P371" i="6"/>
  <c r="P365" i="6"/>
  <c r="P372" i="6"/>
  <c r="P377" i="6" s="1"/>
  <c r="AR370" i="6"/>
  <c r="AR371" i="6"/>
  <c r="AR373" i="6"/>
  <c r="BG255" i="6"/>
  <c r="BG192" i="6"/>
  <c r="BE63" i="6"/>
  <c r="AU162" i="6"/>
  <c r="AU171" i="6" s="1"/>
  <c r="BA63" i="6"/>
  <c r="T64" i="6"/>
  <c r="T52" i="6"/>
  <c r="U255" i="6"/>
  <c r="V11" i="25"/>
  <c r="BJ203" i="6"/>
  <c r="BJ201" i="6"/>
  <c r="BH152" i="6"/>
  <c r="BH153" i="6"/>
  <c r="BH202" i="6"/>
  <c r="BH137" i="6"/>
  <c r="BI159" i="6"/>
  <c r="BH201" i="6"/>
  <c r="BH136" i="6"/>
  <c r="BH203" i="6"/>
  <c r="BH200" i="6"/>
  <c r="BH366" i="6"/>
  <c r="BH141" i="6"/>
  <c r="BI158" i="6"/>
  <c r="BH149" i="6"/>
  <c r="BH63" i="6"/>
  <c r="BD63" i="6"/>
  <c r="AX63" i="6"/>
  <c r="BB63" i="6"/>
  <c r="AP370" i="6"/>
  <c r="BB255" i="6"/>
  <c r="BB250" i="6"/>
  <c r="BB247" i="6" s="1"/>
  <c r="BB253" i="6" s="1"/>
  <c r="BN68" i="6"/>
  <c r="BC152" i="6"/>
  <c r="BC201" i="6"/>
  <c r="BC200" i="6"/>
  <c r="BD159" i="6"/>
  <c r="BC149" i="6"/>
  <c r="BC136" i="6"/>
  <c r="BC366" i="6"/>
  <c r="BC202" i="6"/>
  <c r="BD158" i="6"/>
  <c r="BC203" i="6"/>
  <c r="BC137" i="6"/>
  <c r="BC153" i="6"/>
  <c r="BG156" i="6"/>
  <c r="BG155" i="6"/>
  <c r="BC141" i="6"/>
  <c r="U236" i="6"/>
  <c r="U233" i="6"/>
  <c r="U235" i="6"/>
  <c r="U234" i="6"/>
  <c r="BJ202" i="6"/>
  <c r="BJ192" i="6"/>
  <c r="BJ207" i="6" s="1"/>
  <c r="BJ200" i="6"/>
  <c r="BC63" i="6"/>
  <c r="BF203" i="6"/>
  <c r="BF366" i="6"/>
  <c r="BF200" i="6"/>
  <c r="BF141" i="6"/>
  <c r="BF149" i="6"/>
  <c r="BF137" i="6"/>
  <c r="BJ141" i="6"/>
  <c r="BF152" i="6"/>
  <c r="BJ156" i="6"/>
  <c r="BG159" i="6"/>
  <c r="BF202" i="6"/>
  <c r="BJ155" i="6"/>
  <c r="BF136" i="6"/>
  <c r="BF201" i="6"/>
  <c r="BF153" i="6"/>
  <c r="BG158" i="6"/>
  <c r="BF199" i="6"/>
  <c r="T83" i="6"/>
  <c r="T277" i="6"/>
  <c r="Q371" i="6"/>
  <c r="Q373" i="6"/>
  <c r="Q365" i="6"/>
  <c r="Q370" i="6"/>
  <c r="Q372" i="6"/>
  <c r="Q377" i="6" s="1"/>
  <c r="AY131" i="6"/>
  <c r="BC133" i="6"/>
  <c r="AT178" i="6"/>
  <c r="AT161" i="6"/>
  <c r="AT217" i="6" s="1"/>
  <c r="N167" i="6"/>
  <c r="N168" i="6"/>
  <c r="BN131" i="6"/>
  <c r="BI131" i="6"/>
  <c r="Z17" i="25"/>
  <c r="BJ133" i="6"/>
  <c r="BF131" i="6"/>
  <c r="BF133" i="6"/>
  <c r="BB131" i="6"/>
  <c r="BB133" i="6"/>
  <c r="AQ161" i="6"/>
  <c r="AN136" i="6"/>
  <c r="AQ178" i="6"/>
  <c r="AB62" i="6"/>
  <c r="AA17" i="25"/>
  <c r="O206" i="6"/>
  <c r="O207" i="6"/>
  <c r="O209" i="6"/>
  <c r="O208" i="6"/>
  <c r="O199" i="6"/>
  <c r="Q206" i="6"/>
  <c r="Q199" i="6"/>
  <c r="Q207" i="6"/>
  <c r="Q208" i="6"/>
  <c r="Q209" i="6"/>
  <c r="AN137" i="6"/>
  <c r="AT202" i="6"/>
  <c r="N137" i="6"/>
  <c r="N136" i="6"/>
  <c r="N200" i="6"/>
  <c r="N203" i="6"/>
  <c r="N199" i="6"/>
  <c r="N201" i="6"/>
  <c r="N202" i="6"/>
  <c r="N175" i="6"/>
  <c r="Y83" i="6"/>
  <c r="Y277" i="6"/>
  <c r="AL137" i="6"/>
  <c r="P203" i="6"/>
  <c r="P202" i="6"/>
  <c r="P200" i="6"/>
  <c r="P201" i="6"/>
  <c r="P141" i="6"/>
  <c r="P137" i="6"/>
  <c r="P366" i="6"/>
  <c r="P136" i="6"/>
  <c r="P199" i="6"/>
  <c r="Q141" i="6"/>
  <c r="S326" i="6" l="1"/>
  <c r="R327" i="6"/>
  <c r="BI254" i="6"/>
  <c r="R177" i="6"/>
  <c r="Q28" i="6"/>
  <c r="BB28" i="6"/>
  <c r="U457" i="6"/>
  <c r="AX28" i="6"/>
  <c r="BI217" i="6"/>
  <c r="U28" i="6"/>
  <c r="BD28" i="6"/>
  <c r="AW219" i="6"/>
  <c r="AW221" i="6"/>
  <c r="AW222" i="6"/>
  <c r="AW220" i="6"/>
  <c r="AW218" i="6"/>
  <c r="AV219" i="6"/>
  <c r="AV221" i="6"/>
  <c r="AV222" i="6"/>
  <c r="AV220" i="6"/>
  <c r="AV218" i="6"/>
  <c r="BI222" i="6"/>
  <c r="BI219" i="6"/>
  <c r="BI220" i="6"/>
  <c r="BI221" i="6"/>
  <c r="BI218" i="6"/>
  <c r="R222" i="6"/>
  <c r="R221" i="6"/>
  <c r="R220" i="6"/>
  <c r="R219" i="6"/>
  <c r="R218" i="6"/>
  <c r="T28" i="6"/>
  <c r="AW16" i="6"/>
  <c r="BA28" i="6" s="1"/>
  <c r="BE28" i="6"/>
  <c r="BJ28" i="6"/>
  <c r="R16" i="6"/>
  <c r="R28" i="6" s="1"/>
  <c r="U21" i="6"/>
  <c r="V33" i="6" s="1"/>
  <c r="U473" i="6"/>
  <c r="U472" i="6"/>
  <c r="BE473" i="6"/>
  <c r="BE475" i="6" s="1"/>
  <c r="BE472" i="6"/>
  <c r="AW171" i="6"/>
  <c r="BC28" i="6"/>
  <c r="R18" i="25"/>
  <c r="BI177" i="6"/>
  <c r="O28" i="6"/>
  <c r="BI377" i="6"/>
  <c r="BI16" i="6"/>
  <c r="AV377" i="6"/>
  <c r="AV16" i="6"/>
  <c r="AZ28" i="6" s="1"/>
  <c r="BI31" i="6"/>
  <c r="BM31" i="6"/>
  <c r="BE489" i="6"/>
  <c r="BE21" i="6"/>
  <c r="BE33" i="6" s="1"/>
  <c r="BG28" i="6"/>
  <c r="BK28" i="6"/>
  <c r="BH28" i="6"/>
  <c r="BL28" i="6"/>
  <c r="BF28" i="6"/>
  <c r="BD170" i="6"/>
  <c r="BJ170" i="6"/>
  <c r="BI179" i="6"/>
  <c r="BA177" i="6"/>
  <c r="O18" i="25"/>
  <c r="Q170" i="6"/>
  <c r="BF486" i="6"/>
  <c r="BF478" i="6"/>
  <c r="BF39" i="6" s="1"/>
  <c r="BI478" i="6"/>
  <c r="BI39" i="6" s="1"/>
  <c r="BI486" i="6"/>
  <c r="BM486" i="6"/>
  <c r="V489" i="6"/>
  <c r="AV172" i="6"/>
  <c r="BK444" i="6"/>
  <c r="BK37" i="6" s="1"/>
  <c r="BF443" i="6"/>
  <c r="BF36" i="6" s="1"/>
  <c r="BF448" i="6"/>
  <c r="BF170" i="6"/>
  <c r="BA171" i="6"/>
  <c r="AT167" i="6"/>
  <c r="O175" i="6"/>
  <c r="O170" i="6"/>
  <c r="P170" i="6"/>
  <c r="R161" i="6"/>
  <c r="R172" i="6"/>
  <c r="BI443" i="6"/>
  <c r="BI36" i="6" s="1"/>
  <c r="BI448" i="6"/>
  <c r="BM448" i="6"/>
  <c r="AX161" i="6"/>
  <c r="AX171" i="6"/>
  <c r="AT171" i="6"/>
  <c r="AZ172" i="6"/>
  <c r="BG170" i="6"/>
  <c r="BK170" i="6"/>
  <c r="BI170" i="6"/>
  <c r="AV178" i="6"/>
  <c r="AV171" i="6"/>
  <c r="T170" i="6"/>
  <c r="AY171" i="6"/>
  <c r="BE170" i="6"/>
  <c r="BH170" i="6"/>
  <c r="BC170" i="6"/>
  <c r="AM168" i="6"/>
  <c r="AO168" i="6"/>
  <c r="AL168" i="6"/>
  <c r="AN168" i="6"/>
  <c r="U483" i="6"/>
  <c r="U41" i="6" s="1"/>
  <c r="BE483" i="6"/>
  <c r="BE459" i="6"/>
  <c r="U792" i="6"/>
  <c r="T458" i="6"/>
  <c r="T457" i="6" s="1"/>
  <c r="AY167" i="6"/>
  <c r="BH367" i="6"/>
  <c r="BC167" i="6"/>
  <c r="AW10" i="6"/>
  <c r="BM10" i="6"/>
  <c r="T367" i="6"/>
  <c r="Q367" i="6"/>
  <c r="BA10" i="6"/>
  <c r="P168" i="6"/>
  <c r="AZ168" i="6"/>
  <c r="R366" i="6"/>
  <c r="R377" i="6"/>
  <c r="AW199" i="6"/>
  <c r="AW377" i="6"/>
  <c r="BP372" i="6"/>
  <c r="Z372" i="6"/>
  <c r="BI98" i="6"/>
  <c r="BI182" i="6"/>
  <c r="BI165" i="6"/>
  <c r="BH98" i="6"/>
  <c r="T167" i="6"/>
  <c r="BK454" i="6"/>
  <c r="BK20" i="6" s="1"/>
  <c r="T168" i="6"/>
  <c r="AL167" i="6"/>
  <c r="T175" i="6"/>
  <c r="BL75" i="6"/>
  <c r="BF770" i="6"/>
  <c r="BF756" i="6"/>
  <c r="BJ770" i="6"/>
  <c r="BF621" i="6"/>
  <c r="BJ756" i="6"/>
  <c r="AV132" i="6"/>
  <c r="AZ133" i="6" s="1"/>
  <c r="BH177" i="6"/>
  <c r="BB167" i="6"/>
  <c r="U13" i="25"/>
  <c r="AN167" i="6"/>
  <c r="BH251" i="6"/>
  <c r="BH254" i="6" s="1"/>
  <c r="AU206" i="6"/>
  <c r="AU207" i="6"/>
  <c r="BI168" i="6"/>
  <c r="AU209" i="6"/>
  <c r="AU199" i="6"/>
  <c r="BF167" i="6"/>
  <c r="BF168" i="6"/>
  <c r="AZ367" i="6"/>
  <c r="AZ175" i="6"/>
  <c r="AX178" i="6"/>
  <c r="AZ167" i="6"/>
  <c r="X47" i="6"/>
  <c r="AP161" i="6"/>
  <c r="AP167" i="6" s="1"/>
  <c r="S265" i="6"/>
  <c r="BC177" i="6"/>
  <c r="T279" i="6"/>
  <c r="S266" i="6"/>
  <c r="S274" i="6"/>
  <c r="BB367" i="6"/>
  <c r="S168" i="6"/>
  <c r="BB168" i="6"/>
  <c r="BB175" i="6"/>
  <c r="U265" i="6"/>
  <c r="BA87" i="6"/>
  <c r="BA89" i="6" s="1"/>
  <c r="BA90" i="6" s="1"/>
  <c r="AZ251" i="6"/>
  <c r="AZ254" i="6" s="1"/>
  <c r="BJ168" i="6"/>
  <c r="BF367" i="6"/>
  <c r="BF175" i="6"/>
  <c r="BD367" i="6"/>
  <c r="AY168" i="6"/>
  <c r="AY208" i="6"/>
  <c r="AY209" i="6"/>
  <c r="AY199" i="6"/>
  <c r="AR161" i="6"/>
  <c r="N177" i="6"/>
  <c r="AR137" i="6"/>
  <c r="AT365" i="6"/>
  <c r="Q247" i="6"/>
  <c r="BH168" i="6"/>
  <c r="BH175" i="6"/>
  <c r="AY206" i="6"/>
  <c r="AR366" i="6"/>
  <c r="BH167" i="6"/>
  <c r="AY207" i="6"/>
  <c r="U62" i="6"/>
  <c r="U17" i="25" s="1"/>
  <c r="U69" i="6"/>
  <c r="S780" i="6"/>
  <c r="BC206" i="6"/>
  <c r="BJ367" i="6"/>
  <c r="BJ167" i="6"/>
  <c r="BJ175" i="6"/>
  <c r="AZ177" i="6"/>
  <c r="BC64" i="6"/>
  <c r="AT370" i="6"/>
  <c r="AT373" i="6"/>
  <c r="BF607" i="6"/>
  <c r="BF606" i="6" s="1"/>
  <c r="AS161" i="6"/>
  <c r="AS168" i="6" s="1"/>
  <c r="BC175" i="6"/>
  <c r="BC367" i="6"/>
  <c r="BC168" i="6"/>
  <c r="R780" i="6"/>
  <c r="AX52" i="6"/>
  <c r="AY367" i="6"/>
  <c r="BD247" i="6"/>
  <c r="BD253" i="6" s="1"/>
  <c r="BD251" i="6" s="1"/>
  <c r="BD254" i="6" s="1"/>
  <c r="BB177" i="6"/>
  <c r="BI167" i="6"/>
  <c r="AX175" i="6"/>
  <c r="U279" i="6"/>
  <c r="BC208" i="6"/>
  <c r="BG98" i="6"/>
  <c r="BI367" i="6"/>
  <c r="BC199" i="6"/>
  <c r="BC209" i="6"/>
  <c r="BC207" i="6"/>
  <c r="BF179" i="6"/>
  <c r="S175" i="6"/>
  <c r="AV161" i="6"/>
  <c r="AV217" i="6" s="1"/>
  <c r="BC251" i="6"/>
  <c r="BC254" i="6" s="1"/>
  <c r="BI582" i="6"/>
  <c r="W11" i="25"/>
  <c r="BQ47" i="6"/>
  <c r="S167" i="6"/>
  <c r="U245" i="6"/>
  <c r="BG251" i="6"/>
  <c r="BG254" i="6" s="1"/>
  <c r="S367" i="6"/>
  <c r="BI607" i="6"/>
  <c r="BI606" i="6" s="1"/>
  <c r="T252" i="6"/>
  <c r="T250" i="6"/>
  <c r="T253" i="6" s="1"/>
  <c r="AT371" i="6"/>
  <c r="BG621" i="6"/>
  <c r="BG756" i="6"/>
  <c r="BG770" i="6"/>
  <c r="BK756" i="6"/>
  <c r="BK770" i="6"/>
  <c r="BG181" i="6"/>
  <c r="BK423" i="6"/>
  <c r="BK798" i="6"/>
  <c r="BK799" i="6" s="1"/>
  <c r="BG411" i="6"/>
  <c r="BG453" i="6" s="1"/>
  <c r="BG19" i="6" s="1"/>
  <c r="BG616" i="6"/>
  <c r="BG617" i="6"/>
  <c r="BJ582" i="6"/>
  <c r="BG609" i="6"/>
  <c r="BG615" i="6"/>
  <c r="BG608" i="6"/>
  <c r="BH582" i="6"/>
  <c r="W777" i="6"/>
  <c r="W779" i="6" s="1"/>
  <c r="BJ411" i="6"/>
  <c r="BM582" i="6"/>
  <c r="BJ609" i="6"/>
  <c r="BJ615" i="6"/>
  <c r="BJ608" i="6"/>
  <c r="BJ616" i="6"/>
  <c r="BJ617" i="6"/>
  <c r="BH621" i="6"/>
  <c r="BH756" i="6"/>
  <c r="BH770" i="6"/>
  <c r="BL582" i="6"/>
  <c r="BF417" i="6"/>
  <c r="BF797" i="6"/>
  <c r="BF771" i="6"/>
  <c r="U780" i="6"/>
  <c r="BH411" i="6"/>
  <c r="BH453" i="6" s="1"/>
  <c r="BH19" i="6" s="1"/>
  <c r="BH608" i="6"/>
  <c r="BH616" i="6"/>
  <c r="BH617" i="6"/>
  <c r="BH609" i="6"/>
  <c r="BK582" i="6"/>
  <c r="BH615" i="6"/>
  <c r="AW405" i="6"/>
  <c r="BG772" i="6"/>
  <c r="U684" i="6"/>
  <c r="T274" i="6"/>
  <c r="T270" i="6"/>
  <c r="T266" i="6"/>
  <c r="V779" i="6"/>
  <c r="V778" i="6"/>
  <c r="BH622" i="6"/>
  <c r="BG582" i="6"/>
  <c r="AT372" i="6"/>
  <c r="AT366" i="6"/>
  <c r="T667" i="6"/>
  <c r="BI417" i="6"/>
  <c r="BI771" i="6"/>
  <c r="BI797" i="6"/>
  <c r="BM771" i="6"/>
  <c r="BG622" i="6"/>
  <c r="T780" i="6"/>
  <c r="AM167" i="6"/>
  <c r="AY175" i="6"/>
  <c r="AT192" i="6"/>
  <c r="AT208" i="6" s="1"/>
  <c r="Z369" i="6"/>
  <c r="BE177" i="6"/>
  <c r="BE179" i="6"/>
  <c r="BI81" i="6"/>
  <c r="BE244" i="6"/>
  <c r="BE247" i="6" s="1"/>
  <c r="BE253" i="6" s="1"/>
  <c r="BE251" i="6" s="1"/>
  <c r="BE254" i="6" s="1"/>
  <c r="BE84" i="6"/>
  <c r="BE81" i="6"/>
  <c r="BE58" i="6"/>
  <c r="BD167" i="6"/>
  <c r="BD175" i="6"/>
  <c r="U266" i="6"/>
  <c r="BC179" i="6"/>
  <c r="BD168" i="6"/>
  <c r="W464" i="6"/>
  <c r="P131" i="6"/>
  <c r="Q133" i="6"/>
  <c r="AA25" i="20"/>
  <c r="AB24" i="20"/>
  <c r="O179" i="6"/>
  <c r="R65" i="6"/>
  <c r="S65" i="6"/>
  <c r="AV137" i="6"/>
  <c r="U201" i="6"/>
  <c r="AV201" i="6"/>
  <c r="U202" i="6"/>
  <c r="AV141" i="6"/>
  <c r="T179" i="6"/>
  <c r="U192" i="6"/>
  <c r="BI152" i="6"/>
  <c r="AV203" i="6"/>
  <c r="AV202" i="6"/>
  <c r="AZ156" i="6"/>
  <c r="AV136" i="6"/>
  <c r="T18" i="25"/>
  <c r="AV366" i="6"/>
  <c r="AV200" i="6"/>
  <c r="AZ141" i="6"/>
  <c r="AZ155" i="6"/>
  <c r="AS178" i="6"/>
  <c r="AS177" i="6" s="1"/>
  <c r="R274" i="6"/>
  <c r="R266" i="6"/>
  <c r="R270" i="6"/>
  <c r="R279" i="6"/>
  <c r="S279" i="6"/>
  <c r="T199" i="6"/>
  <c r="T209" i="6"/>
  <c r="T206" i="6"/>
  <c r="T207" i="6"/>
  <c r="T208" i="6"/>
  <c r="BH206" i="6"/>
  <c r="BH131" i="6"/>
  <c r="BI366" i="6"/>
  <c r="BJ158" i="6"/>
  <c r="BI153" i="6"/>
  <c r="BI141" i="6"/>
  <c r="BM156" i="6"/>
  <c r="BM155" i="6"/>
  <c r="BI201" i="6"/>
  <c r="BI175" i="6"/>
  <c r="P367" i="6"/>
  <c r="P175" i="6"/>
  <c r="P167" i="6"/>
  <c r="S179" i="6"/>
  <c r="U52" i="6"/>
  <c r="BI52" i="6" s="1"/>
  <c r="BG179" i="6"/>
  <c r="BD177" i="6"/>
  <c r="BH179" i="6"/>
  <c r="U64" i="6"/>
  <c r="BE64" i="6"/>
  <c r="BF177" i="6"/>
  <c r="T177" i="6"/>
  <c r="BD179" i="6"/>
  <c r="Q177" i="6"/>
  <c r="BH133" i="6"/>
  <c r="BB64" i="6"/>
  <c r="O167" i="6"/>
  <c r="R179" i="6"/>
  <c r="BI188" i="6"/>
  <c r="Q18" i="25"/>
  <c r="O168" i="6"/>
  <c r="Q179" i="6"/>
  <c r="BB251" i="6"/>
  <c r="BB254" i="6" s="1"/>
  <c r="BN373" i="6"/>
  <c r="BO373" i="6" s="1"/>
  <c r="BP373" i="6" s="1"/>
  <c r="X373" i="6"/>
  <c r="Y373" i="6" s="1"/>
  <c r="Z373" i="6" s="1"/>
  <c r="AA373" i="6" s="1"/>
  <c r="AB373" i="6" s="1"/>
  <c r="AC373" i="6" s="1"/>
  <c r="AD373" i="6" s="1"/>
  <c r="AY133" i="6"/>
  <c r="AO167" i="6"/>
  <c r="R200" i="6"/>
  <c r="R202" i="6"/>
  <c r="R201" i="6"/>
  <c r="R203" i="6"/>
  <c r="R141" i="6"/>
  <c r="R136" i="6"/>
  <c r="R137" i="6"/>
  <c r="S141" i="6"/>
  <c r="R199" i="6"/>
  <c r="Q167" i="6"/>
  <c r="Q175" i="6"/>
  <c r="Q168" i="6"/>
  <c r="BG167" i="6"/>
  <c r="BG367" i="6"/>
  <c r="BG168" i="6"/>
  <c r="BG175" i="6"/>
  <c r="BK179" i="6"/>
  <c r="BG177" i="6"/>
  <c r="BA251" i="6"/>
  <c r="BA254" i="6" s="1"/>
  <c r="BJ179" i="6"/>
  <c r="BI136" i="6"/>
  <c r="BA52" i="6"/>
  <c r="S247" i="6"/>
  <c r="S253" i="6"/>
  <c r="S251" i="6" s="1"/>
  <c r="S254" i="6" s="1"/>
  <c r="BE52" i="6"/>
  <c r="S18" i="25"/>
  <c r="S177" i="6"/>
  <c r="BB69" i="6"/>
  <c r="BB62" i="6"/>
  <c r="BE167" i="6"/>
  <c r="BE168" i="6"/>
  <c r="BE175" i="6"/>
  <c r="BE367" i="6"/>
  <c r="U87" i="6"/>
  <c r="U99" i="6"/>
  <c r="BG64" i="6"/>
  <c r="BI133" i="6"/>
  <c r="BI200" i="6"/>
  <c r="BI203" i="6"/>
  <c r="BI202" i="6"/>
  <c r="BJ159" i="6"/>
  <c r="BG133" i="6"/>
  <c r="AW137" i="6"/>
  <c r="BG69" i="6"/>
  <c r="BG62" i="6"/>
  <c r="P177" i="6"/>
  <c r="P18" i="25"/>
  <c r="P179" i="6"/>
  <c r="BE69" i="6"/>
  <c r="BE62" i="6"/>
  <c r="BA167" i="6"/>
  <c r="BA367" i="6"/>
  <c r="BA175" i="6"/>
  <c r="BA168" i="6"/>
  <c r="BG92" i="6"/>
  <c r="BC52" i="6"/>
  <c r="BF69" i="6"/>
  <c r="BF62" i="6"/>
  <c r="BI149" i="6"/>
  <c r="BI199" i="6"/>
  <c r="BI137" i="6"/>
  <c r="BG131" i="6"/>
  <c r="BH199" i="6"/>
  <c r="BH62" i="6"/>
  <c r="BH69" i="6"/>
  <c r="BI69" i="6"/>
  <c r="BI62" i="6"/>
  <c r="AT131" i="6"/>
  <c r="AX133" i="6"/>
  <c r="BJ62" i="6"/>
  <c r="BJ69" i="6"/>
  <c r="BB52" i="6"/>
  <c r="BE133" i="6"/>
  <c r="BA131" i="6"/>
  <c r="AZ208" i="6"/>
  <c r="U92" i="6"/>
  <c r="AZ199" i="6"/>
  <c r="AZ207" i="6"/>
  <c r="U83" i="6"/>
  <c r="U277" i="6"/>
  <c r="AZ206" i="6"/>
  <c r="AT200" i="6"/>
  <c r="BD207" i="6"/>
  <c r="BD199" i="6"/>
  <c r="BD206" i="6"/>
  <c r="BD208" i="6"/>
  <c r="AZ93" i="6"/>
  <c r="BD99" i="6"/>
  <c r="AZ99" i="6"/>
  <c r="R252" i="6"/>
  <c r="R250" i="6"/>
  <c r="S207" i="6"/>
  <c r="S206" i="6"/>
  <c r="S209" i="6"/>
  <c r="S199" i="6"/>
  <c r="S208" i="6"/>
  <c r="BH207" i="6"/>
  <c r="R87" i="6"/>
  <c r="R93" i="6"/>
  <c r="R92" i="6" s="1"/>
  <c r="AV207" i="6"/>
  <c r="AV199" i="6"/>
  <c r="AV206" i="6"/>
  <c r="AV209" i="6"/>
  <c r="AV208" i="6"/>
  <c r="BH208" i="6"/>
  <c r="BH209" i="6"/>
  <c r="AZ100" i="6"/>
  <c r="AZ94" i="6"/>
  <c r="BD100" i="6"/>
  <c r="BI51" i="6"/>
  <c r="V51" i="6"/>
  <c r="BK199" i="6"/>
  <c r="AS136" i="6"/>
  <c r="BK62" i="6"/>
  <c r="BK52" i="6"/>
  <c r="AQ373" i="6"/>
  <c r="AQ370" i="6"/>
  <c r="AQ372" i="6"/>
  <c r="AQ371" i="6"/>
  <c r="AQ366" i="6"/>
  <c r="AW132" i="6"/>
  <c r="AS372" i="6"/>
  <c r="AS366" i="6"/>
  <c r="AS373" i="6"/>
  <c r="AS370" i="6"/>
  <c r="AS371" i="6"/>
  <c r="BF64" i="6"/>
  <c r="BF52" i="6"/>
  <c r="BK64" i="6"/>
  <c r="AW141" i="6"/>
  <c r="BA156" i="6"/>
  <c r="AW136" i="6"/>
  <c r="AW201" i="6"/>
  <c r="BA141" i="6"/>
  <c r="AW366" i="6"/>
  <c r="BA155" i="6"/>
  <c r="AW200" i="6"/>
  <c r="AW202" i="6"/>
  <c r="AW203" i="6"/>
  <c r="BJ52" i="6"/>
  <c r="BJ64" i="6"/>
  <c r="AW178" i="6"/>
  <c r="AW161" i="6"/>
  <c r="BG209" i="6"/>
  <c r="BG207" i="6"/>
  <c r="BG199" i="6"/>
  <c r="BG206" i="6"/>
  <c r="BG208" i="6"/>
  <c r="T65" i="6"/>
  <c r="AZ52" i="6"/>
  <c r="BD62" i="6"/>
  <c r="BD69" i="6"/>
  <c r="AU178" i="6"/>
  <c r="AU161" i="6"/>
  <c r="BD52" i="6"/>
  <c r="BH64" i="6"/>
  <c r="BD64" i="6"/>
  <c r="BM68" i="6"/>
  <c r="BM61" i="6"/>
  <c r="BJ206" i="6"/>
  <c r="BJ209" i="6"/>
  <c r="BJ199" i="6"/>
  <c r="BJ208" i="6"/>
  <c r="AP372" i="6"/>
  <c r="AP366" i="6"/>
  <c r="AP371" i="6"/>
  <c r="AP373" i="6"/>
  <c r="AQ167" i="6"/>
  <c r="AQ168" i="6"/>
  <c r="AT367" i="6"/>
  <c r="AT175" i="6"/>
  <c r="AT168" i="6"/>
  <c r="AT177" i="6"/>
  <c r="AT179" i="6"/>
  <c r="Z45" i="25"/>
  <c r="Z69" i="6" s="1"/>
  <c r="Z23" i="25"/>
  <c r="Z34" i="25"/>
  <c r="AQ175" i="6"/>
  <c r="AQ367" i="6"/>
  <c r="AQ177" i="6"/>
  <c r="AA45" i="25"/>
  <c r="AA69" i="6" s="1"/>
  <c r="AA34" i="25"/>
  <c r="AA23" i="25"/>
  <c r="AC62" i="6"/>
  <c r="AB17" i="25"/>
  <c r="Z83" i="6"/>
  <c r="Z277" i="6"/>
  <c r="S327" i="6" l="1"/>
  <c r="T327" i="6"/>
  <c r="AW170" i="6"/>
  <c r="AW217" i="6"/>
  <c r="AU170" i="6"/>
  <c r="AU217" i="6"/>
  <c r="R170" i="6"/>
  <c r="R217" i="6"/>
  <c r="AX170" i="6"/>
  <c r="AX217" i="6"/>
  <c r="BE793" i="6"/>
  <c r="S28" i="6"/>
  <c r="BE41" i="6"/>
  <c r="T76" i="20"/>
  <c r="T472" i="6"/>
  <c r="T473" i="6"/>
  <c r="U474" i="6"/>
  <c r="BH31" i="6"/>
  <c r="BL31" i="6"/>
  <c r="BL48" i="6"/>
  <c r="BL13" i="6"/>
  <c r="BL25" i="6" s="1"/>
  <c r="BI28" i="6"/>
  <c r="BM28" i="6"/>
  <c r="BG31" i="6"/>
  <c r="BK31" i="6"/>
  <c r="T489" i="6"/>
  <c r="T21" i="6"/>
  <c r="R367" i="6"/>
  <c r="R175" i="6"/>
  <c r="AV179" i="6"/>
  <c r="AX367" i="6"/>
  <c r="AX168" i="6"/>
  <c r="AV170" i="6"/>
  <c r="R168" i="6"/>
  <c r="AV177" i="6"/>
  <c r="R167" i="6"/>
  <c r="AZ179" i="6"/>
  <c r="V760" i="6"/>
  <c r="S170" i="6"/>
  <c r="BH486" i="6"/>
  <c r="BH478" i="6"/>
  <c r="BH39" i="6" s="1"/>
  <c r="BL486" i="6"/>
  <c r="BJ448" i="6"/>
  <c r="BJ453" i="6"/>
  <c r="BJ19" i="6" s="1"/>
  <c r="BJ31" i="6" s="1"/>
  <c r="BG486" i="6"/>
  <c r="BG478" i="6"/>
  <c r="BG39" i="6" s="1"/>
  <c r="BK486" i="6"/>
  <c r="AX167" i="6"/>
  <c r="U489" i="6"/>
  <c r="BB170" i="6"/>
  <c r="BH448" i="6"/>
  <c r="BL448" i="6"/>
  <c r="AZ170" i="6"/>
  <c r="AY170" i="6"/>
  <c r="BI449" i="6"/>
  <c r="BM449" i="6"/>
  <c r="BF444" i="6"/>
  <c r="BF37" i="6" s="1"/>
  <c r="BF449" i="6"/>
  <c r="BG448" i="6"/>
  <c r="BK448" i="6"/>
  <c r="AT170" i="6"/>
  <c r="BE474" i="6"/>
  <c r="BA170" i="6"/>
  <c r="T483" i="6"/>
  <c r="BK456" i="6"/>
  <c r="BK479" i="6"/>
  <c r="T792" i="6"/>
  <c r="BJ443" i="6"/>
  <c r="BJ36" i="6" s="1"/>
  <c r="BI454" i="6"/>
  <c r="BI20" i="6" s="1"/>
  <c r="BI444" i="6"/>
  <c r="BI37" i="6" s="1"/>
  <c r="BH443" i="6"/>
  <c r="BH36" i="6" s="1"/>
  <c r="BG443" i="6"/>
  <c r="BG36" i="6" s="1"/>
  <c r="AA372" i="6"/>
  <c r="BF454" i="6"/>
  <c r="BG607" i="6"/>
  <c r="BG606" i="6" s="1"/>
  <c r="X11" i="25"/>
  <c r="X777" i="6"/>
  <c r="X779" i="6" s="1"/>
  <c r="Y47" i="6"/>
  <c r="AP168" i="6"/>
  <c r="BQ61" i="6"/>
  <c r="AX179" i="6"/>
  <c r="S343" i="6"/>
  <c r="T343" i="6" s="1"/>
  <c r="AP367" i="6"/>
  <c r="AP175" i="6"/>
  <c r="AX177" i="6"/>
  <c r="BB179" i="6"/>
  <c r="BQ68" i="6"/>
  <c r="AR167" i="6"/>
  <c r="S283" i="6"/>
  <c r="S287" i="6"/>
  <c r="S286" i="6" s="1"/>
  <c r="AR168" i="6"/>
  <c r="AV367" i="6"/>
  <c r="AS167" i="6"/>
  <c r="S89" i="6"/>
  <c r="S87" i="6" s="1"/>
  <c r="BE100" i="6"/>
  <c r="BA100" i="6"/>
  <c r="BA94" i="6"/>
  <c r="BA92" i="6" s="1"/>
  <c r="AS367" i="6"/>
  <c r="AS175" i="6"/>
  <c r="BA95" i="6"/>
  <c r="AR367" i="6"/>
  <c r="AR175" i="6"/>
  <c r="AV175" i="6"/>
  <c r="AV167" i="6"/>
  <c r="AV168" i="6"/>
  <c r="U131" i="6"/>
  <c r="AU167" i="6"/>
  <c r="V780" i="6"/>
  <c r="AV133" i="6"/>
  <c r="T251" i="6"/>
  <c r="T254" i="6" s="1"/>
  <c r="AV131" i="6"/>
  <c r="T278" i="6"/>
  <c r="T273" i="6"/>
  <c r="T283" i="6"/>
  <c r="T265" i="6"/>
  <c r="AT207" i="6"/>
  <c r="T684" i="6"/>
  <c r="U633" i="6"/>
  <c r="U743" i="6"/>
  <c r="BH607" i="6"/>
  <c r="BH606" i="6" s="1"/>
  <c r="BJ417" i="6"/>
  <c r="BJ449" i="6" s="1"/>
  <c r="BJ797" i="6"/>
  <c r="BJ771" i="6"/>
  <c r="BK425" i="6"/>
  <c r="BK394" i="6"/>
  <c r="U475" i="6"/>
  <c r="U793" i="6"/>
  <c r="AT209" i="6"/>
  <c r="BI181" i="6"/>
  <c r="BI164" i="6"/>
  <c r="U278" i="6"/>
  <c r="BH417" i="6"/>
  <c r="BH771" i="6"/>
  <c r="BH797" i="6"/>
  <c r="BL771" i="6"/>
  <c r="BJ607" i="6"/>
  <c r="BF423" i="6"/>
  <c r="BF798" i="6"/>
  <c r="BF799" i="6" s="1"/>
  <c r="AT206" i="6"/>
  <c r="AT199" i="6"/>
  <c r="BI423" i="6"/>
  <c r="BI798" i="6"/>
  <c r="BI799" i="6" s="1"/>
  <c r="BA756" i="6"/>
  <c r="BA770" i="6"/>
  <c r="BG417" i="6"/>
  <c r="BG797" i="6"/>
  <c r="BG771" i="6"/>
  <c r="BK771" i="6"/>
  <c r="AA369" i="6"/>
  <c r="BE83" i="6"/>
  <c r="AB25" i="20"/>
  <c r="AC24" i="20"/>
  <c r="AC25" i="20" s="1"/>
  <c r="U65" i="6"/>
  <c r="U247" i="6"/>
  <c r="U206" i="6"/>
  <c r="U209" i="6"/>
  <c r="U208" i="6"/>
  <c r="U207" i="6"/>
  <c r="U199" i="6"/>
  <c r="R283" i="6"/>
  <c r="R284" i="6" s="1"/>
  <c r="R273" i="6"/>
  <c r="S278" i="6"/>
  <c r="R265" i="6"/>
  <c r="R275" i="6"/>
  <c r="R278" i="6"/>
  <c r="BO125" i="6"/>
  <c r="BO464" i="6" s="1"/>
  <c r="BP125" i="6"/>
  <c r="BP464" i="6" s="1"/>
  <c r="BN125" i="6"/>
  <c r="BN464" i="6" s="1"/>
  <c r="AW179" i="6"/>
  <c r="AU179" i="6"/>
  <c r="R19" i="25"/>
  <c r="R131" i="6"/>
  <c r="R133" i="6"/>
  <c r="S133" i="6"/>
  <c r="BE65" i="6"/>
  <c r="BB65" i="6"/>
  <c r="BG65" i="6"/>
  <c r="BC65" i="6"/>
  <c r="V18" i="25"/>
  <c r="W178" i="6"/>
  <c r="W51" i="6"/>
  <c r="BI64" i="6"/>
  <c r="R253" i="6"/>
  <c r="R251" i="6" s="1"/>
  <c r="R254" i="6" s="1"/>
  <c r="R247" i="6"/>
  <c r="AZ95" i="6"/>
  <c r="BD101" i="6"/>
  <c r="AZ92" i="6"/>
  <c r="S99" i="6"/>
  <c r="S93" i="6"/>
  <c r="T99" i="6"/>
  <c r="AW167" i="6"/>
  <c r="AW367" i="6"/>
  <c r="AW175" i="6"/>
  <c r="AW168" i="6"/>
  <c r="BJ65" i="6"/>
  <c r="AW131" i="6"/>
  <c r="BA133" i="6"/>
  <c r="AW133" i="6"/>
  <c r="AW177" i="6"/>
  <c r="BA179" i="6"/>
  <c r="BF65" i="6"/>
  <c r="BK65" i="6"/>
  <c r="BI65" i="6"/>
  <c r="BH65" i="6"/>
  <c r="BD65" i="6"/>
  <c r="AU175" i="6"/>
  <c r="AU367" i="6"/>
  <c r="AU168" i="6"/>
  <c r="AY179" i="6"/>
  <c r="AU177" i="6"/>
  <c r="BO131" i="6"/>
  <c r="T312" i="6"/>
  <c r="T344" i="6"/>
  <c r="AB45" i="25"/>
  <c r="AB23" i="25"/>
  <c r="AB34" i="25"/>
  <c r="AD62" i="6"/>
  <c r="AC17" i="25"/>
  <c r="AA83" i="6"/>
  <c r="AA277" i="6"/>
  <c r="BK88" i="6"/>
  <c r="BK243" i="6"/>
  <c r="BK244" i="6"/>
  <c r="BK89" i="6"/>
  <c r="Y777" i="6" l="1"/>
  <c r="Y779" i="6" s="1"/>
  <c r="AF47" i="6"/>
  <c r="AB69" i="6"/>
  <c r="BK40" i="6"/>
  <c r="BI32" i="6"/>
  <c r="BM32" i="6"/>
  <c r="T33" i="6"/>
  <c r="U33" i="6"/>
  <c r="BF487" i="6"/>
  <c r="BF20" i="6"/>
  <c r="BF32" i="6" s="1"/>
  <c r="T760" i="6"/>
  <c r="T41" i="6"/>
  <c r="U760" i="6"/>
  <c r="BI487" i="6"/>
  <c r="BM487" i="6"/>
  <c r="BK482" i="6"/>
  <c r="BJ486" i="6"/>
  <c r="BJ478" i="6"/>
  <c r="BJ39" i="6" s="1"/>
  <c r="BH449" i="6"/>
  <c r="BL449" i="6"/>
  <c r="BG449" i="6"/>
  <c r="BK449" i="6"/>
  <c r="T474" i="6"/>
  <c r="BF456" i="6"/>
  <c r="BF479" i="6"/>
  <c r="BI456" i="6"/>
  <c r="BI479" i="6"/>
  <c r="BH454" i="6"/>
  <c r="BH444" i="6"/>
  <c r="BG454" i="6"/>
  <c r="BG20" i="6" s="1"/>
  <c r="BG444" i="6"/>
  <c r="BG37" i="6" s="1"/>
  <c r="BJ454" i="6"/>
  <c r="BJ444" i="6"/>
  <c r="BJ37" i="6" s="1"/>
  <c r="AB372" i="6"/>
  <c r="Z47" i="6"/>
  <c r="Y11" i="25"/>
  <c r="S337" i="6"/>
  <c r="S90" i="6"/>
  <c r="S95" i="6" s="1"/>
  <c r="S100" i="6"/>
  <c r="S94" i="6"/>
  <c r="S92" i="6" s="1"/>
  <c r="U314" i="6"/>
  <c r="U19" i="25"/>
  <c r="BG423" i="6"/>
  <c r="BG798" i="6"/>
  <c r="BG799" i="6" s="1"/>
  <c r="BK433" i="6"/>
  <c r="T287" i="6"/>
  <c r="T286" i="6" s="1"/>
  <c r="BF425" i="6"/>
  <c r="BF394" i="6"/>
  <c r="T633" i="6"/>
  <c r="T641" i="6" s="1"/>
  <c r="T743" i="6"/>
  <c r="T746" i="6" s="1"/>
  <c r="T744" i="6" s="1"/>
  <c r="X464" i="6"/>
  <c r="BI425" i="6"/>
  <c r="BI394" i="6"/>
  <c r="BJ606" i="6"/>
  <c r="BH423" i="6"/>
  <c r="BH798" i="6"/>
  <c r="BH799" i="6" s="1"/>
  <c r="BK585" i="6"/>
  <c r="BJ423" i="6"/>
  <c r="BJ798" i="6"/>
  <c r="BJ799" i="6" s="1"/>
  <c r="U641" i="6"/>
  <c r="AB369" i="6"/>
  <c r="V142" i="6"/>
  <c r="BQ125" i="6"/>
  <c r="BQ464" i="6" s="1"/>
  <c r="Q130" i="20"/>
  <c r="O130" i="20"/>
  <c r="W18" i="25"/>
  <c r="X178" i="6"/>
  <c r="V46" i="25"/>
  <c r="V35" i="25"/>
  <c r="V24" i="25"/>
  <c r="X51" i="6"/>
  <c r="S130" i="20"/>
  <c r="R130" i="20"/>
  <c r="S98" i="6"/>
  <c r="T313" i="6"/>
  <c r="U313" i="6" s="1"/>
  <c r="V313" i="6" s="1"/>
  <c r="W313" i="6" s="1"/>
  <c r="X313" i="6" s="1"/>
  <c r="Y313" i="6" s="1"/>
  <c r="Z313" i="6" s="1"/>
  <c r="AA313" i="6" s="1"/>
  <c r="AB313" i="6" s="1"/>
  <c r="AC313" i="6" s="1"/>
  <c r="AD313" i="6" s="1"/>
  <c r="T315" i="6"/>
  <c r="U343" i="6"/>
  <c r="T337" i="6"/>
  <c r="U344" i="6"/>
  <c r="V344" i="6" s="1"/>
  <c r="W344" i="6" s="1"/>
  <c r="X344" i="6" s="1"/>
  <c r="Y344" i="6" s="1"/>
  <c r="Z344" i="6" s="1"/>
  <c r="AA344" i="6" s="1"/>
  <c r="AB344" i="6" s="1"/>
  <c r="AC344" i="6" s="1"/>
  <c r="AD344" i="6" s="1"/>
  <c r="AD17" i="25"/>
  <c r="AC45" i="25"/>
  <c r="AC34" i="25"/>
  <c r="AC23" i="25"/>
  <c r="P130" i="20"/>
  <c r="AB83" i="6"/>
  <c r="AB277" i="6"/>
  <c r="BL142" i="6"/>
  <c r="BL143" i="6"/>
  <c r="BK100" i="6"/>
  <c r="BK94" i="6"/>
  <c r="BK249" i="6"/>
  <c r="BK252" i="6"/>
  <c r="BK93" i="6"/>
  <c r="BK99" i="6"/>
  <c r="BK87" i="6"/>
  <c r="BK98" i="6" s="1"/>
  <c r="BK242" i="6"/>
  <c r="BK95" i="6"/>
  <c r="AC69" i="6" l="1"/>
  <c r="BF40" i="6"/>
  <c r="BI40" i="6"/>
  <c r="BK435" i="6"/>
  <c r="BK460" i="6" s="1"/>
  <c r="BK470" i="6" s="1"/>
  <c r="BK437" i="6"/>
  <c r="BK438" i="6"/>
  <c r="BG32" i="6"/>
  <c r="BK32" i="6"/>
  <c r="BH37" i="6"/>
  <c r="BJ487" i="6"/>
  <c r="BJ20" i="6"/>
  <c r="BJ32" i="6" s="1"/>
  <c r="BH20" i="6"/>
  <c r="BH487" i="6"/>
  <c r="BL487" i="6"/>
  <c r="BF482" i="6"/>
  <c r="BF488" i="6"/>
  <c r="BG487" i="6"/>
  <c r="BK487" i="6"/>
  <c r="BI482" i="6"/>
  <c r="BI488" i="6"/>
  <c r="BM488" i="6"/>
  <c r="BG456" i="6"/>
  <c r="BG479" i="6"/>
  <c r="BJ456" i="6"/>
  <c r="BJ479" i="6"/>
  <c r="BH456" i="6"/>
  <c r="BH479" i="6"/>
  <c r="AC372" i="6"/>
  <c r="BF433" i="6"/>
  <c r="Z11" i="25"/>
  <c r="AA47" i="6"/>
  <c r="Z777" i="6"/>
  <c r="Z779" i="6" s="1"/>
  <c r="U345" i="6"/>
  <c r="V345" i="6" s="1"/>
  <c r="W345" i="6" s="1"/>
  <c r="X345" i="6" s="1"/>
  <c r="Y345" i="6" s="1"/>
  <c r="Z345" i="6" s="1"/>
  <c r="AA345" i="6" s="1"/>
  <c r="AB345" i="6" s="1"/>
  <c r="AC345" i="6" s="1"/>
  <c r="AD345" i="6" s="1"/>
  <c r="BH425" i="6"/>
  <c r="BH394" i="6"/>
  <c r="BI433" i="6"/>
  <c r="Y464" i="6"/>
  <c r="BK445" i="6"/>
  <c r="BK38" i="6" s="1"/>
  <c r="BK626" i="6"/>
  <c r="BK628" i="6"/>
  <c r="BK625" i="6"/>
  <c r="BK627" i="6"/>
  <c r="BK752" i="6"/>
  <c r="BK800" i="6"/>
  <c r="BJ425" i="6"/>
  <c r="BJ394" i="6"/>
  <c r="U742" i="6"/>
  <c r="U283" i="6"/>
  <c r="U287" i="6"/>
  <c r="U286" i="6" s="1"/>
  <c r="BG425" i="6"/>
  <c r="BG394" i="6"/>
  <c r="T475" i="6"/>
  <c r="T793" i="6"/>
  <c r="AC369" i="6"/>
  <c r="V71" i="6"/>
  <c r="V12" i="6" s="1"/>
  <c r="V24" i="6" s="1"/>
  <c r="V123" i="6"/>
  <c r="BL79" i="6"/>
  <c r="BL95" i="6"/>
  <c r="BL242" i="6"/>
  <c r="BL365" i="6"/>
  <c r="BM72" i="6"/>
  <c r="BM142" i="6"/>
  <c r="T130" i="20"/>
  <c r="Q133" i="20"/>
  <c r="Q132" i="20"/>
  <c r="Q136" i="20" s="1"/>
  <c r="Q135" i="20" s="1"/>
  <c r="O132" i="20"/>
  <c r="O133" i="20"/>
  <c r="V143" i="6"/>
  <c r="V126" i="6"/>
  <c r="V119" i="6"/>
  <c r="W46" i="25"/>
  <c r="W24" i="25"/>
  <c r="W177" i="6" s="1"/>
  <c r="W35" i="25"/>
  <c r="Y178" i="6"/>
  <c r="X18" i="25"/>
  <c r="R133" i="20"/>
  <c r="R132" i="20"/>
  <c r="R136" i="20" s="1"/>
  <c r="R135" i="20" s="1"/>
  <c r="S132" i="20"/>
  <c r="S136" i="20" s="1"/>
  <c r="S135" i="20" s="1"/>
  <c r="S139" i="20" s="1"/>
  <c r="R149" i="20" s="1"/>
  <c r="R151" i="20" s="1"/>
  <c r="S133" i="20"/>
  <c r="Y51" i="6"/>
  <c r="AF51" i="6" s="1"/>
  <c r="BL137" i="6"/>
  <c r="BL152" i="6"/>
  <c r="BL149" i="6"/>
  <c r="BL153" i="6"/>
  <c r="BL158" i="6"/>
  <c r="BL159" i="6"/>
  <c r="V35" i="20"/>
  <c r="U312" i="6"/>
  <c r="U315" i="6" s="1"/>
  <c r="V343" i="6"/>
  <c r="W343" i="6" s="1"/>
  <c r="X343" i="6" s="1"/>
  <c r="Y343" i="6" s="1"/>
  <c r="Z343" i="6" s="1"/>
  <c r="AA343" i="6" s="1"/>
  <c r="AB343" i="6" s="1"/>
  <c r="AC343" i="6" s="1"/>
  <c r="AD343" i="6" s="1"/>
  <c r="AD45" i="25"/>
  <c r="AD69" i="6" s="1"/>
  <c r="AD23" i="25"/>
  <c r="AD34" i="25"/>
  <c r="P133" i="20"/>
  <c r="P132" i="20"/>
  <c r="AC83" i="6"/>
  <c r="AC277" i="6"/>
  <c r="BL136" i="6"/>
  <c r="BK92" i="6"/>
  <c r="BL141" i="6"/>
  <c r="BM143" i="6"/>
  <c r="BM126" i="6"/>
  <c r="BK153" i="6"/>
  <c r="BK152" i="6"/>
  <c r="BK149" i="6"/>
  <c r="U316" i="6" l="1"/>
  <c r="U318" i="6" s="1"/>
  <c r="U319" i="6" s="1"/>
  <c r="V222" i="6"/>
  <c r="V221" i="6"/>
  <c r="V220" i="6"/>
  <c r="V219" i="6"/>
  <c r="V218" i="6"/>
  <c r="BF435" i="6"/>
  <c r="BF460" i="6" s="1"/>
  <c r="BF470" i="6" s="1"/>
  <c r="BH40" i="6"/>
  <c r="BG40" i="6"/>
  <c r="BJ40" i="6"/>
  <c r="BK440" i="6"/>
  <c r="BJ438" i="6"/>
  <c r="BJ440" i="6" s="1"/>
  <c r="BK439" i="6"/>
  <c r="BJ437" i="6"/>
  <c r="BI435" i="6"/>
  <c r="BI450" i="6" s="1"/>
  <c r="BI438" i="6"/>
  <c r="BI440" i="6" s="1"/>
  <c r="BI437" i="6"/>
  <c r="BI439" i="6" s="1"/>
  <c r="BH32" i="6"/>
  <c r="BL32" i="6"/>
  <c r="V377" i="6"/>
  <c r="V16" i="6"/>
  <c r="V28" i="6" s="1"/>
  <c r="BH482" i="6"/>
  <c r="BH488" i="6"/>
  <c r="BL488" i="6"/>
  <c r="BG482" i="6"/>
  <c r="BG488" i="6"/>
  <c r="BK488" i="6"/>
  <c r="BJ482" i="6"/>
  <c r="BJ488" i="6"/>
  <c r="BI460" i="6"/>
  <c r="BI470" i="6" s="1"/>
  <c r="BK458" i="6"/>
  <c r="BK457" i="6" s="1"/>
  <c r="AD372" i="6"/>
  <c r="AA11" i="25"/>
  <c r="AA777" i="6"/>
  <c r="AA779" i="6" s="1"/>
  <c r="AB47" i="6"/>
  <c r="AB777" i="6" s="1"/>
  <c r="AB779" i="6" s="1"/>
  <c r="V406" i="6"/>
  <c r="V75" i="6"/>
  <c r="V13" i="6" s="1"/>
  <c r="V25" i="6" s="1"/>
  <c r="U337" i="6"/>
  <c r="BL62" i="6"/>
  <c r="BJ433" i="6"/>
  <c r="BG433" i="6"/>
  <c r="BK801" i="6"/>
  <c r="BF445" i="6"/>
  <c r="BF38" i="6" s="1"/>
  <c r="BF625" i="6"/>
  <c r="BF627" i="6"/>
  <c r="BF628" i="6"/>
  <c r="BF626" i="6"/>
  <c r="BF752" i="6"/>
  <c r="BF800" i="6"/>
  <c r="V202" i="6"/>
  <c r="V201" i="6"/>
  <c r="V200" i="6"/>
  <c r="V203" i="6"/>
  <c r="V366" i="6"/>
  <c r="BJ585" i="6"/>
  <c r="Z464" i="6"/>
  <c r="BI445" i="6"/>
  <c r="BI38" i="6" s="1"/>
  <c r="BI625" i="6"/>
  <c r="BI627" i="6"/>
  <c r="BI626" i="6"/>
  <c r="BI628" i="6"/>
  <c r="BI800" i="6"/>
  <c r="BI752" i="6"/>
  <c r="BH433" i="6"/>
  <c r="AD369" i="6"/>
  <c r="V72" i="6"/>
  <c r="W35" i="20"/>
  <c r="R152" i="20"/>
  <c r="R156" i="20" s="1"/>
  <c r="V145" i="6"/>
  <c r="AB182" i="6"/>
  <c r="BM153" i="6"/>
  <c r="BM149" i="6"/>
  <c r="BM152" i="6"/>
  <c r="T132" i="20"/>
  <c r="T136" i="20" s="1"/>
  <c r="T135" i="20" s="1"/>
  <c r="T139" i="20" s="1"/>
  <c r="V137" i="6"/>
  <c r="V141" i="6"/>
  <c r="V136" i="6"/>
  <c r="Y18" i="25"/>
  <c r="Z178" i="6"/>
  <c r="X46" i="25"/>
  <c r="X35" i="25"/>
  <c r="X24" i="25"/>
  <c r="X177" i="6" s="1"/>
  <c r="Z51" i="6"/>
  <c r="AD83" i="6"/>
  <c r="AD277" i="6"/>
  <c r="BM141" i="6"/>
  <c r="BM136" i="6"/>
  <c r="BM137" i="6"/>
  <c r="BK69" i="6"/>
  <c r="BK206" i="6"/>
  <c r="BF450" i="6" l="1"/>
  <c r="BM450" i="6"/>
  <c r="BG437" i="6"/>
  <c r="BG438" i="6"/>
  <c r="BK473" i="6"/>
  <c r="BJ473" i="6" s="1"/>
  <c r="BK472" i="6"/>
  <c r="BJ472" i="6" s="1"/>
  <c r="BH437" i="6"/>
  <c r="BH439" i="6" s="1"/>
  <c r="BH438" i="6"/>
  <c r="BH440" i="6" s="1"/>
  <c r="U10" i="20"/>
  <c r="U82" i="20"/>
  <c r="U84" i="20" s="1"/>
  <c r="BK21" i="6"/>
  <c r="BK483" i="6"/>
  <c r="BF458" i="6"/>
  <c r="AB11" i="25"/>
  <c r="AC47" i="6"/>
  <c r="AC777" i="6" s="1"/>
  <c r="AC779" i="6" s="1"/>
  <c r="AA464" i="6"/>
  <c r="BH435" i="6"/>
  <c r="BG435" i="6"/>
  <c r="BJ435" i="6"/>
  <c r="BI458" i="6"/>
  <c r="BL69" i="6"/>
  <c r="BI801" i="6"/>
  <c r="BG445" i="6"/>
  <c r="BG38" i="6" s="1"/>
  <c r="BG626" i="6"/>
  <c r="BG628" i="6"/>
  <c r="BG625" i="6"/>
  <c r="BG627" i="6"/>
  <c r="BG752" i="6"/>
  <c r="BG800" i="6"/>
  <c r="BH445" i="6"/>
  <c r="BH38" i="6" s="1"/>
  <c r="BH626" i="6"/>
  <c r="BH628" i="6"/>
  <c r="BH625" i="6"/>
  <c r="BH627" i="6"/>
  <c r="BH800" i="6"/>
  <c r="BH752" i="6"/>
  <c r="AB464" i="6"/>
  <c r="BJ445" i="6"/>
  <c r="BJ38" i="6" s="1"/>
  <c r="BJ625" i="6"/>
  <c r="BJ627" i="6"/>
  <c r="BJ628" i="6"/>
  <c r="BJ752" i="6"/>
  <c r="BJ626" i="6"/>
  <c r="BJ800" i="6"/>
  <c r="R159" i="20"/>
  <c r="S159" i="20" s="1"/>
  <c r="R157" i="20"/>
  <c r="R153" i="20"/>
  <c r="AC182" i="6"/>
  <c r="BM202" i="6"/>
  <c r="V192" i="6"/>
  <c r="Y46" i="25"/>
  <c r="Y35" i="25"/>
  <c r="Y24" i="25"/>
  <c r="Y177" i="6" s="1"/>
  <c r="Z18" i="25"/>
  <c r="AA178" i="6"/>
  <c r="AA51" i="6"/>
  <c r="BK207" i="6"/>
  <c r="BM200" i="6"/>
  <c r="BK209" i="6"/>
  <c r="BM201" i="6"/>
  <c r="BM203" i="6"/>
  <c r="BK208" i="6"/>
  <c r="BK475" i="6" l="1"/>
  <c r="BK41" i="6"/>
  <c r="BK793" i="6"/>
  <c r="BG440" i="6"/>
  <c r="BF438" i="6"/>
  <c r="BI21" i="6"/>
  <c r="BI33" i="6" s="1"/>
  <c r="BI473" i="6"/>
  <c r="BI472" i="6"/>
  <c r="BG439" i="6"/>
  <c r="BF437" i="6"/>
  <c r="BF439" i="6" s="1"/>
  <c r="BF489" i="6"/>
  <c r="BF21" i="6"/>
  <c r="BF33" i="6" s="1"/>
  <c r="V636" i="6"/>
  <c r="V635" i="6" s="1"/>
  <c r="V687" i="6"/>
  <c r="V711" i="6" s="1"/>
  <c r="BI489" i="6"/>
  <c r="BM489" i="6"/>
  <c r="BG460" i="6"/>
  <c r="BG470" i="6" s="1"/>
  <c r="BG450" i="6"/>
  <c r="BK450" i="6"/>
  <c r="BJ460" i="6"/>
  <c r="BJ450" i="6"/>
  <c r="BH460" i="6"/>
  <c r="BH470" i="6" s="1"/>
  <c r="BH450" i="6"/>
  <c r="BL450" i="6"/>
  <c r="BK474" i="6"/>
  <c r="BI483" i="6"/>
  <c r="BF483" i="6"/>
  <c r="BF459" i="6"/>
  <c r="AD47" i="6"/>
  <c r="AD777" i="6" s="1"/>
  <c r="AD779" i="6" s="1"/>
  <c r="AC11" i="25"/>
  <c r="BI459" i="6"/>
  <c r="BJ801" i="6"/>
  <c r="BH801" i="6"/>
  <c r="BG801" i="6"/>
  <c r="S157" i="20"/>
  <c r="S156" i="20"/>
  <c r="AD182" i="6"/>
  <c r="BM209" i="6"/>
  <c r="V208" i="6"/>
  <c r="V209" i="6"/>
  <c r="V207" i="6"/>
  <c r="V199" i="6"/>
  <c r="V206" i="6"/>
  <c r="AA18" i="25"/>
  <c r="AB178" i="6"/>
  <c r="Z46" i="25"/>
  <c r="Z35" i="25"/>
  <c r="Z24" i="25"/>
  <c r="Z177" i="6" s="1"/>
  <c r="AB51" i="6"/>
  <c r="BM207" i="6"/>
  <c r="BM199" i="6"/>
  <c r="BM206" i="6"/>
  <c r="BM208" i="6"/>
  <c r="BI41" i="6" l="1"/>
  <c r="BF41" i="6"/>
  <c r="BM33" i="6"/>
  <c r="BF440" i="6"/>
  <c r="BF801" i="6"/>
  <c r="BJ470" i="6"/>
  <c r="BI474" i="6"/>
  <c r="BH458" i="6"/>
  <c r="BG458" i="6"/>
  <c r="AD11" i="25"/>
  <c r="BI475" i="6"/>
  <c r="BI793" i="6"/>
  <c r="AB18" i="25"/>
  <c r="AC178" i="6"/>
  <c r="AA46" i="25"/>
  <c r="AA24" i="25"/>
  <c r="AA177" i="6" s="1"/>
  <c r="AA35" i="25"/>
  <c r="AC51" i="6"/>
  <c r="BG472" i="6" l="1"/>
  <c r="BG473" i="6"/>
  <c r="BG793" i="6" s="1"/>
  <c r="BH472" i="6"/>
  <c r="BH474" i="6" s="1"/>
  <c r="BH473" i="6"/>
  <c r="BH475" i="6" s="1"/>
  <c r="BJ458" i="6"/>
  <c r="BH21" i="6"/>
  <c r="BG459" i="6"/>
  <c r="BG21" i="6"/>
  <c r="BH489" i="6"/>
  <c r="BL489" i="6"/>
  <c r="BG489" i="6"/>
  <c r="BK489" i="6"/>
  <c r="BG483" i="6"/>
  <c r="BH483" i="6"/>
  <c r="BH459" i="6"/>
  <c r="BJ793" i="6"/>
  <c r="BJ475" i="6"/>
  <c r="BM369" i="6"/>
  <c r="AC18" i="25"/>
  <c r="AD178" i="6"/>
  <c r="AB35" i="25"/>
  <c r="AB24" i="25"/>
  <c r="AB177" i="6" s="1"/>
  <c r="AB46" i="25"/>
  <c r="AD51" i="6"/>
  <c r="BJ21" i="6" l="1"/>
  <c r="BJ33" i="6" s="1"/>
  <c r="BJ457" i="6"/>
  <c r="BG41" i="6"/>
  <c r="BH41" i="6"/>
  <c r="BH793" i="6"/>
  <c r="BG475" i="6"/>
  <c r="BF473" i="6"/>
  <c r="BF472" i="6"/>
  <c r="BJ483" i="6"/>
  <c r="BJ489" i="6"/>
  <c r="BH33" i="6"/>
  <c r="BL33" i="6"/>
  <c r="BG33" i="6"/>
  <c r="BK33" i="6"/>
  <c r="BG474" i="6"/>
  <c r="BM372" i="6"/>
  <c r="BM370" i="6"/>
  <c r="BM371" i="6"/>
  <c r="BM373" i="6"/>
  <c r="BM366" i="6"/>
  <c r="AD18" i="25"/>
  <c r="AC46" i="25"/>
  <c r="AC24" i="25"/>
  <c r="AC177" i="6" s="1"/>
  <c r="AC35" i="25"/>
  <c r="BJ41" i="6" l="1"/>
  <c r="BF474" i="6"/>
  <c r="BF475" i="6"/>
  <c r="BF793" i="6"/>
  <c r="BJ474" i="6"/>
  <c r="AD24" i="25"/>
  <c r="AD177" i="6" s="1"/>
  <c r="AD35" i="25"/>
  <c r="AD46" i="25"/>
  <c r="U130" i="20" l="1"/>
  <c r="U131" i="20" l="1"/>
  <c r="T133" i="20" s="1"/>
  <c r="U132" i="20" l="1"/>
  <c r="U136" i="20" s="1"/>
  <c r="U135" i="20" s="1"/>
  <c r="U139" i="20" s="1"/>
  <c r="U133" i="20" l="1"/>
  <c r="BL162" i="6" l="1"/>
  <c r="BL171" i="6" s="1"/>
  <c r="BL178" i="6" l="1"/>
  <c r="BL179" i="6" l="1"/>
  <c r="BL177" i="6"/>
  <c r="BP177" i="6" l="1"/>
  <c r="BL163" i="6" l="1"/>
  <c r="BL180" i="6" l="1"/>
  <c r="BL172" i="6"/>
  <c r="BL161" i="6"/>
  <c r="BL170" i="6" l="1"/>
  <c r="BL217" i="6"/>
  <c r="BL367" i="6"/>
  <c r="BL168" i="6"/>
  <c r="BL167" i="6"/>
  <c r="BL175" i="6"/>
  <c r="BB95" i="6" l="1"/>
  <c r="BB100" i="6"/>
  <c r="T90" i="6"/>
  <c r="T95" i="6" l="1"/>
  <c r="BB87" i="6"/>
  <c r="BB98" i="6" s="1"/>
  <c r="T101" i="6"/>
  <c r="T89" i="6"/>
  <c r="BB94" i="6"/>
  <c r="BB92" i="6" s="1"/>
  <c r="T245" i="6" l="1"/>
  <c r="T100" i="6"/>
  <c r="T94" i="6"/>
  <c r="T92" i="6" s="1"/>
  <c r="U100" i="6"/>
  <c r="T87" i="6"/>
  <c r="U133" i="6" l="1"/>
  <c r="T247" i="6"/>
  <c r="U98" i="6"/>
  <c r="T98" i="6"/>
  <c r="T133" i="6" l="1"/>
  <c r="T19" i="25"/>
  <c r="T131" i="6"/>
  <c r="BM162" i="6" l="1"/>
  <c r="BM171" i="6" s="1"/>
  <c r="BM187" i="6"/>
  <c r="V187" i="6" s="1"/>
  <c r="BM163" i="6" l="1"/>
  <c r="BM172" i="6" s="1"/>
  <c r="V163" i="6"/>
  <c r="BM178" i="6"/>
  <c r="BM188" i="6"/>
  <c r="V180" i="6" l="1"/>
  <c r="BM180" i="6"/>
  <c r="BM161" i="6"/>
  <c r="BM179" i="6"/>
  <c r="BM177" i="6"/>
  <c r="V161" i="6"/>
  <c r="V217" i="6" s="1"/>
  <c r="V188" i="6"/>
  <c r="BM170" i="6" l="1"/>
  <c r="BM217" i="6"/>
  <c r="V367" i="6"/>
  <c r="BM168" i="6"/>
  <c r="BM175" i="6"/>
  <c r="BM167" i="6"/>
  <c r="BM367" i="6"/>
  <c r="V175" i="6"/>
  <c r="V167" i="6"/>
  <c r="V168" i="6"/>
  <c r="BJ56" i="6" l="1"/>
  <c r="BK56" i="6"/>
  <c r="BL56" i="6"/>
  <c r="V48" i="6"/>
  <c r="V13" i="25" s="1"/>
  <c r="V76" i="6"/>
  <c r="V14" i="6" s="1"/>
  <c r="V26" i="6" s="1"/>
  <c r="V77" i="6"/>
  <c r="V15" i="6" s="1"/>
  <c r="V27" i="6" s="1"/>
  <c r="V79" i="6"/>
  <c r="V104" i="6"/>
  <c r="V107" i="6" s="1"/>
  <c r="V105" i="6"/>
  <c r="V108" i="6" s="1"/>
  <c r="V242" i="6"/>
  <c r="V303" i="6"/>
  <c r="V230" i="6" s="1"/>
  <c r="V236" i="6" s="1"/>
  <c r="V365" i="6"/>
  <c r="V10" i="25"/>
  <c r="V14" i="25" s="1"/>
  <c r="BJ57" i="6" l="1"/>
  <c r="V403" i="6"/>
  <c r="V244" i="6"/>
  <c r="V404" i="6"/>
  <c r="V325" i="6"/>
  <c r="V243" i="6"/>
  <c r="V249" i="6" s="1"/>
  <c r="V252" i="6" s="1"/>
  <c r="V80" i="6"/>
  <c r="V324" i="6"/>
  <c r="V280" i="6"/>
  <c r="V89" i="6"/>
  <c r="V100" i="6" s="1"/>
  <c r="BJ58" i="6"/>
  <c r="V132" i="6"/>
  <c r="V131" i="6" s="1"/>
  <c r="V129" i="6"/>
  <c r="V88" i="6"/>
  <c r="V99" i="6" s="1"/>
  <c r="BL76" i="6"/>
  <c r="BL324" i="6" s="1"/>
  <c r="BK58" i="6"/>
  <c r="V81" i="6"/>
  <c r="V144" i="6" s="1"/>
  <c r="V122" i="6" s="1"/>
  <c r="BK57" i="6"/>
  <c r="V15" i="25"/>
  <c r="W48" i="6"/>
  <c r="V52" i="6"/>
  <c r="BL243" i="6" l="1"/>
  <c r="BL249" i="6" s="1"/>
  <c r="BL14" i="6"/>
  <c r="BL26" i="6" s="1"/>
  <c r="V405" i="6"/>
  <c r="V756" i="6" s="1"/>
  <c r="V770" i="6" s="1"/>
  <c r="V94" i="6"/>
  <c r="V87" i="6"/>
  <c r="V98" i="6" s="1"/>
  <c r="V93" i="6"/>
  <c r="V323" i="6"/>
  <c r="V311" i="6" s="1"/>
  <c r="V312" i="6" s="1"/>
  <c r="V309" i="6" s="1"/>
  <c r="V228" i="6" s="1"/>
  <c r="BL88" i="6"/>
  <c r="BL93" i="6" s="1"/>
  <c r="BM76" i="6"/>
  <c r="BM324" i="6" s="1"/>
  <c r="BL129" i="6"/>
  <c r="BL80" i="6"/>
  <c r="V133" i="6"/>
  <c r="W132" i="6"/>
  <c r="V19" i="25"/>
  <c r="BL77" i="6"/>
  <c r="BL403" i="6"/>
  <c r="V138" i="6"/>
  <c r="V164" i="6"/>
  <c r="V181" i="6"/>
  <c r="X48" i="6"/>
  <c r="W52" i="6"/>
  <c r="W75" i="6"/>
  <c r="W13" i="25"/>
  <c r="V49" i="6"/>
  <c r="V65" i="6"/>
  <c r="BL15" i="6" l="1"/>
  <c r="BL27" i="6" s="1"/>
  <c r="BL325" i="6"/>
  <c r="BL323" i="6" s="1"/>
  <c r="BL252" i="6"/>
  <c r="BM129" i="6"/>
  <c r="BM14" i="6"/>
  <c r="BM26" i="6" s="1"/>
  <c r="W71" i="6"/>
  <c r="W12" i="6" s="1"/>
  <c r="W24" i="6" s="1"/>
  <c r="W13" i="6"/>
  <c r="W25" i="6" s="1"/>
  <c r="V621" i="6"/>
  <c r="V581" i="6"/>
  <c r="V763" i="6"/>
  <c r="V92" i="6"/>
  <c r="V315" i="6"/>
  <c r="V314" i="6"/>
  <c r="V346" i="6"/>
  <c r="W346" i="6" s="1"/>
  <c r="X346" i="6" s="1"/>
  <c r="BM243" i="6"/>
  <c r="BM252" i="6" s="1"/>
  <c r="BL99" i="6"/>
  <c r="BM80" i="6"/>
  <c r="BM88" i="6"/>
  <c r="BM99" i="6" s="1"/>
  <c r="BM57" i="6"/>
  <c r="BL89" i="6"/>
  <c r="BL81" i="6"/>
  <c r="BL132" i="6"/>
  <c r="BM77" i="6"/>
  <c r="BL58" i="6"/>
  <c r="BL244" i="6"/>
  <c r="BL84" i="6"/>
  <c r="BL83" i="6" s="1"/>
  <c r="BL404" i="6"/>
  <c r="BM403" i="6"/>
  <c r="V25" i="25"/>
  <c r="V36" i="25"/>
  <c r="V47" i="25"/>
  <c r="W19" i="25"/>
  <c r="X132" i="6"/>
  <c r="V140" i="6"/>
  <c r="BK138" i="6"/>
  <c r="BK122" i="6" s="1"/>
  <c r="BL138" i="6"/>
  <c r="BL122" i="6" s="1"/>
  <c r="BJ138" i="6"/>
  <c r="BJ122" i="6" s="1"/>
  <c r="BM138" i="6"/>
  <c r="BM122" i="6" s="1"/>
  <c r="Y48" i="6"/>
  <c r="AF48" i="6" s="1"/>
  <c r="X52" i="6"/>
  <c r="X75" i="6"/>
  <c r="X13" i="6" s="1"/>
  <c r="X13" i="25"/>
  <c r="V63" i="6"/>
  <c r="V248" i="6"/>
  <c r="BK248" i="6"/>
  <c r="BL248" i="6"/>
  <c r="V267" i="6"/>
  <c r="W76" i="6"/>
  <c r="W14" i="6" s="1"/>
  <c r="W26" i="6" s="1"/>
  <c r="W77" i="6"/>
  <c r="W15" i="6" s="1"/>
  <c r="W27" i="6" s="1"/>
  <c r="W79" i="6"/>
  <c r="W105" i="6"/>
  <c r="W108" i="6" s="1"/>
  <c r="W104" i="6"/>
  <c r="W107" i="6" s="1"/>
  <c r="W242" i="6"/>
  <c r="W303" i="6"/>
  <c r="W230" i="6" s="1"/>
  <c r="W10" i="25"/>
  <c r="W65" i="6"/>
  <c r="W49" i="6"/>
  <c r="V316" i="6" l="1"/>
  <c r="V318" i="6" s="1"/>
  <c r="V319" i="6" s="1"/>
  <c r="BM15" i="6"/>
  <c r="BM27" i="6" s="1"/>
  <c r="BM325" i="6"/>
  <c r="BM323" i="6" s="1"/>
  <c r="X25" i="6"/>
  <c r="V766" i="6"/>
  <c r="W621" i="6"/>
  <c r="BM249" i="6"/>
  <c r="V337" i="6"/>
  <c r="BL131" i="6"/>
  <c r="BL133" i="6"/>
  <c r="Y132" i="6"/>
  <c r="X19" i="25"/>
  <c r="BL100" i="6"/>
  <c r="BL87" i="6"/>
  <c r="BL98" i="6" s="1"/>
  <c r="BL94" i="6"/>
  <c r="BL92" i="6" s="1"/>
  <c r="W25" i="25"/>
  <c r="W131" i="6" s="1"/>
  <c r="W36" i="25"/>
  <c r="W47" i="25"/>
  <c r="BM404" i="6"/>
  <c r="BL405" i="6"/>
  <c r="BM89" i="6"/>
  <c r="BM75" i="6"/>
  <c r="BM58" i="6"/>
  <c r="BM244" i="6"/>
  <c r="BM81" i="6"/>
  <c r="BM132" i="6"/>
  <c r="BL181" i="6"/>
  <c r="BL164" i="6"/>
  <c r="BK181" i="6"/>
  <c r="BK164" i="6"/>
  <c r="BM164" i="6"/>
  <c r="BM181" i="6"/>
  <c r="BM140" i="6"/>
  <c r="BM124" i="6" s="1"/>
  <c r="BL140" i="6"/>
  <c r="BL124" i="6" s="1"/>
  <c r="BJ140" i="6"/>
  <c r="BJ124" i="6" s="1"/>
  <c r="V124" i="6"/>
  <c r="V165" i="6" s="1"/>
  <c r="BK140" i="6"/>
  <c r="BK124" i="6" s="1"/>
  <c r="BJ181" i="6"/>
  <c r="BJ164" i="6"/>
  <c r="W15" i="25"/>
  <c r="W14" i="25"/>
  <c r="BO77" i="6"/>
  <c r="BP77" i="6"/>
  <c r="W81" i="6"/>
  <c r="W144" i="6" s="1"/>
  <c r="BN77" i="6"/>
  <c r="W244" i="6"/>
  <c r="W89" i="6"/>
  <c r="W280" i="6"/>
  <c r="W325" i="6"/>
  <c r="W404" i="6"/>
  <c r="BK250" i="6"/>
  <c r="BK247" i="6" s="1"/>
  <c r="BK253" i="6" s="1"/>
  <c r="BK251" i="6" s="1"/>
  <c r="BK254" i="6" s="1"/>
  <c r="BK245" i="6"/>
  <c r="BK255" i="6"/>
  <c r="X71" i="6"/>
  <c r="X12" i="6" s="1"/>
  <c r="X24" i="6" s="1"/>
  <c r="X76" i="6"/>
  <c r="X14" i="6" s="1"/>
  <c r="X26" i="6" s="1"/>
  <c r="X77" i="6"/>
  <c r="X15" i="6" s="1"/>
  <c r="X27" i="6" s="1"/>
  <c r="X79" i="6"/>
  <c r="X105" i="6"/>
  <c r="X108" i="6" s="1"/>
  <c r="X104" i="6"/>
  <c r="X107" i="6" s="1"/>
  <c r="X242" i="6"/>
  <c r="X303" i="6"/>
  <c r="X230" i="6" s="1"/>
  <c r="X10" i="25"/>
  <c r="W248" i="6"/>
  <c r="W63" i="6"/>
  <c r="W267" i="6"/>
  <c r="BO76" i="6"/>
  <c r="BP76" i="6"/>
  <c r="W120" i="6"/>
  <c r="W17" i="6" s="1"/>
  <c r="W29" i="6" s="1"/>
  <c r="BN76" i="6"/>
  <c r="W88" i="6"/>
  <c r="W80" i="6"/>
  <c r="W243" i="6"/>
  <c r="W249" i="6" s="1"/>
  <c r="W252" i="6" s="1"/>
  <c r="W324" i="6"/>
  <c r="W403" i="6"/>
  <c r="V245" i="6"/>
  <c r="V250" i="6"/>
  <c r="V255" i="6"/>
  <c r="Y346" i="6"/>
  <c r="BL250" i="6"/>
  <c r="BL247" i="6" s="1"/>
  <c r="BL253" i="6" s="1"/>
  <c r="BL251" i="6" s="1"/>
  <c r="BL254" i="6" s="1"/>
  <c r="BL245" i="6"/>
  <c r="BL255" i="6"/>
  <c r="X65" i="6"/>
  <c r="X49" i="6"/>
  <c r="V270" i="6"/>
  <c r="V271" i="6"/>
  <c r="V272" i="6"/>
  <c r="Y75" i="6"/>
  <c r="Z48" i="6"/>
  <c r="Y52" i="6"/>
  <c r="Y13" i="25"/>
  <c r="BP15" i="6" l="1"/>
  <c r="BP27" i="6" s="1"/>
  <c r="BP325" i="6"/>
  <c r="BO14" i="6"/>
  <c r="BO26" i="6" s="1"/>
  <c r="BO324" i="6"/>
  <c r="BN14" i="6"/>
  <c r="BN26" i="6" s="1"/>
  <c r="BN324" i="6"/>
  <c r="BO15" i="6"/>
  <c r="BO27" i="6" s="1"/>
  <c r="BO325" i="6"/>
  <c r="BN15" i="6"/>
  <c r="BN27" i="6" s="1"/>
  <c r="BN325" i="6"/>
  <c r="BP14" i="6"/>
  <c r="BP26" i="6" s="1"/>
  <c r="BP324" i="6"/>
  <c r="BP323" i="6" s="1"/>
  <c r="Y13" i="6"/>
  <c r="Y25" i="6" s="1"/>
  <c r="AF75" i="6"/>
  <c r="W121" i="6"/>
  <c r="W18" i="6" s="1"/>
  <c r="W30" i="6" s="1"/>
  <c r="BM84" i="6"/>
  <c r="BM83" i="6" s="1"/>
  <c r="BM13" i="6"/>
  <c r="BM25" i="6" s="1"/>
  <c r="BJ182" i="6"/>
  <c r="BJ165" i="6"/>
  <c r="BL182" i="6"/>
  <c r="BL165" i="6"/>
  <c r="BK182" i="6"/>
  <c r="BK165" i="6"/>
  <c r="BM182" i="6"/>
  <c r="BM165" i="6"/>
  <c r="Y105" i="6"/>
  <c r="Y108" i="6" s="1"/>
  <c r="Y104" i="6"/>
  <c r="Y107" i="6" s="1"/>
  <c r="X621" i="6"/>
  <c r="W323" i="6"/>
  <c r="W311" i="6" s="1"/>
  <c r="W347" i="6" s="1"/>
  <c r="BM48" i="6"/>
  <c r="BM79" i="6"/>
  <c r="BM242" i="6"/>
  <c r="BM365" i="6"/>
  <c r="BM93" i="6"/>
  <c r="BM56" i="6"/>
  <c r="BM248" i="6" s="1"/>
  <c r="BM95" i="6"/>
  <c r="Z132" i="6"/>
  <c r="Y19" i="25"/>
  <c r="BM94" i="6"/>
  <c r="BM87" i="6"/>
  <c r="BM98" i="6" s="1"/>
  <c r="BM100" i="6"/>
  <c r="BM405" i="6"/>
  <c r="BP131" i="6"/>
  <c r="X36" i="25"/>
  <c r="X47" i="25"/>
  <c r="X25" i="25"/>
  <c r="X131" i="6" s="1"/>
  <c r="X121" i="6" s="1"/>
  <c r="X18" i="6" s="1"/>
  <c r="BM133" i="6"/>
  <c r="BM131" i="6"/>
  <c r="BL770" i="6"/>
  <c r="BL621" i="6"/>
  <c r="BL756" i="6"/>
  <c r="BQ77" i="6"/>
  <c r="BQ325" i="6" s="1"/>
  <c r="V146" i="6"/>
  <c r="V182" i="6"/>
  <c r="BO75" i="6"/>
  <c r="BO80" i="6"/>
  <c r="BO120" i="6"/>
  <c r="BO17" i="6" s="1"/>
  <c r="BO29" i="6" s="1"/>
  <c r="BO88" i="6"/>
  <c r="BO243" i="6"/>
  <c r="BO403" i="6"/>
  <c r="Z346" i="6"/>
  <c r="BN80" i="6"/>
  <c r="BN88" i="6"/>
  <c r="BN75" i="6"/>
  <c r="BN243" i="6"/>
  <c r="BN120" i="6"/>
  <c r="BN17" i="6" s="1"/>
  <c r="BN29" i="6" s="1"/>
  <c r="BN403" i="6"/>
  <c r="W272" i="6"/>
  <c r="W270" i="6"/>
  <c r="W271" i="6"/>
  <c r="X88" i="6"/>
  <c r="X80" i="6"/>
  <c r="X243" i="6"/>
  <c r="X249" i="6" s="1"/>
  <c r="X252" i="6" s="1"/>
  <c r="X120" i="6"/>
  <c r="X17" i="6" s="1"/>
  <c r="X29" i="6" s="1"/>
  <c r="X324" i="6"/>
  <c r="X403" i="6"/>
  <c r="W122" i="6"/>
  <c r="W142" i="6"/>
  <c r="W162" i="6"/>
  <c r="W171" i="6" s="1"/>
  <c r="W407" i="6"/>
  <c r="W502" i="6" s="1"/>
  <c r="W501" i="6" s="1"/>
  <c r="BP81" i="6"/>
  <c r="BP89" i="6"/>
  <c r="BP244" i="6"/>
  <c r="BP404" i="6"/>
  <c r="Y49" i="6"/>
  <c r="AF49" i="6" s="1"/>
  <c r="Y65" i="6"/>
  <c r="V274" i="6"/>
  <c r="V279" i="6"/>
  <c r="X63" i="6"/>
  <c r="X248" i="6"/>
  <c r="X267" i="6"/>
  <c r="Z75" i="6"/>
  <c r="Z13" i="6" s="1"/>
  <c r="Z25" i="6" s="1"/>
  <c r="AA48" i="6"/>
  <c r="Z52" i="6"/>
  <c r="Z13" i="25"/>
  <c r="V273" i="6"/>
  <c r="V293" i="6"/>
  <c r="V278" i="6"/>
  <c r="V247" i="6"/>
  <c r="V253" i="6"/>
  <c r="V251" i="6" s="1"/>
  <c r="V254" i="6" s="1"/>
  <c r="W405" i="6"/>
  <c r="BQ76" i="6"/>
  <c r="BP120" i="6"/>
  <c r="BP17" i="6" s="1"/>
  <c r="BP29" i="6" s="1"/>
  <c r="BP75" i="6"/>
  <c r="BP13" i="6" s="1"/>
  <c r="BP25" i="6" s="1"/>
  <c r="BP88" i="6"/>
  <c r="BP80" i="6"/>
  <c r="BP243" i="6"/>
  <c r="BP403" i="6"/>
  <c r="W250" i="6"/>
  <c r="W253" i="6" s="1"/>
  <c r="W251" i="6" s="1"/>
  <c r="X406" i="6"/>
  <c r="BO81" i="6"/>
  <c r="BO121" i="6"/>
  <c r="BO89" i="6"/>
  <c r="BO244" i="6"/>
  <c r="BO404" i="6"/>
  <c r="Y71" i="6"/>
  <c r="Y12" i="6" s="1"/>
  <c r="Y24" i="6" s="1"/>
  <c r="Y76" i="6"/>
  <c r="Y79" i="6"/>
  <c r="Y77" i="6"/>
  <c r="Y242" i="6"/>
  <c r="Y303" i="6"/>
  <c r="Y230" i="6" s="1"/>
  <c r="Y10" i="25"/>
  <c r="W87" i="6"/>
  <c r="W98" i="6" s="1"/>
  <c r="W93" i="6"/>
  <c r="W99" i="6"/>
  <c r="X14" i="25"/>
  <c r="X15" i="25"/>
  <c r="X89" i="6"/>
  <c r="X81" i="6"/>
  <c r="X144" i="6" s="1"/>
  <c r="X244" i="6"/>
  <c r="X280" i="6"/>
  <c r="X325" i="6"/>
  <c r="X404" i="6"/>
  <c r="W94" i="6"/>
  <c r="W100" i="6"/>
  <c r="BN89" i="6"/>
  <c r="BN81" i="6"/>
  <c r="BN121" i="6"/>
  <c r="BN244" i="6"/>
  <c r="BN404" i="6"/>
  <c r="W245" i="6"/>
  <c r="BO323" i="6" l="1"/>
  <c r="BQ14" i="6"/>
  <c r="BQ26" i="6" s="1"/>
  <c r="BQ324" i="6"/>
  <c r="BQ323" i="6" s="1"/>
  <c r="BN323" i="6"/>
  <c r="Y15" i="6"/>
  <c r="Y27" i="6" s="1"/>
  <c r="AF77" i="6"/>
  <c r="Y14" i="6"/>
  <c r="Y26" i="6" s="1"/>
  <c r="AF76" i="6"/>
  <c r="W408" i="6"/>
  <c r="W143" i="6"/>
  <c r="X30" i="6"/>
  <c r="W119" i="6"/>
  <c r="W16" i="6" s="1"/>
  <c r="W28" i="6" s="1"/>
  <c r="W126" i="6"/>
  <c r="W163" i="6"/>
  <c r="W172" i="6" s="1"/>
  <c r="W123" i="6"/>
  <c r="W145" i="6" s="1"/>
  <c r="W10" i="20"/>
  <c r="W82" i="20"/>
  <c r="W84" i="20" s="1"/>
  <c r="BN132" i="6"/>
  <c r="BN18" i="6"/>
  <c r="BN30" i="6" s="1"/>
  <c r="BO132" i="6"/>
  <c r="BO18" i="6"/>
  <c r="BO30" i="6" s="1"/>
  <c r="BO84" i="6"/>
  <c r="BO83" i="6" s="1"/>
  <c r="BO13" i="6"/>
  <c r="BO25" i="6" s="1"/>
  <c r="BQ244" i="6"/>
  <c r="BQ15" i="6"/>
  <c r="BQ27" i="6" s="1"/>
  <c r="BN84" i="6"/>
  <c r="BN83" i="6" s="1"/>
  <c r="BN13" i="6"/>
  <c r="BN25" i="6" s="1"/>
  <c r="W578" i="6"/>
  <c r="W688" i="6" s="1"/>
  <c r="W522" i="6"/>
  <c r="W756" i="6"/>
  <c r="W770" i="6" s="1"/>
  <c r="Z105" i="6"/>
  <c r="Z108" i="6" s="1"/>
  <c r="Z104" i="6"/>
  <c r="Z107" i="6" s="1"/>
  <c r="Y621" i="6"/>
  <c r="W314" i="6"/>
  <c r="W312" i="6"/>
  <c r="W309" i="6" s="1"/>
  <c r="W228" i="6" s="1"/>
  <c r="BQ81" i="6"/>
  <c r="BP121" i="6"/>
  <c r="X250" i="6"/>
  <c r="X253" i="6" s="1"/>
  <c r="X251" i="6" s="1"/>
  <c r="X245" i="6"/>
  <c r="BM92" i="6"/>
  <c r="BM245" i="6"/>
  <c r="AA132" i="6"/>
  <c r="Z19" i="25"/>
  <c r="BM756" i="6"/>
  <c r="BM770" i="6"/>
  <c r="Y25" i="25"/>
  <c r="Y131" i="6" s="1"/>
  <c r="Y121" i="6" s="1"/>
  <c r="Y36" i="25"/>
  <c r="Y47" i="25"/>
  <c r="BM250" i="6"/>
  <c r="BM247" i="6" s="1"/>
  <c r="BM253" i="6" s="1"/>
  <c r="BM251" i="6" s="1"/>
  <c r="BM254" i="6" s="1"/>
  <c r="BM255" i="6"/>
  <c r="BM62" i="6"/>
  <c r="BM69" i="6"/>
  <c r="BQ89" i="6"/>
  <c r="BQ100" i="6" s="1"/>
  <c r="BQ58" i="6"/>
  <c r="BQ404" i="6"/>
  <c r="BP252" i="6"/>
  <c r="BP249" i="6"/>
  <c r="BP162" i="6"/>
  <c r="BP171" i="6" s="1"/>
  <c r="BP142" i="6"/>
  <c r="BP407" i="6"/>
  <c r="W293" i="6"/>
  <c r="W283" i="6" s="1"/>
  <c r="V287" i="6"/>
  <c r="Z49" i="6"/>
  <c r="Z65" i="6"/>
  <c r="X347" i="6"/>
  <c r="W337" i="6"/>
  <c r="X119" i="6"/>
  <c r="X142" i="6"/>
  <c r="X162" i="6"/>
  <c r="X171" i="6" s="1"/>
  <c r="X407" i="6"/>
  <c r="BN405" i="6"/>
  <c r="BN99" i="6"/>
  <c r="BN93" i="6"/>
  <c r="BN87" i="6"/>
  <c r="BN98" i="6" s="1"/>
  <c r="BO119" i="6"/>
  <c r="BO142" i="6"/>
  <c r="BO162" i="6"/>
  <c r="BO171" i="6" s="1"/>
  <c r="BO407" i="6"/>
  <c r="BN143" i="6"/>
  <c r="BN123" i="6"/>
  <c r="BN163" i="6"/>
  <c r="BN172" i="6" s="1"/>
  <c r="BN126" i="6"/>
  <c r="BN408" i="6"/>
  <c r="Y89" i="6"/>
  <c r="Y81" i="6"/>
  <c r="Y144" i="6" s="1"/>
  <c r="Y244" i="6"/>
  <c r="Y325" i="6"/>
  <c r="Y280" i="6"/>
  <c r="Y404" i="6"/>
  <c r="AF404" i="6" s="1"/>
  <c r="X126" i="6"/>
  <c r="X143" i="6"/>
  <c r="X123" i="6"/>
  <c r="X163" i="6"/>
  <c r="X408" i="6"/>
  <c r="W92" i="6"/>
  <c r="BQ57" i="6"/>
  <c r="BQ88" i="6"/>
  <c r="BQ80" i="6"/>
  <c r="BQ243" i="6"/>
  <c r="BQ75" i="6"/>
  <c r="AB48" i="6"/>
  <c r="AA52" i="6"/>
  <c r="AA75" i="6"/>
  <c r="AA13" i="6" s="1"/>
  <c r="AA25" i="6" s="1"/>
  <c r="AA13" i="25"/>
  <c r="BP94" i="6"/>
  <c r="BP100" i="6"/>
  <c r="W409" i="6"/>
  <c r="V86" i="20" s="1"/>
  <c r="V88" i="20" s="1"/>
  <c r="BQ120" i="6"/>
  <c r="BQ17" i="6" s="1"/>
  <c r="BQ29" i="6" s="1"/>
  <c r="X122" i="6"/>
  <c r="W138" i="6"/>
  <c r="W279" i="6"/>
  <c r="W274" i="6"/>
  <c r="BN119" i="6"/>
  <c r="BN142" i="6"/>
  <c r="BN162" i="6"/>
  <c r="BN171" i="6" s="1"/>
  <c r="BN407" i="6"/>
  <c r="BO405" i="6"/>
  <c r="Y72" i="6"/>
  <c r="Y406" i="6"/>
  <c r="X94" i="6"/>
  <c r="X100" i="6"/>
  <c r="BP87" i="6"/>
  <c r="BP98" i="6" s="1"/>
  <c r="BP93" i="6"/>
  <c r="BP99" i="6"/>
  <c r="W763" i="6"/>
  <c r="Z90" i="6"/>
  <c r="Z71" i="6"/>
  <c r="Z12" i="6" s="1"/>
  <c r="Z24" i="6" s="1"/>
  <c r="Z76" i="6"/>
  <c r="Z14" i="6" s="1"/>
  <c r="Z26" i="6" s="1"/>
  <c r="Z77" i="6"/>
  <c r="Z15" i="6" s="1"/>
  <c r="Z27" i="6" s="1"/>
  <c r="Z79" i="6"/>
  <c r="Z242" i="6"/>
  <c r="Z303" i="6"/>
  <c r="Z230" i="6" s="1"/>
  <c r="Z10" i="25"/>
  <c r="X271" i="6"/>
  <c r="X272" i="6"/>
  <c r="X270" i="6"/>
  <c r="X405" i="6"/>
  <c r="X756" i="6" s="1"/>
  <c r="X770" i="6" s="1"/>
  <c r="W273" i="6"/>
  <c r="W278" i="6"/>
  <c r="BN249" i="6"/>
  <c r="BN252" i="6"/>
  <c r="BO249" i="6"/>
  <c r="BO252" i="6"/>
  <c r="BO95" i="6"/>
  <c r="BO71" i="6"/>
  <c r="BO12" i="6" s="1"/>
  <c r="BO24" i="6" s="1"/>
  <c r="BO56" i="6"/>
  <c r="BO248" i="6" s="1"/>
  <c r="BO250" i="6" s="1"/>
  <c r="BO247" i="6" s="1"/>
  <c r="BO253" i="6" s="1"/>
  <c r="BO79" i="6"/>
  <c r="BO242" i="6"/>
  <c r="BO126" i="6"/>
  <c r="BO143" i="6"/>
  <c r="BO123" i="6"/>
  <c r="BO163" i="6"/>
  <c r="BO172" i="6" s="1"/>
  <c r="BO408" i="6"/>
  <c r="BN100" i="6"/>
  <c r="BN94" i="6"/>
  <c r="Y14" i="25"/>
  <c r="Y15" i="25"/>
  <c r="Y80" i="6"/>
  <c r="Y88" i="6"/>
  <c r="Y120" i="6"/>
  <c r="Y243" i="6"/>
  <c r="Y249" i="6" s="1"/>
  <c r="Y252" i="6" s="1"/>
  <c r="Y324" i="6"/>
  <c r="Y403" i="6"/>
  <c r="AF403" i="6" s="1"/>
  <c r="BO100" i="6"/>
  <c r="BO94" i="6"/>
  <c r="BP405" i="6"/>
  <c r="BP95" i="6"/>
  <c r="BP56" i="6"/>
  <c r="BP248" i="6" s="1"/>
  <c r="BP79" i="6"/>
  <c r="BP242" i="6"/>
  <c r="BP71" i="6"/>
  <c r="BP12" i="6" s="1"/>
  <c r="BP24" i="6" s="1"/>
  <c r="BQ403" i="6"/>
  <c r="V283" i="6"/>
  <c r="Y63" i="6"/>
  <c r="Y248" i="6"/>
  <c r="Y267" i="6"/>
  <c r="BP84" i="6"/>
  <c r="BP83" i="6" s="1"/>
  <c r="W161" i="6"/>
  <c r="W247" i="6"/>
  <c r="X323" i="6"/>
  <c r="X311" i="6" s="1"/>
  <c r="X99" i="6"/>
  <c r="X87" i="6"/>
  <c r="X98" i="6" s="1"/>
  <c r="X93" i="6"/>
  <c r="BN71" i="6"/>
  <c r="BN56" i="6"/>
  <c r="BN248" i="6" s="1"/>
  <c r="BN79" i="6"/>
  <c r="BN95" i="6"/>
  <c r="BN242" i="6"/>
  <c r="BO48" i="6"/>
  <c r="BP48" i="6"/>
  <c r="BN48" i="6"/>
  <c r="AA346" i="6"/>
  <c r="BO93" i="6"/>
  <c r="BO87" i="6"/>
  <c r="BO98" i="6" s="1"/>
  <c r="BO99" i="6"/>
  <c r="W187" i="6" l="1"/>
  <c r="Y17" i="6"/>
  <c r="Y29" i="6" s="1"/>
  <c r="AF120" i="6"/>
  <c r="Y18" i="6"/>
  <c r="Y30" i="6" s="1"/>
  <c r="AF121" i="6"/>
  <c r="W141" i="6"/>
  <c r="X145" i="6"/>
  <c r="W136" i="6"/>
  <c r="W137" i="6"/>
  <c r="W215" i="6"/>
  <c r="W377" i="6"/>
  <c r="W213" i="6"/>
  <c r="W357" i="6"/>
  <c r="W367" i="6" s="1"/>
  <c r="W214" i="6"/>
  <c r="W212" i="6"/>
  <c r="X172" i="6"/>
  <c r="X187" i="6"/>
  <c r="W170" i="6"/>
  <c r="X16" i="6"/>
  <c r="X28" i="6" s="1"/>
  <c r="X213" i="6"/>
  <c r="X212" i="6"/>
  <c r="X214" i="6"/>
  <c r="X215" i="6"/>
  <c r="BN12" i="6"/>
  <c r="BN24" i="6" s="1"/>
  <c r="BO16" i="6"/>
  <c r="BO28" i="6" s="1"/>
  <c r="BO213" i="6"/>
  <c r="BO212" i="6"/>
  <c r="BO214" i="6"/>
  <c r="BO215" i="6"/>
  <c r="BN16" i="6"/>
  <c r="BN28" i="6" s="1"/>
  <c r="BN214" i="6"/>
  <c r="BN212" i="6"/>
  <c r="BN213" i="6"/>
  <c r="BN215" i="6"/>
  <c r="X10" i="20"/>
  <c r="X82" i="20"/>
  <c r="X84" i="20" s="1"/>
  <c r="W497" i="6"/>
  <c r="W615" i="6" s="1"/>
  <c r="BQ48" i="6"/>
  <c r="BQ62" i="6" s="1"/>
  <c r="BQ13" i="6"/>
  <c r="BQ25" i="6" s="1"/>
  <c r="BP132" i="6"/>
  <c r="BP18" i="6"/>
  <c r="BP30" i="6" s="1"/>
  <c r="BN357" i="6"/>
  <c r="BN377" i="6"/>
  <c r="X357" i="6"/>
  <c r="X377" i="6"/>
  <c r="BO357" i="6"/>
  <c r="BO377" i="6"/>
  <c r="BO136" i="6"/>
  <c r="BN136" i="6"/>
  <c r="X137" i="6"/>
  <c r="AA105" i="6"/>
  <c r="AA108" i="6" s="1"/>
  <c r="AA104" i="6"/>
  <c r="AA107" i="6" s="1"/>
  <c r="BP123" i="6"/>
  <c r="W315" i="6"/>
  <c r="BP408" i="6"/>
  <c r="BP126" i="6"/>
  <c r="BP163" i="6"/>
  <c r="BQ121" i="6"/>
  <c r="BP143" i="6"/>
  <c r="Z621" i="6"/>
  <c r="BP119" i="6"/>
  <c r="BO137" i="6"/>
  <c r="BQ162" i="6"/>
  <c r="BQ407" i="6"/>
  <c r="X92" i="6"/>
  <c r="X247" i="6"/>
  <c r="Z36" i="25"/>
  <c r="Z25" i="25"/>
  <c r="Z131" i="6" s="1"/>
  <c r="Z121" i="6" s="1"/>
  <c r="Z47" i="25"/>
  <c r="AA19" i="25"/>
  <c r="AB132" i="6"/>
  <c r="Y250" i="6"/>
  <c r="Y253" i="6" s="1"/>
  <c r="Y251" i="6" s="1"/>
  <c r="BO245" i="6"/>
  <c r="BP92" i="6"/>
  <c r="Y323" i="6"/>
  <c r="Y311" i="6" s="1"/>
  <c r="Y314" i="6" s="1"/>
  <c r="BQ71" i="6"/>
  <c r="BO92" i="6"/>
  <c r="BP250" i="6"/>
  <c r="BP247" i="6" s="1"/>
  <c r="BP253" i="6" s="1"/>
  <c r="BP251" i="6" s="1"/>
  <c r="BQ94" i="6"/>
  <c r="BO69" i="6"/>
  <c r="BO62" i="6"/>
  <c r="BP72" i="6"/>
  <c r="BP73" i="6"/>
  <c r="BP406" i="6"/>
  <c r="BP522" i="6"/>
  <c r="BP756" i="6"/>
  <c r="BP770" i="6"/>
  <c r="Y162" i="6"/>
  <c r="Y171" i="6" s="1"/>
  <c r="Y119" i="6"/>
  <c r="AF119" i="6" s="1"/>
  <c r="Y142" i="6"/>
  <c r="Y407" i="6"/>
  <c r="AF407" i="6" s="1"/>
  <c r="AB346" i="6"/>
  <c r="BN250" i="6"/>
  <c r="BN247" i="6" s="1"/>
  <c r="BN253" i="6" s="1"/>
  <c r="BN251" i="6" s="1"/>
  <c r="W185" i="6"/>
  <c r="W175" i="6"/>
  <c r="BP245" i="6"/>
  <c r="Y405" i="6"/>
  <c r="AF405" i="6" s="1"/>
  <c r="Y99" i="6"/>
  <c r="Y93" i="6"/>
  <c r="Y87" i="6"/>
  <c r="Y98" i="6" s="1"/>
  <c r="BO187" i="6"/>
  <c r="BO251" i="6"/>
  <c r="X278" i="6"/>
  <c r="X273" i="6"/>
  <c r="Z120" i="6"/>
  <c r="Z17" i="6" s="1"/>
  <c r="Z29" i="6" s="1"/>
  <c r="Z80" i="6"/>
  <c r="Z88" i="6"/>
  <c r="Z243" i="6"/>
  <c r="Z249" i="6" s="1"/>
  <c r="Z252" i="6" s="1"/>
  <c r="Z324" i="6"/>
  <c r="Z403" i="6"/>
  <c r="BQ522" i="6"/>
  <c r="W678" i="6"/>
  <c r="BO522" i="6"/>
  <c r="BO756" i="6"/>
  <c r="BO770" i="6"/>
  <c r="BN178" i="6"/>
  <c r="BN161" i="6"/>
  <c r="BN170" i="6" s="1"/>
  <c r="AC48" i="6"/>
  <c r="AB52" i="6"/>
  <c r="AB75" i="6"/>
  <c r="AB13" i="6" s="1"/>
  <c r="AB25" i="6" s="1"/>
  <c r="AB13" i="25"/>
  <c r="BQ252" i="6"/>
  <c r="BQ249" i="6"/>
  <c r="BN92" i="6"/>
  <c r="X161" i="6"/>
  <c r="X185" i="6" s="1"/>
  <c r="X141" i="6"/>
  <c r="BP502" i="6"/>
  <c r="BP178" i="6"/>
  <c r="BN245" i="6"/>
  <c r="BN69" i="6"/>
  <c r="BN62" i="6"/>
  <c r="BN72" i="6"/>
  <c r="BN73" i="6"/>
  <c r="BN406" i="6"/>
  <c r="W167" i="6"/>
  <c r="Z14" i="25"/>
  <c r="Z15" i="25"/>
  <c r="Z72" i="6"/>
  <c r="Z406" i="6"/>
  <c r="V16" i="20"/>
  <c r="W570" i="6"/>
  <c r="W579" i="6"/>
  <c r="W580" i="6"/>
  <c r="W582" i="6"/>
  <c r="BN138" i="6"/>
  <c r="BN122" i="6" s="1"/>
  <c r="BO138" i="6"/>
  <c r="BO122" i="6" s="1"/>
  <c r="W140" i="6"/>
  <c r="BP138" i="6"/>
  <c r="BP122" i="6" s="1"/>
  <c r="BQ138" i="6"/>
  <c r="W617" i="6"/>
  <c r="W168" i="6"/>
  <c r="BN187" i="6"/>
  <c r="BO409" i="6"/>
  <c r="BO502" i="6"/>
  <c r="BN522" i="6"/>
  <c r="BN756" i="6"/>
  <c r="BN770" i="6"/>
  <c r="Y347" i="6"/>
  <c r="W287" i="6"/>
  <c r="X293" i="6"/>
  <c r="Y270" i="6"/>
  <c r="Y271" i="6"/>
  <c r="Y272" i="6"/>
  <c r="X578" i="6"/>
  <c r="X688" i="6" s="1"/>
  <c r="X522" i="6"/>
  <c r="X763" i="6"/>
  <c r="BP62" i="6"/>
  <c r="BP69" i="6"/>
  <c r="X348" i="6"/>
  <c r="Y348" i="6" s="1"/>
  <c r="Z348" i="6" s="1"/>
  <c r="AA348" i="6" s="1"/>
  <c r="AB348" i="6" s="1"/>
  <c r="AC348" i="6" s="1"/>
  <c r="AD348" i="6" s="1"/>
  <c r="X312" i="6"/>
  <c r="X309" i="6" s="1"/>
  <c r="X228" i="6" s="1"/>
  <c r="X314" i="6"/>
  <c r="BQ405" i="6"/>
  <c r="BO72" i="6"/>
  <c r="BO73" i="6"/>
  <c r="BO406" i="6"/>
  <c r="X279" i="6"/>
  <c r="X274" i="6"/>
  <c r="BN409" i="6"/>
  <c r="BN502" i="6"/>
  <c r="BN153" i="6"/>
  <c r="BN152" i="6"/>
  <c r="BN149" i="6"/>
  <c r="BN141" i="6"/>
  <c r="Y122" i="6"/>
  <c r="X138" i="6"/>
  <c r="X140" i="6" s="1"/>
  <c r="X124" i="6" s="1"/>
  <c r="X189" i="6" s="1"/>
  <c r="BQ502" i="6"/>
  <c r="W673" i="6"/>
  <c r="AA71" i="6"/>
  <c r="AA12" i="6" s="1"/>
  <c r="AA24" i="6" s="1"/>
  <c r="AA76" i="6"/>
  <c r="AA14" i="6" s="1"/>
  <c r="AA26" i="6" s="1"/>
  <c r="AA77" i="6"/>
  <c r="AA15" i="6" s="1"/>
  <c r="AA27" i="6" s="1"/>
  <c r="AA79" i="6"/>
  <c r="AA90" i="6"/>
  <c r="AA242" i="6"/>
  <c r="AA303" i="6"/>
  <c r="AA230" i="6" s="1"/>
  <c r="AA10" i="25"/>
  <c r="BQ99" i="6"/>
  <c r="BQ87" i="6"/>
  <c r="BQ98" i="6" s="1"/>
  <c r="BQ93" i="6"/>
  <c r="Y123" i="6"/>
  <c r="Y145" i="6" s="1"/>
  <c r="Y163" i="6"/>
  <c r="Y126" i="6"/>
  <c r="Y143" i="6"/>
  <c r="Y408" i="6"/>
  <c r="AF408" i="6" s="1"/>
  <c r="BN137" i="6"/>
  <c r="BO141" i="6"/>
  <c r="X409" i="6"/>
  <c r="W86" i="20" s="1"/>
  <c r="W88" i="20" s="1"/>
  <c r="X502" i="6"/>
  <c r="X136" i="6"/>
  <c r="Z81" i="6"/>
  <c r="Z144" i="6" s="1"/>
  <c r="Z89" i="6"/>
  <c r="Z244" i="6"/>
  <c r="Z280" i="6"/>
  <c r="Z325" i="6"/>
  <c r="Z404" i="6"/>
  <c r="W766" i="6"/>
  <c r="Y245" i="6"/>
  <c r="X11" i="20"/>
  <c r="BQ142" i="6"/>
  <c r="BQ129" i="6"/>
  <c r="AA65" i="6"/>
  <c r="AA49" i="6"/>
  <c r="BQ56" i="6"/>
  <c r="BQ248" i="6" s="1"/>
  <c r="BQ79" i="6"/>
  <c r="BQ242" i="6"/>
  <c r="BQ95" i="6"/>
  <c r="BQ84" i="6"/>
  <c r="BQ83" i="6" s="1"/>
  <c r="Y100" i="6"/>
  <c r="Y94" i="6"/>
  <c r="BO178" i="6"/>
  <c r="BO161" i="6"/>
  <c r="BO170" i="6" s="1"/>
  <c r="Z63" i="6"/>
  <c r="Z248" i="6"/>
  <c r="Z267" i="6"/>
  <c r="W316" i="6" l="1"/>
  <c r="W318" i="6" s="1"/>
  <c r="W319" i="6" s="1"/>
  <c r="W211" i="6"/>
  <c r="W218" i="6" s="1"/>
  <c r="X186" i="6"/>
  <c r="Z18" i="6"/>
  <c r="Z30" i="6" s="1"/>
  <c r="X188" i="6"/>
  <c r="Y172" i="6"/>
  <c r="Y187" i="6"/>
  <c r="X170" i="6"/>
  <c r="X211" i="6"/>
  <c r="BN211" i="6"/>
  <c r="BP16" i="6"/>
  <c r="BP28" i="6" s="1"/>
  <c r="BP212" i="6"/>
  <c r="BP214" i="6"/>
  <c r="BP215" i="6"/>
  <c r="BP213" i="6"/>
  <c r="Y16" i="6"/>
  <c r="Y28" i="6" s="1"/>
  <c r="Y212" i="6"/>
  <c r="Y214" i="6"/>
  <c r="Y215" i="6"/>
  <c r="Y213" i="6"/>
  <c r="BP409" i="6"/>
  <c r="BO211" i="6"/>
  <c r="BQ69" i="6"/>
  <c r="Y10" i="20"/>
  <c r="Y11" i="20" s="1"/>
  <c r="Y82" i="20"/>
  <c r="Y84" i="20" s="1"/>
  <c r="BQ74" i="6"/>
  <c r="BQ12" i="6"/>
  <c r="BQ24" i="6" s="1"/>
  <c r="BQ132" i="6"/>
  <c r="BQ131" i="6" s="1"/>
  <c r="BQ18" i="6"/>
  <c r="BQ30" i="6" s="1"/>
  <c r="Y756" i="6"/>
  <c r="Y770" i="6" s="1"/>
  <c r="BQ178" i="6"/>
  <c r="BQ177" i="6" s="1"/>
  <c r="BQ171" i="6"/>
  <c r="BQ163" i="6"/>
  <c r="BQ172" i="6" s="1"/>
  <c r="BP172" i="6"/>
  <c r="BO168" i="6"/>
  <c r="X167" i="6"/>
  <c r="BN167" i="6"/>
  <c r="BP357" i="6"/>
  <c r="BQ357" i="6" s="1"/>
  <c r="BP377" i="6"/>
  <c r="X367" i="6"/>
  <c r="Y357" i="6"/>
  <c r="AF357" i="6" s="1"/>
  <c r="Y377" i="6"/>
  <c r="BP136" i="6"/>
  <c r="Y137" i="6"/>
  <c r="AB105" i="6"/>
  <c r="AB108" i="6" s="1"/>
  <c r="AB104" i="6"/>
  <c r="AB107" i="6" s="1"/>
  <c r="BP187" i="6"/>
  <c r="BQ187" i="6" s="1"/>
  <c r="BP161" i="6"/>
  <c r="BP170" i="6" s="1"/>
  <c r="BQ408" i="6"/>
  <c r="W649" i="6"/>
  <c r="W461" i="6"/>
  <c r="BQ126" i="6"/>
  <c r="BP141" i="6"/>
  <c r="BQ123" i="6"/>
  <c r="BQ143" i="6"/>
  <c r="BQ122" i="6"/>
  <c r="AA621" i="6"/>
  <c r="BQ119" i="6"/>
  <c r="BP137" i="6"/>
  <c r="Y312" i="6"/>
  <c r="Y309" i="6" s="1"/>
  <c r="Y228" i="6" s="1"/>
  <c r="BQ92" i="6"/>
  <c r="BQ620" i="6"/>
  <c r="BN168" i="6"/>
  <c r="Z250" i="6"/>
  <c r="Z253" i="6" s="1"/>
  <c r="Z251" i="6" s="1"/>
  <c r="X168" i="6"/>
  <c r="BQ250" i="6"/>
  <c r="BQ247" i="6" s="1"/>
  <c r="BQ253" i="6" s="1"/>
  <c r="BQ251" i="6" s="1"/>
  <c r="BO167" i="6"/>
  <c r="AC132" i="6"/>
  <c r="AB19" i="25"/>
  <c r="AA36" i="25"/>
  <c r="AA47" i="25"/>
  <c r="AA25" i="25"/>
  <c r="AA131" i="6" s="1"/>
  <c r="AA121" i="6" s="1"/>
  <c r="AA18" i="6" s="1"/>
  <c r="Y247" i="6"/>
  <c r="BQ245" i="6"/>
  <c r="W616" i="6"/>
  <c r="AA81" i="6"/>
  <c r="AA144" i="6" s="1"/>
  <c r="AA89" i="6"/>
  <c r="AA244" i="6"/>
  <c r="AA280" i="6"/>
  <c r="AA325" i="6"/>
  <c r="AA404" i="6"/>
  <c r="Z122" i="6"/>
  <c r="Y138" i="6"/>
  <c r="Y140" i="6" s="1"/>
  <c r="Y124" i="6" s="1"/>
  <c r="Y189" i="6" s="1"/>
  <c r="BQ756" i="6"/>
  <c r="BQ770" i="6"/>
  <c r="W16" i="20"/>
  <c r="X579" i="6"/>
  <c r="X580" i="6"/>
  <c r="X582" i="6"/>
  <c r="Y278" i="6"/>
  <c r="Y259" i="6"/>
  <c r="Y273" i="6"/>
  <c r="X287" i="6"/>
  <c r="Y293" i="6"/>
  <c r="Y283" i="6" s="1"/>
  <c r="BO501" i="6"/>
  <c r="Y349" i="6"/>
  <c r="Z349" i="6" s="1"/>
  <c r="AA349" i="6" s="1"/>
  <c r="AB349" i="6" s="1"/>
  <c r="AC349" i="6" s="1"/>
  <c r="AD349" i="6" s="1"/>
  <c r="BP501" i="6"/>
  <c r="AB65" i="6"/>
  <c r="AB49" i="6"/>
  <c r="Z405" i="6"/>
  <c r="Y92" i="6"/>
  <c r="W358" i="6"/>
  <c r="W217" i="6" s="1"/>
  <c r="W359" i="6"/>
  <c r="W193" i="6" s="1"/>
  <c r="W360" i="6"/>
  <c r="W194" i="6" s="1"/>
  <c r="W361" i="6"/>
  <c r="W195" i="6" s="1"/>
  <c r="W362" i="6"/>
  <c r="W196" i="6" s="1"/>
  <c r="W365" i="6"/>
  <c r="X501" i="6"/>
  <c r="AA15" i="25"/>
  <c r="AA14" i="25"/>
  <c r="AA120" i="6"/>
  <c r="AA17" i="6" s="1"/>
  <c r="AA29" i="6" s="1"/>
  <c r="AA88" i="6"/>
  <c r="AA80" i="6"/>
  <c r="AA243" i="6"/>
  <c r="AA249" i="6" s="1"/>
  <c r="AA252" i="6" s="1"/>
  <c r="AA324" i="6"/>
  <c r="AA403" i="6"/>
  <c r="X673" i="6"/>
  <c r="BN497" i="6"/>
  <c r="BN615" i="6" s="1"/>
  <c r="BN617" i="6"/>
  <c r="X766" i="6"/>
  <c r="W574" i="6"/>
  <c r="X570" i="6"/>
  <c r="BQ570" i="6"/>
  <c r="AC75" i="6"/>
  <c r="AC13" i="6" s="1"/>
  <c r="AC25" i="6" s="1"/>
  <c r="AC52" i="6"/>
  <c r="AD48" i="6"/>
  <c r="AC13" i="25"/>
  <c r="Z323" i="6"/>
  <c r="Z311" i="6" s="1"/>
  <c r="Z119" i="6"/>
  <c r="Z142" i="6"/>
  <c r="Z162" i="6"/>
  <c r="Z171" i="6" s="1"/>
  <c r="Z407" i="6"/>
  <c r="W186" i="6"/>
  <c r="W410" i="6"/>
  <c r="AC346" i="6"/>
  <c r="Y141" i="6"/>
  <c r="BQ72" i="6"/>
  <c r="BQ73" i="6"/>
  <c r="BQ406" i="6"/>
  <c r="BO185" i="6"/>
  <c r="BO175" i="6"/>
  <c r="AA72" i="6"/>
  <c r="AA406" i="6"/>
  <c r="X315" i="6"/>
  <c r="X337" i="6"/>
  <c r="BO617" i="6"/>
  <c r="BQ497" i="6"/>
  <c r="W669" i="6"/>
  <c r="BQ140" i="6"/>
  <c r="BQ124" i="6" s="1"/>
  <c r="BN140" i="6"/>
  <c r="BN124" i="6" s="1"/>
  <c r="BO140" i="6"/>
  <c r="BO124" i="6" s="1"/>
  <c r="BP140" i="6"/>
  <c r="BP124" i="6" s="1"/>
  <c r="W124" i="6"/>
  <c r="X146" i="6" s="1"/>
  <c r="BN582" i="6"/>
  <c r="Z245" i="6"/>
  <c r="Y409" i="6"/>
  <c r="AF409" i="6" s="1"/>
  <c r="Y502" i="6"/>
  <c r="Y136" i="6"/>
  <c r="Z100" i="6"/>
  <c r="Z94" i="6"/>
  <c r="X617" i="6"/>
  <c r="X497" i="6"/>
  <c r="Z270" i="6"/>
  <c r="Z271" i="6"/>
  <c r="Z272" i="6"/>
  <c r="AA248" i="6"/>
  <c r="AA63" i="6"/>
  <c r="AA267" i="6"/>
  <c r="Z143" i="6"/>
  <c r="Z123" i="6"/>
  <c r="Z145" i="6" s="1"/>
  <c r="Z163" i="6"/>
  <c r="Z126" i="6"/>
  <c r="Z408" i="6"/>
  <c r="BQ501" i="6"/>
  <c r="X165" i="6"/>
  <c r="BN501" i="6"/>
  <c r="X678" i="6"/>
  <c r="Y274" i="6"/>
  <c r="Y279" i="6"/>
  <c r="Z347" i="6"/>
  <c r="X175" i="6"/>
  <c r="AB71" i="6"/>
  <c r="AB12" i="6" s="1"/>
  <c r="AB24" i="6" s="1"/>
  <c r="AB76" i="6"/>
  <c r="AB14" i="6" s="1"/>
  <c r="AB26" i="6" s="1"/>
  <c r="AB77" i="6"/>
  <c r="AB15" i="6" s="1"/>
  <c r="AB27" i="6" s="1"/>
  <c r="AB79" i="6"/>
  <c r="AB242" i="6"/>
  <c r="AB90" i="6"/>
  <c r="AB303" i="6"/>
  <c r="AB230" i="6" s="1"/>
  <c r="AB10" i="25"/>
  <c r="BN185" i="6"/>
  <c r="BN175" i="6"/>
  <c r="Z93" i="6"/>
  <c r="Z87" i="6"/>
  <c r="Z98" i="6" s="1"/>
  <c r="Z99" i="6"/>
  <c r="X283" i="6"/>
  <c r="Y578" i="6"/>
  <c r="Y688" i="6" s="1"/>
  <c r="Y522" i="6"/>
  <c r="Y763" i="6"/>
  <c r="Y161" i="6"/>
  <c r="X316" i="6" l="1"/>
  <c r="X318" i="6" s="1"/>
  <c r="X319" i="6" s="1"/>
  <c r="BP617" i="6"/>
  <c r="Y185" i="6"/>
  <c r="Y186" i="6" s="1"/>
  <c r="AF161" i="6"/>
  <c r="AA30" i="6"/>
  <c r="Z172" i="6"/>
  <c r="Z187" i="6"/>
  <c r="Y188" i="6"/>
  <c r="X218" i="6"/>
  <c r="Y170" i="6"/>
  <c r="BO218" i="6"/>
  <c r="BN218" i="6"/>
  <c r="W203" i="6"/>
  <c r="W415" i="6"/>
  <c r="BQ213" i="6"/>
  <c r="BQ220" i="6" s="1"/>
  <c r="W202" i="6"/>
  <c r="W414" i="6"/>
  <c r="BQ215" i="6"/>
  <c r="BQ222" i="6" s="1"/>
  <c r="W201" i="6"/>
  <c r="W413" i="6"/>
  <c r="BQ214" i="6"/>
  <c r="BQ221" i="6" s="1"/>
  <c r="W200" i="6"/>
  <c r="W192" i="6"/>
  <c r="W208" i="6" s="1"/>
  <c r="W412" i="6"/>
  <c r="X86" i="20"/>
  <c r="X88" i="20" s="1"/>
  <c r="BP211" i="6"/>
  <c r="BQ212" i="6"/>
  <c r="X616" i="6"/>
  <c r="Z16" i="6"/>
  <c r="Z28" i="6" s="1"/>
  <c r="Z215" i="6"/>
  <c r="Z214" i="6"/>
  <c r="Z212" i="6"/>
  <c r="Z213" i="6"/>
  <c r="Y211" i="6"/>
  <c r="BQ409" i="6"/>
  <c r="Z10" i="20"/>
  <c r="Z11" i="20" s="1"/>
  <c r="Z82" i="20"/>
  <c r="Z84" i="20" s="1"/>
  <c r="BQ133" i="6"/>
  <c r="BQ377" i="6"/>
  <c r="BQ16" i="6"/>
  <c r="BQ28" i="6" s="1"/>
  <c r="W500" i="6"/>
  <c r="W618" i="6" s="1"/>
  <c r="W521" i="6"/>
  <c r="W619" i="6" s="1"/>
  <c r="X615" i="6"/>
  <c r="BQ179" i="6"/>
  <c r="Z756" i="6"/>
  <c r="Z770" i="6" s="1"/>
  <c r="BQ180" i="6"/>
  <c r="BP167" i="6"/>
  <c r="Y367" i="6"/>
  <c r="Z357" i="6"/>
  <c r="Z377" i="6"/>
  <c r="BP185" i="6"/>
  <c r="BP186" i="6" s="1"/>
  <c r="Z136" i="6"/>
  <c r="BQ161" i="6"/>
  <c r="BQ170" i="6" s="1"/>
  <c r="BP168" i="6"/>
  <c r="BP175" i="6"/>
  <c r="AC105" i="6"/>
  <c r="AC108" i="6" s="1"/>
  <c r="AC104" i="6"/>
  <c r="AC107" i="6" s="1"/>
  <c r="Z247" i="6"/>
  <c r="BP461" i="6"/>
  <c r="BO461" i="6"/>
  <c r="X649" i="6"/>
  <c r="X461" i="6"/>
  <c r="AA323" i="6"/>
  <c r="AA311" i="6" s="1"/>
  <c r="AA312" i="6" s="1"/>
  <c r="AA309" i="6" s="1"/>
  <c r="AA228" i="6" s="1"/>
  <c r="AA250" i="6"/>
  <c r="AA253" i="6" s="1"/>
  <c r="AA251" i="6" s="1"/>
  <c r="Y315" i="6"/>
  <c r="AB621" i="6"/>
  <c r="BQ136" i="6"/>
  <c r="BQ137" i="6"/>
  <c r="BQ141" i="6"/>
  <c r="Z137" i="6"/>
  <c r="Y337" i="6"/>
  <c r="BO497" i="6"/>
  <c r="BO616" i="6" s="1"/>
  <c r="Z92" i="6"/>
  <c r="AD132" i="6"/>
  <c r="AC19" i="25"/>
  <c r="AB25" i="25"/>
  <c r="AB131" i="6" s="1"/>
  <c r="AB121" i="6" s="1"/>
  <c r="AB18" i="6" s="1"/>
  <c r="AB30" i="6" s="1"/>
  <c r="AB47" i="25"/>
  <c r="AB36" i="25"/>
  <c r="BN616" i="6"/>
  <c r="Y678" i="6"/>
  <c r="Y175" i="6"/>
  <c r="X16" i="20"/>
  <c r="Y579" i="6"/>
  <c r="Y580" i="6"/>
  <c r="AB72" i="6"/>
  <c r="AB406" i="6"/>
  <c r="X358" i="6"/>
  <c r="X217" i="6" s="1"/>
  <c r="X359" i="6"/>
  <c r="X193" i="6" s="1"/>
  <c r="X225" i="6" s="1"/>
  <c r="X360" i="6"/>
  <c r="X194" i="6" s="1"/>
  <c r="X361" i="6"/>
  <c r="X195" i="6" s="1"/>
  <c r="X362" i="6"/>
  <c r="X196" i="6" s="1"/>
  <c r="X365" i="6"/>
  <c r="AB89" i="6"/>
  <c r="AB81" i="6"/>
  <c r="AB144" i="6" s="1"/>
  <c r="AB244" i="6"/>
  <c r="AB280" i="6"/>
  <c r="AB325" i="6"/>
  <c r="AB404" i="6"/>
  <c r="AA347" i="6"/>
  <c r="Y617" i="6"/>
  <c r="Y497" i="6"/>
  <c r="BN578" i="6"/>
  <c r="BO582" i="6"/>
  <c r="W189" i="6"/>
  <c r="W165" i="6" s="1"/>
  <c r="W146" i="6"/>
  <c r="BO365" i="6"/>
  <c r="BO367" i="6"/>
  <c r="BO358" i="6"/>
  <c r="BO217" i="6" s="1"/>
  <c r="BO359" i="6"/>
  <c r="BO193" i="6" s="1"/>
  <c r="BO225" i="6" s="1"/>
  <c r="BO360" i="6"/>
  <c r="BO194" i="6" s="1"/>
  <c r="BO361" i="6"/>
  <c r="BO195" i="6" s="1"/>
  <c r="BO362" i="6"/>
  <c r="BO196" i="6" s="1"/>
  <c r="AD346" i="6"/>
  <c r="Z409" i="6"/>
  <c r="Y86" i="20" s="1"/>
  <c r="Y88" i="20" s="1"/>
  <c r="Z502" i="6"/>
  <c r="Z673" i="6" s="1"/>
  <c r="AA143" i="6"/>
  <c r="AA123" i="6"/>
  <c r="AA145" i="6" s="1"/>
  <c r="AA163" i="6"/>
  <c r="AA126" i="6"/>
  <c r="AA408" i="6"/>
  <c r="AB14" i="25"/>
  <c r="AB15" i="25"/>
  <c r="AB88" i="6"/>
  <c r="AB80" i="6"/>
  <c r="AB243" i="6"/>
  <c r="AB249" i="6" s="1"/>
  <c r="AB252" i="6" s="1"/>
  <c r="AB120" i="6"/>
  <c r="AB17" i="6" s="1"/>
  <c r="AB29" i="6" s="1"/>
  <c r="AB324" i="6"/>
  <c r="AB403" i="6"/>
  <c r="X410" i="6"/>
  <c r="Y501" i="6"/>
  <c r="W72" i="6"/>
  <c r="W406" i="6"/>
  <c r="X72" i="6"/>
  <c r="Z141" i="6"/>
  <c r="AD75" i="6"/>
  <c r="AD13" i="6" s="1"/>
  <c r="AD25" i="6" s="1"/>
  <c r="AD52" i="6"/>
  <c r="AD13" i="25"/>
  <c r="BP365" i="6"/>
  <c r="BP367" i="6"/>
  <c r="BP358" i="6"/>
  <c r="BP359" i="6"/>
  <c r="BP193" i="6" s="1"/>
  <c r="BP225" i="6" s="1"/>
  <c r="BP360" i="6"/>
  <c r="BP194" i="6" s="1"/>
  <c r="BP361" i="6"/>
  <c r="BP195" i="6" s="1"/>
  <c r="BP362" i="6"/>
  <c r="BP196" i="6" s="1"/>
  <c r="AA405" i="6"/>
  <c r="AA87" i="6"/>
  <c r="AA98" i="6" s="1"/>
  <c r="AA93" i="6"/>
  <c r="AA99" i="6"/>
  <c r="AA94" i="6"/>
  <c r="AA100" i="6"/>
  <c r="BO186" i="6"/>
  <c r="BO410" i="6"/>
  <c r="AC49" i="6"/>
  <c r="AC65" i="6"/>
  <c r="BN570" i="6"/>
  <c r="BO570" i="6" s="1"/>
  <c r="BQ574" i="6"/>
  <c r="AA119" i="6"/>
  <c r="AA142" i="6"/>
  <c r="AA162" i="6"/>
  <c r="AA171" i="6" s="1"/>
  <c r="AA407" i="6"/>
  <c r="Z522" i="6"/>
  <c r="Z578" i="6"/>
  <c r="Z688" i="6" s="1"/>
  <c r="Z763" i="6"/>
  <c r="Z293" i="6"/>
  <c r="Z283" i="6" s="1"/>
  <c r="Y287" i="6"/>
  <c r="Y226" i="6"/>
  <c r="Y146" i="6"/>
  <c r="Y165" i="6"/>
  <c r="Y766" i="6"/>
  <c r="Z274" i="6"/>
  <c r="Z279" i="6"/>
  <c r="Y167" i="6"/>
  <c r="BN186" i="6"/>
  <c r="BN410" i="6"/>
  <c r="Y168" i="6"/>
  <c r="AA272" i="6"/>
  <c r="AA270" i="6"/>
  <c r="AA271" i="6"/>
  <c r="Z273" i="6"/>
  <c r="Z278" i="6"/>
  <c r="Z259" i="6"/>
  <c r="X669" i="6"/>
  <c r="W411" i="6"/>
  <c r="V90" i="20" s="1"/>
  <c r="V93" i="20" s="1"/>
  <c r="Z161" i="6"/>
  <c r="Z185" i="6" s="1"/>
  <c r="Z312" i="6"/>
  <c r="Z309" i="6" s="1"/>
  <c r="Z228" i="6" s="1"/>
  <c r="Z314" i="6"/>
  <c r="Z350" i="6"/>
  <c r="AA350" i="6" s="1"/>
  <c r="AB350" i="6" s="1"/>
  <c r="AC350" i="6" s="1"/>
  <c r="AD350" i="6" s="1"/>
  <c r="AC90" i="6"/>
  <c r="AC71" i="6"/>
  <c r="AC12" i="6" s="1"/>
  <c r="AC24" i="6" s="1"/>
  <c r="AC76" i="6"/>
  <c r="AC14" i="6" s="1"/>
  <c r="AC26" i="6" s="1"/>
  <c r="AC79" i="6"/>
  <c r="AC77" i="6"/>
  <c r="AC15" i="6" s="1"/>
  <c r="AC27" i="6" s="1"/>
  <c r="AC242" i="6"/>
  <c r="AC303" i="6"/>
  <c r="AC230" i="6" s="1"/>
  <c r="AC10" i="25"/>
  <c r="X574" i="6"/>
  <c r="Y570" i="6"/>
  <c r="Y673" i="6"/>
  <c r="AB63" i="6"/>
  <c r="AB248" i="6"/>
  <c r="AB267" i="6"/>
  <c r="AA122" i="6"/>
  <c r="Z138" i="6"/>
  <c r="Z140" i="6" s="1"/>
  <c r="AA245" i="6"/>
  <c r="Y316" i="6" l="1"/>
  <c r="Y318" i="6" s="1"/>
  <c r="Y319" i="6" s="1"/>
  <c r="Y410" i="6"/>
  <c r="Y411" i="6" s="1"/>
  <c r="W225" i="6"/>
  <c r="W236" i="6" s="1"/>
  <c r="Y218" i="6"/>
  <c r="AF211" i="6"/>
  <c r="Z186" i="6"/>
  <c r="BQ617" i="6"/>
  <c r="Z124" i="6"/>
  <c r="Z189" i="6" s="1"/>
  <c r="AA172" i="6"/>
  <c r="AA187" i="6"/>
  <c r="Z170" i="6"/>
  <c r="BP218" i="6"/>
  <c r="BP217" i="6"/>
  <c r="BP200" i="6"/>
  <c r="BP412" i="6"/>
  <c r="BP192" i="6"/>
  <c r="BP209" i="6" s="1"/>
  <c r="BP203" i="6"/>
  <c r="BP415" i="6"/>
  <c r="BP202" i="6"/>
  <c r="BP414" i="6"/>
  <c r="BP201" i="6"/>
  <c r="BP413" i="6"/>
  <c r="BO203" i="6"/>
  <c r="BO415" i="6"/>
  <c r="X200" i="6"/>
  <c r="X412" i="6"/>
  <c r="X192" i="6"/>
  <c r="X209" i="6" s="1"/>
  <c r="W523" i="6"/>
  <c r="BO202" i="6"/>
  <c r="BO414" i="6"/>
  <c r="X203" i="6"/>
  <c r="X415" i="6"/>
  <c r="W206" i="6"/>
  <c r="W199" i="6"/>
  <c r="W207" i="6"/>
  <c r="BO201" i="6"/>
  <c r="BO413" i="6"/>
  <c r="X202" i="6"/>
  <c r="X414" i="6"/>
  <c r="W254" i="6"/>
  <c r="W786" i="6"/>
  <c r="BO200" i="6"/>
  <c r="BO412" i="6"/>
  <c r="BO192" i="6"/>
  <c r="X201" i="6"/>
  <c r="X413" i="6"/>
  <c r="W209" i="6"/>
  <c r="W765" i="6"/>
  <c r="W768" i="6" s="1"/>
  <c r="W772" i="6"/>
  <c r="W775" i="6"/>
  <c r="W778" i="6" s="1"/>
  <c r="W780" i="6" s="1"/>
  <c r="BQ621" i="6"/>
  <c r="BQ219" i="6"/>
  <c r="BQ211" i="6"/>
  <c r="Z211" i="6"/>
  <c r="Z218" i="6" s="1"/>
  <c r="AA16" i="6"/>
  <c r="AA28" i="6" s="1"/>
  <c r="AA214" i="6"/>
  <c r="AA212" i="6"/>
  <c r="AA213" i="6"/>
  <c r="AA215" i="6"/>
  <c r="V10" i="20"/>
  <c r="V82" i="20"/>
  <c r="V84" i="20" s="1"/>
  <c r="AA10" i="20"/>
  <c r="AA11" i="20" s="1"/>
  <c r="AA82" i="20"/>
  <c r="AA84" i="20" s="1"/>
  <c r="W771" i="6"/>
  <c r="Y615" i="6"/>
  <c r="AA756" i="6"/>
  <c r="AA770" i="6" s="1"/>
  <c r="W448" i="6"/>
  <c r="W453" i="6"/>
  <c r="W19" i="6" s="1"/>
  <c r="W31" i="6" s="1"/>
  <c r="W417" i="6"/>
  <c r="V108" i="20" s="1"/>
  <c r="W443" i="6"/>
  <c r="W36" i="6" s="1"/>
  <c r="BP410" i="6"/>
  <c r="BP411" i="6" s="1"/>
  <c r="BQ185" i="6"/>
  <c r="BQ186" i="6" s="1"/>
  <c r="Z167" i="6"/>
  <c r="BQ168" i="6"/>
  <c r="BQ175" i="6"/>
  <c r="AA357" i="6"/>
  <c r="AA377" i="6"/>
  <c r="Z367" i="6"/>
  <c r="AA137" i="6"/>
  <c r="BQ167" i="6"/>
  <c r="AD105" i="6"/>
  <c r="AD108" i="6" s="1"/>
  <c r="AD104" i="6"/>
  <c r="AD107" i="6" s="1"/>
  <c r="AA247" i="6"/>
  <c r="Y649" i="6"/>
  <c r="Y461" i="6"/>
  <c r="AA314" i="6"/>
  <c r="AC621" i="6"/>
  <c r="AB250" i="6"/>
  <c r="AB253" i="6" s="1"/>
  <c r="AB251" i="6" s="1"/>
  <c r="BO615" i="6"/>
  <c r="BP497" i="6"/>
  <c r="AB323" i="6"/>
  <c r="AB311" i="6" s="1"/>
  <c r="AB312" i="6" s="1"/>
  <c r="AB309" i="6" s="1"/>
  <c r="AB228" i="6" s="1"/>
  <c r="Y181" i="6"/>
  <c r="AC25" i="25"/>
  <c r="AC131" i="6" s="1"/>
  <c r="AC121" i="6" s="1"/>
  <c r="AC18" i="6" s="1"/>
  <c r="AC30" i="6" s="1"/>
  <c r="AC36" i="25"/>
  <c r="AC47" i="25"/>
  <c r="AD19" i="25"/>
  <c r="Y616" i="6"/>
  <c r="Z315" i="6"/>
  <c r="BO574" i="6"/>
  <c r="BP570" i="6"/>
  <c r="AB271" i="6"/>
  <c r="AB272" i="6"/>
  <c r="AB270" i="6"/>
  <c r="Y574" i="6"/>
  <c r="Z570" i="6"/>
  <c r="Z410" i="6"/>
  <c r="Z411" i="6" s="1"/>
  <c r="Y90" i="20" s="1"/>
  <c r="AA259" i="6"/>
  <c r="AA273" i="6"/>
  <c r="AA278" i="6"/>
  <c r="Y286" i="6"/>
  <c r="AA293" i="6"/>
  <c r="AA283" i="6" s="1"/>
  <c r="Z287" i="6"/>
  <c r="Y16" i="20"/>
  <c r="Z579" i="6"/>
  <c r="Z580" i="6"/>
  <c r="AA136" i="6"/>
  <c r="X500" i="6"/>
  <c r="X618" i="6" s="1"/>
  <c r="X521" i="6"/>
  <c r="X619" i="6" s="1"/>
  <c r="X411" i="6"/>
  <c r="W90" i="20" s="1"/>
  <c r="AB99" i="6"/>
  <c r="AB87" i="6"/>
  <c r="AB98" i="6" s="1"/>
  <c r="AB93" i="6"/>
  <c r="X164" i="6"/>
  <c r="X181" i="6"/>
  <c r="BN579" i="6"/>
  <c r="BN506" i="6"/>
  <c r="Z337" i="6"/>
  <c r="AB126" i="6"/>
  <c r="AB143" i="6"/>
  <c r="AB123" i="6"/>
  <c r="AB145" i="6" s="1"/>
  <c r="AB163" i="6"/>
  <c r="AB408" i="6"/>
  <c r="Y365" i="6"/>
  <c r="Y358" i="6"/>
  <c r="Y359" i="6"/>
  <c r="Y193" i="6" s="1"/>
  <c r="Y225" i="6" s="1"/>
  <c r="Y360" i="6"/>
  <c r="Y194" i="6" s="1"/>
  <c r="Y361" i="6"/>
  <c r="Y195" i="6" s="1"/>
  <c r="Y362" i="6"/>
  <c r="Y196" i="6" s="1"/>
  <c r="Z146" i="6"/>
  <c r="AC14" i="25"/>
  <c r="AC15" i="25"/>
  <c r="AC89" i="6"/>
  <c r="AC81" i="6"/>
  <c r="AC144" i="6" s="1"/>
  <c r="AC244" i="6"/>
  <c r="AC325" i="6"/>
  <c r="AC280" i="6"/>
  <c r="AC404" i="6"/>
  <c r="AB122" i="6"/>
  <c r="AA138" i="6"/>
  <c r="AA140" i="6" s="1"/>
  <c r="AA124" i="6" s="1"/>
  <c r="AA189" i="6" s="1"/>
  <c r="W764" i="6"/>
  <c r="W797" i="6"/>
  <c r="AA161" i="6"/>
  <c r="AA185" i="6" s="1"/>
  <c r="AA315" i="6"/>
  <c r="BO411" i="6"/>
  <c r="AA92" i="6"/>
  <c r="AD49" i="6"/>
  <c r="AD65" i="6"/>
  <c r="AB119" i="6"/>
  <c r="AB142" i="6"/>
  <c r="AB162" i="6"/>
  <c r="AB171" i="6" s="1"/>
  <c r="AB407" i="6"/>
  <c r="AB245" i="6"/>
  <c r="Z501" i="6"/>
  <c r="Y669" i="6"/>
  <c r="AB347" i="6"/>
  <c r="AB94" i="6"/>
  <c r="AB100" i="6"/>
  <c r="AC80" i="6"/>
  <c r="AC88" i="6"/>
  <c r="AC120" i="6"/>
  <c r="AC17" i="6" s="1"/>
  <c r="AC29" i="6" s="1"/>
  <c r="AC243" i="6"/>
  <c r="AC249" i="6" s="1"/>
  <c r="AC252" i="6" s="1"/>
  <c r="AC324" i="6"/>
  <c r="AC403" i="6"/>
  <c r="Z175" i="6"/>
  <c r="BQ521" i="6"/>
  <c r="W677" i="6"/>
  <c r="BN500" i="6"/>
  <c r="BN618" i="6" s="1"/>
  <c r="BN521" i="6"/>
  <c r="BO521" i="6" s="1"/>
  <c r="BN411" i="6"/>
  <c r="Z678" i="6"/>
  <c r="AA351" i="6"/>
  <c r="AB351" i="6" s="1"/>
  <c r="AC351" i="6" s="1"/>
  <c r="AD351" i="6" s="1"/>
  <c r="AD90" i="6"/>
  <c r="AD71" i="6"/>
  <c r="AD12" i="6" s="1"/>
  <c r="AD24" i="6" s="1"/>
  <c r="AD76" i="6"/>
  <c r="AD14" i="6" s="1"/>
  <c r="AD26" i="6" s="1"/>
  <c r="AD77" i="6"/>
  <c r="AD15" i="6" s="1"/>
  <c r="AD27" i="6" s="1"/>
  <c r="AD79" i="6"/>
  <c r="AD242" i="6"/>
  <c r="AD303" i="6"/>
  <c r="AD230" i="6" s="1"/>
  <c r="AD10" i="25"/>
  <c r="Z497" i="6"/>
  <c r="Z617" i="6"/>
  <c r="W188" i="6"/>
  <c r="Y500" i="6"/>
  <c r="Y521" i="6"/>
  <c r="AC72" i="6"/>
  <c r="AC406" i="6"/>
  <c r="BQ500" i="6"/>
  <c r="W611" i="6"/>
  <c r="W672" i="6"/>
  <c r="Z226" i="6"/>
  <c r="AA279" i="6"/>
  <c r="AA274" i="6"/>
  <c r="Z168" i="6"/>
  <c r="Z766" i="6"/>
  <c r="AA409" i="6"/>
  <c r="Z86" i="20" s="1"/>
  <c r="Z88" i="20" s="1"/>
  <c r="AA502" i="6"/>
  <c r="AA673" i="6" s="1"/>
  <c r="AA141" i="6"/>
  <c r="BN574" i="6"/>
  <c r="AC63" i="6"/>
  <c r="AC248" i="6"/>
  <c r="AC267" i="6"/>
  <c r="AA578" i="6"/>
  <c r="AA688" i="6" s="1"/>
  <c r="AA522" i="6"/>
  <c r="AA763" i="6"/>
  <c r="AB405" i="6"/>
  <c r="BP582" i="6"/>
  <c r="BO578" i="6"/>
  <c r="AA316" i="6" l="1"/>
  <c r="AA318" i="6" s="1"/>
  <c r="Z316" i="6"/>
  <c r="Z318" i="6" s="1"/>
  <c r="Z319" i="6" s="1"/>
  <c r="AF411" i="6"/>
  <c r="Y797" i="6"/>
  <c r="Y443" i="6"/>
  <c r="Y36" i="6" s="1"/>
  <c r="X90" i="20"/>
  <c r="X93" i="20" s="1"/>
  <c r="Y764" i="6"/>
  <c r="Y453" i="6"/>
  <c r="Y19" i="6" s="1"/>
  <c r="AF410" i="6"/>
  <c r="W255" i="6"/>
  <c r="BP772" i="6"/>
  <c r="AA186" i="6"/>
  <c r="Z188" i="6"/>
  <c r="Z165" i="6"/>
  <c r="AA188" i="6"/>
  <c r="AB172" i="6"/>
  <c r="AB187" i="6"/>
  <c r="BP206" i="6"/>
  <c r="BP208" i="6"/>
  <c r="BP523" i="6"/>
  <c r="Y217" i="6"/>
  <c r="AA170" i="6"/>
  <c r="BQ218" i="6"/>
  <c r="Y200" i="6"/>
  <c r="Y192" i="6"/>
  <c r="Y412" i="6"/>
  <c r="AF412" i="6" s="1"/>
  <c r="BO199" i="6"/>
  <c r="BO207" i="6"/>
  <c r="BO208" i="6"/>
  <c r="X523" i="6"/>
  <c r="X680" i="6" s="1"/>
  <c r="BP207" i="6"/>
  <c r="BP199" i="6"/>
  <c r="Y203" i="6"/>
  <c r="Y415" i="6"/>
  <c r="AF415" i="6" s="1"/>
  <c r="BO523" i="6"/>
  <c r="BO532" i="6" s="1"/>
  <c r="BO540" i="6" s="1"/>
  <c r="W680" i="6"/>
  <c r="W668" i="6" s="1"/>
  <c r="BQ523" i="6"/>
  <c r="Y202" i="6"/>
  <c r="Y414" i="6"/>
  <c r="AF414" i="6" s="1"/>
  <c r="X772" i="6"/>
  <c r="X775" i="6"/>
  <c r="X778" i="6" s="1"/>
  <c r="X780" i="6" s="1"/>
  <c r="X765" i="6"/>
  <c r="X768" i="6" s="1"/>
  <c r="BO254" i="6"/>
  <c r="BO255" i="6"/>
  <c r="BO209" i="6"/>
  <c r="X206" i="6"/>
  <c r="X199" i="6"/>
  <c r="X207" i="6"/>
  <c r="X208" i="6"/>
  <c r="BP255" i="6"/>
  <c r="BP254" i="6"/>
  <c r="Y201" i="6"/>
  <c r="Y413" i="6"/>
  <c r="AF413" i="6" s="1"/>
  <c r="BO772" i="6"/>
  <c r="X786" i="6"/>
  <c r="AF225" i="6"/>
  <c r="X255" i="6"/>
  <c r="X236" i="6"/>
  <c r="X254" i="6"/>
  <c r="BO206" i="6"/>
  <c r="Z669" i="6"/>
  <c r="AA211" i="6"/>
  <c r="AA218" i="6" s="1"/>
  <c r="AB16" i="6"/>
  <c r="AB28" i="6" s="1"/>
  <c r="AB213" i="6"/>
  <c r="AB215" i="6"/>
  <c r="AB212" i="6"/>
  <c r="AB214" i="6"/>
  <c r="BQ410" i="6"/>
  <c r="W91" i="20"/>
  <c r="Y93" i="20"/>
  <c r="AB10" i="20"/>
  <c r="AB11" i="20" s="1"/>
  <c r="AB82" i="20"/>
  <c r="AB84" i="20" s="1"/>
  <c r="U91" i="20"/>
  <c r="W93" i="20"/>
  <c r="Z771" i="6"/>
  <c r="Z615" i="6"/>
  <c r="X453" i="6"/>
  <c r="X771" i="6"/>
  <c r="Y771" i="6"/>
  <c r="AB756" i="6"/>
  <c r="W478" i="6"/>
  <c r="W486" i="6"/>
  <c r="BO448" i="6"/>
  <c r="BO453" i="6"/>
  <c r="BO19" i="6" s="1"/>
  <c r="BO31" i="6" s="1"/>
  <c r="BN448" i="6"/>
  <c r="BP448" i="6"/>
  <c r="BP453" i="6"/>
  <c r="BP19" i="6" s="1"/>
  <c r="BP31" i="6" s="1"/>
  <c r="Z443" i="6"/>
  <c r="Z36" i="6" s="1"/>
  <c r="Z448" i="6"/>
  <c r="X443" i="6"/>
  <c r="X36" i="6" s="1"/>
  <c r="X448" i="6"/>
  <c r="Y448" i="6"/>
  <c r="W444" i="6"/>
  <c r="W37" i="6" s="1"/>
  <c r="W449" i="6"/>
  <c r="W454" i="6"/>
  <c r="W20" i="6" s="1"/>
  <c r="W32" i="6" s="1"/>
  <c r="BN443" i="6"/>
  <c r="BN36" i="6" s="1"/>
  <c r="BO417" i="6"/>
  <c r="BO443" i="6"/>
  <c r="BO36" i="6" s="1"/>
  <c r="BP417" i="6"/>
  <c r="BP443" i="6"/>
  <c r="BP36" i="6" s="1"/>
  <c r="AA167" i="6"/>
  <c r="AB357" i="6"/>
  <c r="AB377" i="6"/>
  <c r="AA367" i="6"/>
  <c r="AB136" i="6"/>
  <c r="Y619" i="6"/>
  <c r="AB247" i="6"/>
  <c r="X417" i="6"/>
  <c r="W108" i="20" s="1"/>
  <c r="Z649" i="6"/>
  <c r="Z461" i="6"/>
  <c r="AD621" i="6"/>
  <c r="X672" i="6"/>
  <c r="Y164" i="6"/>
  <c r="AC250" i="6"/>
  <c r="AC253" i="6" s="1"/>
  <c r="AC251" i="6" s="1"/>
  <c r="AB314" i="6"/>
  <c r="BQ616" i="6"/>
  <c r="BP615" i="6"/>
  <c r="BQ615" i="6"/>
  <c r="Y618" i="6"/>
  <c r="AC323" i="6"/>
  <c r="AC311" i="6" s="1"/>
  <c r="AC312" i="6" s="1"/>
  <c r="AC309" i="6" s="1"/>
  <c r="AC228" i="6" s="1"/>
  <c r="BP616" i="6"/>
  <c r="X611" i="6"/>
  <c r="BN619" i="6"/>
  <c r="AD47" i="25"/>
  <c r="AD25" i="25"/>
  <c r="AD131" i="6" s="1"/>
  <c r="AD121" i="6" s="1"/>
  <c r="AD18" i="6" s="1"/>
  <c r="AD30" i="6" s="1"/>
  <c r="AD36" i="25"/>
  <c r="BP521" i="6"/>
  <c r="BP619" i="6" s="1"/>
  <c r="AA766" i="6"/>
  <c r="BQ582" i="6"/>
  <c r="BQ578" i="6" s="1"/>
  <c r="BP578" i="6"/>
  <c r="AA678" i="6"/>
  <c r="AA497" i="6"/>
  <c r="AA617" i="6"/>
  <c r="Z16" i="20"/>
  <c r="AA579" i="6"/>
  <c r="AA580" i="6"/>
  <c r="AC270" i="6"/>
  <c r="AC271" i="6"/>
  <c r="AC272" i="6"/>
  <c r="Z286" i="6"/>
  <c r="W164" i="6"/>
  <c r="W181" i="6"/>
  <c r="Z358" i="6"/>
  <c r="Z453" i="6" s="1"/>
  <c r="Z19" i="6" s="1"/>
  <c r="Z359" i="6"/>
  <c r="Z193" i="6" s="1"/>
  <c r="Z225" i="6" s="1"/>
  <c r="Z360" i="6"/>
  <c r="Z194" i="6" s="1"/>
  <c r="Z361" i="6"/>
  <c r="Z195" i="6" s="1"/>
  <c r="Z362" i="6"/>
  <c r="Z196" i="6" s="1"/>
  <c r="Z365" i="6"/>
  <c r="AC347" i="6"/>
  <c r="AB141" i="6"/>
  <c r="AA165" i="6"/>
  <c r="AA146" i="6"/>
  <c r="AC100" i="6"/>
  <c r="AC94" i="6"/>
  <c r="BP771" i="6"/>
  <c r="BP797" i="6"/>
  <c r="AB315" i="6"/>
  <c r="X677" i="6"/>
  <c r="AA501" i="6"/>
  <c r="Y677" i="6"/>
  <c r="AD81" i="6"/>
  <c r="AD144" i="6" s="1"/>
  <c r="AD89" i="6"/>
  <c r="AD244" i="6"/>
  <c r="AD280" i="6"/>
  <c r="AD325" i="6"/>
  <c r="AD404" i="6"/>
  <c r="BN771" i="6"/>
  <c r="BN797" i="6"/>
  <c r="AC245" i="6"/>
  <c r="Y789" i="6"/>
  <c r="AB161" i="6"/>
  <c r="AB185" i="6" s="1"/>
  <c r="BO619" i="6"/>
  <c r="AA410" i="6"/>
  <c r="W789" i="6"/>
  <c r="W423" i="6"/>
  <c r="W393" i="6" s="1"/>
  <c r="W798" i="6"/>
  <c r="AC122" i="6"/>
  <c r="AB138" i="6"/>
  <c r="AB140" i="6" s="1"/>
  <c r="AB124" i="6" s="1"/>
  <c r="AB189" i="6" s="1"/>
  <c r="X797" i="6"/>
  <c r="X764" i="6"/>
  <c r="Y767" i="6" s="1"/>
  <c r="Y611" i="6"/>
  <c r="Y672" i="6"/>
  <c r="AA570" i="6"/>
  <c r="Z574" i="6"/>
  <c r="AB278" i="6"/>
  <c r="AB259" i="6"/>
  <c r="AB273" i="6"/>
  <c r="BP574" i="6"/>
  <c r="BO579" i="6"/>
  <c r="Z764" i="6"/>
  <c r="Z797" i="6"/>
  <c r="AD120" i="6"/>
  <c r="AD17" i="6" s="1"/>
  <c r="AD29" i="6" s="1"/>
  <c r="AD80" i="6"/>
  <c r="AD243" i="6"/>
  <c r="AD249" i="6" s="1"/>
  <c r="AD252" i="6" s="1"/>
  <c r="AD88" i="6"/>
  <c r="AD324" i="6"/>
  <c r="AD403" i="6"/>
  <c r="AC162" i="6"/>
  <c r="AC171" i="6" s="1"/>
  <c r="AC119" i="6"/>
  <c r="AC142" i="6"/>
  <c r="AC407" i="6"/>
  <c r="AD63" i="6"/>
  <c r="AD248" i="6"/>
  <c r="AD267" i="6"/>
  <c r="BO771" i="6"/>
  <c r="BO797" i="6"/>
  <c r="BO506" i="6"/>
  <c r="AB92" i="6"/>
  <c r="AB352" i="6"/>
  <c r="AC352" i="6" s="1"/>
  <c r="AD352" i="6" s="1"/>
  <c r="AA287" i="6"/>
  <c r="AB293" i="6"/>
  <c r="AB283" i="6" s="1"/>
  <c r="AA226" i="6"/>
  <c r="Z500" i="6"/>
  <c r="Z521" i="6"/>
  <c r="Z619" i="6" s="1"/>
  <c r="AB578" i="6"/>
  <c r="AB688" i="6" s="1"/>
  <c r="AB522" i="6"/>
  <c r="AB763" i="6"/>
  <c r="Z616" i="6"/>
  <c r="AD14" i="25"/>
  <c r="AD15" i="25"/>
  <c r="AD72" i="6"/>
  <c r="AD406" i="6"/>
  <c r="AC405" i="6"/>
  <c r="AC756" i="6" s="1"/>
  <c r="AC770" i="6" s="1"/>
  <c r="AC99" i="6"/>
  <c r="AC93" i="6"/>
  <c r="AC87" i="6"/>
  <c r="AC98" i="6" s="1"/>
  <c r="AA337" i="6"/>
  <c r="AB409" i="6"/>
  <c r="AA86" i="20" s="1"/>
  <c r="AA88" i="20" s="1"/>
  <c r="AB502" i="6"/>
  <c r="BO500" i="6"/>
  <c r="AA175" i="6"/>
  <c r="W767" i="6"/>
  <c r="AC123" i="6"/>
  <c r="AC145" i="6" s="1"/>
  <c r="AC163" i="6"/>
  <c r="AC126" i="6"/>
  <c r="AC143" i="6"/>
  <c r="AC408" i="6"/>
  <c r="AB137" i="6"/>
  <c r="AA168" i="6"/>
  <c r="V11" i="20"/>
  <c r="W11" i="20"/>
  <c r="AB279" i="6"/>
  <c r="AB274" i="6"/>
  <c r="Y478" i="6" l="1"/>
  <c r="Y39" i="6" s="1"/>
  <c r="AB316" i="6"/>
  <c r="AB318" i="6" s="1"/>
  <c r="AB319" i="6" s="1"/>
  <c r="AF453" i="6"/>
  <c r="V91" i="20"/>
  <c r="Z31" i="6"/>
  <c r="Y206" i="6"/>
  <c r="AF192" i="6"/>
  <c r="AB186" i="6"/>
  <c r="AB188" i="6"/>
  <c r="AC172" i="6"/>
  <c r="AC187" i="6"/>
  <c r="Z217" i="6"/>
  <c r="AB170" i="6"/>
  <c r="BQ411" i="6"/>
  <c r="Z202" i="6"/>
  <c r="Z414" i="6"/>
  <c r="Y765" i="6"/>
  <c r="Y768" i="6" s="1"/>
  <c r="Y772" i="6"/>
  <c r="Y775" i="6"/>
  <c r="Y778" i="6" s="1"/>
  <c r="Y780" i="6" s="1"/>
  <c r="Y417" i="6"/>
  <c r="Y449" i="6" s="1"/>
  <c r="Y523" i="6"/>
  <c r="Y680" i="6" s="1"/>
  <c r="Y668" i="6" s="1"/>
  <c r="Z201" i="6"/>
  <c r="Z413" i="6"/>
  <c r="Y786" i="6"/>
  <c r="Y236" i="6"/>
  <c r="Y233" i="6"/>
  <c r="Y254" i="6"/>
  <c r="Y255" i="6"/>
  <c r="Z200" i="6"/>
  <c r="Z192" i="6"/>
  <c r="Z412" i="6"/>
  <c r="Y209" i="6"/>
  <c r="Y199" i="6"/>
  <c r="Y207" i="6"/>
  <c r="Y208" i="6"/>
  <c r="Z203" i="6"/>
  <c r="Z415" i="6"/>
  <c r="AB211" i="6"/>
  <c r="AB218" i="6" s="1"/>
  <c r="AC16" i="6"/>
  <c r="AC28" i="6" s="1"/>
  <c r="AC212" i="6"/>
  <c r="AC215" i="6"/>
  <c r="AC213" i="6"/>
  <c r="AC214" i="6"/>
  <c r="BO449" i="6"/>
  <c r="BP449" i="6"/>
  <c r="AC10" i="20"/>
  <c r="AC82" i="20"/>
  <c r="AC84" i="20" s="1"/>
  <c r="X449" i="6"/>
  <c r="W757" i="6"/>
  <c r="W39" i="6"/>
  <c r="Y486" i="6"/>
  <c r="X19" i="6"/>
  <c r="AA615" i="6"/>
  <c r="X486" i="6"/>
  <c r="X478" i="6"/>
  <c r="AB770" i="6"/>
  <c r="BP478" i="6"/>
  <c r="BP39" i="6" s="1"/>
  <c r="BP486" i="6"/>
  <c r="BO478" i="6"/>
  <c r="BO39" i="6" s="1"/>
  <c r="BO486" i="6"/>
  <c r="Z478" i="6"/>
  <c r="Z486" i="6"/>
  <c r="W479" i="6"/>
  <c r="W487" i="6"/>
  <c r="BO454" i="6"/>
  <c r="BO444" i="6"/>
  <c r="BO37" i="6" s="1"/>
  <c r="X454" i="6"/>
  <c r="X20" i="6" s="1"/>
  <c r="X32" i="6" s="1"/>
  <c r="X444" i="6"/>
  <c r="X37" i="6" s="1"/>
  <c r="BP454" i="6"/>
  <c r="BP444" i="6"/>
  <c r="BP37" i="6" s="1"/>
  <c r="W424" i="6"/>
  <c r="AB167" i="6"/>
  <c r="AC357" i="6"/>
  <c r="AC377" i="6"/>
  <c r="AB367" i="6"/>
  <c r="AC137" i="6"/>
  <c r="AC314" i="6"/>
  <c r="AA649" i="6"/>
  <c r="AA461" i="6"/>
  <c r="BP506" i="6"/>
  <c r="X668" i="6"/>
  <c r="W15" i="20" s="1"/>
  <c r="AD323" i="6"/>
  <c r="AD311" i="6" s="1"/>
  <c r="AD312" i="6" s="1"/>
  <c r="AD309" i="6" s="1"/>
  <c r="AD228" i="6" s="1"/>
  <c r="AA319" i="6"/>
  <c r="AC247" i="6"/>
  <c r="AC92" i="6"/>
  <c r="AA669" i="6"/>
  <c r="AA181" i="6"/>
  <c r="AD250" i="6"/>
  <c r="AD253" i="6" s="1"/>
  <c r="AD251" i="6" s="1"/>
  <c r="AA358" i="6"/>
  <c r="AA217" i="6" s="1"/>
  <c r="AA359" i="6"/>
  <c r="AA193" i="6" s="1"/>
  <c r="AA225" i="6" s="1"/>
  <c r="AA360" i="6"/>
  <c r="AA194" i="6" s="1"/>
  <c r="AA361" i="6"/>
  <c r="AA195" i="6" s="1"/>
  <c r="AA362" i="6"/>
  <c r="AA196" i="6" s="1"/>
  <c r="AA365" i="6"/>
  <c r="AB501" i="6"/>
  <c r="Z677" i="6"/>
  <c r="AD270" i="6"/>
  <c r="AD271" i="6"/>
  <c r="AD272" i="6"/>
  <c r="AD405" i="6"/>
  <c r="AA574" i="6"/>
  <c r="AB570" i="6"/>
  <c r="X767" i="6"/>
  <c r="V15" i="20"/>
  <c r="AC274" i="6"/>
  <c r="AC279" i="6"/>
  <c r="BP579" i="6"/>
  <c r="BP532" i="6"/>
  <c r="BP540" i="6" s="1"/>
  <c r="BQ619" i="6"/>
  <c r="AB678" i="6"/>
  <c r="AA286" i="6"/>
  <c r="AC141" i="6"/>
  <c r="AD119" i="6"/>
  <c r="AD142" i="6"/>
  <c r="AD162" i="6"/>
  <c r="AD171" i="6" s="1"/>
  <c r="AD407" i="6"/>
  <c r="Z767" i="6"/>
  <c r="Z672" i="6"/>
  <c r="X798" i="6"/>
  <c r="AA500" i="6"/>
  <c r="AA611" i="6" s="1"/>
  <c r="AA521" i="6"/>
  <c r="AA619" i="6" s="1"/>
  <c r="AB175" i="6"/>
  <c r="AB337" i="6"/>
  <c r="AC278" i="6"/>
  <c r="AC259" i="6"/>
  <c r="AC273" i="6"/>
  <c r="BQ579" i="6"/>
  <c r="BP500" i="6"/>
  <c r="BP618" i="6" s="1"/>
  <c r="AA16" i="20"/>
  <c r="AB579" i="6"/>
  <c r="AB580" i="6"/>
  <c r="AB287" i="6"/>
  <c r="AC293" i="6"/>
  <c r="BO423" i="6"/>
  <c r="BO798" i="6"/>
  <c r="BO799" i="6" s="1"/>
  <c r="AC409" i="6"/>
  <c r="AB86" i="20" s="1"/>
  <c r="AB88" i="20" s="1"/>
  <c r="AC502" i="6"/>
  <c r="AC136" i="6"/>
  <c r="AD93" i="6"/>
  <c r="AD87" i="6"/>
  <c r="AD98" i="6" s="1"/>
  <c r="AD99" i="6"/>
  <c r="AD245" i="6"/>
  <c r="Z611" i="6"/>
  <c r="Z164" i="6"/>
  <c r="Z181" i="6"/>
  <c r="AB146" i="6"/>
  <c r="AB165" i="6"/>
  <c r="W790" i="6"/>
  <c r="AD143" i="6"/>
  <c r="AD123" i="6"/>
  <c r="AD145" i="6" s="1"/>
  <c r="AD163" i="6"/>
  <c r="AD126" i="6"/>
  <c r="AD408" i="6"/>
  <c r="AD347" i="6"/>
  <c r="AC353" i="6"/>
  <c r="AD353" i="6" s="1"/>
  <c r="AA411" i="6"/>
  <c r="Z90" i="20" s="1"/>
  <c r="AC578" i="6"/>
  <c r="AC688" i="6" s="1"/>
  <c r="AC522" i="6"/>
  <c r="AC763" i="6"/>
  <c r="AB617" i="6"/>
  <c r="AB497" i="6"/>
  <c r="AB766" i="6"/>
  <c r="Z618" i="6"/>
  <c r="BO618" i="6"/>
  <c r="AC161" i="6"/>
  <c r="AC185" i="6" s="1"/>
  <c r="Z789" i="6"/>
  <c r="AB226" i="6"/>
  <c r="X789" i="6"/>
  <c r="AD122" i="6"/>
  <c r="AC138" i="6"/>
  <c r="AC140" i="6" s="1"/>
  <c r="AC124" i="6" s="1"/>
  <c r="AC189" i="6" s="1"/>
  <c r="AB410" i="6"/>
  <c r="AB411" i="6" s="1"/>
  <c r="AA90" i="20" s="1"/>
  <c r="AD100" i="6"/>
  <c r="AD94" i="6"/>
  <c r="AB673" i="6"/>
  <c r="AB168" i="6"/>
  <c r="BP423" i="6"/>
  <c r="BP798" i="6"/>
  <c r="BP799" i="6" s="1"/>
  <c r="AC315" i="6"/>
  <c r="AA616" i="6"/>
  <c r="AC316" i="6" l="1"/>
  <c r="AC318" i="6" s="1"/>
  <c r="AC319" i="6" s="1"/>
  <c r="AC186" i="6"/>
  <c r="AC188" i="6"/>
  <c r="AD172" i="6"/>
  <c r="AD187" i="6"/>
  <c r="Y454" i="6"/>
  <c r="BQ443" i="6"/>
  <c r="BQ36" i="6" s="1"/>
  <c r="AC170" i="6"/>
  <c r="BQ771" i="6"/>
  <c r="BQ448" i="6"/>
  <c r="BQ797" i="6"/>
  <c r="AA201" i="6"/>
  <c r="AA413" i="6"/>
  <c r="Z786" i="6"/>
  <c r="Z417" i="6"/>
  <c r="Z454" i="6" s="1"/>
  <c r="Z20" i="6" s="1"/>
  <c r="Z523" i="6"/>
  <c r="Z680" i="6" s="1"/>
  <c r="Z668" i="6" s="1"/>
  <c r="Z772" i="6"/>
  <c r="Z765" i="6"/>
  <c r="Z768" i="6" s="1"/>
  <c r="Z775" i="6"/>
  <c r="Z778" i="6" s="1"/>
  <c r="Z780" i="6" s="1"/>
  <c r="AA200" i="6"/>
  <c r="AA192" i="6"/>
  <c r="AA412" i="6"/>
  <c r="Z208" i="6"/>
  <c r="Z199" i="6"/>
  <c r="Z207" i="6"/>
  <c r="AA203" i="6"/>
  <c r="AA415" i="6"/>
  <c r="Z255" i="6"/>
  <c r="Z254" i="6"/>
  <c r="Z233" i="6"/>
  <c r="Z236" i="6"/>
  <c r="Y444" i="6"/>
  <c r="Y37" i="6" s="1"/>
  <c r="X108" i="20"/>
  <c r="AA202" i="6"/>
  <c r="AA414" i="6"/>
  <c r="Z209" i="6"/>
  <c r="Z206" i="6"/>
  <c r="W40" i="6"/>
  <c r="W198" i="6"/>
  <c r="AC211" i="6"/>
  <c r="AC218" i="6" s="1"/>
  <c r="AB669" i="6"/>
  <c r="AD16" i="6"/>
  <c r="AD28" i="6" s="1"/>
  <c r="AD215" i="6"/>
  <c r="AD213" i="6"/>
  <c r="AD214" i="6"/>
  <c r="AD212" i="6"/>
  <c r="BO393" i="6"/>
  <c r="BO424" i="6" s="1"/>
  <c r="BP393" i="6"/>
  <c r="BP424" i="6" s="1"/>
  <c r="AA93" i="20"/>
  <c r="Y91" i="20"/>
  <c r="X91" i="20"/>
  <c r="Z93" i="20"/>
  <c r="AA771" i="6"/>
  <c r="Y757" i="6"/>
  <c r="X39" i="6"/>
  <c r="X31" i="6"/>
  <c r="Y31" i="6"/>
  <c r="Z757" i="6"/>
  <c r="Z39" i="6"/>
  <c r="BP487" i="6"/>
  <c r="BP20" i="6"/>
  <c r="BP32" i="6" s="1"/>
  <c r="BO487" i="6"/>
  <c r="BO20" i="6"/>
  <c r="BO32" i="6" s="1"/>
  <c r="AB615" i="6"/>
  <c r="AB771" i="6"/>
  <c r="W758" i="6"/>
  <c r="X757" i="6"/>
  <c r="AD756" i="6"/>
  <c r="AD770" i="6" s="1"/>
  <c r="X479" i="6"/>
  <c r="X487" i="6"/>
  <c r="AA448" i="6"/>
  <c r="AA453" i="6"/>
  <c r="AA19" i="6" s="1"/>
  <c r="AA31" i="6" s="1"/>
  <c r="AB443" i="6"/>
  <c r="AB36" i="6" s="1"/>
  <c r="AB448" i="6"/>
  <c r="BP456" i="6"/>
  <c r="BP479" i="6"/>
  <c r="BP40" i="6" s="1"/>
  <c r="BO456" i="6"/>
  <c r="BO479" i="6"/>
  <c r="BO40" i="6" s="1"/>
  <c r="AA443" i="6"/>
  <c r="AA36" i="6" s="1"/>
  <c r="AC168" i="6"/>
  <c r="AD357" i="6"/>
  <c r="AD377" i="6"/>
  <c r="AC367" i="6"/>
  <c r="AD136" i="6"/>
  <c r="AA164" i="6"/>
  <c r="W425" i="6"/>
  <c r="W551" i="6" s="1"/>
  <c r="AB649" i="6"/>
  <c r="AB461" i="6"/>
  <c r="AD247" i="6"/>
  <c r="AD314" i="6"/>
  <c r="AD137" i="6"/>
  <c r="X15" i="20"/>
  <c r="AA618" i="6"/>
  <c r="AC167" i="6"/>
  <c r="AB500" i="6"/>
  <c r="AB618" i="6" s="1"/>
  <c r="AB521" i="6"/>
  <c r="AB619" i="6" s="1"/>
  <c r="AC146" i="6"/>
  <c r="AC165" i="6"/>
  <c r="AC410" i="6"/>
  <c r="AC411" i="6" s="1"/>
  <c r="AB90" i="20" s="1"/>
  <c r="AC337" i="6"/>
  <c r="BQ618" i="6"/>
  <c r="AA677" i="6"/>
  <c r="AD409" i="6"/>
  <c r="AC86" i="20" s="1"/>
  <c r="AC88" i="20" s="1"/>
  <c r="AD502" i="6"/>
  <c r="AD673" i="6" s="1"/>
  <c r="AD315" i="6"/>
  <c r="V14" i="20"/>
  <c r="AD522" i="6"/>
  <c r="AD578" i="6"/>
  <c r="AD688" i="6" s="1"/>
  <c r="AD763" i="6"/>
  <c r="AD138" i="6"/>
  <c r="AD140" i="6" s="1"/>
  <c r="AD124" i="6" s="1"/>
  <c r="AD189" i="6" s="1"/>
  <c r="AC766" i="6"/>
  <c r="AC678" i="6"/>
  <c r="AA764" i="6"/>
  <c r="AA797" i="6"/>
  <c r="AD293" i="6"/>
  <c r="AD287" i="6" s="1"/>
  <c r="AC287" i="6"/>
  <c r="AC226" i="6"/>
  <c r="AD141" i="6"/>
  <c r="AB574" i="6"/>
  <c r="AC570" i="6"/>
  <c r="AD274" i="6"/>
  <c r="AD279" i="6"/>
  <c r="AD10" i="20"/>
  <c r="AC11" i="20"/>
  <c r="AB797" i="6"/>
  <c r="AB764" i="6"/>
  <c r="AB16" i="20"/>
  <c r="AC579" i="6"/>
  <c r="AC580" i="6"/>
  <c r="AD92" i="6"/>
  <c r="AC617" i="6"/>
  <c r="AC497" i="6"/>
  <c r="X790" i="6"/>
  <c r="AD273" i="6"/>
  <c r="AD278" i="6"/>
  <c r="AD259" i="6"/>
  <c r="AC175" i="6"/>
  <c r="AB286" i="6"/>
  <c r="AB616" i="6"/>
  <c r="Y798" i="6"/>
  <c r="AC501" i="6"/>
  <c r="AC283" i="6"/>
  <c r="AB358" i="6"/>
  <c r="AB453" i="6" s="1"/>
  <c r="AB19" i="6" s="1"/>
  <c r="AB359" i="6"/>
  <c r="AB193" i="6" s="1"/>
  <c r="AB225" i="6" s="1"/>
  <c r="AB360" i="6"/>
  <c r="AB194" i="6" s="1"/>
  <c r="AB361" i="6"/>
  <c r="AB195" i="6" s="1"/>
  <c r="AB362" i="6"/>
  <c r="AB196" i="6" s="1"/>
  <c r="AB365" i="6"/>
  <c r="AD161" i="6"/>
  <c r="AD185" i="6" s="1"/>
  <c r="AD354" i="6"/>
  <c r="AD337" i="6" s="1"/>
  <c r="AA672" i="6"/>
  <c r="AC673" i="6"/>
  <c r="AD316" i="6" l="1"/>
  <c r="AD318" i="6" s="1"/>
  <c r="AD319" i="6" s="1"/>
  <c r="Y20" i="6"/>
  <c r="Y32" i="6" s="1"/>
  <c r="AF454" i="6"/>
  <c r="AD186" i="6"/>
  <c r="AD188" i="6"/>
  <c r="Y487" i="6"/>
  <c r="Y479" i="6"/>
  <c r="Y198" i="6" s="1"/>
  <c r="Z32" i="6"/>
  <c r="AA417" i="6"/>
  <c r="Z108" i="20" s="1"/>
  <c r="AB217" i="6"/>
  <c r="AD170" i="6"/>
  <c r="AB201" i="6"/>
  <c r="AB413" i="6"/>
  <c r="AD211" i="6"/>
  <c r="AD218" i="6" s="1"/>
  <c r="Y108" i="20"/>
  <c r="Z444" i="6"/>
  <c r="Z37" i="6" s="1"/>
  <c r="Z449" i="6"/>
  <c r="AA523" i="6"/>
  <c r="AA680" i="6" s="1"/>
  <c r="AA668" i="6" s="1"/>
  <c r="AA772" i="6"/>
  <c r="AA765" i="6"/>
  <c r="AA768" i="6" s="1"/>
  <c r="AA775" i="6"/>
  <c r="AA778" i="6" s="1"/>
  <c r="AA780" i="6" s="1"/>
  <c r="AB200" i="6"/>
  <c r="AB192" i="6"/>
  <c r="AB209" i="6" s="1"/>
  <c r="AB412" i="6"/>
  <c r="AB203" i="6"/>
  <c r="AB415" i="6"/>
  <c r="AA206" i="6"/>
  <c r="AA199" i="6"/>
  <c r="AA207" i="6"/>
  <c r="AA209" i="6"/>
  <c r="AB202" i="6"/>
  <c r="AB414" i="6"/>
  <c r="AA786" i="6"/>
  <c r="AA233" i="6"/>
  <c r="AA255" i="6"/>
  <c r="AA254" i="6"/>
  <c r="AA236" i="6"/>
  <c r="AA208" i="6"/>
  <c r="X40" i="6"/>
  <c r="X198" i="6"/>
  <c r="AC669" i="6"/>
  <c r="Z91" i="20"/>
  <c r="AB93" i="20"/>
  <c r="AC771" i="6"/>
  <c r="AB31" i="6"/>
  <c r="AC615" i="6"/>
  <c r="X758" i="6"/>
  <c r="AB478" i="6"/>
  <c r="AB39" i="6" s="1"/>
  <c r="AB486" i="6"/>
  <c r="Z479" i="6"/>
  <c r="Z487" i="6"/>
  <c r="BP482" i="6"/>
  <c r="BP488" i="6"/>
  <c r="AA478" i="6"/>
  <c r="AA486" i="6"/>
  <c r="BO482" i="6"/>
  <c r="BO488" i="6"/>
  <c r="AC443" i="6"/>
  <c r="AC36" i="6" s="1"/>
  <c r="AC448" i="6"/>
  <c r="AD168" i="6"/>
  <c r="AD367" i="6"/>
  <c r="W433" i="6"/>
  <c r="V130" i="20"/>
  <c r="W644" i="6"/>
  <c r="BP425" i="6"/>
  <c r="AC649" i="6"/>
  <c r="AC461" i="6"/>
  <c r="AD283" i="6"/>
  <c r="AB611" i="6"/>
  <c r="AC181" i="6"/>
  <c r="AB672" i="6"/>
  <c r="AD167" i="6"/>
  <c r="AC365" i="6"/>
  <c r="AC358" i="6"/>
  <c r="AC453" i="6" s="1"/>
  <c r="AC19" i="6" s="1"/>
  <c r="AC31" i="6" s="1"/>
  <c r="AC359" i="6"/>
  <c r="AC193" i="6" s="1"/>
  <c r="AC225" i="6" s="1"/>
  <c r="AC360" i="6"/>
  <c r="AC194" i="6" s="1"/>
  <c r="AC361" i="6"/>
  <c r="AC195" i="6" s="1"/>
  <c r="AC362" i="6"/>
  <c r="AC196" i="6" s="1"/>
  <c r="AB164" i="6"/>
  <c r="AB181" i="6"/>
  <c r="AD410" i="6"/>
  <c r="AD411" i="6" s="1"/>
  <c r="AC90" i="20" s="1"/>
  <c r="BO425" i="6"/>
  <c r="AC616" i="6"/>
  <c r="AB767" i="6"/>
  <c r="AC16" i="20"/>
  <c r="AD579" i="6"/>
  <c r="AD580" i="6"/>
  <c r="AD497" i="6"/>
  <c r="AD617" i="6"/>
  <c r="AC500" i="6"/>
  <c r="AC672" i="6" s="1"/>
  <c r="AC521" i="6"/>
  <c r="AC619" i="6" s="1"/>
  <c r="AC286" i="6"/>
  <c r="AA767" i="6"/>
  <c r="Z798" i="6"/>
  <c r="AD175" i="6"/>
  <c r="AC797" i="6"/>
  <c r="AC764" i="6"/>
  <c r="AC574" i="6"/>
  <c r="AD570" i="6"/>
  <c r="AD165" i="6"/>
  <c r="AD146" i="6"/>
  <c r="AD678" i="6"/>
  <c r="Y15" i="20"/>
  <c r="Y790" i="6"/>
  <c r="AD226" i="6"/>
  <c r="AB789" i="6"/>
  <c r="AD11" i="20"/>
  <c r="AA789" i="6"/>
  <c r="AD766" i="6"/>
  <c r="AD501" i="6"/>
  <c r="AB677" i="6"/>
  <c r="AA444" i="6" l="1"/>
  <c r="AA37" i="6" s="1"/>
  <c r="Y40" i="6"/>
  <c r="Y758" i="6"/>
  <c r="AA454" i="6"/>
  <c r="AA20" i="6" s="1"/>
  <c r="AA32" i="6" s="1"/>
  <c r="AA449" i="6"/>
  <c r="AB208" i="6"/>
  <c r="AB207" i="6"/>
  <c r="AC217" i="6"/>
  <c r="AC200" i="6"/>
  <c r="AC412" i="6"/>
  <c r="AC192" i="6"/>
  <c r="AB233" i="6"/>
  <c r="AB255" i="6"/>
  <c r="AB236" i="6"/>
  <c r="AB254" i="6"/>
  <c r="AC202" i="6"/>
  <c r="AC414" i="6"/>
  <c r="AB417" i="6"/>
  <c r="AB454" i="6" s="1"/>
  <c r="AB20" i="6" s="1"/>
  <c r="AB523" i="6"/>
  <c r="AB680" i="6" s="1"/>
  <c r="AB668" i="6" s="1"/>
  <c r="AB772" i="6"/>
  <c r="AB775" i="6"/>
  <c r="AB778" i="6" s="1"/>
  <c r="AB780" i="6" s="1"/>
  <c r="AB765" i="6"/>
  <c r="AB768" i="6" s="1"/>
  <c r="AC203" i="6"/>
  <c r="AC415" i="6"/>
  <c r="AC201" i="6"/>
  <c r="AC413" i="6"/>
  <c r="AB786" i="6"/>
  <c r="AB206" i="6"/>
  <c r="AB199" i="6"/>
  <c r="Z40" i="6"/>
  <c r="Z198" i="6"/>
  <c r="AD616" i="6"/>
  <c r="BP433" i="6"/>
  <c r="BP437" i="6" s="1"/>
  <c r="W435" i="6"/>
  <c r="W450" i="6" s="1"/>
  <c r="W437" i="6"/>
  <c r="W439" i="6" s="1"/>
  <c r="W438" i="6"/>
  <c r="W440" i="6" s="1"/>
  <c r="AA91" i="20"/>
  <c r="AC93" i="20"/>
  <c r="AD771" i="6"/>
  <c r="AA757" i="6"/>
  <c r="AA39" i="6"/>
  <c r="AD615" i="6"/>
  <c r="Z758" i="6"/>
  <c r="AB757" i="6"/>
  <c r="AC478" i="6"/>
  <c r="AC486" i="6"/>
  <c r="AD443" i="6"/>
  <c r="AD36" i="6" s="1"/>
  <c r="AD448" i="6"/>
  <c r="W752" i="6"/>
  <c r="W800" i="6"/>
  <c r="W445" i="6"/>
  <c r="W38" i="6" s="1"/>
  <c r="W460" i="6"/>
  <c r="AD649" i="6"/>
  <c r="AD461" i="6"/>
  <c r="AC611" i="6"/>
  <c r="AC164" i="6"/>
  <c r="AD669" i="6"/>
  <c r="AC618" i="6"/>
  <c r="AD286" i="6"/>
  <c r="AC767" i="6"/>
  <c r="Z15" i="20"/>
  <c r="AD574" i="6"/>
  <c r="AC677" i="6"/>
  <c r="AD764" i="6"/>
  <c r="AD797" i="6"/>
  <c r="AD500" i="6"/>
  <c r="AD521" i="6"/>
  <c r="AD619" i="6" s="1"/>
  <c r="AD358" i="6"/>
  <c r="AD359" i="6"/>
  <c r="AD193" i="6" s="1"/>
  <c r="AD225" i="6" s="1"/>
  <c r="AD360" i="6"/>
  <c r="AD194" i="6" s="1"/>
  <c r="AD361" i="6"/>
  <c r="AD195" i="6" s="1"/>
  <c r="AD362" i="6"/>
  <c r="AD196" i="6" s="1"/>
  <c r="AD365" i="6"/>
  <c r="BO433" i="6"/>
  <c r="AA798" i="6"/>
  <c r="AC789" i="6"/>
  <c r="Z790" i="6"/>
  <c r="AA479" i="6" l="1"/>
  <c r="AA40" i="6" s="1"/>
  <c r="AB32" i="6"/>
  <c r="AA487" i="6"/>
  <c r="AD453" i="6"/>
  <c r="AD19" i="6" s="1"/>
  <c r="AD31" i="6" s="1"/>
  <c r="AD217" i="6"/>
  <c r="AD201" i="6"/>
  <c r="AD413" i="6"/>
  <c r="AC206" i="6"/>
  <c r="AC199" i="6"/>
  <c r="AC207" i="6"/>
  <c r="AC208" i="6"/>
  <c r="AD200" i="6"/>
  <c r="AD192" i="6"/>
  <c r="AD206" i="6" s="1"/>
  <c r="AD412" i="6"/>
  <c r="AC786" i="6"/>
  <c r="AA108" i="20"/>
  <c r="AB449" i="6"/>
  <c r="AB444" i="6"/>
  <c r="AB37" i="6" s="1"/>
  <c r="AC417" i="6"/>
  <c r="AC523" i="6"/>
  <c r="AC680" i="6" s="1"/>
  <c r="AC668" i="6" s="1"/>
  <c r="AB15" i="20" s="1"/>
  <c r="AD203" i="6"/>
  <c r="AD415" i="6"/>
  <c r="AC209" i="6"/>
  <c r="AC236" i="6"/>
  <c r="AC233" i="6"/>
  <c r="AC254" i="6"/>
  <c r="AC255" i="6"/>
  <c r="AD202" i="6"/>
  <c r="AD414" i="6"/>
  <c r="AC772" i="6"/>
  <c r="AC775" i="6"/>
  <c r="AC778" i="6" s="1"/>
  <c r="AC780" i="6" s="1"/>
  <c r="AC765" i="6"/>
  <c r="AC768" i="6" s="1"/>
  <c r="BP800" i="6"/>
  <c r="V67" i="20"/>
  <c r="V68" i="20" s="1"/>
  <c r="BP752" i="6"/>
  <c r="BP435" i="6"/>
  <c r="BP450" i="6" s="1"/>
  <c r="BP460" i="6"/>
  <c r="BP470" i="6" s="1"/>
  <c r="BP458" i="6" s="1"/>
  <c r="BP459" i="6" s="1"/>
  <c r="BP438" i="6"/>
  <c r="BP440" i="6" s="1"/>
  <c r="BP445" i="6"/>
  <c r="BP38" i="6" s="1"/>
  <c r="V73" i="20"/>
  <c r="V74" i="20" s="1"/>
  <c r="BP439" i="6"/>
  <c r="BO435" i="6"/>
  <c r="BO450" i="6" s="1"/>
  <c r="BO437" i="6"/>
  <c r="BO438" i="6"/>
  <c r="W470" i="6"/>
  <c r="AC757" i="6"/>
  <c r="AC39" i="6"/>
  <c r="AB479" i="6"/>
  <c r="AB487" i="6"/>
  <c r="W801" i="6"/>
  <c r="BQ551" i="6"/>
  <c r="AA15" i="20"/>
  <c r="AD789" i="6"/>
  <c r="BO445" i="6"/>
  <c r="BO38" i="6" s="1"/>
  <c r="BO460" i="6"/>
  <c r="BO470" i="6" s="1"/>
  <c r="BO752" i="6"/>
  <c r="BO800" i="6"/>
  <c r="AD672" i="6"/>
  <c r="AD618" i="6"/>
  <c r="AD164" i="6"/>
  <c r="AD181" i="6"/>
  <c r="AA790" i="6"/>
  <c r="AD611" i="6"/>
  <c r="AD677" i="6"/>
  <c r="AD767" i="6"/>
  <c r="AB798" i="6"/>
  <c r="AA758" i="6" l="1"/>
  <c r="AA198" i="6"/>
  <c r="BP457" i="6"/>
  <c r="AD486" i="6"/>
  <c r="AD478" i="6"/>
  <c r="AD757" i="6" s="1"/>
  <c r="AD208" i="6"/>
  <c r="AD207" i="6"/>
  <c r="AB108" i="20"/>
  <c r="AC444" i="6"/>
  <c r="AC37" i="6" s="1"/>
  <c r="AC449" i="6"/>
  <c r="AC454" i="6"/>
  <c r="AC20" i="6" s="1"/>
  <c r="AC32" i="6" s="1"/>
  <c r="AD523" i="6"/>
  <c r="AD680" i="6" s="1"/>
  <c r="AD668" i="6" s="1"/>
  <c r="AD417" i="6"/>
  <c r="AD454" i="6" s="1"/>
  <c r="AD20" i="6" s="1"/>
  <c r="AD786" i="6"/>
  <c r="AD209" i="6"/>
  <c r="AD199" i="6"/>
  <c r="AD772" i="6"/>
  <c r="AD765" i="6"/>
  <c r="AD768" i="6" s="1"/>
  <c r="AD775" i="6"/>
  <c r="AD778" i="6" s="1"/>
  <c r="AD780" i="6" s="1"/>
  <c r="AD236" i="6"/>
  <c r="AD233" i="6"/>
  <c r="AD254" i="6"/>
  <c r="AD255" i="6"/>
  <c r="AB40" i="6"/>
  <c r="AB198" i="6"/>
  <c r="BP801" i="6"/>
  <c r="BO439" i="6"/>
  <c r="BO440" i="6"/>
  <c r="W458" i="6"/>
  <c r="W459" i="6" s="1"/>
  <c r="BP21" i="6"/>
  <c r="BP33" i="6" s="1"/>
  <c r="BP473" i="6"/>
  <c r="BP472" i="6"/>
  <c r="AB758" i="6"/>
  <c r="BP483" i="6"/>
  <c r="BP41" i="6" s="1"/>
  <c r="BP489" i="6"/>
  <c r="AC798" i="6"/>
  <c r="AB790" i="6"/>
  <c r="BO458" i="6"/>
  <c r="BO801" i="6"/>
  <c r="BO457" i="6" l="1"/>
  <c r="BO459" i="6"/>
  <c r="W472" i="6"/>
  <c r="V70" i="20" s="1"/>
  <c r="V71" i="20" s="1"/>
  <c r="W457" i="6"/>
  <c r="AD39" i="6"/>
  <c r="AD32" i="6"/>
  <c r="AC487" i="6"/>
  <c r="AC479" i="6"/>
  <c r="AC198" i="6" s="1"/>
  <c r="AC108" i="20"/>
  <c r="AD444" i="6"/>
  <c r="AD37" i="6" s="1"/>
  <c r="AD449" i="6"/>
  <c r="W489" i="6"/>
  <c r="W792" i="6"/>
  <c r="W21" i="6"/>
  <c r="W33" i="6" s="1"/>
  <c r="W473" i="6"/>
  <c r="V76" i="20" s="1"/>
  <c r="V77" i="20" s="1"/>
  <c r="W483" i="6"/>
  <c r="W760" i="6" s="1"/>
  <c r="BO21" i="6"/>
  <c r="BO33" i="6" s="1"/>
  <c r="BO473" i="6"/>
  <c r="BO472" i="6"/>
  <c r="AD479" i="6"/>
  <c r="AD487" i="6"/>
  <c r="BO483" i="6"/>
  <c r="BO41" i="6" s="1"/>
  <c r="BO489" i="6"/>
  <c r="BP474" i="6"/>
  <c r="AD798" i="6"/>
  <c r="BP475" i="6"/>
  <c r="BP793" i="6"/>
  <c r="AC790" i="6"/>
  <c r="AC15" i="20"/>
  <c r="W474" i="6" l="1"/>
  <c r="AC40" i="6"/>
  <c r="AC758" i="6"/>
  <c r="AD40" i="6"/>
  <c r="AD198" i="6"/>
  <c r="W793" i="6"/>
  <c r="W475" i="6"/>
  <c r="W41" i="6"/>
  <c r="Y64" i="20" s="1"/>
  <c r="AD758" i="6"/>
  <c r="BO474" i="6"/>
  <c r="BO475" i="6"/>
  <c r="BO793" i="6"/>
  <c r="AD790" i="6"/>
  <c r="U162" i="6" l="1"/>
  <c r="U187" i="6"/>
  <c r="U188" i="6" s="1"/>
  <c r="U171" i="6" l="1"/>
  <c r="V171" i="6"/>
  <c r="U163" i="6"/>
  <c r="U178" i="6"/>
  <c r="V179" i="6" s="1"/>
  <c r="U181" i="6"/>
  <c r="U164" i="6"/>
  <c r="U180" i="6" l="1"/>
  <c r="U172" i="6"/>
  <c r="V172" i="6"/>
  <c r="U161" i="6"/>
  <c r="U217" i="6" s="1"/>
  <c r="U177" i="6"/>
  <c r="U18" i="25"/>
  <c r="U179" i="6"/>
  <c r="U170" i="6" l="1"/>
  <c r="V170" i="6"/>
  <c r="U168" i="6"/>
  <c r="U367" i="6"/>
  <c r="U167" i="6"/>
  <c r="U175" i="6"/>
  <c r="BN358" i="6" l="1"/>
  <c r="BN217" i="6" s="1"/>
  <c r="BN359" i="6"/>
  <c r="BN360" i="6"/>
  <c r="BN361" i="6"/>
  <c r="BN362" i="6"/>
  <c r="BN365" i="6"/>
  <c r="BN367" i="6"/>
  <c r="BN461" i="6"/>
  <c r="BQ360" i="6" l="1"/>
  <c r="BQ194" i="6" s="1"/>
  <c r="BN194" i="6"/>
  <c r="BQ359" i="6"/>
  <c r="BQ193" i="6" s="1"/>
  <c r="BQ225" i="6" s="1"/>
  <c r="BN193" i="6"/>
  <c r="BN225" i="6" s="1"/>
  <c r="BQ361" i="6"/>
  <c r="BQ195" i="6" s="1"/>
  <c r="BN195" i="6"/>
  <c r="BQ362" i="6"/>
  <c r="BQ196" i="6" s="1"/>
  <c r="BN196" i="6"/>
  <c r="BQ358" i="6"/>
  <c r="BN453" i="6"/>
  <c r="BN19" i="6" s="1"/>
  <c r="BN31" i="6" s="1"/>
  <c r="BQ453" i="6" l="1"/>
  <c r="BQ19" i="6" s="1"/>
  <c r="BQ31" i="6" s="1"/>
  <c r="BQ217" i="6"/>
  <c r="BQ203" i="6"/>
  <c r="BN200" i="6"/>
  <c r="BN192" i="6"/>
  <c r="BN209" i="6" s="1"/>
  <c r="BN412" i="6"/>
  <c r="BQ200" i="6"/>
  <c r="BQ192" i="6"/>
  <c r="BQ208" i="6" s="1"/>
  <c r="BN202" i="6"/>
  <c r="BN414" i="6"/>
  <c r="BN201" i="6"/>
  <c r="BN413" i="6"/>
  <c r="BN203" i="6"/>
  <c r="BN415" i="6"/>
  <c r="BQ202" i="6"/>
  <c r="BQ201" i="6"/>
  <c r="BN478" i="6"/>
  <c r="BN39" i="6" s="1"/>
  <c r="BN486" i="6"/>
  <c r="BQ365" i="6"/>
  <c r="BQ366" i="6"/>
  <c r="BQ367" i="6"/>
  <c r="BQ369" i="6"/>
  <c r="BQ370" i="6"/>
  <c r="BQ371" i="6"/>
  <c r="BQ372" i="6"/>
  <c r="BQ373" i="6"/>
  <c r="BQ461" i="6"/>
  <c r="BQ478" i="6" l="1"/>
  <c r="BQ39" i="6" s="1"/>
  <c r="BQ486" i="6"/>
  <c r="BN207" i="6"/>
  <c r="BN206" i="6"/>
  <c r="BQ207" i="6"/>
  <c r="BQ414" i="6"/>
  <c r="BN254" i="6"/>
  <c r="BN255" i="6"/>
  <c r="BN772" i="6"/>
  <c r="BQ413" i="6"/>
  <c r="BQ206" i="6"/>
  <c r="BQ199" i="6"/>
  <c r="BN523" i="6"/>
  <c r="BN532" i="6" s="1"/>
  <c r="BN540" i="6" s="1"/>
  <c r="BQ412" i="6"/>
  <c r="BN417" i="6"/>
  <c r="BQ209" i="6"/>
  <c r="BQ415" i="6"/>
  <c r="BQ254" i="6"/>
  <c r="BQ255" i="6"/>
  <c r="BN208" i="6"/>
  <c r="BN199" i="6"/>
  <c r="BQ622" i="6" l="1"/>
  <c r="BQ417" i="6"/>
  <c r="BQ772" i="6"/>
  <c r="BN444" i="6"/>
  <c r="BN37" i="6" s="1"/>
  <c r="BN798" i="6"/>
  <c r="BN799" i="6" s="1"/>
  <c r="BN449" i="6"/>
  <c r="BN423" i="6"/>
  <c r="BN454" i="6"/>
  <c r="BN479" i="6" l="1"/>
  <c r="BN487" i="6"/>
  <c r="BN456" i="6"/>
  <c r="BN20" i="6"/>
  <c r="BN32" i="6" s="1"/>
  <c r="BN393" i="6"/>
  <c r="BQ423" i="6"/>
  <c r="BQ449" i="6"/>
  <c r="BQ798" i="6"/>
  <c r="BQ799" i="6" s="1"/>
  <c r="BQ444" i="6"/>
  <c r="BQ37" i="6" s="1"/>
  <c r="BQ454" i="6"/>
  <c r="BN482" i="6" l="1"/>
  <c r="BN488" i="6"/>
  <c r="BQ20" i="6"/>
  <c r="BQ32" i="6" s="1"/>
  <c r="BQ487" i="6"/>
  <c r="BQ479" i="6"/>
  <c r="BQ40" i="6" s="1"/>
  <c r="BN424" i="6"/>
  <c r="BQ393" i="6"/>
  <c r="BQ424" i="6" s="1"/>
  <c r="BN40" i="6"/>
  <c r="V32" i="20"/>
  <c r="W32" i="20" s="1"/>
  <c r="W384" i="6"/>
  <c r="X385" i="6" s="1"/>
  <c r="BQ524" i="6"/>
  <c r="BQ532" i="6" s="1"/>
  <c r="BQ540" i="6" s="1"/>
  <c r="W532" i="6"/>
  <c r="W717" i="6"/>
  <c r="W714" i="6" s="1"/>
  <c r="X384" i="6"/>
  <c r="Y385" i="6" s="1"/>
  <c r="Y384" i="6"/>
  <c r="Z385" i="6" s="1"/>
  <c r="Z384" i="6"/>
  <c r="AA385" i="6" s="1"/>
  <c r="AA384" i="6"/>
  <c r="AB385" i="6" s="1"/>
  <c r="AB383" i="6" s="1"/>
  <c r="AB419" i="6" s="1"/>
  <c r="AC385" i="6"/>
  <c r="AC383" i="6" s="1"/>
  <c r="AC384" i="6"/>
  <c r="AD384" i="6"/>
  <c r="X532" i="6"/>
  <c r="Y532" i="6"/>
  <c r="Z532" i="6"/>
  <c r="AA532" i="6"/>
  <c r="AB532" i="6"/>
  <c r="AC532" i="6"/>
  <c r="AD532" i="6"/>
  <c r="X717" i="6"/>
  <c r="X714" i="6" s="1"/>
  <c r="Y717" i="6"/>
  <c r="Y714" i="6" s="1"/>
  <c r="Z717" i="6"/>
  <c r="Z714" i="6" s="1"/>
  <c r="AA717" i="6"/>
  <c r="AA714" i="6" s="1"/>
  <c r="AB717" i="6"/>
  <c r="AB714" i="6" s="1"/>
  <c r="AC717" i="6"/>
  <c r="AC714" i="6" s="1"/>
  <c r="AD717" i="6"/>
  <c r="AD714" i="6" s="1"/>
  <c r="BQ394" i="6" l="1"/>
  <c r="BN425" i="6"/>
  <c r="BQ425" i="6"/>
  <c r="Z383" i="6"/>
  <c r="Z419" i="6" s="1"/>
  <c r="AD385" i="6"/>
  <c r="Y383" i="6"/>
  <c r="AB540" i="6"/>
  <c r="W540" i="6"/>
  <c r="X540" i="6"/>
  <c r="Y540" i="6"/>
  <c r="AC540" i="6"/>
  <c r="AA383" i="6"/>
  <c r="X383" i="6"/>
  <c r="AA540" i="6"/>
  <c r="AD540" i="6"/>
  <c r="Z540" i="6"/>
  <c r="BN433" i="6" l="1"/>
  <c r="BQ433" i="6"/>
  <c r="AD383" i="6"/>
  <c r="AD419" i="6" s="1"/>
  <c r="Y419" i="6"/>
  <c r="AA419" i="6"/>
  <c r="X419" i="6"/>
  <c r="AC419" i="6"/>
  <c r="BQ435" i="6" l="1"/>
  <c r="BQ450" i="6" s="1"/>
  <c r="BQ460" i="6"/>
  <c r="BQ470" i="6" s="1"/>
  <c r="BQ458" i="6" s="1"/>
  <c r="BQ437" i="6"/>
  <c r="BQ438" i="6"/>
  <c r="BQ752" i="6"/>
  <c r="BQ445" i="6"/>
  <c r="BQ38" i="6" s="1"/>
  <c r="BQ800" i="6"/>
  <c r="BN438" i="6"/>
  <c r="BN437" i="6"/>
  <c r="BN800" i="6"/>
  <c r="BN460" i="6"/>
  <c r="BN470" i="6" s="1"/>
  <c r="BN458" i="6" s="1"/>
  <c r="BN752" i="6"/>
  <c r="BN435" i="6"/>
  <c r="BN450" i="6" s="1"/>
  <c r="BN445" i="6"/>
  <c r="BN38" i="6" s="1"/>
  <c r="BN457" i="6" l="1"/>
  <c r="BN459" i="6"/>
  <c r="BQ457" i="6"/>
  <c r="BQ459" i="6"/>
  <c r="BN472" i="6"/>
  <c r="BN489" i="6"/>
  <c r="BN473" i="6"/>
  <c r="BN21" i="6"/>
  <c r="BN33" i="6" s="1"/>
  <c r="BN483" i="6"/>
  <c r="BN440" i="6"/>
  <c r="BN801" i="6"/>
  <c r="BQ440" i="6"/>
  <c r="BQ801" i="6"/>
  <c r="BQ439" i="6"/>
  <c r="BQ473" i="6"/>
  <c r="BQ21" i="6"/>
  <c r="BQ33" i="6" s="1"/>
  <c r="BQ489" i="6"/>
  <c r="BQ483" i="6"/>
  <c r="BQ41" i="6" s="1"/>
  <c r="BQ472" i="6"/>
  <c r="BN439" i="6"/>
  <c r="BN41" i="6" l="1"/>
  <c r="BQ474" i="6"/>
  <c r="BQ793" i="6"/>
  <c r="BQ475" i="6"/>
  <c r="BN474" i="6"/>
  <c r="BN475" i="6"/>
  <c r="BN793" i="6"/>
  <c r="V554" i="6"/>
  <c r="V730" i="6"/>
  <c r="V721" i="6" s="1"/>
  <c r="V739" i="6" l="1"/>
  <c r="BQ554" i="6" l="1"/>
  <c r="BQ549" i="6" l="1"/>
  <c r="W556" i="6"/>
  <c r="V102" i="20" s="1"/>
  <c r="V103" i="20" s="1"/>
  <c r="W730" i="6"/>
  <c r="W721" i="6" s="1"/>
  <c r="W739" i="6" s="1"/>
  <c r="W557" i="6" l="1"/>
  <c r="W626" i="6"/>
  <c r="W625" i="6"/>
  <c r="V131" i="20"/>
  <c r="V132" i="20" s="1"/>
  <c r="V136" i="20" s="1"/>
  <c r="V135" i="20" s="1"/>
  <c r="V139" i="20" s="1"/>
  <c r="BQ556" i="6"/>
  <c r="V104" i="20" l="1"/>
  <c r="X730" i="6"/>
  <c r="X721" i="6" s="1"/>
  <c r="BQ557" i="6"/>
  <c r="BN556" i="6"/>
  <c r="BQ626" i="6"/>
  <c r="X739" i="6" l="1"/>
  <c r="Y730" i="6"/>
  <c r="Y721" i="6" s="1"/>
  <c r="BO556" i="6"/>
  <c r="BN625" i="6"/>
  <c r="BN626" i="6"/>
  <c r="BN557" i="6"/>
  <c r="BN493" i="6" s="1"/>
  <c r="BN505" i="6" s="1"/>
  <c r="BN518" i="6" s="1"/>
  <c r="BN627" i="6" l="1"/>
  <c r="BN628" i="6"/>
  <c r="BN558" i="6"/>
  <c r="BO557" i="6"/>
  <c r="BO493" i="6" s="1"/>
  <c r="BO505" i="6" s="1"/>
  <c r="BO518" i="6" s="1"/>
  <c r="BP556" i="6"/>
  <c r="BO625" i="6"/>
  <c r="BO626" i="6"/>
  <c r="Z730" i="6"/>
  <c r="Z721" i="6" s="1"/>
  <c r="Y739" i="6"/>
  <c r="BO558" i="6" l="1"/>
  <c r="BO627" i="6"/>
  <c r="BO628" i="6"/>
  <c r="AA730" i="6"/>
  <c r="AA721" i="6" s="1"/>
  <c r="Z739" i="6"/>
  <c r="BP557" i="6"/>
  <c r="BP493" i="6" s="1"/>
  <c r="BP505" i="6" s="1"/>
  <c r="BP518" i="6" s="1"/>
  <c r="BP625" i="6"/>
  <c r="BP626" i="6"/>
  <c r="BQ625" i="6"/>
  <c r="BP558" i="6" l="1"/>
  <c r="BP627" i="6"/>
  <c r="BP628" i="6"/>
  <c r="AB730" i="6"/>
  <c r="AB721" i="6" s="1"/>
  <c r="AA739" i="6"/>
  <c r="AC730" i="6" l="1"/>
  <c r="AC721" i="6" s="1"/>
  <c r="AB739" i="6"/>
  <c r="AD730" i="6" l="1"/>
  <c r="AD721" i="6" s="1"/>
  <c r="AC739" i="6"/>
  <c r="AD739" i="6" l="1"/>
  <c r="W636" i="6" l="1"/>
  <c r="W635" i="6" s="1"/>
  <c r="X636" i="6"/>
  <c r="X635" i="6" s="1"/>
  <c r="Y636" i="6"/>
  <c r="Y635" i="6" s="1"/>
  <c r="Z636" i="6"/>
  <c r="Z635" i="6" s="1"/>
  <c r="AA636" i="6"/>
  <c r="AA635" i="6" s="1"/>
  <c r="AB636" i="6"/>
  <c r="AB635" i="6" s="1"/>
  <c r="AC636" i="6"/>
  <c r="AC635" i="6" s="1"/>
  <c r="AD636" i="6"/>
  <c r="AD635" i="6" s="1"/>
  <c r="W687" i="6"/>
  <c r="X687" i="6"/>
  <c r="Y687" i="6"/>
  <c r="Y711" i="6" s="1"/>
  <c r="Z687" i="6"/>
  <c r="Z711" i="6" s="1"/>
  <c r="AA687" i="6"/>
  <c r="AB687" i="6"/>
  <c r="AC687" i="6"/>
  <c r="AD687" i="6"/>
  <c r="AD711" i="6" s="1"/>
  <c r="AC711" i="6" l="1"/>
  <c r="W711" i="6"/>
  <c r="AB711" i="6"/>
  <c r="AA711" i="6"/>
  <c r="X711" i="6"/>
  <c r="BJ439" i="6" l="1"/>
  <c r="X21" i="6" l="1"/>
  <c r="Y21" i="6"/>
  <c r="Z21" i="6"/>
  <c r="AA21" i="6"/>
  <c r="AB21" i="6"/>
  <c r="AC21" i="6"/>
  <c r="AD21" i="6"/>
  <c r="X33" i="6"/>
  <c r="Y33" i="6"/>
  <c r="Z33" i="6"/>
  <c r="AA33" i="6"/>
  <c r="AB33" i="6"/>
  <c r="AC33" i="6"/>
  <c r="AD33" i="6"/>
  <c r="X38" i="6"/>
  <c r="Y38" i="6"/>
  <c r="Z38" i="6"/>
  <c r="AA38" i="6"/>
  <c r="AB38" i="6"/>
  <c r="AC38" i="6"/>
  <c r="AD38" i="6"/>
  <c r="X41" i="6"/>
  <c r="Y41" i="6"/>
  <c r="Z41" i="6"/>
  <c r="AA41" i="6"/>
  <c r="AB41" i="6"/>
  <c r="AC41" i="6"/>
  <c r="AD41" i="6"/>
  <c r="V226" i="6"/>
  <c r="W226" i="6"/>
  <c r="X226" i="6"/>
  <c r="V227" i="6"/>
  <c r="W227" i="6"/>
  <c r="X227" i="6"/>
  <c r="Y227" i="6"/>
  <c r="Z227" i="6"/>
  <c r="AA227" i="6"/>
  <c r="AB227" i="6"/>
  <c r="AC227" i="6"/>
  <c r="AD227" i="6"/>
  <c r="V229" i="6"/>
  <c r="W229" i="6"/>
  <c r="X229" i="6"/>
  <c r="Y229" i="6"/>
  <c r="Z229" i="6"/>
  <c r="AA229" i="6"/>
  <c r="AB229" i="6"/>
  <c r="AC229" i="6"/>
  <c r="AD229" i="6"/>
  <c r="V231" i="6"/>
  <c r="W231" i="6"/>
  <c r="X231" i="6"/>
  <c r="Y231" i="6"/>
  <c r="Z231" i="6"/>
  <c r="AA231" i="6"/>
  <c r="AB231" i="6"/>
  <c r="AC231" i="6"/>
  <c r="AD231" i="6"/>
  <c r="V233" i="6"/>
  <c r="W233" i="6"/>
  <c r="X233" i="6"/>
  <c r="V234" i="6"/>
  <c r="W234" i="6"/>
  <c r="X234" i="6"/>
  <c r="Y234" i="6"/>
  <c r="Z234" i="6"/>
  <c r="AA234" i="6"/>
  <c r="AB234" i="6"/>
  <c r="AC234" i="6"/>
  <c r="AD234" i="6"/>
  <c r="V235" i="6"/>
  <c r="W235" i="6"/>
  <c r="X235" i="6"/>
  <c r="Y235" i="6"/>
  <c r="Z235" i="6"/>
  <c r="AA235" i="6"/>
  <c r="AB235" i="6"/>
  <c r="AC235" i="6"/>
  <c r="AD235" i="6"/>
  <c r="V237" i="6"/>
  <c r="W237" i="6"/>
  <c r="X237" i="6"/>
  <c r="Y237" i="6"/>
  <c r="Z237" i="6"/>
  <c r="AA237" i="6"/>
  <c r="AB237" i="6"/>
  <c r="AC237" i="6"/>
  <c r="AD237" i="6"/>
  <c r="V258" i="6"/>
  <c r="W258" i="6"/>
  <c r="X258" i="6"/>
  <c r="Y258" i="6"/>
  <c r="Z258" i="6"/>
  <c r="AA258" i="6"/>
  <c r="AB258" i="6"/>
  <c r="AC258" i="6"/>
  <c r="AD258" i="6"/>
  <c r="V259" i="6"/>
  <c r="W259" i="6"/>
  <c r="X259" i="6"/>
  <c r="V260" i="6"/>
  <c r="W260" i="6"/>
  <c r="X260" i="6"/>
  <c r="Y260" i="6"/>
  <c r="Z260" i="6"/>
  <c r="AA260" i="6"/>
  <c r="AB260" i="6"/>
  <c r="AC260" i="6"/>
  <c r="AD260" i="6"/>
  <c r="V261" i="6"/>
  <c r="W261" i="6"/>
  <c r="X261" i="6"/>
  <c r="Y261" i="6"/>
  <c r="Z261" i="6"/>
  <c r="AA261" i="6"/>
  <c r="AB261" i="6"/>
  <c r="AC261" i="6"/>
  <c r="AD261" i="6"/>
  <c r="V262" i="6"/>
  <c r="W262" i="6"/>
  <c r="X262" i="6"/>
  <c r="Y262" i="6"/>
  <c r="Z262" i="6"/>
  <c r="AA262" i="6"/>
  <c r="AB262" i="6"/>
  <c r="AC262" i="6"/>
  <c r="AD262" i="6"/>
  <c r="V264" i="6"/>
  <c r="W264" i="6"/>
  <c r="X264" i="6"/>
  <c r="Y264" i="6"/>
  <c r="Z264" i="6"/>
  <c r="AA264" i="6"/>
  <c r="AB264" i="6"/>
  <c r="AC264" i="6"/>
  <c r="AD264" i="6"/>
  <c r="V265" i="6"/>
  <c r="W265" i="6"/>
  <c r="X265" i="6"/>
  <c r="V266" i="6"/>
  <c r="W266" i="6"/>
  <c r="X266" i="6"/>
  <c r="Y266" i="6"/>
  <c r="Z266" i="6"/>
  <c r="AA266" i="6"/>
  <c r="AB266" i="6"/>
  <c r="AC266" i="6"/>
  <c r="AD266" i="6"/>
  <c r="V286" i="6"/>
  <c r="W286" i="6"/>
  <c r="X286" i="6"/>
  <c r="S312" i="6"/>
  <c r="S313" i="6"/>
  <c r="S315" i="6"/>
  <c r="T316" i="6"/>
  <c r="S318" i="6"/>
  <c r="T318" i="6"/>
  <c r="T319" i="6"/>
  <c r="T320" i="6"/>
  <c r="U320" i="6"/>
  <c r="V320" i="6"/>
  <c r="W320" i="6"/>
  <c r="X320" i="6"/>
  <c r="Y320" i="6"/>
  <c r="Z320" i="6"/>
  <c r="AA320" i="6"/>
  <c r="AB320" i="6"/>
  <c r="AC320" i="6"/>
  <c r="AD320" i="6"/>
  <c r="X388" i="6"/>
  <c r="Y388" i="6"/>
  <c r="Z388" i="6"/>
  <c r="AA388" i="6"/>
  <c r="AB388" i="6"/>
  <c r="AC388" i="6"/>
  <c r="AD388" i="6"/>
  <c r="W389" i="6"/>
  <c r="X389" i="6"/>
  <c r="Y389" i="6"/>
  <c r="Z389" i="6"/>
  <c r="AA389" i="6"/>
  <c r="AB389" i="6"/>
  <c r="AC389" i="6"/>
  <c r="AD389" i="6"/>
  <c r="X390" i="6"/>
  <c r="Y390" i="6"/>
  <c r="Z390" i="6"/>
  <c r="AA390" i="6"/>
  <c r="AB390" i="6"/>
  <c r="AC390" i="6"/>
  <c r="AD390" i="6"/>
  <c r="X393" i="6"/>
  <c r="Y393" i="6"/>
  <c r="Z393" i="6"/>
  <c r="AA393" i="6"/>
  <c r="AB393" i="6"/>
  <c r="AC393" i="6"/>
  <c r="AD393" i="6"/>
  <c r="X418" i="6"/>
  <c r="Y418" i="6"/>
  <c r="Z418" i="6"/>
  <c r="AA418" i="6"/>
  <c r="AB418" i="6"/>
  <c r="AC418" i="6"/>
  <c r="AD418" i="6"/>
  <c r="X423" i="6"/>
  <c r="Y423" i="6"/>
  <c r="Z423" i="6"/>
  <c r="AA423" i="6"/>
  <c r="AB423" i="6"/>
  <c r="AC423" i="6"/>
  <c r="AD423" i="6"/>
  <c r="X424" i="6"/>
  <c r="Y424" i="6"/>
  <c r="Z424" i="6"/>
  <c r="AA424" i="6"/>
  <c r="AB424" i="6"/>
  <c r="AC424" i="6"/>
  <c r="AD424" i="6"/>
  <c r="X425" i="6"/>
  <c r="Y425" i="6"/>
  <c r="Z425" i="6"/>
  <c r="AA425" i="6"/>
  <c r="AB425" i="6"/>
  <c r="AC425" i="6"/>
  <c r="AD425" i="6"/>
  <c r="X433" i="6"/>
  <c r="Y433" i="6"/>
  <c r="Z433" i="6"/>
  <c r="AA433" i="6"/>
  <c r="AB433" i="6"/>
  <c r="AC433" i="6"/>
  <c r="AD433" i="6"/>
  <c r="AF433" i="6"/>
  <c r="X435" i="6"/>
  <c r="Y435" i="6"/>
  <c r="Z435" i="6"/>
  <c r="AA435" i="6"/>
  <c r="AB435" i="6"/>
  <c r="AC435" i="6"/>
  <c r="AD435" i="6"/>
  <c r="X437" i="6"/>
  <c r="Y437" i="6"/>
  <c r="Z437" i="6"/>
  <c r="AA437" i="6"/>
  <c r="AB437" i="6"/>
  <c r="AC437" i="6"/>
  <c r="AD437" i="6"/>
  <c r="X438" i="6"/>
  <c r="Y438" i="6"/>
  <c r="Z438" i="6"/>
  <c r="AA438" i="6"/>
  <c r="AB438" i="6"/>
  <c r="AC438" i="6"/>
  <c r="AD438" i="6"/>
  <c r="X439" i="6"/>
  <c r="Y439" i="6"/>
  <c r="Z439" i="6"/>
  <c r="AA439" i="6"/>
  <c r="AB439" i="6"/>
  <c r="AC439" i="6"/>
  <c r="AD439" i="6"/>
  <c r="X440" i="6"/>
  <c r="Y440" i="6"/>
  <c r="Z440" i="6"/>
  <c r="AA440" i="6"/>
  <c r="AB440" i="6"/>
  <c r="AC440" i="6"/>
  <c r="AD440" i="6"/>
  <c r="X445" i="6"/>
  <c r="Y445" i="6"/>
  <c r="Z445" i="6"/>
  <c r="AA445" i="6"/>
  <c r="AB445" i="6"/>
  <c r="AC445" i="6"/>
  <c r="AD445" i="6"/>
  <c r="X450" i="6"/>
  <c r="Y450" i="6"/>
  <c r="Z450" i="6"/>
  <c r="AA450" i="6"/>
  <c r="AB450" i="6"/>
  <c r="AC450" i="6"/>
  <c r="AD450" i="6"/>
  <c r="W455" i="6"/>
  <c r="X455" i="6"/>
  <c r="Y455" i="6"/>
  <c r="Z455" i="6"/>
  <c r="AA455" i="6"/>
  <c r="AB455" i="6"/>
  <c r="AC455" i="6"/>
  <c r="AD455" i="6"/>
  <c r="BQ455" i="6"/>
  <c r="W456" i="6"/>
  <c r="X456" i="6"/>
  <c r="Y456" i="6"/>
  <c r="Z456" i="6"/>
  <c r="AA456" i="6"/>
  <c r="AB456" i="6"/>
  <c r="AC456" i="6"/>
  <c r="AD456" i="6"/>
  <c r="AF456" i="6"/>
  <c r="BQ456" i="6"/>
  <c r="X457" i="6"/>
  <c r="Y457" i="6"/>
  <c r="Z457" i="6"/>
  <c r="AA457" i="6"/>
  <c r="AB457" i="6"/>
  <c r="AC457" i="6"/>
  <c r="AD457" i="6"/>
  <c r="AF457" i="6"/>
  <c r="X458" i="6"/>
  <c r="Y458" i="6"/>
  <c r="Z458" i="6"/>
  <c r="AA458" i="6"/>
  <c r="AB458" i="6"/>
  <c r="AC458" i="6"/>
  <c r="AD458" i="6"/>
  <c r="AF458" i="6"/>
  <c r="X460" i="6"/>
  <c r="Y460" i="6"/>
  <c r="Z460" i="6"/>
  <c r="AA460" i="6"/>
  <c r="AB460" i="6"/>
  <c r="AC460" i="6"/>
  <c r="AD460" i="6"/>
  <c r="X470" i="6"/>
  <c r="Y470" i="6"/>
  <c r="Z470" i="6"/>
  <c r="AA470" i="6"/>
  <c r="AB470" i="6"/>
  <c r="AC470" i="6"/>
  <c r="AD470" i="6"/>
  <c r="X472" i="6"/>
  <c r="Y472" i="6"/>
  <c r="Z472" i="6"/>
  <c r="AA472" i="6"/>
  <c r="AB472" i="6"/>
  <c r="AC472" i="6"/>
  <c r="AD472" i="6"/>
  <c r="X473" i="6"/>
  <c r="Y473" i="6"/>
  <c r="Z473" i="6"/>
  <c r="AA473" i="6"/>
  <c r="AB473" i="6"/>
  <c r="AC473" i="6"/>
  <c r="AD473" i="6"/>
  <c r="X474" i="6"/>
  <c r="Y474" i="6"/>
  <c r="Z474" i="6"/>
  <c r="AA474" i="6"/>
  <c r="AB474" i="6"/>
  <c r="AC474" i="6"/>
  <c r="AD474" i="6"/>
  <c r="X475" i="6"/>
  <c r="Y475" i="6"/>
  <c r="Z475" i="6"/>
  <c r="AA475" i="6"/>
  <c r="AB475" i="6"/>
  <c r="AC475" i="6"/>
  <c r="AD475" i="6"/>
  <c r="W482" i="6"/>
  <c r="X482" i="6"/>
  <c r="Y482" i="6"/>
  <c r="Z482" i="6"/>
  <c r="AA482" i="6"/>
  <c r="AB482" i="6"/>
  <c r="AC482" i="6"/>
  <c r="AD482" i="6"/>
  <c r="BQ482" i="6"/>
  <c r="X483" i="6"/>
  <c r="Y483" i="6"/>
  <c r="Z483" i="6"/>
  <c r="AA483" i="6"/>
  <c r="AB483" i="6"/>
  <c r="AC483" i="6"/>
  <c r="AD483" i="6"/>
  <c r="W488" i="6"/>
  <c r="X488" i="6"/>
  <c r="Y488" i="6"/>
  <c r="Z488" i="6"/>
  <c r="AA488" i="6"/>
  <c r="AB488" i="6"/>
  <c r="AC488" i="6"/>
  <c r="AD488" i="6"/>
  <c r="BQ488" i="6"/>
  <c r="X489" i="6"/>
  <c r="Y489" i="6"/>
  <c r="Z489" i="6"/>
  <c r="AA489" i="6"/>
  <c r="AB489" i="6"/>
  <c r="AC489" i="6"/>
  <c r="AD489" i="6"/>
  <c r="W493" i="6"/>
  <c r="X493" i="6"/>
  <c r="Y493" i="6"/>
  <c r="Z493" i="6"/>
  <c r="AA493" i="6"/>
  <c r="AB493" i="6"/>
  <c r="AC493" i="6"/>
  <c r="AD493" i="6"/>
  <c r="BQ493" i="6"/>
  <c r="W505" i="6"/>
  <c r="X505" i="6"/>
  <c r="Y505" i="6"/>
  <c r="Z505" i="6"/>
  <c r="AA505" i="6"/>
  <c r="AB505" i="6"/>
  <c r="AC505" i="6"/>
  <c r="AD505" i="6"/>
  <c r="BQ505" i="6"/>
  <c r="W506" i="6"/>
  <c r="X506" i="6"/>
  <c r="Y506" i="6"/>
  <c r="Z506" i="6"/>
  <c r="AA506" i="6"/>
  <c r="AB506" i="6"/>
  <c r="AC506" i="6"/>
  <c r="AD506" i="6"/>
  <c r="BQ506" i="6"/>
  <c r="W518" i="6"/>
  <c r="X518" i="6"/>
  <c r="Y518" i="6"/>
  <c r="Z518" i="6"/>
  <c r="AA518" i="6"/>
  <c r="AB518" i="6"/>
  <c r="AC518" i="6"/>
  <c r="AD518" i="6"/>
  <c r="BQ518" i="6"/>
  <c r="X551" i="6"/>
  <c r="Y551" i="6"/>
  <c r="Z551" i="6"/>
  <c r="AA551" i="6"/>
  <c r="AB551" i="6"/>
  <c r="AC551" i="6"/>
  <c r="AD551" i="6"/>
  <c r="X556" i="6"/>
  <c r="Y556" i="6"/>
  <c r="Z556" i="6"/>
  <c r="AA556" i="6"/>
  <c r="AB556" i="6"/>
  <c r="AC556" i="6"/>
  <c r="AD556" i="6"/>
  <c r="X557" i="6"/>
  <c r="Y557" i="6"/>
  <c r="Z557" i="6"/>
  <c r="AA557" i="6"/>
  <c r="AB557" i="6"/>
  <c r="AC557" i="6"/>
  <c r="AD557" i="6"/>
  <c r="W558" i="6"/>
  <c r="X558" i="6"/>
  <c r="Y558" i="6"/>
  <c r="Z558" i="6"/>
  <c r="AA558" i="6"/>
  <c r="AB558" i="6"/>
  <c r="AC558" i="6"/>
  <c r="AD558" i="6"/>
  <c r="BQ558" i="6"/>
  <c r="V571" i="6"/>
  <c r="W571" i="6"/>
  <c r="X571" i="6"/>
  <c r="Y571" i="6"/>
  <c r="Z571" i="6"/>
  <c r="AA571" i="6"/>
  <c r="AB571" i="6"/>
  <c r="AC571" i="6"/>
  <c r="AD571" i="6"/>
  <c r="BJ571" i="6"/>
  <c r="BK571" i="6"/>
  <c r="BL571" i="6"/>
  <c r="BM571" i="6"/>
  <c r="BN571" i="6"/>
  <c r="BO571" i="6"/>
  <c r="BP571" i="6"/>
  <c r="BQ571" i="6"/>
  <c r="W572" i="6"/>
  <c r="X572" i="6"/>
  <c r="Y572" i="6"/>
  <c r="Z572" i="6"/>
  <c r="AA572" i="6"/>
  <c r="AB572" i="6"/>
  <c r="AC572" i="6"/>
  <c r="AD572" i="6"/>
  <c r="BJ572" i="6"/>
  <c r="BK572" i="6"/>
  <c r="BL572" i="6"/>
  <c r="BM572" i="6"/>
  <c r="BN572" i="6"/>
  <c r="BO572" i="6"/>
  <c r="BP572" i="6"/>
  <c r="BQ572" i="6"/>
  <c r="V585" i="6"/>
  <c r="W585" i="6"/>
  <c r="X585" i="6"/>
  <c r="Y585" i="6"/>
  <c r="Z585" i="6"/>
  <c r="AA585" i="6"/>
  <c r="AB585" i="6"/>
  <c r="AC585" i="6"/>
  <c r="AD585" i="6"/>
  <c r="BQ585" i="6"/>
  <c r="V586" i="6"/>
  <c r="W586" i="6"/>
  <c r="X586" i="6"/>
  <c r="Y586" i="6"/>
  <c r="Z586" i="6"/>
  <c r="AA586" i="6"/>
  <c r="AB586" i="6"/>
  <c r="AC586" i="6"/>
  <c r="AD586" i="6"/>
  <c r="V587" i="6"/>
  <c r="W587" i="6"/>
  <c r="X587" i="6"/>
  <c r="Y587" i="6"/>
  <c r="Z587" i="6"/>
  <c r="AA587" i="6"/>
  <c r="AB587" i="6"/>
  <c r="AC587" i="6"/>
  <c r="AD587" i="6"/>
  <c r="V589" i="6"/>
  <c r="W589" i="6"/>
  <c r="X589" i="6"/>
  <c r="Y589" i="6"/>
  <c r="Z589" i="6"/>
  <c r="AA589" i="6"/>
  <c r="AB589" i="6"/>
  <c r="AC589" i="6"/>
  <c r="AD589" i="6"/>
  <c r="V594" i="6"/>
  <c r="W594" i="6"/>
  <c r="X594" i="6"/>
  <c r="Y594" i="6"/>
  <c r="Z594" i="6"/>
  <c r="W595" i="6"/>
  <c r="X595" i="6"/>
  <c r="Y595" i="6"/>
  <c r="Z595" i="6"/>
  <c r="AA595" i="6"/>
  <c r="X596" i="6"/>
  <c r="Y596" i="6"/>
  <c r="Z596" i="6"/>
  <c r="AA596" i="6"/>
  <c r="AB596" i="6"/>
  <c r="Y597" i="6"/>
  <c r="Z597" i="6"/>
  <c r="AA597" i="6"/>
  <c r="AB597" i="6"/>
  <c r="AC597" i="6"/>
  <c r="Z598" i="6"/>
  <c r="AA598" i="6"/>
  <c r="AB598" i="6"/>
  <c r="AC598" i="6"/>
  <c r="AD598" i="6"/>
  <c r="AA599" i="6"/>
  <c r="AB599" i="6"/>
  <c r="AC599" i="6"/>
  <c r="AD599" i="6"/>
  <c r="AB600" i="6"/>
  <c r="AC600" i="6"/>
  <c r="AD600" i="6"/>
  <c r="AC601" i="6"/>
  <c r="AD601" i="6"/>
  <c r="AD602" i="6"/>
  <c r="X625" i="6"/>
  <c r="Y625" i="6"/>
  <c r="Z625" i="6"/>
  <c r="AA625" i="6"/>
  <c r="AB625" i="6"/>
  <c r="AC625" i="6"/>
  <c r="AD625" i="6"/>
  <c r="X626" i="6"/>
  <c r="Y626" i="6"/>
  <c r="Z626" i="6"/>
  <c r="AA626" i="6"/>
  <c r="AB626" i="6"/>
  <c r="AC626" i="6"/>
  <c r="AD626" i="6"/>
  <c r="W627" i="6"/>
  <c r="X627" i="6"/>
  <c r="Y627" i="6"/>
  <c r="Z627" i="6"/>
  <c r="AA627" i="6"/>
  <c r="AB627" i="6"/>
  <c r="AC627" i="6"/>
  <c r="AD627" i="6"/>
  <c r="BQ627" i="6"/>
  <c r="W628" i="6"/>
  <c r="X628" i="6"/>
  <c r="Y628" i="6"/>
  <c r="Z628" i="6"/>
  <c r="AA628" i="6"/>
  <c r="AB628" i="6"/>
  <c r="AC628" i="6"/>
  <c r="AD628" i="6"/>
  <c r="BQ628" i="6"/>
  <c r="V633" i="6"/>
  <c r="W633" i="6"/>
  <c r="X633" i="6"/>
  <c r="Y633" i="6"/>
  <c r="Z633" i="6"/>
  <c r="AA633" i="6"/>
  <c r="AB633" i="6"/>
  <c r="AC633" i="6"/>
  <c r="AD633" i="6"/>
  <c r="V641" i="6"/>
  <c r="W641" i="6"/>
  <c r="X641" i="6"/>
  <c r="Y641" i="6"/>
  <c r="Z641" i="6"/>
  <c r="AA641" i="6"/>
  <c r="AB641" i="6"/>
  <c r="AC641" i="6"/>
  <c r="AD641" i="6"/>
  <c r="X644" i="6"/>
  <c r="Y644" i="6"/>
  <c r="Z644" i="6"/>
  <c r="AA644" i="6"/>
  <c r="AB644" i="6"/>
  <c r="AC644" i="6"/>
  <c r="AD644" i="6"/>
  <c r="V645" i="6"/>
  <c r="W645" i="6"/>
  <c r="X645" i="6"/>
  <c r="Y645" i="6"/>
  <c r="Z645" i="6"/>
  <c r="AA645" i="6"/>
  <c r="AB645" i="6"/>
  <c r="AC645" i="6"/>
  <c r="AD645" i="6"/>
  <c r="V667" i="6"/>
  <c r="W667" i="6"/>
  <c r="X667" i="6"/>
  <c r="Y667" i="6"/>
  <c r="Z667" i="6"/>
  <c r="AA667" i="6"/>
  <c r="AB667" i="6"/>
  <c r="AC667" i="6"/>
  <c r="AD667" i="6"/>
  <c r="AF667" i="6"/>
  <c r="V684" i="6"/>
  <c r="W684" i="6"/>
  <c r="X684" i="6"/>
  <c r="Y684" i="6"/>
  <c r="Z684" i="6"/>
  <c r="AA684" i="6"/>
  <c r="AB684" i="6"/>
  <c r="AC684" i="6"/>
  <c r="AD684" i="6"/>
  <c r="AF684" i="6"/>
  <c r="X742" i="6"/>
  <c r="Y742" i="6"/>
  <c r="Z742" i="6"/>
  <c r="AA742" i="6"/>
  <c r="AB742" i="6"/>
  <c r="AC742" i="6"/>
  <c r="AD742" i="6"/>
  <c r="V743" i="6"/>
  <c r="W743" i="6"/>
  <c r="X743" i="6"/>
  <c r="Y743" i="6"/>
  <c r="Z743" i="6"/>
  <c r="AA743" i="6"/>
  <c r="AB743" i="6"/>
  <c r="AC743" i="6"/>
  <c r="AD743" i="6"/>
  <c r="V744" i="6"/>
  <c r="W746" i="6"/>
  <c r="X746" i="6"/>
  <c r="Y746" i="6"/>
  <c r="Z746" i="6"/>
  <c r="AA746" i="6"/>
  <c r="AB746" i="6"/>
  <c r="AC746" i="6"/>
  <c r="AD746" i="6"/>
  <c r="X752" i="6"/>
  <c r="Y752" i="6"/>
  <c r="Z752" i="6"/>
  <c r="AA752" i="6"/>
  <c r="AB752" i="6"/>
  <c r="AC752" i="6"/>
  <c r="AD752" i="6"/>
  <c r="W759" i="6"/>
  <c r="X759" i="6"/>
  <c r="Y759" i="6"/>
  <c r="Z759" i="6"/>
  <c r="AA759" i="6"/>
  <c r="AB759" i="6"/>
  <c r="AC759" i="6"/>
  <c r="AD759" i="6"/>
  <c r="X760" i="6"/>
  <c r="Y760" i="6"/>
  <c r="Z760" i="6"/>
  <c r="AA760" i="6"/>
  <c r="AB760" i="6"/>
  <c r="AC760" i="6"/>
  <c r="AD760" i="6"/>
  <c r="W791" i="6"/>
  <c r="X791" i="6"/>
  <c r="Y791" i="6"/>
  <c r="Z791" i="6"/>
  <c r="AA791" i="6"/>
  <c r="AB791" i="6"/>
  <c r="AC791" i="6"/>
  <c r="AD791" i="6"/>
  <c r="X792" i="6"/>
  <c r="Y792" i="6"/>
  <c r="Z792" i="6"/>
  <c r="AA792" i="6"/>
  <c r="AB792" i="6"/>
  <c r="AC792" i="6"/>
  <c r="AD792" i="6"/>
  <c r="X793" i="6"/>
  <c r="Y793" i="6"/>
  <c r="Z793" i="6"/>
  <c r="AA793" i="6"/>
  <c r="AB793" i="6"/>
  <c r="AC793" i="6"/>
  <c r="AD793" i="6"/>
  <c r="V799" i="6"/>
  <c r="W799" i="6"/>
  <c r="X799" i="6"/>
  <c r="Y799" i="6"/>
  <c r="Z799" i="6"/>
  <c r="AA799" i="6"/>
  <c r="AB799" i="6"/>
  <c r="AC799" i="6"/>
  <c r="AD799" i="6"/>
  <c r="X800" i="6"/>
  <c r="Y800" i="6"/>
  <c r="Z800" i="6"/>
  <c r="AA800" i="6"/>
  <c r="AB800" i="6"/>
  <c r="AC800" i="6"/>
  <c r="AD800" i="6"/>
  <c r="X801" i="6"/>
  <c r="Y801" i="6"/>
  <c r="Z801" i="6"/>
  <c r="AA801" i="6"/>
  <c r="AB801" i="6"/>
  <c r="AC801" i="6"/>
  <c r="AD801" i="6"/>
  <c r="V13" i="20"/>
  <c r="W13" i="20"/>
  <c r="X13" i="20"/>
  <c r="Y13" i="20"/>
  <c r="Z13" i="20"/>
  <c r="AA13" i="20"/>
  <c r="AB13" i="20"/>
  <c r="AC13" i="20"/>
  <c r="AD13" i="20"/>
  <c r="W14" i="20"/>
  <c r="X14" i="20"/>
  <c r="Y14" i="20"/>
  <c r="Z14" i="20"/>
  <c r="AA14" i="20"/>
  <c r="AB14" i="20"/>
  <c r="AC14" i="20"/>
  <c r="V17" i="20"/>
  <c r="W17" i="20"/>
  <c r="X17" i="20"/>
  <c r="Y17" i="20"/>
  <c r="Z17" i="20"/>
  <c r="AA17" i="20"/>
  <c r="AB17" i="20"/>
  <c r="AC17" i="20"/>
  <c r="AD17" i="20"/>
  <c r="V18" i="20"/>
  <c r="W18" i="20"/>
  <c r="X18" i="20"/>
  <c r="Y18" i="20"/>
  <c r="Z18" i="20"/>
  <c r="AA18" i="20"/>
  <c r="AB18" i="20"/>
  <c r="AC18" i="20"/>
  <c r="AD18" i="20"/>
  <c r="V20" i="20"/>
  <c r="W20" i="20"/>
  <c r="X20" i="20"/>
  <c r="Y20" i="20"/>
  <c r="Z20" i="20"/>
  <c r="AA20" i="20"/>
  <c r="AB20" i="20"/>
  <c r="AC20" i="20"/>
  <c r="AD20" i="20"/>
  <c r="V21" i="20"/>
  <c r="W21" i="20"/>
  <c r="X21" i="20"/>
  <c r="Y21" i="20"/>
  <c r="Z21" i="20"/>
  <c r="AA21" i="20"/>
  <c r="AB21" i="20"/>
  <c r="AC21" i="20"/>
  <c r="AD21" i="20"/>
  <c r="V26" i="20"/>
  <c r="W26" i="20"/>
  <c r="X26" i="20"/>
  <c r="Y26" i="20"/>
  <c r="Z26" i="20"/>
  <c r="AA26" i="20"/>
  <c r="AB26" i="20"/>
  <c r="AC26" i="20"/>
  <c r="V29" i="20"/>
  <c r="W29" i="20"/>
  <c r="V30" i="20"/>
  <c r="W30" i="20"/>
  <c r="V31" i="20"/>
  <c r="W31" i="20"/>
  <c r="V33" i="20"/>
  <c r="W33" i="20"/>
  <c r="V34" i="20"/>
  <c r="W34" i="20"/>
  <c r="V36" i="20"/>
  <c r="W36" i="20"/>
  <c r="V37" i="20"/>
  <c r="Y42" i="20"/>
  <c r="Z42" i="20"/>
  <c r="AA42" i="20"/>
  <c r="AB42" i="20"/>
  <c r="AC42" i="20"/>
  <c r="Y43" i="20"/>
  <c r="Z43" i="20"/>
  <c r="AA43" i="20"/>
  <c r="AB43" i="20"/>
  <c r="AC43" i="20"/>
  <c r="Y44" i="20"/>
  <c r="Z44" i="20"/>
  <c r="AA44" i="20"/>
  <c r="AB44" i="20"/>
  <c r="AC44" i="20"/>
  <c r="Y48" i="20"/>
  <c r="Z48" i="20"/>
  <c r="AA48" i="20"/>
  <c r="AB48" i="20"/>
  <c r="AC48" i="20"/>
  <c r="Y49" i="20"/>
  <c r="Z49" i="20"/>
  <c r="AA49" i="20"/>
  <c r="AB49" i="20"/>
  <c r="AC49" i="20"/>
  <c r="Y50" i="20"/>
  <c r="Z50" i="20"/>
  <c r="AA50" i="20"/>
  <c r="AB50" i="20"/>
  <c r="AC50" i="20"/>
  <c r="Y56" i="20"/>
  <c r="Z56" i="20"/>
  <c r="AA56" i="20"/>
  <c r="AB56" i="20"/>
  <c r="AC56" i="20"/>
  <c r="V57" i="20"/>
  <c r="W57" i="20"/>
  <c r="Y57" i="20"/>
  <c r="Z57" i="20"/>
  <c r="AA57" i="20"/>
  <c r="AB57" i="20"/>
  <c r="AC57" i="20"/>
  <c r="Y58" i="20"/>
  <c r="Z58" i="20"/>
  <c r="AA58" i="20"/>
  <c r="AB58" i="20"/>
  <c r="AC58" i="20"/>
  <c r="Y59" i="20"/>
  <c r="Z59" i="20"/>
  <c r="AA59" i="20"/>
  <c r="AB59" i="20"/>
  <c r="AC59" i="20"/>
  <c r="V60" i="20"/>
  <c r="Y60" i="20"/>
  <c r="Z60" i="20"/>
  <c r="AA60" i="20"/>
  <c r="AB60" i="20"/>
  <c r="AC60" i="20"/>
  <c r="Y61" i="20"/>
  <c r="Z61" i="20"/>
  <c r="AA61" i="20"/>
  <c r="AB61" i="20"/>
  <c r="AC61" i="20"/>
  <c r="V62" i="20"/>
  <c r="Y62" i="20"/>
  <c r="Z62" i="20"/>
  <c r="AA62" i="20"/>
  <c r="AB62" i="20"/>
  <c r="AC62" i="20"/>
  <c r="V63" i="20"/>
  <c r="Y63" i="20"/>
  <c r="Z63" i="20"/>
  <c r="AA63" i="20"/>
  <c r="AB63" i="20"/>
  <c r="AC63" i="20"/>
  <c r="Z64" i="20"/>
  <c r="AA64" i="20"/>
  <c r="AB64" i="20"/>
  <c r="AC64" i="20"/>
  <c r="W67" i="20"/>
  <c r="X67" i="20"/>
  <c r="Y67" i="20"/>
  <c r="Z67" i="20"/>
  <c r="AA67" i="20"/>
  <c r="AB67" i="20"/>
  <c r="AC67" i="20"/>
  <c r="W68" i="20"/>
  <c r="X68" i="20"/>
  <c r="Y68" i="20"/>
  <c r="Z68" i="20"/>
  <c r="AA68" i="20"/>
  <c r="AB68" i="20"/>
  <c r="AC68" i="20"/>
  <c r="W70" i="20"/>
  <c r="X70" i="20"/>
  <c r="Y70" i="20"/>
  <c r="Z70" i="20"/>
  <c r="AA70" i="20"/>
  <c r="AB70" i="20"/>
  <c r="AC70" i="20"/>
  <c r="W71" i="20"/>
  <c r="X71" i="20"/>
  <c r="Y71" i="20"/>
  <c r="Z71" i="20"/>
  <c r="AA71" i="20"/>
  <c r="AB71" i="20"/>
  <c r="AC71" i="20"/>
  <c r="W73" i="20"/>
  <c r="X73" i="20"/>
  <c r="Y73" i="20"/>
  <c r="Z73" i="20"/>
  <c r="AA73" i="20"/>
  <c r="AB73" i="20"/>
  <c r="AC73" i="20"/>
  <c r="W74" i="20"/>
  <c r="X74" i="20"/>
  <c r="Y74" i="20"/>
  <c r="Z74" i="20"/>
  <c r="AA74" i="20"/>
  <c r="AB74" i="20"/>
  <c r="AC74" i="20"/>
  <c r="W76" i="20"/>
  <c r="X76" i="20"/>
  <c r="Y76" i="20"/>
  <c r="Z76" i="20"/>
  <c r="AA76" i="20"/>
  <c r="AB76" i="20"/>
  <c r="AC76" i="20"/>
  <c r="W77" i="20"/>
  <c r="X77" i="20"/>
  <c r="Y77" i="20"/>
  <c r="Z77" i="20"/>
  <c r="AA77" i="20"/>
  <c r="AB77" i="20"/>
  <c r="AC77" i="20"/>
  <c r="U79" i="20"/>
  <c r="V79" i="20"/>
  <c r="W79" i="20"/>
  <c r="X79" i="20"/>
  <c r="Y79" i="20"/>
  <c r="Z79" i="20"/>
  <c r="AA79" i="20"/>
  <c r="U80" i="20"/>
  <c r="V80" i="20"/>
  <c r="W80" i="20"/>
  <c r="X80" i="20"/>
  <c r="Y80" i="20"/>
  <c r="Z80" i="20"/>
  <c r="AA80" i="20"/>
  <c r="U83" i="20"/>
  <c r="V83" i="20"/>
  <c r="W83" i="20"/>
  <c r="X83" i="20"/>
  <c r="Y83" i="20"/>
  <c r="Z83" i="20"/>
  <c r="AA83" i="20"/>
  <c r="AB83" i="20"/>
  <c r="AC83" i="20"/>
  <c r="U87" i="20"/>
  <c r="V87" i="20"/>
  <c r="W87" i="20"/>
  <c r="X87" i="20"/>
  <c r="Y87" i="20"/>
  <c r="Z87" i="20"/>
  <c r="AA87" i="20"/>
  <c r="AB87" i="20"/>
  <c r="AC87" i="20"/>
  <c r="U92" i="20"/>
  <c r="V92" i="20"/>
  <c r="W92" i="20"/>
  <c r="X92" i="20"/>
  <c r="Y92" i="20"/>
  <c r="Z92" i="20"/>
  <c r="AA92" i="20"/>
  <c r="AB92" i="20"/>
  <c r="AC92" i="20"/>
  <c r="V95" i="20"/>
  <c r="W95" i="20"/>
  <c r="X95" i="20"/>
  <c r="Y95" i="20"/>
  <c r="Z95" i="20"/>
  <c r="AA95" i="20"/>
  <c r="AB95" i="20"/>
  <c r="AC95" i="20"/>
  <c r="U96" i="20"/>
  <c r="V96" i="20"/>
  <c r="W96" i="20"/>
  <c r="X96" i="20"/>
  <c r="Y96" i="20"/>
  <c r="Z96" i="20"/>
  <c r="AA96" i="20"/>
  <c r="AB96" i="20"/>
  <c r="AC96" i="20"/>
  <c r="U98" i="20"/>
  <c r="V98" i="20"/>
  <c r="W98" i="20"/>
  <c r="X98" i="20"/>
  <c r="Y98" i="20"/>
  <c r="Z98" i="20"/>
  <c r="AA98" i="20"/>
  <c r="AB98" i="20"/>
  <c r="AC98" i="20"/>
  <c r="U99" i="20"/>
  <c r="V99" i="20"/>
  <c r="W99" i="20"/>
  <c r="X99" i="20"/>
  <c r="Y99" i="20"/>
  <c r="Z99" i="20"/>
  <c r="AA99" i="20"/>
  <c r="AB99" i="20"/>
  <c r="AC99" i="20"/>
  <c r="U100" i="20"/>
  <c r="V100" i="20"/>
  <c r="W100" i="20"/>
  <c r="X100" i="20"/>
  <c r="Y100" i="20"/>
  <c r="Z100" i="20"/>
  <c r="AA100" i="20"/>
  <c r="AB100" i="20"/>
  <c r="AC100" i="20"/>
  <c r="W102" i="20"/>
  <c r="X102" i="20"/>
  <c r="Y102" i="20"/>
  <c r="Z102" i="20"/>
  <c r="AA102" i="20"/>
  <c r="AB102" i="20"/>
  <c r="AC102" i="20"/>
  <c r="W103" i="20"/>
  <c r="X103" i="20"/>
  <c r="Y103" i="20"/>
  <c r="Z103" i="20"/>
  <c r="AA103" i="20"/>
  <c r="AB103" i="20"/>
  <c r="AC103" i="20"/>
  <c r="W104" i="20"/>
  <c r="X104" i="20"/>
  <c r="Y104" i="20"/>
  <c r="Z104" i="20"/>
  <c r="AA104" i="20"/>
  <c r="AB104" i="20"/>
  <c r="AC104" i="20"/>
  <c r="V106" i="20"/>
  <c r="W106" i="20"/>
  <c r="X106" i="20"/>
  <c r="Y106" i="20"/>
  <c r="Z106" i="20"/>
  <c r="AA106" i="20"/>
  <c r="AB106" i="20"/>
  <c r="AC106" i="20"/>
  <c r="U107" i="20"/>
  <c r="V107" i="20"/>
  <c r="W107" i="20"/>
  <c r="X107" i="20"/>
  <c r="Y107" i="20"/>
  <c r="Z107" i="20"/>
  <c r="AA107" i="20"/>
  <c r="AB107" i="20"/>
  <c r="AC107" i="20"/>
  <c r="V109" i="20"/>
  <c r="W109" i="20"/>
  <c r="X109" i="20"/>
  <c r="Y109" i="20"/>
  <c r="Z109" i="20"/>
  <c r="AA109" i="20"/>
  <c r="AB109" i="20"/>
  <c r="AC109" i="20"/>
  <c r="W130" i="20"/>
  <c r="X130" i="20"/>
  <c r="Y130" i="20"/>
  <c r="Z130" i="20"/>
  <c r="AA130" i="20"/>
  <c r="AB130" i="20"/>
  <c r="AC130" i="20"/>
  <c r="W131" i="20"/>
  <c r="X131" i="20"/>
  <c r="Y131" i="20"/>
  <c r="Z131" i="20"/>
  <c r="AA131" i="20"/>
  <c r="AB131" i="20"/>
  <c r="AC131" i="20"/>
  <c r="W132" i="20"/>
  <c r="X132" i="20"/>
  <c r="Y132" i="20"/>
  <c r="Z132" i="20"/>
  <c r="AA132" i="20"/>
  <c r="AB132" i="20"/>
  <c r="AC132" i="20"/>
  <c r="V133" i="20"/>
  <c r="W133" i="20"/>
  <c r="X133" i="20"/>
  <c r="Y133" i="20"/>
  <c r="Z133" i="20"/>
  <c r="AA133" i="20"/>
  <c r="AB133" i="20"/>
  <c r="AC133" i="20"/>
  <c r="W135" i="20"/>
  <c r="X135" i="20"/>
  <c r="Y135" i="20"/>
  <c r="Z135" i="20"/>
  <c r="AA135" i="20"/>
  <c r="AB135" i="20"/>
  <c r="AC135" i="20"/>
  <c r="W136" i="20"/>
  <c r="X136" i="20"/>
  <c r="Y136" i="20"/>
  <c r="Z136" i="20"/>
  <c r="AA136" i="20"/>
  <c r="AB136" i="20"/>
  <c r="AC136" i="20"/>
  <c r="W139" i="20"/>
  <c r="X139" i="20"/>
  <c r="Y139" i="20"/>
  <c r="Z139" i="20"/>
  <c r="AA139" i="20"/>
  <c r="AB139" i="20"/>
  <c r="AC139" i="20"/>
  <c r="R150" i="20"/>
  <c r="R158" i="20"/>
  <c r="S158" i="20"/>
</calcChain>
</file>

<file path=xl/comments1.xml><?xml version="1.0" encoding="utf-8"?>
<comments xmlns="http://schemas.openxmlformats.org/spreadsheetml/2006/main">
  <authors>
    <author>Lin, Robert (Research)</author>
    <author>Cao, Claire (Research)</author>
    <author>Zhang, Elaine (Research)</author>
    <author>Ko, Alex (Research)</author>
    <author>caocla</author>
  </authors>
  <commentList>
    <comment ref="AZ47" authorId="0">
      <text>
        <r>
          <rPr>
            <b/>
            <sz val="9"/>
            <color indexed="81"/>
            <rFont val="Tahoma"/>
            <family val="2"/>
          </rPr>
          <t>Lin, Robert (Research):</t>
        </r>
        <r>
          <rPr>
            <sz val="9"/>
            <color indexed="81"/>
            <rFont val="Tahoma"/>
            <family val="2"/>
          </rPr>
          <t xml:space="preserve">
</t>
        </r>
      </text>
    </comment>
    <comment ref="S79" authorId="0">
      <text>
        <r>
          <rPr>
            <b/>
            <sz val="9"/>
            <color indexed="81"/>
            <rFont val="Tahoma"/>
            <family val="2"/>
          </rPr>
          <t>Lin, Robert (Research):</t>
        </r>
        <r>
          <rPr>
            <sz val="9"/>
            <color indexed="81"/>
            <rFont val="Tahoma"/>
            <family val="2"/>
          </rPr>
          <t xml:space="preserve">
9/2014: co guides +75% GMV growth ex Tencent (see line 94)</t>
        </r>
      </text>
    </comment>
    <comment ref="S98" authorId="0">
      <text>
        <r>
          <rPr>
            <b/>
            <sz val="9"/>
            <color indexed="81"/>
            <rFont val="Tahoma"/>
            <family val="2"/>
          </rPr>
          <t>Lin, Robert (Research):</t>
        </r>
        <r>
          <rPr>
            <sz val="9"/>
            <color indexed="81"/>
            <rFont val="Tahoma"/>
            <family val="2"/>
          </rPr>
          <t xml:space="preserve">
9/2014: co guides 75% organic growth ex Tencent biz</t>
        </r>
      </text>
    </comment>
    <comment ref="AZ98" authorId="1">
      <text>
        <r>
          <rPr>
            <b/>
            <sz val="9"/>
            <color indexed="81"/>
            <rFont val="Tahoma"/>
            <family val="2"/>
          </rPr>
          <t>Cao, Claire (Research):</t>
        </r>
        <r>
          <rPr>
            <sz val="9"/>
            <color indexed="81"/>
            <rFont val="Tahoma"/>
            <family val="2"/>
          </rPr>
          <t xml:space="preserve">
97% organic GMV growth from JD mall</t>
        </r>
      </text>
    </comment>
    <comment ref="BC98" authorId="1">
      <text>
        <r>
          <rPr>
            <b/>
            <sz val="9"/>
            <color indexed="81"/>
            <rFont val="Tahoma"/>
            <family val="2"/>
          </rPr>
          <t>Cao, Claire (Research):</t>
        </r>
        <r>
          <rPr>
            <sz val="9"/>
            <color indexed="81"/>
            <rFont val="Tahoma"/>
            <family val="2"/>
          </rPr>
          <t xml:space="preserve">
92% organic GMV growth from JD mall</t>
        </r>
      </text>
    </comment>
    <comment ref="V111" authorId="2">
      <text>
        <r>
          <rPr>
            <b/>
            <sz val="9"/>
            <color indexed="81"/>
            <rFont val="Tahoma"/>
            <family val="2"/>
          </rPr>
          <t>Zhang, Elaine (Research):</t>
        </r>
        <r>
          <rPr>
            <sz val="9"/>
            <color indexed="81"/>
            <rFont val="Tahoma"/>
            <family val="2"/>
          </rPr>
          <t xml:space="preserve">
From Jun BJ company visit</t>
        </r>
      </text>
    </comment>
    <comment ref="W111" authorId="2">
      <text>
        <r>
          <rPr>
            <b/>
            <sz val="9"/>
            <color indexed="81"/>
            <rFont val="Tahoma"/>
            <family val="2"/>
          </rPr>
          <t>Zhang, Elaine (Research):</t>
        </r>
        <r>
          <rPr>
            <sz val="9"/>
            <color indexed="81"/>
            <rFont val="Tahoma"/>
            <family val="2"/>
          </rPr>
          <t xml:space="preserve">
Company guided 2018 general merchandise grow faster than electronics/home appliance</t>
        </r>
      </text>
    </comment>
    <comment ref="V113" authorId="2">
      <text>
        <r>
          <rPr>
            <b/>
            <sz val="9"/>
            <color indexed="81"/>
            <rFont val="Tahoma"/>
            <family val="2"/>
          </rPr>
          <t>Zhang, Elaine (Research):</t>
        </r>
        <r>
          <rPr>
            <sz val="9"/>
            <color indexed="81"/>
            <rFont val="Tahoma"/>
            <family val="2"/>
          </rPr>
          <t xml:space="preserve">
from Jun BJ company visit; mobile&gt;white goods&gt;computer&gt;food beverage</t>
        </r>
      </text>
    </comment>
    <comment ref="AZ132" authorId="1">
      <text>
        <r>
          <rPr>
            <b/>
            <sz val="9"/>
            <color indexed="81"/>
            <rFont val="Tahoma"/>
            <family val="2"/>
          </rPr>
          <t>Cao, Claire (Research):</t>
        </r>
        <r>
          <rPr>
            <sz val="9"/>
            <color indexed="81"/>
            <rFont val="Tahoma"/>
            <family val="2"/>
          </rPr>
          <t xml:space="preserve">
changed to be based on core GMV</t>
        </r>
      </text>
    </comment>
    <comment ref="U133" authorId="2">
      <text>
        <r>
          <rPr>
            <b/>
            <sz val="9"/>
            <color indexed="81"/>
            <rFont val="Tahoma"/>
            <family val="2"/>
          </rPr>
          <t>Zhang, Elaine (Research):</t>
        </r>
        <r>
          <rPr>
            <sz val="9"/>
            <color indexed="81"/>
            <rFont val="Tahoma"/>
            <family val="2"/>
          </rPr>
          <t xml:space="preserve">
slower 3p take rate expansion due to diconsolidation of JD Finance, used to include JDF revenue in service and others; would be around 0.13% increase</t>
        </r>
      </text>
    </comment>
    <comment ref="S141" authorId="0">
      <text>
        <r>
          <rPr>
            <b/>
            <sz val="9"/>
            <color indexed="81"/>
            <rFont val="Tahoma"/>
            <family val="2"/>
          </rPr>
          <t>Lin, Robert (Research):</t>
        </r>
        <r>
          <rPr>
            <sz val="9"/>
            <color indexed="81"/>
            <rFont val="Tahoma"/>
            <family val="2"/>
          </rPr>
          <t xml:space="preserve">
9/2014: co guides +55% growth</t>
        </r>
      </text>
    </comment>
    <comment ref="W144" authorId="2">
      <text>
        <r>
          <rPr>
            <b/>
            <sz val="9"/>
            <color indexed="81"/>
            <rFont val="Tahoma"/>
            <family val="2"/>
          </rPr>
          <t>Zhang, Elaine (Research):</t>
        </r>
        <r>
          <rPr>
            <sz val="9"/>
            <color indexed="81"/>
            <rFont val="Tahoma"/>
            <family val="2"/>
          </rPr>
          <t xml:space="preserve">
inline with 3P GMV growth</t>
        </r>
      </text>
    </comment>
    <comment ref="BM177" authorId="2">
      <text>
        <r>
          <rPr>
            <b/>
            <sz val="9"/>
            <color indexed="81"/>
            <rFont val="Tahoma"/>
            <family val="2"/>
          </rPr>
          <t>Zhang, Elaine (Research):</t>
        </r>
        <r>
          <rPr>
            <sz val="9"/>
            <color indexed="81"/>
            <rFont val="Tahoma"/>
            <family val="2"/>
          </rPr>
          <t xml:space="preserve">
core JD Mall GPM increase</t>
        </r>
      </text>
    </comment>
    <comment ref="BJ186" authorId="2">
      <text>
        <r>
          <rPr>
            <b/>
            <sz val="9"/>
            <color indexed="81"/>
            <rFont val="Tahoma"/>
            <family val="2"/>
          </rPr>
          <t>Zhang, Elaine (Research):</t>
        </r>
        <r>
          <rPr>
            <sz val="9"/>
            <color indexed="81"/>
            <rFont val="Tahoma"/>
            <family val="2"/>
          </rPr>
          <t xml:space="preserve">
1Q16-1Q17 numbers from 1P COGS before restating</t>
        </r>
      </text>
    </comment>
    <comment ref="BK186" authorId="2">
      <text>
        <r>
          <rPr>
            <b/>
            <sz val="9"/>
            <color indexed="81"/>
            <rFont val="Tahoma"/>
            <family val="2"/>
          </rPr>
          <t>Zhang, Elaine (Research):</t>
        </r>
        <r>
          <rPr>
            <sz val="9"/>
            <color indexed="81"/>
            <rFont val="Tahoma"/>
            <family val="2"/>
          </rPr>
          <t xml:space="preserve">
Assumed number, to make below 3P COGS number make sense</t>
        </r>
      </text>
    </comment>
    <comment ref="U189" authorId="2">
      <text>
        <r>
          <rPr>
            <b/>
            <sz val="9"/>
            <color indexed="81"/>
            <rFont val="Tahoma"/>
            <family val="2"/>
          </rPr>
          <t>Zhang, Elaine (Research):</t>
        </r>
        <r>
          <rPr>
            <sz val="9"/>
            <color indexed="81"/>
            <rFont val="Tahoma"/>
            <family val="2"/>
          </rPr>
          <t xml:space="preserve">
1.2bn fulfillment costs reclassify to COGS in 2016, per 2Q17 release</t>
        </r>
      </text>
    </comment>
    <comment ref="BF189" authorId="2">
      <text>
        <r>
          <rPr>
            <b/>
            <sz val="9"/>
            <color indexed="81"/>
            <rFont val="Tahoma"/>
            <family val="2"/>
          </rPr>
          <t>Zhang, Elaine (Research):</t>
        </r>
        <r>
          <rPr>
            <sz val="9"/>
            <color indexed="81"/>
            <rFont val="Tahoma"/>
            <family val="2"/>
          </rPr>
          <t xml:space="preserve">
this is when 2Q17 restatement, costs reallocated from fulfillment</t>
        </r>
      </text>
    </comment>
    <comment ref="BM189" authorId="2">
      <text>
        <r>
          <rPr>
            <b/>
            <sz val="9"/>
            <color indexed="81"/>
            <rFont val="Tahoma"/>
            <family val="2"/>
          </rPr>
          <t>Zhang, Elaine (Research):</t>
        </r>
        <r>
          <rPr>
            <sz val="9"/>
            <color indexed="81"/>
            <rFont val="Tahoma"/>
            <family val="2"/>
          </rPr>
          <t xml:space="preserve">
4Q17 logistics segment sees a "very negative" gross margin, per pre-1Q18 call with IR
PS: numbers before 3Q17 is purely logistic costs, based on the portion shifted from fulfillment cost to COGS when restructure this line in 3Q17; 
But this quarter start to include other costs such as set up overseas office and research center</t>
        </r>
      </text>
    </comment>
    <comment ref="U225" authorId="2">
      <text>
        <r>
          <rPr>
            <b/>
            <sz val="9"/>
            <color indexed="81"/>
            <rFont val="Tahoma"/>
            <family val="2"/>
          </rPr>
          <t>Zhang, Elaine (Research):</t>
        </r>
        <r>
          <rPr>
            <sz val="9"/>
            <color indexed="81"/>
            <rFont val="Tahoma"/>
            <family val="2"/>
          </rPr>
          <t xml:space="preserve">
to include the part that is reallocated to COGS</t>
        </r>
      </text>
    </comment>
    <comment ref="V240" authorId="2">
      <text>
        <r>
          <rPr>
            <b/>
            <sz val="9"/>
            <color indexed="81"/>
            <rFont val="Tahoma"/>
            <family val="2"/>
          </rPr>
          <t>Zhang, Elaine (Research):</t>
        </r>
        <r>
          <rPr>
            <sz val="9"/>
            <color indexed="81"/>
            <rFont val="Tahoma"/>
            <family val="2"/>
          </rPr>
          <t xml:space="preserve">
from Jun BJ trip; those also using warehouse are low-to-high single digit</t>
        </r>
      </text>
    </comment>
    <comment ref="J272" authorId="0">
      <text>
        <r>
          <rPr>
            <b/>
            <sz val="8"/>
            <color indexed="81"/>
            <rFont val="Tahoma"/>
            <family val="2"/>
          </rPr>
          <t>Lin, Robert (Research):</t>
        </r>
        <r>
          <rPr>
            <sz val="8"/>
            <color indexed="81"/>
            <rFont val="Tahoma"/>
            <family val="2"/>
          </rPr>
          <t xml:space="preserve">
Based on our calc. max. delivery per person:
high density = 40 packages (10hr day)
low density = 20 packages (10 hr day)
Based on Ali 6.1bn packages &amp; 1.1mn delivery ppl -&gt; 15.2 packages per day so under utilized</t>
        </r>
      </text>
    </comment>
    <comment ref="J290" authorId="2">
      <text>
        <r>
          <rPr>
            <b/>
            <sz val="9"/>
            <color indexed="81"/>
            <rFont val="Tahoma"/>
            <family val="2"/>
          </rPr>
          <t>Zhang, Elaine (Research):</t>
        </r>
        <r>
          <rPr>
            <sz val="9"/>
            <color indexed="81"/>
            <rFont val="Tahoma"/>
            <family val="2"/>
          </rPr>
          <t xml:space="preserve">
including procurement, warehouse, delivery</t>
        </r>
      </text>
    </comment>
    <comment ref="V303" authorId="2">
      <text>
        <r>
          <rPr>
            <b/>
            <sz val="9"/>
            <color indexed="81"/>
            <rFont val="Tahoma"/>
            <family val="2"/>
          </rPr>
          <t>Zhang, Elaine (Research):</t>
        </r>
        <r>
          <rPr>
            <sz val="9"/>
            <color indexed="81"/>
            <rFont val="Tahoma"/>
            <family val="2"/>
          </rPr>
          <t xml:space="preserve">
justified by inter-segment revenue of 2016, 20-F paper page 96</t>
        </r>
      </text>
    </comment>
    <comment ref="AZ376" authorId="0">
      <text>
        <r>
          <rPr>
            <b/>
            <sz val="9"/>
            <color indexed="81"/>
            <rFont val="Tahoma"/>
            <family val="2"/>
          </rPr>
          <t>Lin, Robert (Research):</t>
        </r>
        <r>
          <rPr>
            <sz val="9"/>
            <color indexed="81"/>
            <rFont val="Tahoma"/>
            <family val="2"/>
          </rPr>
          <t xml:space="preserve">
amort mainly Tencent 15% equity deal recog as marketing expense for 5yrs</t>
        </r>
      </text>
    </comment>
    <comment ref="S397" authorId="0">
      <text>
        <r>
          <rPr>
            <b/>
            <sz val="9"/>
            <color indexed="81"/>
            <rFont val="Tahoma"/>
            <family val="2"/>
          </rPr>
          <t>Lin, Robert (Research):</t>
        </r>
        <r>
          <rPr>
            <sz val="9"/>
            <color indexed="81"/>
            <rFont val="Tahoma"/>
            <family val="2"/>
          </rPr>
          <t xml:space="preserve">
total shares post IPO
2,763,756,650 divided 2 for ADS shares</t>
        </r>
      </text>
    </comment>
    <comment ref="J408" authorId="0">
      <text>
        <r>
          <rPr>
            <b/>
            <sz val="9"/>
            <color indexed="81"/>
            <rFont val="Tahoma"/>
            <family val="2"/>
          </rPr>
          <t>Lin, Robert (Research):</t>
        </r>
        <r>
          <rPr>
            <sz val="9"/>
            <color indexed="81"/>
            <rFont val="Tahoma"/>
            <family val="2"/>
          </rPr>
          <t xml:space="preserve">
</t>
        </r>
        <r>
          <rPr>
            <b/>
            <sz val="9"/>
            <color indexed="81"/>
            <rFont val="Tahoma"/>
            <family val="2"/>
          </rPr>
          <t>Other Services</t>
        </r>
        <r>
          <rPr>
            <sz val="9"/>
            <color indexed="81"/>
            <rFont val="Tahoma"/>
            <family val="2"/>
          </rPr>
          <t xml:space="preserve">
The significant scale of our business allows us to provide a variety of services to create value for our business partners and ultimately benefit
our customers. For example, we provide extra value-added fulfillment services to the third-party sellers on our online marketplace, including their choice
of either delivery services or a combination of warehousing plus delivery services, in addition to the basic transaction processing and billing services
that we provide to them at no extra cost. We also provide online advertising services in various formats. In addition, we have recently begun to engage
in internet financing activities and we have developed various financial products, including supply chain financing, as an additional value-added service
we provide to our suppliers and third-party sellers on our online marketplace.</t>
        </r>
      </text>
    </comment>
    <comment ref="BG418" authorId="2">
      <text>
        <r>
          <rPr>
            <b/>
            <sz val="9"/>
            <color indexed="81"/>
            <rFont val="Tahoma"/>
            <family val="2"/>
          </rPr>
          <t>Zhang, Elaine (Research):</t>
        </r>
        <r>
          <rPr>
            <sz val="9"/>
            <color indexed="81"/>
            <rFont val="Tahoma"/>
            <family val="2"/>
          </rPr>
          <t xml:space="preserve">
mainly 1.3bn non-cash gain from Daojia/Dada</t>
        </r>
      </text>
    </comment>
    <comment ref="V420" authorId="2">
      <text>
        <r>
          <rPr>
            <b/>
            <sz val="9"/>
            <color indexed="81"/>
            <rFont val="Tahoma"/>
            <family val="2"/>
          </rPr>
          <t>Zhang, Elaine (Research):</t>
        </r>
        <r>
          <rPr>
            <sz val="9"/>
            <color indexed="81"/>
            <rFont val="Tahoma"/>
            <family val="2"/>
          </rPr>
          <t xml:space="preserve">
every month 100mn loss pick up from Dada/Daojia; 
Total 1200mn.
2016 loss also due to impairment on Bitauto andTuniu.</t>
        </r>
      </text>
    </comment>
    <comment ref="J421" authorId="0">
      <text>
        <r>
          <rPr>
            <b/>
            <sz val="9"/>
            <color indexed="81"/>
            <rFont val="Tahoma"/>
            <family val="2"/>
          </rPr>
          <t>Lin, Robert (Research):</t>
        </r>
        <r>
          <rPr>
            <sz val="9"/>
            <color indexed="81"/>
            <rFont val="Tahoma"/>
            <family val="2"/>
          </rPr>
          <t xml:space="preserve">
include FX, govt financial incentives and others</t>
        </r>
      </text>
    </comment>
    <comment ref="BB421" authorId="0">
      <text>
        <r>
          <rPr>
            <b/>
            <sz val="9"/>
            <color indexed="81"/>
            <rFont val="Tahoma"/>
            <family val="2"/>
          </rPr>
          <t>Lin, Robert (Research):</t>
        </r>
        <r>
          <rPr>
            <sz val="9"/>
            <color indexed="81"/>
            <rFont val="Tahoma"/>
            <family val="2"/>
          </rPr>
          <t xml:space="preserve">
govt grants, FX, others</t>
        </r>
      </text>
    </comment>
    <comment ref="Q433" authorId="2">
      <text>
        <r>
          <rPr>
            <b/>
            <sz val="9"/>
            <color indexed="81"/>
            <rFont val="Tahoma"/>
            <family val="2"/>
          </rPr>
          <t>Zhang, Elaine (Research):</t>
        </r>
        <r>
          <rPr>
            <sz val="9"/>
            <color indexed="81"/>
            <rFont val="Tahoma"/>
            <family val="2"/>
          </rPr>
          <t xml:space="preserve">
to reconcile decimal points for above number; calculated number is 3319</t>
        </r>
      </text>
    </comment>
    <comment ref="BI466" authorId="2">
      <text>
        <r>
          <rPr>
            <b/>
            <sz val="9"/>
            <color indexed="81"/>
            <rFont val="Tahoma"/>
            <family val="2"/>
          </rPr>
          <t>Zhang, Elaine (Research):</t>
        </r>
        <r>
          <rPr>
            <sz val="9"/>
            <color indexed="81"/>
            <rFont val="Tahoma"/>
            <family val="2"/>
          </rPr>
          <t xml:space="preserve">
add back the impairment on Paipai.com</t>
        </r>
      </text>
    </comment>
    <comment ref="BK470" authorId="3">
      <text>
        <r>
          <rPr>
            <b/>
            <sz val="9"/>
            <color indexed="81"/>
            <rFont val="Tahoma"/>
            <family val="2"/>
          </rPr>
          <t>Ko, Alex (Research):</t>
        </r>
        <r>
          <rPr>
            <sz val="9"/>
            <color indexed="81"/>
            <rFont val="Tahoma"/>
            <family val="2"/>
          </rPr>
          <t xml:space="preserve">
Non-GAAP net income from continuing operations attributable to ordinary shareholders</t>
        </r>
      </text>
    </comment>
    <comment ref="BL470" authorId="3">
      <text>
        <r>
          <rPr>
            <b/>
            <sz val="9"/>
            <color indexed="81"/>
            <rFont val="Tahoma"/>
            <family val="2"/>
          </rPr>
          <t>Ko, Alex (Research):</t>
        </r>
        <r>
          <rPr>
            <sz val="9"/>
            <color indexed="81"/>
            <rFont val="Tahoma"/>
            <family val="2"/>
          </rPr>
          <t xml:space="preserve">
Non-GAAP net income from continuing operations attributable to ordinary shareholders</t>
        </r>
      </text>
    </comment>
    <comment ref="BM470" authorId="3">
      <text>
        <r>
          <rPr>
            <b/>
            <sz val="9"/>
            <color indexed="81"/>
            <rFont val="Tahoma"/>
            <family val="2"/>
          </rPr>
          <t>Ko, Alex (Research):</t>
        </r>
        <r>
          <rPr>
            <sz val="9"/>
            <color indexed="81"/>
            <rFont val="Tahoma"/>
            <family val="2"/>
          </rPr>
          <t xml:space="preserve">
Non-GAAP net income from continuing operations attributable to ordinary shareholders</t>
        </r>
      </text>
    </comment>
    <comment ref="U537" authorId="2">
      <text>
        <r>
          <rPr>
            <b/>
            <sz val="9"/>
            <color indexed="81"/>
            <rFont val="Tahoma"/>
            <family val="2"/>
          </rPr>
          <t>Zhang, Elaine (Research):</t>
        </r>
        <r>
          <rPr>
            <sz val="9"/>
            <color indexed="81"/>
            <rFont val="Tahoma"/>
            <family val="2"/>
          </rPr>
          <t xml:space="preserve">
Issued in Apr 16 and listed on Singapore exchange, due in 2021 and 2026.</t>
        </r>
      </text>
    </comment>
    <comment ref="S569" authorId="0">
      <text>
        <r>
          <rPr>
            <b/>
            <sz val="9"/>
            <color indexed="81"/>
            <rFont val="Tahoma"/>
            <family val="2"/>
          </rPr>
          <t>Lin, Robert (Research):</t>
        </r>
        <r>
          <rPr>
            <sz val="9"/>
            <color indexed="81"/>
            <rFont val="Tahoma"/>
            <family val="2"/>
          </rPr>
          <t xml:space="preserve">
CAPEX mix:
equipment 50%, building #2 and land least cost</t>
        </r>
      </text>
    </comment>
    <comment ref="Q578" authorId="4">
      <text>
        <r>
          <rPr>
            <b/>
            <sz val="8"/>
            <color indexed="81"/>
            <rFont val="Tahoma"/>
            <family val="2"/>
          </rPr>
          <t>caocla:</t>
        </r>
        <r>
          <rPr>
            <sz val="8"/>
            <color indexed="81"/>
            <rFont val="Tahoma"/>
            <family val="2"/>
          </rPr>
          <t xml:space="preserve">
pg74 2012 AR: Our capital expenditures amounted to US$1.5 million, US$9.6 million and US$12.4 million in the years ended December 31, 2010, 2011 and 2012, respectively. In the past, our capital expenditures were principally used for leasehold improvements, as well as purchases of office and other operating equipment, and IT software. Our future capital expenditures, which are expected to increase significantly in 2013 and 2014, will primarily be used to </t>
        </r>
        <r>
          <rPr>
            <b/>
            <sz val="8"/>
            <color indexed="81"/>
            <rFont val="Tahoma"/>
            <family val="2"/>
          </rPr>
          <t xml:space="preserve">further expand our fulfillment capabilities and enhance our website and IT systems. We plan to fund these capital penditures through our existing cash balances, as well as the proceeds of the </t>
        </r>
        <r>
          <rPr>
            <b/>
            <sz val="8"/>
            <color indexed="10"/>
            <rFont val="Tahoma"/>
            <family val="2"/>
          </rPr>
          <t>follow-on public offering</t>
        </r>
        <r>
          <rPr>
            <b/>
            <sz val="8"/>
            <color indexed="81"/>
            <rFont val="Tahoma"/>
            <family val="2"/>
          </rPr>
          <t>.</t>
        </r>
      </text>
    </comment>
    <comment ref="S578" authorId="0">
      <text>
        <r>
          <rPr>
            <b/>
            <sz val="9"/>
            <color indexed="81"/>
            <rFont val="Tahoma"/>
            <family val="2"/>
          </rPr>
          <t>Lin, Robert (Research):</t>
        </r>
        <r>
          <rPr>
            <sz val="9"/>
            <color indexed="81"/>
            <rFont val="Tahoma"/>
            <family val="2"/>
          </rPr>
          <t xml:space="preserve">
9/2014: co guides 2014 peak of capex investmetn -&gt; building 2 office buildings &amp; 1 customer service center. 2015-2016 grad trend down.  2Q14 pymt delay so may go into 2015.  2014 &amp; 2015 capex to be much higher than 2016.  
Only build 7 big DCs in hub cities (only in Shanghai now).  Future will have 10-12 Asia #1 and other warehouses will be leased in line with GMV growth.
Cities include: BJ, SHA, GZ, Wuhan, Xi'an, Chengdu</t>
        </r>
      </text>
    </comment>
    <comment ref="V578" authorId="2">
      <text>
        <r>
          <rPr>
            <b/>
            <sz val="9"/>
            <color indexed="81"/>
            <rFont val="Tahoma"/>
            <family val="2"/>
          </rPr>
          <t>Zhang, Elaine (Research):</t>
        </r>
        <r>
          <rPr>
            <sz val="9"/>
            <color indexed="81"/>
            <rFont val="Tahoma"/>
            <family val="2"/>
          </rPr>
          <t xml:space="preserve">
JD bid Beijing land for Rmb3850mn on Aug 9th. Assume 60% in 2017, 40% in 2018.
Base case for 2017-18 is 4/5bn, add additional.</t>
        </r>
      </text>
    </comment>
    <comment ref="AX684" authorId="4">
      <text>
        <r>
          <rPr>
            <b/>
            <sz val="8"/>
            <color indexed="81"/>
            <rFont val="Tahoma"/>
            <family val="2"/>
          </rPr>
          <t>caocla:</t>
        </r>
        <r>
          <rPr>
            <sz val="8"/>
            <color indexed="81"/>
            <rFont val="Tahoma"/>
            <family val="2"/>
          </rPr>
          <t xml:space="preserve">
1Q14 Transcript P5; net cash from operating activities were $84.1 million</t>
        </r>
      </text>
    </comment>
  </commentList>
</comments>
</file>

<file path=xl/sharedStrings.xml><?xml version="1.0" encoding="utf-8"?>
<sst xmlns="http://schemas.openxmlformats.org/spreadsheetml/2006/main" count="1348" uniqueCount="1093">
  <si>
    <t>Investing Cash Flow:</t>
  </si>
  <si>
    <t>Investing Cash Flow</t>
  </si>
  <si>
    <t>Financing Cash Flow</t>
  </si>
  <si>
    <t>Effects of FX</t>
  </si>
  <si>
    <t>Beginning Cash</t>
  </si>
  <si>
    <t>(+/-) Net Changes in Cash</t>
  </si>
  <si>
    <t>Ending Cash</t>
  </si>
  <si>
    <t>Financing Cash Flow:</t>
  </si>
  <si>
    <t>(RMB millions)</t>
  </si>
  <si>
    <t>Historical Financials</t>
  </si>
  <si>
    <t>Projected Financials</t>
  </si>
  <si>
    <t>Base Case</t>
  </si>
  <si>
    <t>Bull Case</t>
  </si>
  <si>
    <t>Bear Case</t>
  </si>
  <si>
    <t>Select Model Case:</t>
  </si>
  <si>
    <t>(-) Accumulated Depreciation</t>
  </si>
  <si>
    <t>Gross PP&amp;E</t>
  </si>
  <si>
    <t>Useful Life:</t>
  </si>
  <si>
    <t>Cash paid for construction in progress</t>
  </si>
  <si>
    <t>Purchase of intangible assets</t>
  </si>
  <si>
    <t>Purchase of office buildings</t>
  </si>
  <si>
    <t>Free cash flow (Non-GAAP)</t>
  </si>
  <si>
    <t>% of Revenue TTM</t>
  </si>
  <si>
    <t>Depreciation &amp; Amortization</t>
  </si>
  <si>
    <t>Basic - GAAP EPS</t>
  </si>
  <si>
    <t>Diluted - GAAP EPS</t>
  </si>
  <si>
    <t>Net PP&amp;E Build-Up</t>
  </si>
  <si>
    <t>Adj. EBITDA</t>
  </si>
  <si>
    <t>(+/-) Restatements / Adjustments (pre-10-Q / K)</t>
  </si>
  <si>
    <t>Gross Income</t>
  </si>
  <si>
    <t>Cost of Sales</t>
  </si>
  <si>
    <t>Net Sales</t>
  </si>
  <si>
    <t>Total Net Sales</t>
  </si>
  <si>
    <t>Fulfillment</t>
  </si>
  <si>
    <t>Marketing</t>
  </si>
  <si>
    <t>Technology &amp; Content</t>
  </si>
  <si>
    <t>General &amp; Administrative</t>
  </si>
  <si>
    <t>(+/-) Cumulative Effect of Change in Accounting Principle</t>
  </si>
  <si>
    <t>Other Long-Term Liabilities</t>
  </si>
  <si>
    <t>(+) Amortization of Intangible Assets</t>
  </si>
  <si>
    <t>(+/-) Other One-Time / Non-Recurring Items</t>
  </si>
  <si>
    <t>(+/-) Minority Interest Loss / (Income)</t>
  </si>
  <si>
    <t>(-) Tax Effect of Pre-Tax Adj.</t>
  </si>
  <si>
    <t>Accrued Liabilities - % of Opex</t>
  </si>
  <si>
    <t>Gross Margin</t>
  </si>
  <si>
    <t>Scenario</t>
  </si>
  <si>
    <t>Assumptions</t>
  </si>
  <si>
    <t>CAGR for Net Sales</t>
  </si>
  <si>
    <t xml:space="preserve">5-year </t>
  </si>
  <si>
    <t>10-year</t>
  </si>
  <si>
    <t>CAGR for # of active customers</t>
  </si>
  <si>
    <t>Number of active customers (mn)</t>
  </si>
  <si>
    <t>Net sales per active customer (USD)</t>
  </si>
  <si>
    <t>CAGR for Order Freq</t>
  </si>
  <si>
    <t>Dilution Ratio</t>
  </si>
  <si>
    <t>Other ST Liabilities</t>
  </si>
  <si>
    <t>Current Period Borrowings</t>
  </si>
  <si>
    <t>Prior Period Borrowings</t>
  </si>
  <si>
    <t>Current Period Cash &amp; Equivalent</t>
  </si>
  <si>
    <t>Prior Period Cash &amp; Equivalent</t>
  </si>
  <si>
    <t>Purchase of land use rights</t>
  </si>
  <si>
    <t>Purchase of PP&amp;E and Land (Net)</t>
  </si>
  <si>
    <t>Cash paid for business combination, net of cash acquired</t>
  </si>
  <si>
    <t>Acqs of Subs / JCE / Min Int / Associates</t>
  </si>
  <si>
    <t>(Inc)/Dec in Investments</t>
  </si>
  <si>
    <t>Other Investing Activities</t>
  </si>
  <si>
    <t>Net Changes in Debt</t>
  </si>
  <si>
    <t>Net Changes in Equity</t>
  </si>
  <si>
    <t>Other Financing Activities</t>
  </si>
  <si>
    <t>Dividends Paid</t>
  </si>
  <si>
    <t>Dividends paid to equity holders of the co</t>
  </si>
  <si>
    <t>Dividends of subsidiaries</t>
  </si>
  <si>
    <t>Free Cash Flow Analysis</t>
  </si>
  <si>
    <t>AOC Income / (Losses)</t>
  </si>
  <si>
    <t>Retained Earnings</t>
  </si>
  <si>
    <t>Interest Expense</t>
  </si>
  <si>
    <t>Interest Income</t>
  </si>
  <si>
    <t>CapEx</t>
  </si>
  <si>
    <t>YoY</t>
  </si>
  <si>
    <t>Co. Guidance (from piror qtr)</t>
  </si>
  <si>
    <t>Net Sales: High</t>
  </si>
  <si>
    <t>Net Sales: Low</t>
  </si>
  <si>
    <t>Asset &amp; Liabilities Turnover (x)</t>
  </si>
  <si>
    <t>Gross Profits</t>
  </si>
  <si>
    <t>(+) Others</t>
  </si>
  <si>
    <t>% Net Sales</t>
  </si>
  <si>
    <t>Fulfillment Expense Per Order</t>
  </si>
  <si>
    <t>Total Orders</t>
  </si>
  <si>
    <t>Goodwill</t>
  </si>
  <si>
    <t>Deferred tax liabilities</t>
  </si>
  <si>
    <t>Non-controlling interest</t>
  </si>
  <si>
    <t>%Net Sales: Product Sales (Net)</t>
  </si>
  <si>
    <t>%Net Sales: Other Revenues</t>
  </si>
  <si>
    <t>% Total</t>
  </si>
  <si>
    <t>Operating Expense Drivers</t>
  </si>
  <si>
    <t>Stock-Based Compensation (SBC)</t>
  </si>
  <si>
    <t>Tech &amp; Contents</t>
  </si>
  <si>
    <t>Test Case</t>
  </si>
  <si>
    <t>(+) Fulfillment</t>
  </si>
  <si>
    <t>(+) Marketing</t>
  </si>
  <si>
    <t>(+) Technology &amp; Content</t>
  </si>
  <si>
    <t>(+) General &amp; Administrative</t>
  </si>
  <si>
    <t>Fulfilment</t>
  </si>
  <si>
    <t>G&amp;A</t>
  </si>
  <si>
    <t>% Fulfilment</t>
  </si>
  <si>
    <t>Warehouse</t>
  </si>
  <si>
    <t>% Maketing</t>
  </si>
  <si>
    <t>% Tech &amp; Contents</t>
  </si>
  <si>
    <t>% G&amp;A</t>
  </si>
  <si>
    <t>QoQ</t>
  </si>
  <si>
    <t>GMV per order</t>
  </si>
  <si>
    <t>GMV</t>
  </si>
  <si>
    <t>Change YoY</t>
  </si>
  <si>
    <t>Other</t>
  </si>
  <si>
    <t>Net profit / (loss)</t>
  </si>
  <si>
    <t>Rmb/US$</t>
  </si>
  <si>
    <t>Order Frequency</t>
  </si>
  <si>
    <t>GPM: 1P</t>
  </si>
  <si>
    <t>GPM: 3P</t>
  </si>
  <si>
    <t>BASE CASE</t>
  </si>
  <si>
    <t>BULL CASE</t>
  </si>
  <si>
    <t>BEAR CASE</t>
  </si>
  <si>
    <t>TEST CASE</t>
  </si>
  <si>
    <t>Active Customer %Chg Y/Y</t>
  </si>
  <si>
    <t>Active Customers: Base Case</t>
  </si>
  <si>
    <t>Product Sales</t>
  </si>
  <si>
    <t>ROA</t>
  </si>
  <si>
    <t>ROA - EOP asset</t>
  </si>
  <si>
    <t>COGS</t>
  </si>
  <si>
    <t>Return on capital employed</t>
  </si>
  <si>
    <t>ADS price, US$</t>
  </si>
  <si>
    <t>Market cap, US$ mn</t>
  </si>
  <si>
    <t>Net debt / (cash), US$ mn</t>
  </si>
  <si>
    <t>Enterprise value,US$ mn</t>
  </si>
  <si>
    <t>Basic EPADS, US$</t>
  </si>
  <si>
    <t>P/E basic</t>
  </si>
  <si>
    <t>Diluted EPADS, US$</t>
  </si>
  <si>
    <t>P/E diluted</t>
  </si>
  <si>
    <t>EV / FCF</t>
  </si>
  <si>
    <t>Price / book</t>
  </si>
  <si>
    <t>EV / CE</t>
  </si>
  <si>
    <t>PEG ratio, diluted</t>
  </si>
  <si>
    <t>Residual Income</t>
  </si>
  <si>
    <t>Shareholder Equity/ BV (beg)</t>
  </si>
  <si>
    <t>ROE (beg)</t>
  </si>
  <si>
    <t>ROE (end)</t>
  </si>
  <si>
    <t>Discount factor</t>
  </si>
  <si>
    <t>PV of Residual Income</t>
  </si>
  <si>
    <t>Terminal Growth</t>
  </si>
  <si>
    <t>Equity Value</t>
  </si>
  <si>
    <t>End Equity Capital</t>
  </si>
  <si>
    <t>PV of Forecast Period</t>
  </si>
  <si>
    <t>PV of Continuing Value (Terminal Value)</t>
  </si>
  <si>
    <t>Total Equity Value</t>
  </si>
  <si>
    <t>Shares Outstanding (mil)</t>
  </si>
  <si>
    <t>Equity Value Per Share (HKD)</t>
  </si>
  <si>
    <t>Per Share Value (HK$)</t>
  </si>
  <si>
    <t>Capital employed, US$</t>
  </si>
  <si>
    <t>Free cash flow, US$</t>
  </si>
  <si>
    <t>Book value (net), US$</t>
  </si>
  <si>
    <t>TY - 2026</t>
  </si>
  <si>
    <t>YoY change %</t>
  </si>
  <si>
    <t>Depreciation and amortization</t>
  </si>
  <si>
    <t>(-) Taxes</t>
  </si>
  <si>
    <t>(-) Capex</t>
  </si>
  <si>
    <t>Adj. EBITDA Margin</t>
  </si>
  <si>
    <t>UFCF / Adj. EBITDA</t>
  </si>
  <si>
    <t>NPV Calculations</t>
  </si>
  <si>
    <t>Year for 1-year forward value</t>
  </si>
  <si>
    <t>Discounted cash flows</t>
  </si>
  <si>
    <t>Equity Value: WACC vs. Perpetual Growth Rate</t>
  </si>
  <si>
    <t>Equity Value per Share: WACC vs. Perpetual Growth Rate</t>
  </si>
  <si>
    <t>Implied terminal EBITDA multiple</t>
  </si>
  <si>
    <t>Cost of Equity</t>
  </si>
  <si>
    <t>Cost of Debt</t>
  </si>
  <si>
    <t>Marginal Tax-Rate</t>
  </si>
  <si>
    <t>Long-Term Debt / Total Cap.</t>
  </si>
  <si>
    <t>WACC</t>
  </si>
  <si>
    <t>Cash &amp; cash equivalents</t>
  </si>
  <si>
    <t>Other Current Assets</t>
  </si>
  <si>
    <t>Investments</t>
  </si>
  <si>
    <t>(Profit) / Loss of an affliate</t>
  </si>
  <si>
    <t>(Profit) / Loss of non-controlling interests subs</t>
  </si>
  <si>
    <t>Changes in ST Debts</t>
  </si>
  <si>
    <t>Changes in LT Debts</t>
  </si>
  <si>
    <t>ST Debts</t>
  </si>
  <si>
    <t>(-) Debt</t>
  </si>
  <si>
    <t>(+) Cash</t>
  </si>
  <si>
    <t>PV of FCF</t>
  </si>
  <si>
    <t>Unlevered free cash flow</t>
  </si>
  <si>
    <t>1-year</t>
  </si>
  <si>
    <t>Discounted cash flow analysis</t>
  </si>
  <si>
    <t>(+/-) Changes in working capital</t>
  </si>
  <si>
    <t>DCF valuation assumptions</t>
  </si>
  <si>
    <t>Valuation date</t>
  </si>
  <si>
    <t>Low</t>
  </si>
  <si>
    <t>High</t>
  </si>
  <si>
    <t>EBIT</t>
  </si>
  <si>
    <t>Spread</t>
  </si>
  <si>
    <t>Leasehold improvements</t>
  </si>
  <si>
    <t>Diluted: Wtgd Avg</t>
  </si>
  <si>
    <t>Days (Avg): Total Receivables</t>
  </si>
  <si>
    <t>Days (Avg): Other Receivables</t>
  </si>
  <si>
    <t>Days (Avg): Account Receivables</t>
  </si>
  <si>
    <t>ROE</t>
  </si>
  <si>
    <t>Income Statement</t>
  </si>
  <si>
    <t>Operating Income</t>
  </si>
  <si>
    <t>Gross Profit</t>
  </si>
  <si>
    <t>Balance Sheet</t>
  </si>
  <si>
    <t>Inventories</t>
  </si>
  <si>
    <t>Advance to suppliers</t>
  </si>
  <si>
    <t xml:space="preserve">Restricted deposits </t>
  </si>
  <si>
    <t>Accounts receivable</t>
  </si>
  <si>
    <t xml:space="preserve">Amounts due from related parties </t>
  </si>
  <si>
    <t xml:space="preserve">Property and equipment, net </t>
  </si>
  <si>
    <t>Accounts payable</t>
  </si>
  <si>
    <t>Advance from customers</t>
  </si>
  <si>
    <t>Accrued expenses and other current liabilities</t>
  </si>
  <si>
    <t>Amounts due to related parties</t>
  </si>
  <si>
    <t>Deferred income</t>
  </si>
  <si>
    <t>ROE - EOP equity</t>
  </si>
  <si>
    <t>Ordinary shares</t>
  </si>
  <si>
    <t>Additional paid-in capital</t>
  </si>
  <si>
    <t>Allowance for doubtful debts</t>
  </si>
  <si>
    <t>Prepaid expenses write-down</t>
  </si>
  <si>
    <t>Inventory write-down</t>
  </si>
  <si>
    <t>Depreciation of property and equipment</t>
  </si>
  <si>
    <t>Amortization of other assets</t>
  </si>
  <si>
    <t>Loss on disposal of property and equipment</t>
  </si>
  <si>
    <t>Impairment loss of property and equipment</t>
  </si>
  <si>
    <t>Share-based compensation expenses</t>
  </si>
  <si>
    <t>Amounts due from related parties</t>
  </si>
  <si>
    <t>Advances to suppliers</t>
  </si>
  <si>
    <t>Advances from customers</t>
  </si>
  <si>
    <t>Proceed from disposal of property and equipment</t>
  </si>
  <si>
    <t>Proceeds from bank borrowings</t>
  </si>
  <si>
    <t>Repayment to bank borrowings</t>
  </si>
  <si>
    <t>Issuance of Series B Preferred shares</t>
  </si>
  <si>
    <t>Issuance costs of Series A and Series B Preferred shares</t>
  </si>
  <si>
    <t>Issuance costs of ordinary shares</t>
  </si>
  <si>
    <t>Repurchase of ordinary shares</t>
  </si>
  <si>
    <t>Issuance of Series A Preferred shares</t>
  </si>
  <si>
    <t>Conversion Days</t>
  </si>
  <si>
    <t>Cash Balance Change</t>
  </si>
  <si>
    <t>Capex Assumptions</t>
  </si>
  <si>
    <t>Assumptions: Balance Sheet</t>
  </si>
  <si>
    <t>Net Profit (loss) attributable to ordinary shareholders</t>
  </si>
  <si>
    <t>Period End Shares</t>
  </si>
  <si>
    <t>Cash Conversion Cycle</t>
  </si>
  <si>
    <t>Days (Avg): Inventory Days</t>
  </si>
  <si>
    <t>Days (Avg): AP Days</t>
  </si>
  <si>
    <t>Deferred tax assets</t>
  </si>
  <si>
    <t>Total</t>
  </si>
  <si>
    <t>Active Customers</t>
  </si>
  <si>
    <t>GPM 3P - Chg Y/Y</t>
  </si>
  <si>
    <t>Morgan Stanley | JD Model</t>
  </si>
  <si>
    <t>Preferred shares redemption value accretion</t>
  </si>
  <si>
    <t>Restricted cash</t>
  </si>
  <si>
    <t>Short-term investments</t>
  </si>
  <si>
    <t>Prepayments and other current assets</t>
  </si>
  <si>
    <t>Land use rights, net</t>
  </si>
  <si>
    <t>Other non-current assets</t>
  </si>
  <si>
    <t>Taxes payable</t>
  </si>
  <si>
    <t>Series C convertible redeemable preferred shares</t>
  </si>
  <si>
    <t>Mezzanine Equity</t>
  </si>
  <si>
    <t>Series A and A-1 convertible preferred shares</t>
  </si>
  <si>
    <t>Series B convertible preferred share</t>
  </si>
  <si>
    <t>Statutory reserves</t>
  </si>
  <si>
    <t>Total liabilities, mezzanine equity and shareholders' equity</t>
  </si>
  <si>
    <t>Deferred income tax</t>
  </si>
  <si>
    <t>Foreign exchange gains</t>
  </si>
  <si>
    <t>Purchase of short term investments</t>
  </si>
  <si>
    <t>Maturity of short term investments</t>
  </si>
  <si>
    <t>Cash paid for equity investments</t>
  </si>
  <si>
    <t>Purchase of property, equipment and software</t>
  </si>
  <si>
    <t>Purchase of office building</t>
  </si>
  <si>
    <t>Proceeds from issuance of ordinary shares, net</t>
  </si>
  <si>
    <t>Proceeds from exercise of Warrants-C</t>
  </si>
  <si>
    <t>Delivery</t>
  </si>
  <si>
    <t>Online direct sales</t>
  </si>
  <si>
    <t>Services and others</t>
  </si>
  <si>
    <t>USD</t>
  </si>
  <si>
    <t xml:space="preserve">Net Sales / Total Receivables </t>
  </si>
  <si>
    <t>Net Sales / Account Receivables</t>
  </si>
  <si>
    <t>Net Sales / Other Receivables</t>
  </si>
  <si>
    <t xml:space="preserve">COGS / Inventories  </t>
  </si>
  <si>
    <t xml:space="preserve">COGS / Account Payables  </t>
  </si>
  <si>
    <t>1P</t>
  </si>
  <si>
    <t>3P</t>
  </si>
  <si>
    <t xml:space="preserve"> </t>
  </si>
  <si>
    <t>Electronics &amp; Home Appliances</t>
  </si>
  <si>
    <t>(+) Impact from Internet Finance</t>
  </si>
  <si>
    <t>Purchases of PP&amp;E and software</t>
  </si>
  <si>
    <t>Cash paid for CIP</t>
  </si>
  <si>
    <t>Purchase of intangible</t>
  </si>
  <si>
    <t>Gross GMV</t>
  </si>
  <si>
    <t>(+) Shipping Cost</t>
  </si>
  <si>
    <t>(+) Rental</t>
  </si>
  <si>
    <t>(+) 3P Couriers</t>
  </si>
  <si>
    <t>(+) Payment Processing Fees</t>
  </si>
  <si>
    <t># Fulfilment Staff</t>
  </si>
  <si>
    <t>Cost Assumed for 3P Courier</t>
  </si>
  <si>
    <t>Total Orders (000)</t>
  </si>
  <si>
    <t xml:space="preserve">Cost Assumed for JD </t>
  </si>
  <si>
    <t>Shipping Cost Per Order</t>
  </si>
  <si>
    <t>% By JD</t>
  </si>
  <si>
    <t>% By 3P</t>
  </si>
  <si>
    <t>Orders Fulfilled Per JD Delivery Staff</t>
  </si>
  <si>
    <t>Orders Fulfilled Per Day Per JD</t>
  </si>
  <si>
    <t>JD Shipping Costs</t>
  </si>
  <si>
    <t>3P Couriers</t>
  </si>
  <si>
    <t>% Net GMV</t>
  </si>
  <si>
    <t>3P - Marketplace</t>
  </si>
  <si>
    <t>1P - Direct Sales</t>
  </si>
  <si>
    <t>GMV Per Customer %Chg Y/Y</t>
  </si>
  <si>
    <t>(Rmb millions)</t>
  </si>
  <si>
    <t>GPM: 3P Take Rate (%) - Gross GMV: Base Case</t>
  </si>
  <si>
    <t>% Growth</t>
  </si>
  <si>
    <t>Blended GPM</t>
  </si>
  <si>
    <t>3P GPM</t>
  </si>
  <si>
    <t>Sanity Check -&gt;</t>
  </si>
  <si>
    <t>Payment Processing Fees</t>
  </si>
  <si>
    <t>% GMV</t>
  </si>
  <si>
    <t>Growth: By 3P Couriers</t>
  </si>
  <si>
    <t>Growth: By JD Packages</t>
  </si>
  <si>
    <t>Check: Growth: 3P Marketplace</t>
  </si>
  <si>
    <t>Rental Fees Calc</t>
  </si>
  <si>
    <t>Warehouse GFA (sqm)</t>
  </si>
  <si>
    <t># SKUs Handled (mn)</t>
  </si>
  <si>
    <t># Fulfillment Centers</t>
  </si>
  <si>
    <t># Warehouses</t>
  </si>
  <si>
    <t># Delivery Stations</t>
  </si>
  <si>
    <t># Cities w/ Warehouses</t>
  </si>
  <si>
    <t>% Leased</t>
  </si>
  <si>
    <t>Daily Lease Rental Rate</t>
  </si>
  <si>
    <t>Shipping Cost</t>
  </si>
  <si>
    <t>2025e</t>
  </si>
  <si>
    <t>Maketing</t>
  </si>
  <si>
    <t>% Gross Profits</t>
  </si>
  <si>
    <t>Key Ratios</t>
  </si>
  <si>
    <t>Basic - GAAP ADS</t>
  </si>
  <si>
    <t>Diluted - GAAP ADS</t>
  </si>
  <si>
    <t xml:space="preserve">Basic: Wtgd Avg </t>
  </si>
  <si>
    <t>GMV - 1P</t>
  </si>
  <si>
    <t>GMV - 3P</t>
  </si>
  <si>
    <t>(+) D&amp;A</t>
  </si>
  <si>
    <t>Est. Orders By JD</t>
  </si>
  <si>
    <t>Est. Orders By 3P Courier</t>
  </si>
  <si>
    <t>Est. Daily Orders By JD</t>
  </si>
  <si>
    <t>Est. Daily Orders By 3P Courier</t>
  </si>
  <si>
    <t>Daily Orders (000)</t>
  </si>
  <si>
    <t>% JD Shipping Costs</t>
  </si>
  <si>
    <t>% 3P Couriers</t>
  </si>
  <si>
    <t>Shipping Costs: Method 1</t>
  </si>
  <si>
    <t>Annual Avg. Wage</t>
  </si>
  <si>
    <t>% Growth Y/Y</t>
  </si>
  <si>
    <t>Shipping Costs: Sanity Check</t>
  </si>
  <si>
    <t>GMV Per sqm</t>
  </si>
  <si>
    <t>Lease</t>
  </si>
  <si>
    <t>(+) Construction in Progress</t>
  </si>
  <si>
    <t>Gross PP&amp;E + CIP</t>
  </si>
  <si>
    <t>% Change YoY</t>
  </si>
  <si>
    <t>Rental + D&amp;A</t>
  </si>
  <si>
    <t>Mobile as % of Total Orders Filled</t>
  </si>
  <si>
    <t>3P Courier Cost</t>
  </si>
  <si>
    <t>Implied Shipping Cost ex Staff</t>
  </si>
  <si>
    <t>Delivery Staff Costs</t>
  </si>
  <si>
    <t>Orders</t>
  </si>
  <si>
    <t>Growth YoY</t>
  </si>
  <si>
    <t>% GMV 3P</t>
  </si>
  <si>
    <t>1% add GFA (sqm)</t>
  </si>
  <si>
    <t>Own</t>
  </si>
  <si>
    <t>Incr YoY</t>
  </si>
  <si>
    <t>Construction Cost Per sqm</t>
  </si>
  <si>
    <t>CAPEX (Annual)</t>
  </si>
  <si>
    <t>Depreciation (increment)</t>
  </si>
  <si>
    <t>Deprecation</t>
  </si>
  <si>
    <t>% of GMV</t>
  </si>
  <si>
    <t>Morgan Stanley | JD Residual Income Model</t>
  </si>
  <si>
    <t>Enterprise Value</t>
  </si>
  <si>
    <t>NPV of Terminal Value</t>
  </si>
  <si>
    <t>Fully Diluted ADS (1 ADS = 2 Shares)</t>
  </si>
  <si>
    <t>Perpetual Growth</t>
  </si>
  <si>
    <t>FX Rate (Rmb / US$)</t>
  </si>
  <si>
    <t>Rmb</t>
  </si>
  <si>
    <t>US$</t>
  </si>
  <si>
    <t>Fair value (mn)</t>
  </si>
  <si>
    <t>Advance from customer as % GMV</t>
  </si>
  <si>
    <t>Equity Value Per ADS</t>
  </si>
  <si>
    <t>Advance to Suppliers / Direct Sales</t>
  </si>
  <si>
    <t>Basic - Non-GAAP ADS</t>
  </si>
  <si>
    <t>Basic - Non-GAAP EPS</t>
  </si>
  <si>
    <t>Diluted - Non-GAAP EPS</t>
  </si>
  <si>
    <t>GMV, US$mn</t>
  </si>
  <si>
    <t>EV/GMV</t>
  </si>
  <si>
    <t>Morgan Stanley | JD DCF</t>
  </si>
  <si>
    <t>GP</t>
  </si>
  <si>
    <t>Diluted - Non-GAAP ADS</t>
  </si>
  <si>
    <t>Discount Factor</t>
  </si>
  <si>
    <t>Non-GAAP OP Income</t>
  </si>
  <si>
    <t>Non-GAAP Net Income (Ordinary Shareholders)</t>
  </si>
  <si>
    <t>Non-GAAP EBITDA</t>
  </si>
  <si>
    <t>Total Amortization of Intangible</t>
  </si>
  <si>
    <t>Net Margin</t>
  </si>
  <si>
    <t>Non-GAAP Net Margin</t>
  </si>
  <si>
    <t>Non-GAAP OP Margin</t>
  </si>
  <si>
    <t>Non-GAAP EBITDA Margin</t>
  </si>
  <si>
    <t>Operating Margin</t>
  </si>
  <si>
    <t>GMV / Customer %Chg Y/Y</t>
  </si>
  <si>
    <t>JD | Valuation Multiples</t>
  </si>
  <si>
    <t>Ticker</t>
  </si>
  <si>
    <t>JD-US</t>
  </si>
  <si>
    <t>DCF Enterprise value, US$ mn</t>
  </si>
  <si>
    <t>Non-GAAP Diluted EPS 3-yr CAGR</t>
  </si>
  <si>
    <t>EV/Sales</t>
  </si>
  <si>
    <t>P/Sales</t>
  </si>
  <si>
    <t>Non-GAAP EBITDA, US$</t>
  </si>
  <si>
    <t>P/GMV</t>
  </si>
  <si>
    <t>EV/Non-GAAP EBITDA</t>
  </si>
  <si>
    <t>FCF Yield</t>
  </si>
  <si>
    <t>Basic EPADS, US$, Non-GAAP</t>
  </si>
  <si>
    <t>Diluted EPADS, US$, Non-GAAP</t>
  </si>
  <si>
    <t>P/E basic,  Non-GAAP</t>
  </si>
  <si>
    <t>P/E diluted, Non-GAAP</t>
  </si>
  <si>
    <t>2018e</t>
  </si>
  <si>
    <t>P/E (Diluted) *</t>
  </si>
  <si>
    <t>PEG</t>
  </si>
  <si>
    <t>EV/Sales *</t>
  </si>
  <si>
    <t>EV / EBITDA *</t>
  </si>
  <si>
    <t>EV/GMV *</t>
  </si>
  <si>
    <t>Sales, US$mn</t>
  </si>
  <si>
    <t>JD Organic</t>
  </si>
  <si>
    <t>C2C - Paipai</t>
  </si>
  <si>
    <t>B2C - JD 1P Organic</t>
  </si>
  <si>
    <t>B2C - JD 3P Organic</t>
  </si>
  <si>
    <t>%Growth: Product Sales (Net)</t>
  </si>
  <si>
    <t>%Growth: Other Revenues</t>
  </si>
  <si>
    <t>GMV Growth</t>
  </si>
  <si>
    <t>Gross Margin Change</t>
  </si>
  <si>
    <t>Per Active Customer</t>
  </si>
  <si>
    <t>Marketing PU</t>
  </si>
  <si>
    <t>Mking</t>
  </si>
  <si>
    <t>Non-GAAP OPM</t>
  </si>
  <si>
    <t>Non-GAAP NPM</t>
  </si>
  <si>
    <t>Unrecorded Goodwill</t>
  </si>
  <si>
    <t>Net Income for tagging purpose</t>
  </si>
  <si>
    <t>JD.O</t>
  </si>
  <si>
    <t>JD.com, Inc.</t>
  </si>
  <si>
    <t>ND</t>
  </si>
  <si>
    <t>Currency</t>
  </si>
  <si>
    <t>Current Stock Price</t>
  </si>
  <si>
    <t>Count</t>
  </si>
  <si>
    <t>JD.O,mscalc:closePriceCurrencyCalc</t>
  </si>
  <si>
    <t>JD.O,mscalc:targetPrice,,,,USD</t>
  </si>
  <si>
    <t>JD.O,mscalc:sedolCodeCalc</t>
  </si>
  <si>
    <t>Shareholder contribution</t>
  </si>
  <si>
    <t>General Merchandise</t>
  </si>
  <si>
    <t xml:space="preserve">Deemed dividend  </t>
  </si>
  <si>
    <t>At modification of Series A and A-T preferred shares</t>
  </si>
  <si>
    <t>At extinguishment of Series A-1 preferred shares and issuance of Series C preferred shares</t>
  </si>
  <si>
    <t>At extinguishment of Series B preferred shares and issuance of Series C preferred shares</t>
  </si>
  <si>
    <t xml:space="preserve">Equity investment </t>
  </si>
  <si>
    <t>Investment loss / (income)</t>
  </si>
  <si>
    <t>shorter of expected life and lease term</t>
  </si>
  <si>
    <t>3-5yrs</t>
  </si>
  <si>
    <t>Electronic equipment</t>
  </si>
  <si>
    <t>Office equipment</t>
  </si>
  <si>
    <t>Vehicles</t>
  </si>
  <si>
    <t>Logistic and warehouse equipment</t>
  </si>
  <si>
    <t>Software</t>
  </si>
  <si>
    <t>Building</t>
  </si>
  <si>
    <t>Construction in progress</t>
  </si>
  <si>
    <t>Net loss attributable to non-controlling interests</t>
  </si>
  <si>
    <t xml:space="preserve">Intangible assets, net </t>
  </si>
  <si>
    <t>Others</t>
  </si>
  <si>
    <t>Profitability</t>
  </si>
  <si>
    <t>Total GMV</t>
  </si>
  <si>
    <t>(USD millions)</t>
  </si>
  <si>
    <t>Pre-Tax Income</t>
  </si>
  <si>
    <t>(+/-) Income Tax Provision</t>
  </si>
  <si>
    <t>Net Income</t>
  </si>
  <si>
    <t>Period-End Date</t>
  </si>
  <si>
    <t>(+) Stock-Based Compensation</t>
  </si>
  <si>
    <t>Total Current Assets</t>
  </si>
  <si>
    <t>Net PP&amp;E</t>
  </si>
  <si>
    <t>Total Assets</t>
  </si>
  <si>
    <t>Total Current Liabilities</t>
  </si>
  <si>
    <t>Total Liabilities</t>
  </si>
  <si>
    <t>Shareholders' Equity:</t>
  </si>
  <si>
    <t>Total Shareholders' Equity</t>
  </si>
  <si>
    <t>Cash Flow Statement</t>
  </si>
  <si>
    <t>Operating Cash Flow</t>
  </si>
  <si>
    <t>Operating Cash Flow:</t>
  </si>
  <si>
    <t>Funds from Operations (FFO)</t>
  </si>
  <si>
    <t>Changes in Working Capital</t>
  </si>
  <si>
    <t>P/S</t>
  </si>
  <si>
    <t>G and A expenses excluding Amortization</t>
  </si>
  <si>
    <t>GAAP tags</t>
  </si>
  <si>
    <t>EBITDA</t>
  </si>
  <si>
    <t>EPS</t>
  </si>
  <si>
    <t>Non-GAAP tags</t>
  </si>
  <si>
    <t>2019e</t>
  </si>
  <si>
    <t>Share Counts - # of ADS (mn)</t>
  </si>
  <si>
    <t>ADS outstanding (mn)</t>
  </si>
  <si>
    <t>BMM27D9</t>
  </si>
  <si>
    <t>2017E</t>
  </si>
  <si>
    <t>2018E</t>
  </si>
  <si>
    <t>2019E</t>
  </si>
  <si>
    <t>2020E</t>
  </si>
  <si>
    <t>2021E</t>
  </si>
  <si>
    <t>2022E</t>
  </si>
  <si>
    <t>2023E</t>
  </si>
  <si>
    <t>2024E</t>
  </si>
  <si>
    <t>Direct Sales: Net as % Gross</t>
  </si>
  <si>
    <t>Gross Profits, US$mn</t>
  </si>
  <si>
    <t>EV/Gross Profits</t>
  </si>
  <si>
    <t>P/Gross Profits</t>
  </si>
  <si>
    <t>GP 3-yr CAGR</t>
  </si>
  <si>
    <t>Investment securities</t>
  </si>
  <si>
    <t>Actual / MS vs Current</t>
  </si>
  <si>
    <t>Commission</t>
  </si>
  <si>
    <t>% 1P GMV</t>
  </si>
  <si>
    <t>% 3P GMV</t>
  </si>
  <si>
    <t>Loan receivables, net</t>
  </si>
  <si>
    <t>Loan receivables</t>
  </si>
  <si>
    <t>Purchases of investment securities</t>
  </si>
  <si>
    <t>3P GMV</t>
  </si>
  <si>
    <t>(+) Reconciling items on the share of equity method investments</t>
  </si>
  <si>
    <t>Share of results of equity investees</t>
  </si>
  <si>
    <t>Core 1P GMV</t>
  </si>
  <si>
    <t>Core 3P GMV</t>
  </si>
  <si>
    <t>% GMV Growth</t>
  </si>
  <si>
    <t>Deemed Dividend</t>
  </si>
  <si>
    <t>% Growth YoY</t>
  </si>
  <si>
    <t xml:space="preserve">Deferred Revenue   </t>
  </si>
  <si>
    <t>Nonrecourse securitization debt</t>
  </si>
  <si>
    <t>Redeemable non-controlling interests</t>
  </si>
  <si>
    <t>% of 3P orders delivered by JD</t>
  </si>
  <si>
    <t xml:space="preserve">ASP </t>
  </si>
  <si>
    <t>Fulfillment per order</t>
  </si>
  <si>
    <t>Active Customers - 12mo</t>
  </si>
  <si>
    <t>Total Orders - 12mo</t>
  </si>
  <si>
    <t>GMV per active customer (Rmb) - 12Mo</t>
  </si>
  <si>
    <t>GMV per order (Rmb) - 12Mo</t>
  </si>
  <si>
    <t>GMV per active customer</t>
  </si>
  <si>
    <t>Growth YoY: Scenario Drivers</t>
  </si>
  <si>
    <t>Seasonality: Gross GMV</t>
  </si>
  <si>
    <t>GMV Quarterly Drivers</t>
  </si>
  <si>
    <t>% 1P Net Sales</t>
  </si>
  <si>
    <t>Orders delivered by JD</t>
  </si>
  <si>
    <t>Fulfillment per order - Adj</t>
  </si>
  <si>
    <t>Unsecured senior notes</t>
  </si>
  <si>
    <t>Other non-current liabilities</t>
  </si>
  <si>
    <t>Impairment of goodwill and intangible assets</t>
  </si>
  <si>
    <t>Impairment of investments accounted for under cost method and available-for-sale securities</t>
  </si>
  <si>
    <t>Gain from the sales of investments</t>
  </si>
  <si>
    <t>Capital injection from non-controlling interest</t>
  </si>
  <si>
    <t>Proceeds from nonrecourse securitization debt</t>
  </si>
  <si>
    <t>Days (Avg): Inv Days/ 1P</t>
  </si>
  <si>
    <t>Other Investments</t>
  </si>
  <si>
    <t xml:space="preserve">Deferred Revenue </t>
  </si>
  <si>
    <t>ex Deferred revenue</t>
  </si>
  <si>
    <t>Intangible assets purchase</t>
  </si>
  <si>
    <t>Land Use right</t>
  </si>
  <si>
    <t>% GMV Mix</t>
  </si>
  <si>
    <t>%Net Sales Mix</t>
  </si>
  <si>
    <t>Non-GAAP OPM of JD Mall</t>
  </si>
  <si>
    <t>Non-GAAP OPM of JD.com</t>
  </si>
  <si>
    <t>Amortization of discounts and issuance costs of unsecured senior notes</t>
  </si>
  <si>
    <t>Call options and financial products</t>
  </si>
  <si>
    <t>% GP Mix</t>
  </si>
  <si>
    <t>Rental costs</t>
  </si>
  <si>
    <t>TAG Needed</t>
  </si>
  <si>
    <t>Balance check</t>
  </si>
  <si>
    <t>1E</t>
  </si>
  <si>
    <t>Depreciation Waterfall</t>
  </si>
  <si>
    <t>Previous years</t>
  </si>
  <si>
    <t>Target Price</t>
  </si>
  <si>
    <t>Trading Price</t>
  </si>
  <si>
    <t>Target Price Implied Metrics</t>
  </si>
  <si>
    <t>2020e</t>
  </si>
  <si>
    <t>2021e</t>
  </si>
  <si>
    <t>Tradng price implied multiples</t>
  </si>
  <si>
    <t>Non GAAP NM</t>
  </si>
  <si>
    <t>Avg Depreciation on Capex</t>
  </si>
  <si>
    <t>% of Capex</t>
  </si>
  <si>
    <t>% Cost Mix</t>
  </si>
  <si>
    <t>% Mix</t>
  </si>
  <si>
    <t>1P GMV</t>
  </si>
  <si>
    <t>General &amp; Administrative Expenses</t>
  </si>
  <si>
    <t>Technology &amp; Content Expenses</t>
  </si>
  <si>
    <t>Marketing Expenses</t>
  </si>
  <si>
    <t>Fulfillment Expenses</t>
  </si>
  <si>
    <t>Net loss from discontinued operations attributable to ordinary shareholders</t>
  </si>
  <si>
    <t>(+) COGS</t>
  </si>
  <si>
    <t>1P COGS</t>
  </si>
  <si>
    <t>3P COGS</t>
  </si>
  <si>
    <t>Depreciation Assumptions</t>
  </si>
  <si>
    <t>(-) Revenue from business cooperation arrangements with equity investees</t>
  </si>
  <si>
    <t>Gross GMV -  New Definition</t>
  </si>
  <si>
    <t>% Difference</t>
  </si>
  <si>
    <t>% yoy</t>
  </si>
  <si>
    <t>% qoq</t>
  </si>
  <si>
    <t>Liabilities held for sale</t>
  </si>
  <si>
    <t>Non-GAAP Net Income to ordinary shareholders</t>
  </si>
  <si>
    <t>Deferred tax liabilities and others</t>
  </si>
  <si>
    <t>Treasury stock and others</t>
  </si>
  <si>
    <t>45</t>
  </si>
  <si>
    <t>JD.O,mscalc:dilutedEarningsPerShare,2016FY,,FYR</t>
  </si>
  <si>
    <t>JD.O,mscalc:dilutedEarningsPerShare,2019FY,,FYR</t>
  </si>
  <si>
    <t>JD.O,mscalc:dilutedEarningsPerShare,2018FY,,FYR</t>
  </si>
  <si>
    <t>JD.O,mscalc:dilutedEarningsPerShare,2017FY,,FYR</t>
  </si>
  <si>
    <t>$N$2</t>
  </si>
  <si>
    <t>(1.36759261372064)</t>
  </si>
  <si>
    <t>4.76880942367081</t>
  </si>
  <si>
    <t>2.35070912347539</t>
  </si>
  <si>
    <t>0.211703683488324</t>
  </si>
  <si>
    <t>Advertising</t>
  </si>
  <si>
    <t>Logistic and others</t>
  </si>
  <si>
    <t>% Commission</t>
  </si>
  <si>
    <t>% Advertising</t>
  </si>
  <si>
    <t>% Logistic and others</t>
  </si>
  <si>
    <t>Commission and advertising</t>
  </si>
  <si>
    <t>Total GMV - Old Definition</t>
  </si>
  <si>
    <t>Total GMV -  New Definition</t>
  </si>
  <si>
    <t>LT Debts/Nonresourse securitization debt</t>
  </si>
  <si>
    <t>Logistic and others costs</t>
  </si>
  <si>
    <t>Commission and advertising costs</t>
  </si>
  <si>
    <t>Other shareholder's equity</t>
  </si>
  <si>
    <t>%  Mix</t>
  </si>
  <si>
    <t>GMV by Categories</t>
  </si>
  <si>
    <t>GMV by B2C / C2C -Paipai.com closed down in Dec 2015</t>
  </si>
  <si>
    <t>Total Orders - quarterly</t>
  </si>
  <si>
    <t>% commission and ad GPM</t>
  </si>
  <si>
    <t>% logistic and others GPM</t>
  </si>
  <si>
    <t>GMV Drivers</t>
  </si>
  <si>
    <t>(+) Impairment of goodwill, intangible assets, and investments</t>
  </si>
  <si>
    <t>Net income from conitnuing operations attributable to ordinary shareholders</t>
  </si>
  <si>
    <t>Interest Income, net</t>
  </si>
  <si>
    <t xml:space="preserve"> Interest Expense</t>
  </si>
  <si>
    <t>Other Income / (Expense), Net</t>
  </si>
  <si>
    <t>Remeasurements &amp; Other</t>
  </si>
  <si>
    <t>&gt;&gt;Restated post JD Finance spin-off</t>
  </si>
  <si>
    <t>Net Income from conitnuing operations</t>
  </si>
  <si>
    <t>Net loss from discontinued operations</t>
  </si>
  <si>
    <t>Depreciation and Amortization</t>
  </si>
  <si>
    <t>Net Income attributable to ordinary shareholders</t>
  </si>
  <si>
    <t>GMV Annual</t>
  </si>
  <si>
    <t>Investment in securities</t>
  </si>
  <si>
    <t>Asset held for sale</t>
  </si>
  <si>
    <t>Deffered tax liabilities</t>
  </si>
  <si>
    <t>1P revenue - as % of 1P GMV</t>
  </si>
  <si>
    <t>3P revenue - as % of 3P GMV</t>
  </si>
  <si>
    <t xml:space="preserve"> Direct Sales</t>
  </si>
  <si>
    <t>Service and Others</t>
  </si>
  <si>
    <t>1P GPM</t>
  </si>
  <si>
    <t>GPM as % of Net Sales</t>
  </si>
  <si>
    <t>% 1P GPM - scenarios</t>
  </si>
  <si>
    <t>% 1P GPM - based case</t>
  </si>
  <si>
    <t>% YoY change</t>
  </si>
  <si>
    <t>% of Net Sales</t>
  </si>
  <si>
    <t>Other P&amp;L Costs</t>
  </si>
  <si>
    <t>Tax Expenses</t>
  </si>
  <si>
    <t>% Effective Tax-Rate</t>
  </si>
  <si>
    <t>% annualized interest rate</t>
  </si>
  <si>
    <t>% GAAP Margins</t>
  </si>
  <si>
    <t>% Non-GAAP Margins</t>
  </si>
  <si>
    <t>EBITDA Margin</t>
  </si>
  <si>
    <t>%Growth: Total Sales</t>
  </si>
  <si>
    <t>Total Gross Profit</t>
  </si>
  <si>
    <t>% GAAP Profits Growth</t>
  </si>
  <si>
    <t>Operating Profit</t>
  </si>
  <si>
    <t>Net Profit</t>
  </si>
  <si>
    <t>% Non-GAAP Profits Growth</t>
  </si>
  <si>
    <t>Non-GAAP Gross Profit Income</t>
  </si>
  <si>
    <t>GAAP Operating expenses</t>
  </si>
  <si>
    <t>% GAAP OPM</t>
  </si>
  <si>
    <t>Non-GAAP Metrics</t>
  </si>
  <si>
    <t>Assets</t>
  </si>
  <si>
    <t>Liabilities</t>
  </si>
  <si>
    <t>Short-term investment</t>
  </si>
  <si>
    <t>Cash paid for investment in securities</t>
  </si>
  <si>
    <t>Other changes in equity</t>
  </si>
  <si>
    <t>Summary</t>
  </si>
  <si>
    <t>Non-GAAP Gross Profit</t>
  </si>
  <si>
    <t>Non-GAAP Operating Profit</t>
  </si>
  <si>
    <t>Non-GAAP Net Profit</t>
  </si>
  <si>
    <t>% YoY</t>
  </si>
  <si>
    <t>% Margin</t>
  </si>
  <si>
    <t>GAAP GPM</t>
  </si>
  <si>
    <t>GAAP OPM</t>
  </si>
  <si>
    <t>GAAP NPM</t>
  </si>
  <si>
    <t>Non-GAAP GPM</t>
  </si>
  <si>
    <t>Total GMV - New Definition</t>
  </si>
  <si>
    <t>2022e</t>
  </si>
  <si>
    <t>Non-GAAP Operating expenses</t>
  </si>
  <si>
    <t>% Non-GAAP OPM</t>
  </si>
  <si>
    <t>Non-GAAP Pretax Profits</t>
  </si>
  <si>
    <t>2017-20e</t>
  </si>
  <si>
    <t>Statutory Tax Rate</t>
  </si>
  <si>
    <t>Net Issuance</t>
  </si>
  <si>
    <t>Fulfilment expenses Analysis - GAAP</t>
  </si>
  <si>
    <t># Counties and districs coverd by same-day delivery</t>
  </si>
  <si>
    <t># Counties and districs coverd by next-day delivery</t>
  </si>
  <si>
    <t># Total Staff</t>
  </si>
  <si>
    <t># Non-Fulfilment Staff</t>
  </si>
  <si>
    <t>Procument</t>
  </si>
  <si>
    <t>% as of total staff</t>
  </si>
  <si>
    <t>Research</t>
  </si>
  <si>
    <t>e = Morgan Stanley Research estimates unless otherwise noted</t>
  </si>
  <si>
    <t>Source: Morgan Stanley Research unless otherwise noted</t>
  </si>
  <si>
    <t>Stocks ratings are relative to the analyst's industry coverage universe.</t>
  </si>
  <si>
    <t>1 Austin Road West</t>
  </si>
  <si>
    <t>Kowloon</t>
  </si>
  <si>
    <t>Hong Kong</t>
  </si>
  <si>
    <t>Tel: +852 2848 5200</t>
  </si>
  <si>
    <t>Authors: Grace Chen, Elaine Zhang</t>
  </si>
  <si>
    <t>Date: 23 Apr 2018</t>
  </si>
  <si>
    <t>Ticker: JD.O</t>
  </si>
  <si>
    <t>Industry: China Internet and Other Services</t>
  </si>
  <si>
    <t>Industry View: In-Line</t>
  </si>
  <si>
    <t>Price as of 23 Apr 2018: 37.44</t>
  </si>
  <si>
    <t>Target Price: 40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</si>
  <si>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</si>
  <si>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</si>
  <si>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</si>
  <si>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</si>
  <si>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JD.com,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</si>
  <si>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</si>
  <si>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</si>
  <si>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</si>
  <si>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</si>
  <si>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</si>
  <si>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</si>
  <si>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</si>
  <si>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</si>
  <si>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</si>
  <si>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</si>
  <si>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</si>
  <si>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</si>
  <si>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</si>
  <si>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</si>
  <si>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</si>
  <si>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</si>
  <si>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</si>
  <si>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</si>
  <si>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</si>
  <si>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</si>
  <si>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</si>
  <si>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</si>
  <si>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</si>
  <si>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</si>
  <si>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</si>
  <si>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</si>
  <si>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</si>
  <si>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</si>
  <si>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</si>
  <si>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</si>
  <si>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</si>
  <si>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</si>
  <si>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</si>
  <si>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</si>
  <si>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</si>
  <si>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</si>
  <si>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</si>
  <si>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</si>
  <si>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</si>
  <si>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</si>
  <si>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</si>
  <si>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</si>
  <si>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</si>
  <si>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</si>
  <si>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</si>
  <si>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</si>
  <si>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</si>
  <si>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</si>
  <si>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</si>
  <si>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</si>
  <si>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</si>
  <si>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</si>
  <si>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</si>
  <si>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</si>
  <si>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</si>
  <si>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</si>
  <si>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</si>
  <si>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</si>
  <si>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</si>
  <si>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</si>
  <si>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</si>
  <si>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</si>
  <si>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</si>
  <si>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</si>
  <si>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</si>
  <si>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</si>
  <si>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</si>
  <si>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</si>
  <si>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</si>
  <si>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</si>
  <si>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</si>
  <si>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</si>
  <si>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</si>
  <si>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</si>
  <si>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</si>
  <si>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</si>
  <si>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</si>
  <si>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</si>
  <si>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</si>
  <si>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</si>
  <si>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</si>
  <si>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</si>
  <si>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</si>
  <si>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</si>
  <si>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</si>
  <si>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Certain information in Morgan Stanley Research was sourced by employees of the Shanghai Representative</t>
  </si>
  <si>
    <t>Office of Morgan Stanley Asia Limited for the use of Morgan Stanley Asia Limited.</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</si>
  <si>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</si>
  <si>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</si>
  <si>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</si>
  <si>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</si>
  <si>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</si>
  <si>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</si>
  <si>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</si>
  <si>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</si>
  <si>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</si>
  <si>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</si>
  <si>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</si>
  <si>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</si>
  <si>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</si>
  <si>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</si>
  <si>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</si>
  <si>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</si>
  <si>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</si>
  <si>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</si>
  <si>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</si>
  <si>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</si>
  <si>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</si>
  <si>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</si>
  <si>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</si>
  <si>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</si>
  <si>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</si>
  <si>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</si>
  <si>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</si>
  <si>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</si>
  <si>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</si>
  <si>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</si>
  <si>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</si>
  <si>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</si>
  <si>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</si>
  <si>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</si>
  <si>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</si>
  <si>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</si>
  <si>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</si>
  <si>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</si>
  <si>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</si>
  <si>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</si>
  <si>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</si>
  <si>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</si>
  <si>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</si>
  <si>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</si>
  <si>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</si>
  <si>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</si>
  <si>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</si>
  <si>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</si>
  <si>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</si>
  <si>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</si>
  <si>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</si>
  <si>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</si>
  <si>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</si>
  <si>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</si>
  <si>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</si>
  <si>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</si>
  <si>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</si>
  <si>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</si>
  <si>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</si>
  <si>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</si>
  <si>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</si>
  <si>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</si>
  <si>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</si>
  <si>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</si>
  <si>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</si>
  <si>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</si>
  <si>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</si>
  <si>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</si>
  <si>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</si>
  <si>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</si>
  <si>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</si>
  <si>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</si>
  <si>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</si>
  <si>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</si>
  <si>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</si>
  <si>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</si>
  <si>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</si>
  <si>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</si>
  <si>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</si>
  <si>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</si>
  <si>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</si>
  <si>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</si>
  <si>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</si>
  <si>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</si>
  <si>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</si>
  <si>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</si>
  <si>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</si>
  <si>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</si>
  <si>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</si>
  <si>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</si>
  <si>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</si>
  <si>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JD.com,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</si>
  <si>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</si>
  <si>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</si>
  <si>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</si>
  <si>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</si>
  <si>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</si>
  <si>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</si>
  <si>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</si>
  <si>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</si>
  <si>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</si>
  <si>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</si>
  <si>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</si>
  <si>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</si>
  <si>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</si>
  <si>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</si>
  <si>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</si>
  <si>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</si>
  <si>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</si>
  <si>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</si>
  <si>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</si>
  <si>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</si>
  <si>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</si>
  <si>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</si>
  <si>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</si>
  <si>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</si>
  <si>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</si>
  <si>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</si>
  <si>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</si>
  <si>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</si>
  <si>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</si>
  <si>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</si>
  <si>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</si>
  <si>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</si>
  <si>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</si>
  <si>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</si>
  <si>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</si>
  <si>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</si>
  <si>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</si>
  <si>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</si>
  <si>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</si>
  <si>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</si>
  <si>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</si>
  <si>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</si>
  <si>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</si>
  <si>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</si>
  <si>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</si>
  <si>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</si>
  <si>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</si>
  <si>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</si>
  <si>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</si>
  <si>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</si>
  <si>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</si>
  <si>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</si>
  <si>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</si>
  <si>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</si>
  <si>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</si>
  <si>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</si>
  <si>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</si>
  <si>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</si>
  <si>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</si>
  <si>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</si>
  <si>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</si>
  <si>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</si>
  <si>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</si>
  <si>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</si>
  <si>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</si>
  <si>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</si>
  <si>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</si>
  <si>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JD.com, Inc..</t>
  </si>
  <si>
    <t>In the next 3 months, Morgan Stanley expects to receive or intends to seek compensation for investment</t>
  </si>
  <si>
    <t>banking services from JD.com, Inc..</t>
  </si>
  <si>
    <t>As of March 29, 2018, Morgan Stanley beneficially owned 1% or more of a class of common equity</t>
  </si>
  <si>
    <t>securities of the following companies covered in Morgan Stanley Research: JD.com,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</si>
  <si>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</si>
  <si>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</si>
  <si>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</si>
  <si>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</si>
  <si>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</si>
  <si>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Grace Chen.</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</si>
  <si>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</si>
  <si>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</si>
  <si>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</si>
  <si>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</si>
  <si>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</si>
  <si>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</si>
  <si>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</si>
  <si>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</si>
  <si>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</si>
  <si>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</si>
  <si>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or are disseminated by Morgan</t>
  </si>
  <si>
    <t>Stanley Asia Limited (which accepts the responsibility for its contents) and/or Morgan Stanley Asia</t>
  </si>
  <si>
    <t>(Singapore) Pte. (Registration number 199206298Z) and/or Morgan Stanley Asia (Singapore) Securities Pte</t>
  </si>
  <si>
    <t>Ltd (Registration number 200008434H), regulated by the Monetary Authority of Singapore (which accepts</t>
  </si>
  <si>
    <t>legal responsibility for its contents and should be contacted with respect to any matters arising from,</t>
  </si>
  <si>
    <t>or in connection with, Morgan Stanley Research), and/or Morgan Stanley Taiwan Limited and/or Morgan</t>
  </si>
  <si>
    <t>Stanley &amp; Co International plc, Seoul Branch, and/or Morgan Stanley Australia Limited (A.B.N. 67 003 734</t>
  </si>
  <si>
    <t>576, holder of Australian financial services license No. 233742, which accepts responsibility for its</t>
  </si>
  <si>
    <t>contents), and/or Morgan Stanley Wealth Management Australia Pty Ltd (A.B.N. 19 009 145 555, holder of</t>
  </si>
  <si>
    <t>Australian financial services license No. 240813, which accepts responsibility for its contents), and/or</t>
  </si>
  <si>
    <t>Morgan Stanley India Company Private Limited, regulated by the Securities and Exchange Board of India</t>
  </si>
  <si>
    <t>(“SEBI”) and holder of licenses as a Research Analyst (SEBI Registration No. INH000001105); Stock Broker</t>
  </si>
  <si>
    <t>(BSE Registration No. INB011054237 and NSE Registration No. INB/INF231054231), Merchant Banker (SEBI</t>
  </si>
  <si>
    <t>Registration No. INM000011203), and depository participant with National Securities Depository Limited</t>
  </si>
  <si>
    <t>(SEBI Registration No. IN-DP-NSDL-372-2014) which accepts the responsibility for its contents and should</t>
  </si>
  <si>
    <t>be contacted with respect to any matters arising from, or in connection with, Morgan Stanley Research,</t>
  </si>
  <si>
    <t>and/or PT. Morgan Stanley Sekuritas Indonesia and their affiliates (collectively, "Morgan Stanley").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</si>
  <si>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</si>
  <si>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</si>
  <si>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</si>
  <si>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</si>
  <si>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</si>
  <si>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</si>
  <si>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</si>
  <si>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</si>
  <si>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</si>
  <si>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</si>
  <si>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</si>
  <si>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</si>
  <si>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</si>
  <si>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</si>
  <si>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</si>
  <si>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</si>
  <si>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</si>
  <si>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</si>
  <si>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</si>
  <si>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</si>
  <si>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</si>
  <si>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</si>
  <si>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</si>
  <si>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</si>
  <si>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</si>
  <si>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</si>
  <si>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</si>
  <si>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</si>
  <si>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</si>
  <si>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</si>
  <si>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</si>
  <si>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</si>
  <si>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</si>
  <si>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</si>
  <si>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</si>
  <si>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</si>
  <si>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</si>
  <si>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</si>
  <si>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</si>
  <si>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</si>
  <si>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</si>
  <si>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</si>
  <si>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</si>
  <si>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</si>
  <si>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</si>
  <si>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</si>
  <si>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</si>
  <si>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</si>
  <si>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</si>
  <si>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</si>
  <si>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</si>
  <si>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</si>
  <si>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</si>
  <si>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</si>
  <si>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Quarterly Update</t>
  </si>
  <si>
    <t>AsiaPacific</t>
  </si>
  <si>
    <t>zhangela</t>
  </si>
  <si>
    <t>MSA12330, MSA80NLN</t>
  </si>
  <si>
    <t>47215P106</t>
  </si>
  <si>
    <t>L:\China Internet\1. Company\JD\Model\JD_Revamp Model_1Q18 preview_v.3.xlsm</t>
  </si>
  <si>
    <t>[BRO MSA]</t>
  </si>
  <si>
    <t>[PRODUCT MODEL]</t>
  </si>
  <si>
    <t>[EMAIL_ALERT YES]</t>
  </si>
  <si>
    <t>[DISCIPLINE Company]</t>
  </si>
  <si>
    <t>[SUPPRESSED NO]</t>
  </si>
  <si>
    <t>[DOCDAT 2018-04-23]</t>
  </si>
  <si>
    <t>[DOCTIME 07:44]</t>
  </si>
  <si>
    <t>[PSYM JD.O(Reuters) (None)]</t>
  </si>
  <si>
    <t>[COU 40]</t>
  </si>
  <si>
    <t>[ANA MSA80NLN]</t>
  </si>
  <si>
    <t>[HL JD.O Model]</t>
  </si>
  <si>
    <t>[IND ]</t>
  </si>
  <si>
    <t>[PANA MSA12330]</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</si>
  <si>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</si>
  <si>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</si>
  <si>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</si>
  <si>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</si>
  <si>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</si>
  <si>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</si>
  <si>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</si>
  <si>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Stock Rating: Equal-weight</t>
  </si>
</sst>
</file>

<file path=xl/styles.xml><?xml version="1.0" encoding="utf-8"?>
<styleSheet xmlns="http://schemas.openxmlformats.org/spreadsheetml/2006/main" xmlns:mc="http://schemas.openxmlformats.org/markup-compatibility/2006" xmlns:x14ac="http://schemas.microsoft.com/office/spreadsheetml/2009/9/ac" mc:Ignorable="x14ac">
  <numFmts count="86">
    <numFmt numFmtId="5" formatCode="&quot;$&quot;#,##0_);\(&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_);\(#,##0.0\)"/>
    <numFmt numFmtId="165" formatCode="0.0"/>
    <numFmt numFmtId="166" formatCode="0.0%"/>
    <numFmt numFmtId="167" formatCode="_(* #,##0.0_);_(* \(#,##0.0\);_(* &quot;-&quot;??_);_(@_)"/>
    <numFmt numFmtId="168" formatCode="_(* #,##0_);_(* \(#,##0\);_(* &quot;-&quot;??_);_(@_)"/>
    <numFmt numFmtId="169" formatCode="_(* #,##0.000_);_(* \(#,##0.000\);_(* &quot;-&quot;??_);_(@_)"/>
    <numFmt numFmtId="170" formatCode="#,##0.0_);\(#,##0.0\);\-\-_);@_)"/>
    <numFmt numFmtId="171" formatCode="[$$-409]#,##0_);\([$$-409]#,##0\);[$$-409]\-\-_);@_)"/>
    <numFmt numFmtId="172" formatCode="#,##0%_);\(#,##0%\);\-\-\%_);@_)"/>
    <numFmt numFmtId="173" formatCode="#,##0_);\(#,##0\);\-\-_);@_)"/>
    <numFmt numFmtId="174" formatCode="m/d/yy_);;@_)"/>
    <numFmt numFmtId="175" formatCode="yyyy_);;;@_)"/>
    <numFmt numFmtId="176" formatCode="yyyy&quot;E&quot;_);;;@_)"/>
    <numFmt numFmtId="177" formatCode="&quot;$&quot;#,##0_);\(&quot;$&quot;#,##0\);&quot;$&quot;\-\-_);@_)"/>
    <numFmt numFmtId="178" formatCode="#,##0.0%_);\(#,##0.0%\);\-\-\%_);@_)"/>
    <numFmt numFmtId="179" formatCode="[$$-409]#,##0.00_);\([$$-409]#,##0.00\);[$$-409]\-\-_);@_)"/>
    <numFmt numFmtId="180" formatCode="#,##0.00_);\(#,##0.00\);\-\-_);@_)"/>
    <numFmt numFmtId="181" formatCode="#,##0.0\x_);\(#,##0.0\x\);\-\-\x_);@_)"/>
    <numFmt numFmtId="182" formatCode="0.0%_);\(0.0%\);&quot;–&quot;_)"/>
    <numFmt numFmtId="183" formatCode="[$$-409]#,##0.00_);\([$$-409]#,##0.00\)"/>
    <numFmt numFmtId="184" formatCode="[$$-409]#,##0.0_);\([$$-409]#,##0.0\);[$$-409]\-\-_);@_)"/>
    <numFmt numFmtId="185" formatCode="0.0\x_);\(0.0\x\);&quot;–&quot;_)"/>
    <numFmt numFmtId="186" formatCode="mmm\-yy_);;;@_)"/>
    <numFmt numFmtId="187" formatCode="#,##0.00%_);\(#,##0.00%\);\-\-\%_);@_)"/>
    <numFmt numFmtId="188" formatCode="yyyy_)"/>
    <numFmt numFmtId="189" formatCode="&quot;Q&quot;#_);\(&quot;Q&quot;#\);\-\-_);&quot;Q&quot;@_)"/>
    <numFmt numFmtId="190" formatCode="&quot;Q&quot;#&quot;E&quot;_);\(&quot;Q&quot;#&quot;E&quot;\);\-\-_);&quot;Q&quot;@&quot;E&quot;_)"/>
    <numFmt numFmtId="191" formatCode="0.00%_);\(0.00%\);&quot;–&quot;_)"/>
    <numFmt numFmtId="192" formatCode="&quot;$&quot;#,##0.0_);\(&quot;$&quot;#,##0.0\);&quot;$&quot;\-\-_);@_)"/>
    <numFmt numFmtId="193" formatCode="0.0_);\(0.0\)"/>
    <numFmt numFmtId="194" formatCode="#,##0.000_);\(#,##0.000\);\-\-_);@_)"/>
    <numFmt numFmtId="195" formatCode="#,##0.0_);\(#,##0.0\);#,##0.0_);@_)"/>
    <numFmt numFmtId="196" formatCode="&quot;$&quot;_(#,##0.00_);&quot;$&quot;\(#,##0.00\);&quot;$&quot;_(0.00_);@_)"/>
    <numFmt numFmtId="197" formatCode="#,##0.00_);\(#,##0.00\);0.00_);@_)"/>
    <numFmt numFmtId="198" formatCode="#,##0.0_)\x;\(#,##0.0\)\x;0.0_)\x;@_)_x"/>
    <numFmt numFmtId="199" formatCode="#,##0.0_)_x;\(#,##0.0\)_x;0.0_)_x;@_)_x"/>
    <numFmt numFmtId="200" formatCode="0.0_)\%;\(0.0\)\%;0.0_)\%;@_)_%"/>
    <numFmt numFmtId="201" formatCode="#,##0.0_)_%;\(#,##0.0\)_%;0.0_)_%;@_)_%"/>
    <numFmt numFmtId="202" formatCode="0.0%;\(0.0%\)"/>
    <numFmt numFmtId="203" formatCode="&quot;$&quot;#,##0.0_);[Red]\(&quot;$&quot;#,##0.0\)"/>
    <numFmt numFmtId="204" formatCode="0.0%_);\(0.0%\)"/>
    <numFmt numFmtId="205" formatCode="0.00\ \ \ \ "/>
    <numFmt numFmtId="206" formatCode="_ * #,##0_ ;_ * \-#,##0_ ;_ * &quot;-&quot;_ ;_ @_ "/>
    <numFmt numFmtId="207" formatCode="0.0&quot;x&quot;"/>
    <numFmt numFmtId="208" formatCode="#,##0.0"/>
    <numFmt numFmtId="209" formatCode="#,##0.000_);\(#,##0.000\)"/>
    <numFmt numFmtId="210" formatCode="#,##0.000_);[Red]\(#,##0.000\)"/>
    <numFmt numFmtId="211" formatCode="&quot;C&quot;\ &quot;´&quot;&quot;´&quot;&quot;´&quot;&quot;´&quot;\ &quot;≫&quot;&quot;≫&quot;&quot;≫&quot;&quot;≫&quot;"/>
    <numFmt numFmtId="212" formatCode="0_)"/>
    <numFmt numFmtId="213" formatCode="&quot;$&quot;#,##0.0;\(&quot;$&quot;#,##0.0\)"/>
    <numFmt numFmtId="214" formatCode="\£\ #,##0_);[Red]\(\£\ #,##0\)"/>
    <numFmt numFmtId="215" formatCode="\¥\ #,##0_);[Red]\(\¥\ #,##0\)"/>
    <numFmt numFmtId="216" formatCode="_(* #,##0.0_);_(* \(#,##0.0\);_(* &quot;--- &quot;_)"/>
    <numFmt numFmtId="217" formatCode="#,##0_);\(#,##0\);\-_)"/>
    <numFmt numFmtId="218" formatCode="General_)"/>
    <numFmt numFmtId="219" formatCode="\•\ \ @"/>
    <numFmt numFmtId="220" formatCode="0.000_)"/>
    <numFmt numFmtId="221" formatCode="#,##0;\(#,##0\);\-"/>
    <numFmt numFmtId="222" formatCode="\ \ _•\–\ \ \ \ @"/>
    <numFmt numFmtId="223" formatCode="#,##0.0;\(###0.0\)"/>
    <numFmt numFmtId="224" formatCode="_(* #,##0.0000_);_(* \(#,##0.0000\);_(* &quot;-&quot;??_);_(@_)"/>
    <numFmt numFmtId="225" formatCode="_(&quot;$&quot;* #,##0.000_);_(&quot;$&quot;* \(#,##0.000\);_(&quot;$&quot;* &quot;-&quot;??_);_(@_)"/>
    <numFmt numFmtId="226" formatCode="_ * #,##0.00_ ;_ * \-#,##0.00_ ;_ * &quot;-&quot;??_ ;_ @_ "/>
    <numFmt numFmtId="227" formatCode="mmm\-yyyy"/>
    <numFmt numFmtId="228" formatCode="#,##0.0%;[Red]\(#,##0.0%\)"/>
    <numFmt numFmtId="229" formatCode="0.00_)"/>
    <numFmt numFmtId="230" formatCode="_(* #,##0.0_);_(* \(#,##0.0\);_(* &quot;-&quot;?_);_(@_)"/>
    <numFmt numFmtId="231" formatCode="0.00000000000000000%"/>
    <numFmt numFmtId="232" formatCode="_(&quot;$&quot;* #,##0_);_(&quot;$&quot;* \(#,##0\);_(&quot;$&quot;* &quot;-&quot;??_);_(@_)"/>
    <numFmt numFmtId="233" formatCode="#,##0.0;\(#,##0.0\)"/>
    <numFmt numFmtId="234" formatCode="0.00\ "/>
    <numFmt numFmtId="235" formatCode="#,##0_)"/>
    <numFmt numFmtId="236" formatCode="_-&quot;$&quot;* #,##0_-;\-&quot;$&quot;* #,##0_-;_-&quot;$&quot;* &quot;-&quot;_-;_-@_-"/>
    <numFmt numFmtId="237" formatCode="_-&quot;$&quot;* #,##0.00_-;\-&quot;$&quot;* #,##0.00_-;_-&quot;$&quot;* &quot;-&quot;??_-;_-@_-"/>
    <numFmt numFmtId="238" formatCode="_-* #,##0_$_-;\-* #,##0_$_-;_-* &quot;-&quot;_$_-;_-@_-"/>
    <numFmt numFmtId="239" formatCode="_-* #,##0.00_$_-;\-* #,##0.00_$_-;_-* &quot;-&quot;??_$_-;_-@_-"/>
    <numFmt numFmtId="240" formatCode="_ &quot;$&quot;* #,##0.00_ ;_ &quot;$&quot;* \-#,##0.00_ ;_ &quot;$&quot;* &quot;-&quot;??_ ;_ @_ "/>
    <numFmt numFmtId="241" formatCode="&quot;$&quot;#,##0.00_);\(&quot;$&quot;#,##0.00\);&quot;$&quot;\-\-_);@_)"/>
    <numFmt numFmtId="242" formatCode="[$$-409]#,##0.00"/>
    <numFmt numFmtId="243" formatCode="mm/dd/yy\ hh:mm"/>
  </numFmts>
  <fonts count="271">
    <font>
      <sz val="10"/>
      <name val="Arial"/>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indexed="8"/>
      <name val="Arial"/>
      <family val="2"/>
    </font>
    <font>
      <sz val="10"/>
      <name val="Arial"/>
      <family val="2"/>
    </font>
    <font>
      <sz val="8"/>
      <name val="Arial"/>
      <family val="2"/>
    </font>
    <font>
      <sz val="8"/>
      <color indexed="12"/>
      <name val="Arial"/>
      <family val="2"/>
    </font>
    <font>
      <sz val="10"/>
      <name val="Times New Roman"/>
      <family val="1"/>
    </font>
    <font>
      <sz val="10"/>
      <name val="MS Sans Serif"/>
      <family val="2"/>
    </font>
    <font>
      <sz val="10"/>
      <name val="MS Sans Serif"/>
      <family val="2"/>
    </font>
    <font>
      <sz val="11"/>
      <color indexed="8"/>
      <name val="Calibri"/>
      <family val="2"/>
    </font>
    <font>
      <sz val="11"/>
      <color indexed="9"/>
      <name val="Calibri"/>
      <family val="2"/>
    </font>
    <font>
      <sz val="11"/>
      <color indexed="20"/>
      <name val="Calibri"/>
      <family val="2"/>
    </font>
    <font>
      <b/>
      <sz val="10"/>
      <color indexed="8"/>
      <name val="Times New Roman"/>
      <family val="1"/>
    </font>
    <font>
      <sz val="8"/>
      <name val="Arial"/>
      <family val="2"/>
    </font>
    <font>
      <b/>
      <sz val="11"/>
      <color indexed="52"/>
      <name val="Calibri"/>
      <family val="2"/>
    </font>
    <font>
      <b/>
      <sz val="11"/>
      <color indexed="9"/>
      <name val="Calibri"/>
      <family val="2"/>
    </font>
    <font>
      <b/>
      <sz val="8"/>
      <name val="Arial"/>
      <family val="2"/>
    </font>
    <font>
      <b/>
      <sz val="10"/>
      <name val="Arial"/>
      <family val="2"/>
    </font>
    <font>
      <sz val="10"/>
      <color indexed="8"/>
      <name val="Arial"/>
      <family val="2"/>
    </font>
    <font>
      <i/>
      <sz val="11"/>
      <color indexed="23"/>
      <name val="Calibri"/>
      <family val="2"/>
    </font>
    <font>
      <sz val="11"/>
      <color indexed="17"/>
      <name val="Calibri"/>
      <family val="2"/>
    </font>
    <font>
      <sz val="10"/>
      <name val="Arial"/>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9"/>
      <name val="Times New Roman"/>
      <family val="1"/>
    </font>
    <font>
      <sz val="10"/>
      <color indexed="8"/>
      <name val="Times New Roman"/>
      <family val="1"/>
    </font>
    <font>
      <i/>
      <sz val="8"/>
      <name val="Times New Roman"/>
      <family val="1"/>
    </font>
    <font>
      <b/>
      <sz val="18"/>
      <color indexed="62"/>
      <name val="Cambria"/>
      <family val="2"/>
    </font>
    <font>
      <b/>
      <sz val="9"/>
      <name val="Arial"/>
      <family val="2"/>
    </font>
    <font>
      <b/>
      <sz val="11"/>
      <color indexed="8"/>
      <name val="Calibri"/>
      <family val="2"/>
    </font>
    <font>
      <sz val="11"/>
      <color indexed="10"/>
      <name val="Calibri"/>
      <family val="2"/>
    </font>
    <font>
      <sz val="8"/>
      <color indexed="81"/>
      <name val="Tahoma"/>
      <family val="2"/>
    </font>
    <font>
      <sz val="10"/>
      <name val="Arial"/>
      <family val="2"/>
    </font>
    <font>
      <sz val="8"/>
      <color indexed="8"/>
      <name val="Arial"/>
      <family val="2"/>
    </font>
    <font>
      <b/>
      <sz val="8"/>
      <color indexed="61"/>
      <name val="Arial"/>
      <family val="2"/>
    </font>
    <font>
      <sz val="8"/>
      <color indexed="62"/>
      <name val="Arial"/>
      <family val="2"/>
    </font>
    <font>
      <b/>
      <u val="singleAccounting"/>
      <sz val="8"/>
      <name val="Arial"/>
      <family val="2"/>
    </font>
    <font>
      <b/>
      <u/>
      <sz val="8"/>
      <name val="Arial"/>
      <family val="2"/>
    </font>
    <font>
      <b/>
      <sz val="8"/>
      <color indexed="8"/>
      <name val="Arial"/>
      <family val="2"/>
    </font>
    <font>
      <i/>
      <sz val="8"/>
      <name val="Arial"/>
      <family val="2"/>
    </font>
    <font>
      <sz val="8"/>
      <color indexed="62"/>
      <name val="Arial"/>
      <family val="2"/>
    </font>
    <font>
      <sz val="8"/>
      <color indexed="8"/>
      <name val="Arial"/>
      <family val="2"/>
    </font>
    <font>
      <b/>
      <sz val="8"/>
      <color indexed="81"/>
      <name val="Tahoma"/>
      <family val="2"/>
    </font>
    <font>
      <b/>
      <u val="singleAccounting"/>
      <sz val="8"/>
      <name val="Arial"/>
      <family val="2"/>
    </font>
    <font>
      <b/>
      <sz val="8"/>
      <name val="Arial"/>
      <family val="2"/>
    </font>
    <font>
      <u/>
      <sz val="8"/>
      <name val="Arial"/>
      <family val="2"/>
    </font>
    <font>
      <b/>
      <sz val="8"/>
      <color indexed="62"/>
      <name val="Arial"/>
      <family val="2"/>
    </font>
    <font>
      <sz val="8"/>
      <color indexed="18"/>
      <name val="Arial"/>
      <family val="2"/>
    </font>
    <font>
      <b/>
      <sz val="8"/>
      <color indexed="18"/>
      <name val="Arial"/>
      <family val="2"/>
    </font>
    <font>
      <sz val="8"/>
      <color indexed="20"/>
      <name val="Arial"/>
      <family val="2"/>
    </font>
    <font>
      <sz val="8"/>
      <color indexed="18"/>
      <name val="Arial"/>
      <family val="2"/>
    </font>
    <font>
      <b/>
      <u/>
      <sz val="8"/>
      <name val="Arial"/>
      <family val="2"/>
    </font>
    <font>
      <sz val="10"/>
      <name val="Arial"/>
      <family val="2"/>
    </font>
    <font>
      <i/>
      <sz val="8"/>
      <name val="Arial"/>
      <family val="2"/>
    </font>
    <font>
      <sz val="10"/>
      <name val="Arial"/>
      <family val="2"/>
    </font>
    <font>
      <sz val="8"/>
      <color indexed="59"/>
      <name val="Arial"/>
      <family val="2"/>
    </font>
    <font>
      <b/>
      <u/>
      <sz val="8"/>
      <color indexed="18"/>
      <name val="Arial"/>
      <family val="2"/>
    </font>
    <font>
      <sz val="8"/>
      <color indexed="10"/>
      <name val="Arial"/>
      <family val="2"/>
    </font>
    <font>
      <sz val="10"/>
      <color indexed="10"/>
      <name val="Arial"/>
      <family val="2"/>
    </font>
    <font>
      <b/>
      <sz val="8"/>
      <color indexed="10"/>
      <name val="Arial"/>
      <family val="2"/>
    </font>
    <font>
      <sz val="8"/>
      <color indexed="9"/>
      <name val="Arial"/>
      <family val="2"/>
    </font>
    <font>
      <b/>
      <sz val="8"/>
      <color indexed="9"/>
      <name val="Arial"/>
      <family val="2"/>
    </font>
    <font>
      <b/>
      <sz val="8"/>
      <color indexed="10"/>
      <name val="Tahoma"/>
      <family val="2"/>
    </font>
    <font>
      <sz val="8"/>
      <color indexed="10"/>
      <name val="Arial"/>
      <family val="2"/>
    </font>
    <font>
      <sz val="8"/>
      <color indexed="12"/>
      <name val="Arial"/>
      <family val="2"/>
    </font>
    <font>
      <u/>
      <sz val="8"/>
      <color indexed="10"/>
      <name val="Arial"/>
      <family val="2"/>
    </font>
    <font>
      <sz val="10"/>
      <name val="GillSans"/>
      <family val="2"/>
    </font>
    <font>
      <sz val="10"/>
      <name val="Helvetica"/>
      <family val="2"/>
    </font>
    <font>
      <sz val="8"/>
      <name val="Palatino"/>
      <family val="1"/>
    </font>
    <font>
      <sz val="12"/>
      <name val="바탕체"/>
      <family val="1"/>
      <charset val="129"/>
    </font>
    <font>
      <b/>
      <sz val="8"/>
      <color indexed="12"/>
      <name val="Arial"/>
      <family val="2"/>
    </font>
    <font>
      <sz val="8"/>
      <color indexed="9"/>
      <name val="Arial"/>
      <family val="2"/>
    </font>
    <font>
      <sz val="8"/>
      <name val="Times"/>
      <family val="1"/>
    </font>
    <font>
      <sz val="12"/>
      <name val="바탕체"/>
      <family val="3"/>
    </font>
    <font>
      <b/>
      <sz val="8"/>
      <color indexed="14"/>
      <name val="Arial"/>
      <family val="2"/>
    </font>
    <font>
      <sz val="8"/>
      <color indexed="14"/>
      <name val="Arial"/>
      <family val="2"/>
    </font>
    <font>
      <b/>
      <sz val="8"/>
      <color indexed="20"/>
      <name val="Arial"/>
      <family val="2"/>
    </font>
    <font>
      <sz val="10"/>
      <color indexed="10"/>
      <name val="Arial"/>
      <family val="2"/>
    </font>
    <font>
      <b/>
      <sz val="8"/>
      <color indexed="20"/>
      <name val="Arial"/>
      <family val="2"/>
    </font>
    <font>
      <b/>
      <sz val="8"/>
      <color indexed="14"/>
      <name val="Arial"/>
      <family val="2"/>
    </font>
    <font>
      <b/>
      <sz val="8"/>
      <color indexed="9"/>
      <name val="Arial"/>
      <family val="2"/>
    </font>
    <font>
      <sz val="10"/>
      <color indexed="9"/>
      <name val="Times New Roman"/>
      <family val="1"/>
    </font>
    <font>
      <sz val="10"/>
      <name val="Geneva"/>
      <family val="2"/>
    </font>
    <font>
      <sz val="12"/>
      <name val="新細明體"/>
      <family val="1"/>
      <charset val="136"/>
    </font>
    <font>
      <sz val="10"/>
      <name val="Arial"/>
      <family val="2"/>
    </font>
    <font>
      <sz val="9"/>
      <color indexed="81"/>
      <name val="Tahoma"/>
      <family val="2"/>
    </font>
    <font>
      <b/>
      <sz val="9"/>
      <color indexed="81"/>
      <name val="Tahoma"/>
      <family val="2"/>
    </font>
    <font>
      <u/>
      <sz val="8"/>
      <color indexed="18"/>
      <name val="Arial"/>
      <family val="2"/>
    </font>
    <font>
      <sz val="8"/>
      <color indexed="56"/>
      <name val="Arial"/>
      <family val="2"/>
    </font>
    <font>
      <sz val="8"/>
      <color indexed="24"/>
      <name val="Arial"/>
      <family val="2"/>
    </font>
    <font>
      <b/>
      <sz val="8"/>
      <color indexed="24"/>
      <name val="Arial"/>
      <family val="2"/>
    </font>
    <font>
      <sz val="8"/>
      <color indexed="10"/>
      <name val="Arial"/>
      <family val="2"/>
    </font>
    <font>
      <sz val="8"/>
      <color indexed="32"/>
      <name val="Arial"/>
      <family val="2"/>
    </font>
    <font>
      <sz val="8"/>
      <color indexed="24"/>
      <name val="Arial"/>
      <family val="2"/>
    </font>
    <font>
      <b/>
      <u/>
      <sz val="8"/>
      <color indexed="24"/>
      <name val="Arial"/>
      <family val="2"/>
    </font>
    <font>
      <b/>
      <sz val="8"/>
      <color indexed="24"/>
      <name val="Arial"/>
      <family val="2"/>
    </font>
    <font>
      <sz val="10"/>
      <color indexed="24"/>
      <name val="Arial"/>
      <family val="2"/>
    </font>
    <font>
      <sz val="8"/>
      <color indexed="20"/>
      <name val="Arial"/>
      <family val="2"/>
    </font>
    <font>
      <sz val="8"/>
      <color indexed="26"/>
      <name val="Arial"/>
      <family val="2"/>
    </font>
    <font>
      <sz val="8"/>
      <color indexed="18"/>
      <name val="Arial"/>
      <family val="2"/>
    </font>
    <font>
      <b/>
      <sz val="8"/>
      <color indexed="18"/>
      <name val="Arial"/>
      <family val="2"/>
    </font>
    <font>
      <b/>
      <sz val="8"/>
      <color indexed="10"/>
      <name val="Arial"/>
      <family val="2"/>
    </font>
    <font>
      <b/>
      <sz val="8"/>
      <color indexed="17"/>
      <name val="Arial"/>
      <family val="2"/>
    </font>
    <font>
      <sz val="8"/>
      <color indexed="17"/>
      <name val="Arial"/>
      <family val="2"/>
    </font>
    <font>
      <b/>
      <sz val="8"/>
      <color indexed="9"/>
      <name val="Arial"/>
      <family val="2"/>
    </font>
    <font>
      <sz val="8"/>
      <color indexed="9"/>
      <name val="Arial"/>
      <family val="2"/>
    </font>
    <font>
      <b/>
      <sz val="8"/>
      <color indexed="26"/>
      <name val="Arial"/>
      <family val="2"/>
    </font>
    <font>
      <sz val="11"/>
      <name val="Arial"/>
      <family val="2"/>
    </font>
    <font>
      <sz val="12"/>
      <name val="Arial"/>
      <family val="2"/>
    </font>
    <font>
      <b/>
      <sz val="12"/>
      <name val="Arial"/>
      <family val="2"/>
    </font>
    <font>
      <sz val="8"/>
      <name val="Arial"/>
      <family val="2"/>
    </font>
    <font>
      <sz val="11"/>
      <color theme="1"/>
      <name val="Arial"/>
      <family val="2"/>
    </font>
    <font>
      <sz val="9"/>
      <name val="Arial"/>
      <family val="2"/>
    </font>
    <font>
      <b/>
      <sz val="11"/>
      <color rgb="FFFF0000"/>
      <name val="Arial"/>
      <family val="2"/>
    </font>
    <font>
      <sz val="8"/>
      <color rgb="FFFF0000"/>
      <name val="Arial"/>
      <family val="2"/>
    </font>
    <font>
      <u/>
      <sz val="10"/>
      <color theme="10"/>
      <name val="Arial"/>
      <family val="2"/>
    </font>
    <font>
      <b/>
      <sz val="8"/>
      <color theme="0"/>
      <name val="Arial"/>
      <family val="2"/>
    </font>
    <font>
      <sz val="8"/>
      <color theme="4"/>
      <name val="Arial"/>
      <family val="2"/>
    </font>
    <font>
      <sz val="8"/>
      <color rgb="FF7030A0"/>
      <name val="Arial"/>
      <family val="2"/>
    </font>
    <font>
      <b/>
      <sz val="8"/>
      <color theme="4"/>
      <name val="Arial"/>
      <family val="2"/>
    </font>
    <font>
      <sz val="8"/>
      <color theme="3"/>
      <name val="Arial"/>
      <family val="2"/>
    </font>
    <font>
      <b/>
      <sz val="8"/>
      <color rgb="FFFF0000"/>
      <name val="Arial"/>
      <family val="2"/>
    </font>
    <font>
      <sz val="8"/>
      <color theme="6"/>
      <name val="Arial"/>
      <family val="2"/>
    </font>
    <font>
      <b/>
      <sz val="10"/>
      <name val="Calibri"/>
      <family val="2"/>
    </font>
    <font>
      <sz val="8"/>
      <color theme="8"/>
      <name val="Arial"/>
      <family val="2"/>
    </font>
    <font>
      <b/>
      <sz val="8"/>
      <color rgb="FF7030A0"/>
      <name val="Arial"/>
      <family val="2"/>
    </font>
    <font>
      <sz val="8"/>
      <color theme="1"/>
      <name val="Arial"/>
      <family val="2"/>
    </font>
    <font>
      <sz val="10"/>
      <name val="Helv"/>
      <family val="2"/>
    </font>
    <font>
      <sz val="8"/>
      <name val="Tms Rmn"/>
    </font>
    <font>
      <sz val="10"/>
      <color indexed="8"/>
      <name val="MS Sans Serif"/>
      <family val="2"/>
    </font>
    <font>
      <sz val="10"/>
      <name val="Helvetica"/>
      <family val="2"/>
    </font>
    <font>
      <sz val="10"/>
      <name val="Courier"/>
      <family val="3"/>
    </font>
    <font>
      <sz val="12"/>
      <name val="Times New Roman"/>
      <family val="1"/>
    </font>
    <font>
      <sz val="11"/>
      <name val="‚l‚r ƒSƒVƒbƒN"/>
      <charset val="128"/>
    </font>
    <font>
      <sz val="11"/>
      <color indexed="8"/>
      <name val="宋体"/>
      <charset val="134"/>
    </font>
    <font>
      <b/>
      <sz val="8"/>
      <color indexed="63"/>
      <name val="Futura Md BT"/>
      <family val="2"/>
    </font>
    <font>
      <sz val="11"/>
      <color indexed="9"/>
      <name val="宋体"/>
      <charset val="134"/>
    </font>
    <font>
      <sz val="12"/>
      <name val="Arial MT"/>
    </font>
    <font>
      <sz val="9"/>
      <color indexed="12"/>
      <name val="Times New Roman"/>
      <family val="1"/>
    </font>
    <font>
      <sz val="8"/>
      <name val="Arial MT"/>
    </font>
    <font>
      <sz val="8"/>
      <color indexed="13"/>
      <name val="Arial"/>
      <family val="2"/>
    </font>
    <font>
      <sz val="8"/>
      <color indexed="12"/>
      <name val="Tms Rmn"/>
    </font>
    <font>
      <sz val="8"/>
      <name val="Futura Lt BT"/>
      <family val="2"/>
    </font>
    <font>
      <b/>
      <sz val="12"/>
      <name val="Times New Roman"/>
      <family val="1"/>
    </font>
    <font>
      <sz val="9"/>
      <color indexed="0"/>
      <name val="Arial"/>
      <family val="2"/>
    </font>
    <font>
      <sz val="10"/>
      <color indexed="18"/>
      <name val="Times New Roman"/>
      <family val="1"/>
    </font>
    <font>
      <b/>
      <sz val="8"/>
      <name val="GillSans"/>
    </font>
    <font>
      <sz val="11"/>
      <name val="Tms Rmn"/>
      <family val="1"/>
    </font>
    <font>
      <i/>
      <sz val="9"/>
      <name val="MS Sans Serif"/>
      <family val="2"/>
    </font>
    <font>
      <b/>
      <sz val="11"/>
      <name val="Times New Roman"/>
      <family val="1"/>
    </font>
    <font>
      <sz val="8"/>
      <name val="Times New Roman"/>
      <family val="1"/>
    </font>
    <font>
      <sz val="10"/>
      <color indexed="2"/>
      <name val="Tahoma"/>
      <family val="2"/>
    </font>
    <font>
      <sz val="14"/>
      <color indexed="32"/>
      <name val="Times New Roman"/>
      <family val="1"/>
    </font>
    <font>
      <b/>
      <sz val="10"/>
      <color indexed="0"/>
      <name val="Tahoma"/>
      <family val="2"/>
    </font>
    <font>
      <sz val="9"/>
      <name val="GillSans Light"/>
    </font>
    <font>
      <b/>
      <sz val="10"/>
      <color indexed="17"/>
      <name val="Helvetica"/>
      <family val="2"/>
    </font>
    <font>
      <b/>
      <sz val="10"/>
      <color indexed="17"/>
      <name val="Helvetica"/>
      <family val="2"/>
    </font>
    <font>
      <sz val="9"/>
      <name val="Futura UBS Bk"/>
      <family val="2"/>
    </font>
    <font>
      <sz val="10"/>
      <name val="Tahoma"/>
      <family val="2"/>
    </font>
    <font>
      <sz val="10"/>
      <color indexed="12"/>
      <name val="Times New Roman"/>
      <family val="1"/>
    </font>
    <font>
      <sz val="10"/>
      <name val="GillSans Light"/>
    </font>
    <font>
      <sz val="10"/>
      <name val="Geneva"/>
    </font>
    <font>
      <b/>
      <i/>
      <sz val="10"/>
      <color indexed="4"/>
      <name val="Tahoma"/>
      <family val="2"/>
    </font>
    <font>
      <sz val="10"/>
      <color indexed="4"/>
      <name val="Tahoma"/>
      <family val="2"/>
    </font>
    <font>
      <sz val="10"/>
      <name val="Univers (WN)"/>
    </font>
    <font>
      <sz val="7"/>
      <name val="Small Fonts"/>
      <family val="2"/>
    </font>
    <font>
      <b/>
      <i/>
      <sz val="16"/>
      <name val="Helv"/>
    </font>
    <font>
      <b/>
      <sz val="12"/>
      <name val="Tms Rmn"/>
    </font>
    <font>
      <i/>
      <sz val="10"/>
      <color indexed="54"/>
      <name val="Arial"/>
      <family val="2"/>
    </font>
    <font>
      <sz val="10"/>
      <color indexed="54"/>
      <name val="Arial"/>
      <family val="2"/>
    </font>
    <font>
      <b/>
      <sz val="13.5"/>
      <name val="MS Sans Serif"/>
      <family val="2"/>
    </font>
    <font>
      <sz val="8"/>
      <color indexed="12"/>
      <name val="Helvetica"/>
      <family val="2"/>
    </font>
    <font>
      <sz val="8"/>
      <color indexed="12"/>
      <name val="Helvetica"/>
      <family val="2"/>
    </font>
    <font>
      <sz val="12"/>
      <name val="palatino"/>
    </font>
    <font>
      <sz val="12"/>
      <name val="宋体"/>
      <charset val="134"/>
    </font>
    <font>
      <b/>
      <sz val="8"/>
      <name val="Futura Md BT"/>
      <family val="2"/>
    </font>
    <font>
      <b/>
      <sz val="10"/>
      <name val="GillSans"/>
    </font>
    <font>
      <b/>
      <sz val="11"/>
      <color indexed="9"/>
      <name val="GillSans"/>
    </font>
    <font>
      <b/>
      <sz val="11"/>
      <name val="GillSans"/>
    </font>
    <font>
      <b/>
      <sz val="9"/>
      <name val="Times New Roman"/>
      <family val="1"/>
    </font>
    <font>
      <sz val="8"/>
      <name val="Futura Md BT"/>
      <family val="2"/>
    </font>
    <font>
      <u/>
      <sz val="8"/>
      <name val="Tms Rmn"/>
    </font>
    <font>
      <sz val="8"/>
      <color indexed="16"/>
      <name val="Helv"/>
    </font>
    <font>
      <sz val="9"/>
      <name val="宋体"/>
      <charset val="134"/>
    </font>
    <font>
      <sz val="11"/>
      <color indexed="17"/>
      <name val="宋体"/>
      <charset val="134"/>
    </font>
    <font>
      <sz val="11"/>
      <color indexed="20"/>
      <name val="宋体"/>
      <charset val="134"/>
    </font>
    <font>
      <sz val="10"/>
      <name val="仿宋体"/>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8"/>
      <color indexed="62"/>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b/>
      <sz val="14"/>
      <name val="Cambria"/>
      <family val="2"/>
    </font>
    <font>
      <sz val="11"/>
      <color indexed="8"/>
      <name val="Calibri"/>
      <family val="2"/>
      <charset val="134"/>
    </font>
    <font>
      <sz val="10"/>
      <color rgb="FF9C0006"/>
      <name val="Calibri"/>
      <family val="2"/>
    </font>
    <font>
      <b/>
      <sz val="10"/>
      <color rgb="FFFA7D00"/>
      <name val="Calibri"/>
      <family val="2"/>
    </font>
    <font>
      <b/>
      <sz val="10"/>
      <color theme="0"/>
      <name val="Calibri"/>
      <family val="2"/>
    </font>
    <font>
      <i/>
      <sz val="10"/>
      <color rgb="FF7F7F7F"/>
      <name val="Calibri"/>
      <family val="2"/>
    </font>
    <font>
      <sz val="10"/>
      <color rgb="FF006100"/>
      <name val="Calibri"/>
      <family val="2"/>
    </font>
    <font>
      <b/>
      <sz val="10"/>
      <color theme="0" tint="-0.34998626667073579"/>
      <name val="Calibri"/>
      <family val="2"/>
    </font>
    <font>
      <u/>
      <sz val="11"/>
      <color theme="10"/>
      <name val="Arial"/>
      <family val="2"/>
      <scheme val="minor"/>
    </font>
    <font>
      <sz val="10"/>
      <color rgb="FF3F3F76"/>
      <name val="Calibri"/>
      <family val="2"/>
    </font>
    <font>
      <sz val="10"/>
      <color rgb="FFFA7D00"/>
      <name val="Calibri"/>
      <family val="2"/>
    </font>
    <font>
      <sz val="10"/>
      <color rgb="FF9C6500"/>
      <name val="Calibri"/>
      <family val="2"/>
    </font>
    <font>
      <sz val="10"/>
      <color theme="1"/>
      <name val="Arial"/>
      <family val="2"/>
    </font>
    <font>
      <sz val="10"/>
      <color theme="1"/>
      <name val="Calibri"/>
      <family val="2"/>
    </font>
    <font>
      <i/>
      <sz val="10"/>
      <color rgb="FF595959"/>
      <name val="Arial"/>
      <family val="2"/>
    </font>
    <font>
      <sz val="10"/>
      <color rgb="FF595959"/>
      <name val="Arial"/>
      <family val="2"/>
    </font>
    <font>
      <b/>
      <sz val="10"/>
      <color rgb="FF3F3F3F"/>
      <name val="Calibri"/>
      <family val="2"/>
    </font>
    <font>
      <sz val="10"/>
      <color rgb="FFFF0000"/>
      <name val="Calibri"/>
      <family val="2"/>
    </font>
    <font>
      <sz val="8"/>
      <color theme="0" tint="-0.34998626667073579"/>
      <name val="Arial"/>
      <family val="2"/>
    </font>
    <font>
      <sz val="10"/>
      <color theme="0"/>
      <name val="Arial"/>
      <family val="2"/>
    </font>
    <font>
      <sz val="8"/>
      <color theme="0"/>
      <name val="Arial"/>
      <family val="2"/>
    </font>
    <font>
      <sz val="8"/>
      <color rgb="FF0070C0"/>
      <name val="Arial"/>
      <family val="2"/>
    </font>
    <font>
      <b/>
      <u val="singleAccounting"/>
      <sz val="8"/>
      <color theme="0"/>
      <name val="Arial"/>
      <family val="2"/>
    </font>
    <font>
      <b/>
      <sz val="8"/>
      <color rgb="FFC00000"/>
      <name val="Arial"/>
      <family val="2"/>
    </font>
    <font>
      <sz val="8"/>
      <color rgb="FFC00000"/>
      <name val="Arial"/>
      <family val="2"/>
    </font>
    <font>
      <sz val="8"/>
      <color theme="0" tint="-0.499984740745262"/>
      <name val="Arial"/>
      <family val="2"/>
    </font>
    <font>
      <b/>
      <sz val="8"/>
      <color theme="0" tint="-0.34998626667073579"/>
      <name val="Arial"/>
      <family val="2"/>
    </font>
    <font>
      <sz val="8"/>
      <color rgb="FF00B050"/>
      <name val="Arial"/>
      <family val="2"/>
    </font>
    <font>
      <sz val="8"/>
      <color theme="5" tint="-0.499984740745262"/>
      <name val="Arial"/>
      <family val="2"/>
    </font>
    <font>
      <b/>
      <sz val="8"/>
      <color rgb="FF0070C0"/>
      <name val="Arial"/>
      <family val="2"/>
    </font>
    <font>
      <b/>
      <sz val="18"/>
      <color theme="3"/>
      <name val="Arial"/>
      <family val="2"/>
      <scheme val="major"/>
    </font>
    <font>
      <b/>
      <sz val="15"/>
      <color theme="3"/>
      <name val="Arial"/>
      <family val="2"/>
      <scheme val="minor"/>
    </font>
    <font>
      <b/>
      <sz val="13"/>
      <color theme="3"/>
      <name val="Arial"/>
      <family val="2"/>
      <scheme val="minor"/>
    </font>
    <font>
      <b/>
      <sz val="11"/>
      <color theme="3"/>
      <name val="Arial"/>
      <family val="2"/>
      <scheme val="minor"/>
    </font>
    <font>
      <sz val="11"/>
      <color rgb="FF006100"/>
      <name val="Arial"/>
      <family val="2"/>
      <scheme val="minor"/>
    </font>
    <font>
      <sz val="11"/>
      <color rgb="FF9C0006"/>
      <name val="Arial"/>
      <family val="2"/>
      <scheme val="minor"/>
    </font>
    <font>
      <sz val="11"/>
      <color rgb="FF9C65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
      <sz val="11"/>
      <color theme="0"/>
      <name val="Arial"/>
      <family val="2"/>
      <scheme val="minor"/>
    </font>
    <font>
      <b/>
      <sz val="8"/>
      <color rgb="FF00B050"/>
      <name val="Arial"/>
      <family val="2"/>
    </font>
    <font>
      <sz val="10"/>
      <color theme="0" tint="-0.499984740745262"/>
      <name val="Arial"/>
      <family val="2"/>
    </font>
    <font>
      <sz val="10"/>
      <color rgb="FF0070C0"/>
      <name val="Arial"/>
      <family val="2"/>
    </font>
    <font>
      <b/>
      <sz val="8"/>
      <color theme="8"/>
      <name val="Arial"/>
      <family val="2"/>
    </font>
    <font>
      <b/>
      <u/>
      <sz val="8"/>
      <color rgb="FF0070C0"/>
      <name val="Arial"/>
      <family val="2"/>
    </font>
    <font>
      <u/>
      <sz val="8"/>
      <color rgb="FF0070C0"/>
      <name val="Arial"/>
      <family val="2"/>
    </font>
    <font>
      <b/>
      <sz val="9"/>
      <color theme="0"/>
      <name val="Arial"/>
      <family val="2"/>
    </font>
    <font>
      <b/>
      <sz val="10"/>
      <color theme="1"/>
      <name val="Arial"/>
      <family val="2"/>
    </font>
    <font>
      <b/>
      <sz val="8"/>
      <color theme="1"/>
      <name val="Arial"/>
      <family val="2"/>
    </font>
    <font>
      <i/>
      <sz val="10"/>
      <name val="Arial"/>
      <family val="2"/>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s>
  <fills count="90">
    <fill>
      <patternFill patternType="none"/>
    </fill>
    <fill>
      <patternFill patternType="gray125"/>
    </fill>
    <fill>
      <patternFill patternType="solid">
        <fgColor indexed="9"/>
      </patternFill>
    </fill>
    <fill>
      <patternFill patternType="solid">
        <fgColor indexed="39"/>
      </patternFill>
    </fill>
    <fill>
      <patternFill patternType="solid">
        <fgColor indexed="28"/>
      </patternFill>
    </fill>
    <fill>
      <patternFill patternType="solid">
        <fgColor indexed="41"/>
      </patternFill>
    </fill>
    <fill>
      <patternFill patternType="solid">
        <fgColor indexed="22"/>
      </patternFill>
    </fill>
    <fill>
      <patternFill patternType="solid">
        <fgColor indexed="30"/>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55"/>
      </patternFill>
    </fill>
    <fill>
      <patternFill patternType="solid">
        <fgColor indexed="22"/>
        <bgColor indexed="64"/>
      </patternFill>
    </fill>
    <fill>
      <patternFill patternType="solid">
        <fgColor indexed="42"/>
      </patternFill>
    </fill>
    <fill>
      <patternFill patternType="solid">
        <fgColor indexed="43"/>
        <bgColor indexed="64"/>
      </patternFill>
    </fill>
    <fill>
      <patternFill patternType="solid">
        <fgColor indexed="9"/>
        <bgColor indexed="64"/>
      </patternFill>
    </fill>
    <fill>
      <patternFill patternType="solid">
        <fgColor indexed="8"/>
        <bgColor indexed="64"/>
      </patternFill>
    </fill>
    <fill>
      <patternFill patternType="solid">
        <fgColor indexed="60"/>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12"/>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79998168889431442"/>
        <bgColor indexed="64"/>
      </patternFill>
    </fill>
    <fill>
      <patternFill patternType="solid">
        <fgColor indexed="31"/>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6"/>
      </patternFill>
    </fill>
    <fill>
      <patternFill patternType="solid">
        <fgColor indexed="52"/>
      </patternFill>
    </fill>
    <fill>
      <patternFill patternType="solid">
        <fgColor indexed="62"/>
      </patternFill>
    </fill>
    <fill>
      <patternFill patternType="solid">
        <fgColor indexed="32"/>
        <bgColor indexed="64"/>
      </patternFill>
    </fill>
    <fill>
      <patternFill patternType="solid">
        <fgColor indexed="35"/>
        <bgColor indexed="64"/>
      </patternFill>
    </fill>
    <fill>
      <patternFill patternType="solid">
        <fgColor indexed="48"/>
      </patternFill>
    </fill>
    <fill>
      <patternFill patternType="solid">
        <fgColor indexed="26"/>
        <bgColor indexed="64"/>
      </patternFill>
    </fill>
    <fill>
      <patternFill patternType="solid">
        <fgColor indexed="43"/>
      </patternFill>
    </fill>
    <fill>
      <patternFill patternType="solid">
        <fgColor indexed="26"/>
      </patternFill>
    </fill>
    <fill>
      <patternFill patternType="mediumGray"/>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00206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AF9BD"/>
        <bgColor indexed="64"/>
      </patternFill>
    </fill>
    <fill>
      <patternFill patternType="solid">
        <fgColor theme="7" tint="0.39997558519241921"/>
        <bgColor indexed="64"/>
      </patternFill>
    </fill>
    <fill>
      <patternFill patternType="solid">
        <fgColor rgb="FFCBE7ED"/>
        <bgColor indexed="64"/>
      </patternFill>
    </fill>
    <fill>
      <patternFill patternType="solid">
        <fgColor rgb="FF003366"/>
        <bgColor indexed="64"/>
      </patternFill>
    </fill>
    <fill>
      <patternFill patternType="solid">
        <fgColor rgb="FFFFC000"/>
        <bgColor indexed="64"/>
      </patternFill>
    </fill>
    <fill>
      <patternFill patternType="solid">
        <fgColor rgb="FFFBEAE5"/>
        <bgColor indexed="64"/>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4F81BD"/>
        <bgColor indexed="64"/>
      </patternFill>
    </fill>
    <fill>
      <patternFill patternType="solid">
        <fgColor theme="5" tint="0.79998168889431442"/>
        <bgColor indexed="64"/>
      </patternFill>
    </fill>
    <fill>
      <patternFill patternType="solid">
        <fgColor indexed="65"/>
        <bgColor indexed="64"/>
      </patternFill>
    </fill>
  </fills>
  <borders count="69">
    <border>
      <left/>
      <right/>
      <top/>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style="thin">
        <color indexed="64"/>
      </right>
      <top/>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bottom style="medium">
        <color indexed="8"/>
      </bottom>
      <diagonal/>
    </border>
    <border>
      <left/>
      <right/>
      <top/>
      <bottom style="thin">
        <color indexed="64"/>
      </bottom>
      <diagonal/>
    </border>
    <border>
      <left/>
      <right/>
      <top style="hair">
        <color indexed="64"/>
      </top>
      <bottom style="hair">
        <color indexed="64"/>
      </bottom>
      <diagonal/>
    </border>
    <border>
      <left/>
      <right/>
      <top style="thin">
        <color indexed="64"/>
      </top>
      <bottom style="hair">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bottom style="hair">
        <color indexed="64"/>
      </bottom>
      <diagonal/>
    </border>
    <border>
      <left/>
      <right style="thin">
        <color indexed="64"/>
      </right>
      <top style="hair">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style="hair">
        <color indexed="64"/>
      </top>
      <bottom style="hair">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auto="1"/>
      </right>
      <top/>
      <bottom/>
      <diagonal/>
    </border>
    <border>
      <left/>
      <right/>
      <top style="thin">
        <color indexed="64"/>
      </top>
      <bottom style="medium">
        <color indexed="64"/>
      </bottom>
      <diagonal/>
    </border>
    <border>
      <left style="thin">
        <color indexed="30"/>
      </left>
      <right style="thin">
        <color indexed="30"/>
      </right>
      <top style="hair">
        <color indexed="22"/>
      </top>
      <bottom style="hair">
        <color indexed="22"/>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n">
        <color theme="4" tint="0.499984740745262"/>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indexed="64"/>
      </left>
      <right/>
      <top/>
      <bottom style="medium">
        <color indexed="8"/>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indexed="64"/>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2037">
    <xf numFmtId="0" fontId="0" fillId="0" borderId="0"/>
    <xf numFmtId="0" fontId="25" fillId="0" borderId="0"/>
    <xf numFmtId="0" fontId="7" fillId="0" borderId="0"/>
    <xf numFmtId="0" fontId="7" fillId="0" borderId="0">
      <alignment vertical="top"/>
    </xf>
    <xf numFmtId="0" fontId="25" fillId="0" borderId="0">
      <alignment vertical="top"/>
    </xf>
    <xf numFmtId="0" fontId="7" fillId="0" borderId="0">
      <alignment vertical="top"/>
    </xf>
    <xf numFmtId="0" fontId="93" fillId="0" borderId="0">
      <alignment vertical="top"/>
    </xf>
    <xf numFmtId="0" fontId="7" fillId="0" borderId="0">
      <alignment vertical="top"/>
    </xf>
    <xf numFmtId="0" fontId="7" fillId="0" borderId="0">
      <alignment vertical="top"/>
    </xf>
    <xf numFmtId="0" fontId="7" fillId="0" borderId="0">
      <alignment vertical="top"/>
    </xf>
    <xf numFmtId="0" fontId="75" fillId="0" borderId="0"/>
    <xf numFmtId="0" fontId="21" fillId="0" borderId="1" applyNumberFormat="0" applyBorder="0" applyAlignment="0">
      <alignment horizontal="left"/>
    </xf>
    <xf numFmtId="211" fontId="76"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49" fontId="10" fillId="0" borderId="0" applyProtection="0">
      <alignment horizontal="left"/>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xf numFmtId="195" fontId="25" fillId="0" borderId="0" applyFont="0" applyFill="0" applyBorder="0" applyAlignment="0" applyProtection="0"/>
    <xf numFmtId="196" fontId="25" fillId="0" borderId="0" applyFont="0" applyFill="0" applyBorder="0" applyAlignment="0" applyProtection="0"/>
    <xf numFmtId="197" fontId="25" fillId="0" borderId="0" applyFont="0" applyFill="0" applyBorder="0" applyAlignment="0" applyProtection="0"/>
    <xf numFmtId="0" fontId="22" fillId="0" borderId="0">
      <alignment vertical="top"/>
    </xf>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6" fillId="0" borderId="0"/>
    <xf numFmtId="0" fontId="25" fillId="0" borderId="0" applyNumberFormat="0" applyFill="0" applyBorder="0" applyAlignment="0" applyProtection="0"/>
    <xf numFmtId="198" fontId="25" fillId="0" borderId="0" applyFont="0" applyFill="0" applyBorder="0" applyAlignment="0" applyProtection="0"/>
    <xf numFmtId="199" fontId="25" fillId="0" borderId="0" applyFont="0" applyFill="0" applyBorder="0" applyAlignment="0" applyProtection="0"/>
    <xf numFmtId="0" fontId="25" fillId="0" borderId="0" applyNumberFormat="0" applyFill="0" applyBorder="0" applyAlignment="0" applyProtection="0"/>
    <xf numFmtId="200" fontId="25" fillId="0" borderId="0" applyFont="0" applyFill="0" applyBorder="0" applyAlignment="0" applyProtection="0"/>
    <xf numFmtId="201" fontId="25" fillId="0" borderId="0" applyFont="0" applyFill="0" applyBorder="0" applyAlignment="0" applyProtection="0"/>
    <xf numFmtId="0" fontId="76" fillId="0" borderId="0"/>
    <xf numFmtId="0" fontId="76" fillId="0" borderId="0"/>
    <xf numFmtId="0" fontId="76" fillId="0" borderId="0"/>
    <xf numFmtId="0" fontId="25" fillId="0" borderId="0" applyNumberFormat="0" applyFill="0" applyBorder="0" applyAlignment="0" applyProtection="0"/>
    <xf numFmtId="0" fontId="7" fillId="0" borderId="0"/>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applyNumberFormat="0" applyFill="0" applyBorder="0" applyAlignment="0" applyProtection="0"/>
    <xf numFmtId="0" fontId="25" fillId="0" borderId="0" applyNumberFormat="0" applyFill="0" applyBorder="0" applyAlignment="0" applyProtection="0"/>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25" fillId="0" borderId="0">
      <protection locked="0"/>
    </xf>
    <xf numFmtId="0" fontId="12" fillId="0" borderId="0"/>
    <xf numFmtId="212" fontId="11" fillId="0" borderId="0"/>
    <xf numFmtId="0" fontId="1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2" borderId="0" applyNumberFormat="0" applyBorder="0" applyAlignment="0" applyProtection="0"/>
    <xf numFmtId="0" fontId="13" fillId="5" borderId="0" applyNumberFormat="0" applyBorder="0" applyAlignment="0" applyProtection="0"/>
    <xf numFmtId="0" fontId="13" fillId="3" borderId="0" applyNumberFormat="0" applyBorder="0" applyAlignment="0" applyProtection="0"/>
    <xf numFmtId="0" fontId="13" fillId="6"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3" borderId="0" applyNumberFormat="0" applyBorder="0" applyAlignment="0" applyProtection="0"/>
    <xf numFmtId="0" fontId="14" fillId="8"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6" borderId="0" applyNumberFormat="0" applyBorder="0" applyAlignment="0" applyProtection="0"/>
    <xf numFmtId="0" fontId="14" fillId="8" borderId="0" applyNumberFormat="0" applyBorder="0" applyAlignment="0" applyProtection="0"/>
    <xf numFmtId="0" fontId="14" fillId="3" borderId="0" applyNumberFormat="0" applyBorder="0" applyAlignment="0" applyProtection="0"/>
    <xf numFmtId="0" fontId="91" fillId="0" borderId="0"/>
    <xf numFmtId="0" fontId="91" fillId="0" borderId="0"/>
    <xf numFmtId="0" fontId="91" fillId="0" borderId="0"/>
    <xf numFmtId="0" fontId="91" fillId="0" borderId="0"/>
    <xf numFmtId="0" fontId="91" fillId="0" borderId="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8" borderId="0" applyNumberFormat="0" applyBorder="0" applyAlignment="0" applyProtection="0"/>
    <xf numFmtId="0" fontId="14" fillId="12" borderId="0" applyNumberFormat="0" applyBorder="0" applyAlignment="0" applyProtection="0"/>
    <xf numFmtId="0" fontId="92" fillId="0" borderId="0" applyFont="0" applyFill="0" applyBorder="0" applyAlignment="0" applyProtection="0"/>
    <xf numFmtId="0" fontId="92" fillId="0" borderId="0" applyFont="0" applyFill="0" applyBorder="0" applyAlignment="0" applyProtection="0"/>
    <xf numFmtId="0" fontId="81" fillId="0" borderId="0"/>
    <xf numFmtId="0" fontId="92" fillId="0" borderId="0" applyFont="0" applyFill="0" applyBorder="0" applyAlignment="0" applyProtection="0"/>
    <xf numFmtId="0" fontId="92" fillId="0" borderId="0" applyFont="0" applyFill="0" applyBorder="0" applyAlignment="0" applyProtection="0"/>
    <xf numFmtId="0" fontId="15" fillId="13" borderId="0" applyNumberFormat="0" applyBorder="0" applyAlignment="0" applyProtection="0"/>
    <xf numFmtId="0" fontId="92" fillId="0" borderId="0"/>
    <xf numFmtId="0" fontId="16" fillId="0" borderId="0"/>
    <xf numFmtId="0" fontId="92" fillId="0" borderId="0"/>
    <xf numFmtId="0" fontId="18" fillId="2" borderId="2" applyNumberFormat="0" applyAlignment="0" applyProtection="0"/>
    <xf numFmtId="0" fontId="19" fillId="14" borderId="3" applyNumberFormat="0" applyAlignment="0" applyProtection="0"/>
    <xf numFmtId="43" fontId="7" fillId="0" borderId="0" applyFont="0" applyFill="0" applyBorder="0" applyAlignment="0" applyProtection="0"/>
    <xf numFmtId="43" fontId="25" fillId="0" borderId="0" applyFont="0" applyFill="0" applyBorder="0" applyAlignment="0" applyProtection="0"/>
    <xf numFmtId="43" fontId="7" fillId="0" borderId="0" applyFont="0" applyFill="0" applyBorder="0" applyAlignment="0" applyProtection="0"/>
    <xf numFmtId="43" fontId="6" fillId="0" borderId="0" applyFont="0" applyFill="0" applyBorder="0" applyAlignment="0" applyProtection="0"/>
    <xf numFmtId="202" fontId="25" fillId="15" borderId="4">
      <alignment horizontal="right"/>
    </xf>
    <xf numFmtId="0" fontId="23" fillId="0" borderId="0" applyNumberFormat="0" applyFill="0" applyBorder="0" applyAlignment="0" applyProtection="0"/>
    <xf numFmtId="203" fontId="25" fillId="15" borderId="4">
      <alignment horizontal="right"/>
    </xf>
    <xf numFmtId="0" fontId="24" fillId="16" borderId="0" applyNumberFormat="0" applyBorder="0" applyAlignment="0" applyProtection="0"/>
    <xf numFmtId="0" fontId="77" fillId="0" borderId="0" applyFont="0" applyFill="0" applyBorder="0" applyAlignment="0" applyProtection="0">
      <alignment horizontal="right"/>
    </xf>
    <xf numFmtId="0" fontId="26" fillId="0" borderId="5" applyNumberFormat="0" applyFill="0" applyAlignment="0" applyProtection="0"/>
    <xf numFmtId="0" fontId="27" fillId="0" borderId="6" applyNumberFormat="0" applyFill="0" applyAlignment="0" applyProtection="0"/>
    <xf numFmtId="0" fontId="28" fillId="0" borderId="7" applyNumberFormat="0" applyFill="0" applyAlignment="0" applyProtection="0"/>
    <xf numFmtId="0" fontId="28" fillId="0" borderId="0" applyNumberFormat="0" applyFill="0" applyBorder="0" applyAlignment="0" applyProtection="0"/>
    <xf numFmtId="0" fontId="29" fillId="3" borderId="2" applyNumberFormat="0" applyAlignment="0" applyProtection="0"/>
    <xf numFmtId="0" fontId="30" fillId="0" borderId="8" applyNumberFormat="0" applyFill="0" applyAlignment="0" applyProtection="0"/>
    <xf numFmtId="204" fontId="25" fillId="0" borderId="0">
      <alignment horizontal="right"/>
    </xf>
    <xf numFmtId="0" fontId="31" fillId="4" borderId="0" applyNumberFormat="0" applyBorder="0" applyAlignment="0" applyProtection="0"/>
    <xf numFmtId="0" fontId="25" fillId="0" borderId="0"/>
    <xf numFmtId="0" fontId="25" fillId="0" borderId="0"/>
    <xf numFmtId="0" fontId="7" fillId="0" borderId="0"/>
    <xf numFmtId="0" fontId="25" fillId="0" borderId="0"/>
    <xf numFmtId="0" fontId="25" fillId="0" borderId="0"/>
    <xf numFmtId="0" fontId="25" fillId="0" borderId="0"/>
    <xf numFmtId="0" fontId="25" fillId="0" borderId="0"/>
    <xf numFmtId="0" fontId="25" fillId="0" borderId="0"/>
    <xf numFmtId="0" fontId="120" fillId="0" borderId="0"/>
    <xf numFmtId="0" fontId="25" fillId="0" borderId="0"/>
    <xf numFmtId="0" fontId="76" fillId="0" borderId="0"/>
    <xf numFmtId="38" fontId="10" fillId="0" borderId="0" applyProtection="0"/>
    <xf numFmtId="0" fontId="25" fillId="4" borderId="9" applyNumberFormat="0" applyFont="0" applyAlignment="0" applyProtection="0"/>
    <xf numFmtId="165" fontId="25" fillId="0" borderId="0"/>
    <xf numFmtId="0" fontId="32" fillId="2" borderId="10" applyNumberFormat="0" applyAlignment="0" applyProtection="0"/>
    <xf numFmtId="0" fontId="33" fillId="0" borderId="0">
      <alignment vertical="center"/>
    </xf>
    <xf numFmtId="9" fontId="7" fillId="0" borderId="0" applyFont="0" applyFill="0" applyBorder="0" applyAlignment="0" applyProtection="0"/>
    <xf numFmtId="205" fontId="75" fillId="15" borderId="0"/>
    <xf numFmtId="0" fontId="10" fillId="0" borderId="0">
      <alignment vertical="top"/>
    </xf>
    <xf numFmtId="0" fontId="34" fillId="0" borderId="0"/>
    <xf numFmtId="0" fontId="34" fillId="0" borderId="11">
      <alignment horizontal="centerContinuous"/>
    </xf>
    <xf numFmtId="0" fontId="35" fillId="0" borderId="11"/>
    <xf numFmtId="0" fontId="7" fillId="0" borderId="0">
      <alignment vertical="top"/>
    </xf>
    <xf numFmtId="0" fontId="36" fillId="0" borderId="0" applyNumberFormat="0" applyFill="0" applyBorder="0" applyAlignment="0" applyProtection="0"/>
    <xf numFmtId="0" fontId="38" fillId="0" borderId="12" applyNumberFormat="0" applyFill="0" applyAlignment="0" applyProtection="0"/>
    <xf numFmtId="0" fontId="39" fillId="0" borderId="0" applyNumberFormat="0" applyFill="0" applyBorder="0" applyAlignment="0" applyProtection="0"/>
    <xf numFmtId="206" fontId="78" fillId="0" borderId="0" applyFont="0" applyFill="0" applyBorder="0" applyAlignment="0" applyProtection="0"/>
    <xf numFmtId="0" fontId="78" fillId="0" borderId="0" applyFont="0" applyFill="0" applyBorder="0" applyAlignment="0" applyProtection="0"/>
    <xf numFmtId="0" fontId="82"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17" borderId="0" applyNumberFormat="0" applyFont="0" applyBorder="0" applyAlignment="0" applyProtection="0"/>
    <xf numFmtId="44" fontId="7" fillId="0" borderId="0" applyFont="0" applyFill="0" applyBorder="0" applyAlignment="0" applyProtection="0"/>
    <xf numFmtId="0" fontId="5" fillId="0" borderId="0"/>
    <xf numFmtId="0" fontId="7" fillId="0" borderId="0"/>
    <xf numFmtId="9" fontId="9" fillId="0" borderId="0">
      <alignment horizontal="right"/>
    </xf>
    <xf numFmtId="0" fontId="136" fillId="0" borderId="0"/>
    <xf numFmtId="0" fontId="7" fillId="0" borderId="0"/>
    <xf numFmtId="0"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xf numFmtId="0" fontId="7" fillId="0" borderId="0" applyNumberFormat="0" applyFill="0" applyBorder="0" applyAlignment="0" applyProtection="0"/>
    <xf numFmtId="213" fontId="137" fillId="0" borderId="0">
      <alignment horizontal="right"/>
    </xf>
    <xf numFmtId="0" fontId="7" fillId="0" borderId="0"/>
    <xf numFmtId="10" fontId="7" fillId="0" borderId="0" applyFont="0" applyFill="0" applyBorder="0" applyAlignment="0" applyProtection="0"/>
    <xf numFmtId="0" fontId="7" fillId="0" borderId="0"/>
    <xf numFmtId="0" fontId="138" fillId="0" borderId="0" applyNumberFormat="0" applyFont="0" applyFill="0" applyBorder="0" applyAlignment="0" applyProtection="0"/>
    <xf numFmtId="0" fontId="7" fillId="0" borderId="0"/>
    <xf numFmtId="0" fontId="7" fillId="0" borderId="0"/>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xf numFmtId="3" fontId="121" fillId="0" borderId="0"/>
    <xf numFmtId="0" fontId="7" fillId="0" borderId="0"/>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xf numFmtId="195" fontId="7" fillId="0" borderId="0" applyFont="0" applyFill="0" applyBorder="0" applyAlignment="0" applyProtection="0"/>
    <xf numFmtId="196" fontId="7" fillId="0" borderId="0" applyFont="0" applyFill="0" applyBorder="0" applyAlignment="0" applyProtection="0"/>
    <xf numFmtId="197" fontId="7" fillId="0" borderId="0" applyFont="0" applyFill="0" applyBorder="0" applyAlignment="0" applyProtection="0"/>
    <xf numFmtId="0" fontId="7" fillId="0" borderId="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139" fillId="0" borderId="0"/>
    <xf numFmtId="0" fontId="76" fillId="0" borderId="0"/>
    <xf numFmtId="0" fontId="76" fillId="0" borderId="0"/>
    <xf numFmtId="0" fontId="139" fillId="0" borderId="0"/>
    <xf numFmtId="0" fontId="139" fillId="0" borderId="0"/>
    <xf numFmtId="0" fontId="139" fillId="0" borderId="0"/>
    <xf numFmtId="0" fontId="7" fillId="0" borderId="0"/>
    <xf numFmtId="0" fontId="7" fillId="0" borderId="0" applyNumberFormat="0" applyFill="0" applyBorder="0" applyAlignment="0" applyProtection="0"/>
    <xf numFmtId="0" fontId="140" fillId="0" borderId="0">
      <alignment vertical="center"/>
    </xf>
    <xf numFmtId="198" fontId="7" fillId="0" borderId="0" applyFont="0" applyFill="0" applyBorder="0" applyAlignment="0" applyProtection="0"/>
    <xf numFmtId="199" fontId="7" fillId="0" borderId="0" applyFont="0" applyFill="0" applyBorder="0" applyAlignment="0" applyProtection="0"/>
    <xf numFmtId="0" fontId="7" fillId="0" borderId="0" applyFont="0" applyFill="0" applyBorder="0" applyAlignment="0" applyProtection="0"/>
    <xf numFmtId="0" fontId="7" fillId="0" borderId="0" applyNumberFormat="0" applyFill="0" applyBorder="0" applyAlignment="0" applyProtection="0"/>
    <xf numFmtId="200" fontId="7" fillId="0" borderId="0" applyFont="0" applyFill="0" applyBorder="0" applyAlignment="0" applyProtection="0"/>
    <xf numFmtId="201" fontId="7" fillId="0" borderId="0" applyFont="0" applyFill="0" applyBorder="0" applyAlignment="0" applyProtection="0"/>
    <xf numFmtId="0" fontId="7" fillId="0" borderId="0" applyFont="0" applyFill="0" applyBorder="0" applyAlignment="0" applyProtection="0"/>
    <xf numFmtId="0" fontId="7" fillId="0" borderId="0"/>
    <xf numFmtId="0" fontId="7" fillId="0" borderId="0"/>
    <xf numFmtId="0" fontId="7" fillId="0" borderId="0"/>
    <xf numFmtId="0" fontId="7" fillId="0" borderId="0" applyNumberFormat="0" applyFill="0" applyBorder="0" applyAlignment="0" applyProtection="0"/>
    <xf numFmtId="0" fontId="7" fillId="0" borderId="0"/>
    <xf numFmtId="0" fontId="7" fillId="0" borderId="0" applyFont="0" applyFill="0" applyBorder="0" applyAlignment="0" applyProtection="0"/>
    <xf numFmtId="0" fontId="7" fillId="0" borderId="0"/>
    <xf numFmtId="3" fontId="12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3" fontId="121" fillId="0" borderId="0"/>
    <xf numFmtId="0" fontId="7" fillId="0" borderId="0"/>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applyNumberFormat="0" applyFill="0" applyBorder="0" applyAlignment="0" applyProtection="0"/>
    <xf numFmtId="0" fontId="7" fillId="0" borderId="0"/>
    <xf numFmtId="0" fontId="7" fillId="0" borderId="0" applyNumberFormat="0" applyFill="0" applyBorder="0" applyAlignment="0" applyProtection="0"/>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44" fontId="10" fillId="0" borderId="0" applyFont="0" applyFill="0" applyBorder="0" applyAlignment="0" applyProtection="0"/>
    <xf numFmtId="42" fontId="10" fillId="0" borderId="0" applyFont="0" applyFill="0" applyBorder="0" applyAlignment="0" applyProtection="0"/>
    <xf numFmtId="214" fontId="141" fillId="0" borderId="0" applyFont="0" applyFill="0" applyBorder="0" applyAlignment="0" applyProtection="0"/>
    <xf numFmtId="215" fontId="141" fillId="0" borderId="0" applyFont="0" applyFill="0" applyBorder="0" applyAlignment="0" applyProtection="0"/>
    <xf numFmtId="0" fontId="7" fillId="0" borderId="0"/>
    <xf numFmtId="0" fontId="141" fillId="0" borderId="0" applyNumberFormat="0" applyFill="0" applyBorder="0" applyAlignment="0" applyProtection="0"/>
    <xf numFmtId="0" fontId="140" fillId="0" borderId="0">
      <alignment vertical="center"/>
    </xf>
    <xf numFmtId="0" fontId="7" fillId="0" borderId="0"/>
    <xf numFmtId="0" fontId="7" fillId="0" borderId="0"/>
    <xf numFmtId="0" fontId="142" fillId="0" borderId="0"/>
    <xf numFmtId="0" fontId="10" fillId="0" borderId="0"/>
    <xf numFmtId="0" fontId="11" fillId="0" borderId="0"/>
    <xf numFmtId="9" fontId="7" fillId="0" borderId="0"/>
    <xf numFmtId="0" fontId="11" fillId="0" borderId="0"/>
    <xf numFmtId="0" fontId="11" fillId="0" borderId="0"/>
    <xf numFmtId="0" fontId="11" fillId="0" borderId="0"/>
    <xf numFmtId="2" fontId="11" fillId="0" borderId="0"/>
    <xf numFmtId="10" fontId="11" fillId="0" borderId="0"/>
    <xf numFmtId="2"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4" fontId="7" fillId="0" borderId="0"/>
    <xf numFmtId="0" fontId="143" fillId="29" borderId="0" applyNumberFormat="0" applyBorder="0" applyAlignment="0" applyProtection="0">
      <alignment vertical="center"/>
    </xf>
    <xf numFmtId="0" fontId="143" fillId="13" borderId="0" applyNumberFormat="0" applyBorder="0" applyAlignment="0" applyProtection="0">
      <alignment vertical="center"/>
    </xf>
    <xf numFmtId="0" fontId="143" fillId="16" borderId="0" applyNumberFormat="0" applyBorder="0" applyAlignment="0" applyProtection="0">
      <alignment vertical="center"/>
    </xf>
    <xf numFmtId="0" fontId="143" fillId="30" borderId="0" applyNumberFormat="0" applyBorder="0" applyAlignment="0" applyProtection="0">
      <alignment vertical="center"/>
    </xf>
    <xf numFmtId="0" fontId="143" fillId="31" borderId="0" applyNumberFormat="0" applyBorder="0" applyAlignment="0" applyProtection="0">
      <alignment vertical="center"/>
    </xf>
    <xf numFmtId="0" fontId="143" fillId="32" borderId="0" applyNumberFormat="0" applyBorder="0" applyAlignment="0" applyProtection="0">
      <alignment vertical="center"/>
    </xf>
    <xf numFmtId="0" fontId="144" fillId="0" borderId="1">
      <alignment horizontal="center" vertical="center"/>
    </xf>
    <xf numFmtId="0" fontId="7" fillId="0" borderId="0"/>
    <xf numFmtId="0" fontId="143" fillId="33" borderId="0" applyNumberFormat="0" applyBorder="0" applyAlignment="0" applyProtection="0">
      <alignment vertical="center"/>
    </xf>
    <xf numFmtId="0" fontId="143" fillId="34" borderId="0" applyNumberFormat="0" applyBorder="0" applyAlignment="0" applyProtection="0">
      <alignment vertical="center"/>
    </xf>
    <xf numFmtId="0" fontId="143" fillId="35" borderId="0" applyNumberFormat="0" applyBorder="0" applyAlignment="0" applyProtection="0">
      <alignment vertical="center"/>
    </xf>
    <xf numFmtId="0" fontId="143" fillId="30" borderId="0" applyNumberFormat="0" applyBorder="0" applyAlignment="0" applyProtection="0">
      <alignment vertical="center"/>
    </xf>
    <xf numFmtId="0" fontId="143" fillId="33" borderId="0" applyNumberFormat="0" applyBorder="0" applyAlignment="0" applyProtection="0">
      <alignment vertical="center"/>
    </xf>
    <xf numFmtId="0" fontId="143" fillId="36" borderId="0" applyNumberFormat="0" applyBorder="0" applyAlignment="0" applyProtection="0">
      <alignment vertical="center"/>
    </xf>
    <xf numFmtId="0" fontId="145" fillId="7" borderId="0" applyNumberFormat="0" applyBorder="0" applyAlignment="0" applyProtection="0">
      <alignment vertical="center"/>
    </xf>
    <xf numFmtId="0" fontId="145" fillId="34" borderId="0" applyNumberFormat="0" applyBorder="0" applyAlignment="0" applyProtection="0">
      <alignment vertical="center"/>
    </xf>
    <xf numFmtId="0" fontId="145" fillId="35" borderId="0" applyNumberFormat="0" applyBorder="0" applyAlignment="0" applyProtection="0">
      <alignment vertical="center"/>
    </xf>
    <xf numFmtId="0" fontId="145" fillId="37" borderId="0" applyNumberFormat="0" applyBorder="0" applyAlignment="0" applyProtection="0">
      <alignment vertical="center"/>
    </xf>
    <xf numFmtId="0" fontId="145" fillId="8" borderId="0" applyNumberFormat="0" applyBorder="0" applyAlignment="0" applyProtection="0">
      <alignment vertical="center"/>
    </xf>
    <xf numFmtId="0" fontId="145" fillId="38" borderId="0" applyNumberFormat="0" applyBorder="0" applyAlignment="0" applyProtection="0">
      <alignment vertical="center"/>
    </xf>
    <xf numFmtId="37" fontId="146" fillId="0" borderId="0">
      <alignment horizontal="center"/>
    </xf>
    <xf numFmtId="216" fontId="147" fillId="0" borderId="0" applyFont="0" applyFill="0" applyBorder="0" applyAlignment="0" applyProtection="0"/>
    <xf numFmtId="217" fontId="8" fillId="0" borderId="0" applyFont="0" applyFill="0" applyBorder="0" applyProtection="0"/>
    <xf numFmtId="218" fontId="148" fillId="0" borderId="0">
      <alignment horizontal="left"/>
    </xf>
    <xf numFmtId="0" fontId="212" fillId="47" borderId="0" applyNumberFormat="0" applyBorder="0" applyAlignment="0" applyProtection="0"/>
    <xf numFmtId="1" fontId="149" fillId="40" borderId="19" applyNumberFormat="0" applyBorder="0" applyAlignment="0">
      <alignment horizontal="center" vertical="top" wrapText="1"/>
      <protection hidden="1"/>
    </xf>
    <xf numFmtId="0" fontId="150" fillId="0" borderId="0" applyNumberFormat="0" applyFill="0" applyBorder="0" applyAlignment="0" applyProtection="0"/>
    <xf numFmtId="0" fontId="151" fillId="0" borderId="1" applyNumberFormat="0">
      <alignment horizontal="right" vertical="center"/>
    </xf>
    <xf numFmtId="0" fontId="152" fillId="0" borderId="14" applyNumberFormat="0" applyFill="0" applyAlignment="0" applyProtection="0"/>
    <xf numFmtId="219" fontId="141"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213" fillId="48" borderId="50" applyNumberFormat="0" applyAlignment="0" applyProtection="0"/>
    <xf numFmtId="0" fontId="153" fillId="0" borderId="0">
      <alignment horizontal="right" vertical="center"/>
    </xf>
    <xf numFmtId="0" fontId="137" fillId="0" borderId="0">
      <alignment horizontal="right"/>
    </xf>
    <xf numFmtId="1" fontId="154" fillId="0" borderId="0"/>
    <xf numFmtId="0" fontId="214" fillId="49" borderId="51" applyNumberFormat="0" applyAlignment="0" applyProtection="0"/>
    <xf numFmtId="0" fontId="155" fillId="0" borderId="14" applyNumberFormat="0" applyFill="0" applyProtection="0">
      <alignment horizontal="left" vertical="center"/>
    </xf>
    <xf numFmtId="165" fontId="20" fillId="0" borderId="0" applyBorder="0">
      <alignment horizontal="right"/>
    </xf>
    <xf numFmtId="165" fontId="20" fillId="0" borderId="26" applyAlignment="0">
      <alignment horizontal="right"/>
    </xf>
    <xf numFmtId="43" fontId="13" fillId="0" borderId="0" applyFont="0" applyFill="0" applyBorder="0" applyAlignment="0" applyProtection="0"/>
    <xf numFmtId="220" fontId="156" fillId="0" borderId="0"/>
    <xf numFmtId="220" fontId="156" fillId="0" borderId="0"/>
    <xf numFmtId="220" fontId="156" fillId="0" borderId="0"/>
    <xf numFmtId="220" fontId="156" fillId="0" borderId="0"/>
    <xf numFmtId="220" fontId="156" fillId="0" borderId="0"/>
    <xf numFmtId="220" fontId="156" fillId="0" borderId="0"/>
    <xf numFmtId="220" fontId="156" fillId="0" borderId="0"/>
    <xf numFmtId="220" fontId="156" fillId="0" borderId="0"/>
    <xf numFmtId="43" fontId="7"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221" fontId="211" fillId="0" borderId="0" applyFont="0" applyFill="0" applyBorder="0" applyAlignment="0" applyProtection="0">
      <alignment vertical="center"/>
    </xf>
    <xf numFmtId="43" fontId="7" fillId="0" borderId="0" applyFont="0" applyFill="0" applyBorder="0" applyAlignment="0" applyProtection="0"/>
    <xf numFmtId="43" fontId="7" fillId="0" borderId="0" applyFont="0" applyFill="0" applyBorder="0" applyAlignment="0" applyProtection="0"/>
    <xf numFmtId="43" fontId="42" fillId="0" borderId="0" applyFont="0" applyFill="0" applyBorder="0" applyAlignment="0" applyProtection="0"/>
    <xf numFmtId="43" fontId="42" fillId="0" borderId="0" applyFont="0" applyFill="0" applyBorder="0" applyAlignment="0" applyProtection="0"/>
    <xf numFmtId="43" fontId="42" fillId="0" borderId="0" applyFont="0" applyFill="0" applyBorder="0" applyAlignment="0" applyProtection="0"/>
    <xf numFmtId="43" fontId="42" fillId="0" borderId="0" applyFont="0" applyFill="0" applyBorder="0" applyAlignment="0" applyProtection="0"/>
    <xf numFmtId="0" fontId="157" fillId="0" borderId="0"/>
    <xf numFmtId="0" fontId="158" fillId="0" borderId="0" applyFill="0" applyBorder="0">
      <alignment horizontal="left"/>
    </xf>
    <xf numFmtId="202" fontId="7" fillId="15" borderId="44">
      <alignment horizontal="right"/>
    </xf>
    <xf numFmtId="222" fontId="141" fillId="0" borderId="0" applyFont="0" applyFill="0" applyBorder="0" applyAlignment="0" applyProtection="0"/>
    <xf numFmtId="14" fontId="21" fillId="0" borderId="1" applyFont="0">
      <alignment horizontal="right"/>
    </xf>
    <xf numFmtId="0" fontId="10" fillId="0" borderId="0"/>
    <xf numFmtId="0" fontId="159" fillId="0" borderId="0"/>
    <xf numFmtId="223" fontId="137" fillId="0" borderId="0">
      <alignment horizontal="right"/>
    </xf>
    <xf numFmtId="0" fontId="159" fillId="0" borderId="0"/>
    <xf numFmtId="0" fontId="137" fillId="0" borderId="0"/>
    <xf numFmtId="5" fontId="22" fillId="0" borderId="0" applyFont="0" applyFill="0" applyBorder="0" applyAlignment="0" applyProtection="0">
      <protection locked="0"/>
    </xf>
    <xf numFmtId="0" fontId="215" fillId="0" borderId="0" applyNumberFormat="0" applyFill="0" applyBorder="0" applyAlignment="0" applyProtection="0"/>
    <xf numFmtId="0" fontId="160" fillId="0" borderId="0"/>
    <xf numFmtId="1" fontId="161" fillId="41" borderId="22" applyNumberFormat="0" applyBorder="0" applyAlignment="0">
      <alignment horizontal="centerContinuous" vertical="center"/>
      <protection locked="0"/>
    </xf>
    <xf numFmtId="0" fontId="162" fillId="42" borderId="0"/>
    <xf numFmtId="0" fontId="137" fillId="0" borderId="0"/>
    <xf numFmtId="0" fontId="151" fillId="0" borderId="0" applyNumberFormat="0">
      <alignment horizontal="left"/>
    </xf>
    <xf numFmtId="0" fontId="163" fillId="0" borderId="0" applyNumberFormat="0" applyFill="0" applyBorder="0" applyProtection="0">
      <alignment horizontal="left" vertical="center"/>
    </xf>
    <xf numFmtId="0" fontId="151" fillId="0" borderId="46" applyNumberFormat="0" applyBorder="0">
      <alignment horizontal="right"/>
    </xf>
    <xf numFmtId="203" fontId="7" fillId="15" borderId="44">
      <alignment horizontal="right"/>
    </xf>
    <xf numFmtId="49" fontId="8" fillId="0" borderId="0" applyFill="0" applyBorder="0"/>
    <xf numFmtId="49" fontId="7" fillId="0" borderId="0"/>
    <xf numFmtId="49" fontId="7" fillId="0" borderId="0" applyFill="0" applyBorder="0">
      <alignment horizontal="right" vertical="center"/>
    </xf>
    <xf numFmtId="49" fontId="7" fillId="0" borderId="0" applyFill="0" applyBorder="0">
      <alignment horizontal="right" vertical="center"/>
    </xf>
    <xf numFmtId="0" fontId="216" fillId="50" borderId="0" applyNumberFormat="0" applyBorder="0" applyAlignment="0" applyProtection="0"/>
    <xf numFmtId="0" fontId="164" fillId="0" borderId="0"/>
    <xf numFmtId="0" fontId="165" fillId="0" borderId="0"/>
    <xf numFmtId="38" fontId="8" fillId="15" borderId="0" applyNumberFormat="0" applyBorder="0" applyAlignment="0" applyProtection="0"/>
    <xf numFmtId="166" fontId="7" fillId="23" borderId="25" applyNumberFormat="0" applyFont="0" applyBorder="0" applyAlignment="0" applyProtection="0"/>
    <xf numFmtId="164" fontId="166" fillId="23" borderId="0" applyNumberFormat="0" applyFont="0" applyAlignment="0"/>
    <xf numFmtId="0" fontId="118" fillId="0" borderId="43" applyNumberFormat="0" applyAlignment="0" applyProtection="0">
      <alignment horizontal="left" vertical="center"/>
    </xf>
    <xf numFmtId="0" fontId="118" fillId="0" borderId="1">
      <alignment horizontal="left" vertical="center"/>
    </xf>
    <xf numFmtId="0" fontId="132" fillId="0" borderId="14" applyNumberFormat="0" applyFill="0" applyAlignment="0" applyProtection="0"/>
    <xf numFmtId="0" fontId="217" fillId="0" borderId="52" applyNumberFormat="0" applyFill="0" applyAlignment="0" applyProtection="0"/>
    <xf numFmtId="0" fontId="132" fillId="0" borderId="0" applyNumberFormat="0" applyFill="0" applyBorder="0" applyAlignment="0" applyProtection="0"/>
    <xf numFmtId="0" fontId="217" fillId="0" borderId="0" applyNumberFormat="0" applyFill="0" applyBorder="0" applyAlignment="0" applyProtection="0"/>
    <xf numFmtId="0" fontId="167" fillId="0" borderId="0">
      <alignment wrapText="1"/>
    </xf>
    <xf numFmtId="0" fontId="218" fillId="0" borderId="0" applyNumberFormat="0" applyFill="0" applyBorder="0" applyAlignment="0" applyProtection="0"/>
    <xf numFmtId="0" fontId="124" fillId="0" borderId="0" applyNumberFormat="0" applyFill="0" applyBorder="0" applyAlignment="0" applyProtection="0"/>
    <xf numFmtId="0" fontId="7" fillId="0" borderId="0">
      <alignment vertical="top"/>
    </xf>
    <xf numFmtId="10" fontId="8" fillId="43" borderId="25" applyNumberFormat="0" applyBorder="0" applyAlignment="0" applyProtection="0"/>
    <xf numFmtId="0" fontId="219" fillId="51" borderId="50" applyNumberFormat="0" applyAlignment="0" applyProtection="0"/>
    <xf numFmtId="0" fontId="168" fillId="0" borderId="0" applyNumberFormat="0" applyFill="0" applyBorder="0" applyAlignment="0">
      <protection locked="0"/>
    </xf>
    <xf numFmtId="0" fontId="137" fillId="0" borderId="0"/>
    <xf numFmtId="0" fontId="7" fillId="0" borderId="0">
      <alignment vertical="top"/>
    </xf>
    <xf numFmtId="0" fontId="169" fillId="0" borderId="0" applyNumberFormat="0" applyFill="0" applyBorder="0" applyProtection="0">
      <alignment horizontal="left" vertical="center"/>
    </xf>
    <xf numFmtId="0" fontId="220" fillId="0" borderId="53" applyNumberFormat="0" applyFill="0" applyAlignment="0" applyProtection="0"/>
    <xf numFmtId="204" fontId="7" fillId="0" borderId="0">
      <alignment horizontal="right"/>
    </xf>
    <xf numFmtId="224" fontId="7" fillId="0" borderId="0">
      <alignment horizontal="right"/>
    </xf>
    <xf numFmtId="224" fontId="7" fillId="0" borderId="0">
      <alignment horizontal="right"/>
    </xf>
    <xf numFmtId="224" fontId="7" fillId="0" borderId="0">
      <alignment horizontal="right"/>
    </xf>
    <xf numFmtId="0" fontId="170" fillId="0" borderId="0"/>
    <xf numFmtId="0" fontId="170" fillId="0" borderId="0"/>
    <xf numFmtId="225" fontId="7" fillId="0" borderId="0"/>
    <xf numFmtId="0" fontId="170" fillId="0" borderId="0"/>
    <xf numFmtId="0" fontId="141" fillId="0" borderId="0"/>
    <xf numFmtId="224" fontId="7" fillId="0" borderId="0">
      <alignment horizontal="right"/>
    </xf>
    <xf numFmtId="224" fontId="7" fillId="0" borderId="0">
      <alignment horizontal="right"/>
    </xf>
    <xf numFmtId="224" fontId="7" fillId="0" borderId="0">
      <alignment horizontal="right"/>
    </xf>
    <xf numFmtId="0" fontId="170" fillId="0" borderId="0"/>
    <xf numFmtId="0" fontId="170" fillId="0" borderId="0"/>
    <xf numFmtId="225" fontId="7" fillId="0" borderId="0"/>
    <xf numFmtId="0" fontId="170" fillId="0" borderId="0"/>
    <xf numFmtId="0" fontId="141" fillId="0" borderId="0"/>
    <xf numFmtId="224" fontId="7" fillId="0" borderId="0">
      <alignment horizontal="right"/>
    </xf>
    <xf numFmtId="224" fontId="7" fillId="0" borderId="0">
      <alignment horizontal="right"/>
    </xf>
    <xf numFmtId="224" fontId="7" fillId="0" borderId="0">
      <alignment horizontal="right"/>
    </xf>
    <xf numFmtId="0" fontId="170" fillId="0" borderId="0"/>
    <xf numFmtId="0" fontId="170" fillId="0" borderId="0"/>
    <xf numFmtId="0" fontId="162" fillId="0" borderId="0"/>
    <xf numFmtId="0" fontId="171" fillId="0" borderId="0"/>
    <xf numFmtId="0" fontId="172" fillId="0" borderId="0"/>
    <xf numFmtId="226" fontId="7" fillId="0" borderId="0" applyFont="0" applyFill="0" applyBorder="0" applyAlignment="0" applyProtection="0"/>
    <xf numFmtId="0" fontId="7" fillId="0" borderId="0" applyFont="0" applyFill="0" applyBorder="0" applyAlignment="0" applyProtection="0"/>
    <xf numFmtId="0" fontId="173" fillId="0" borderId="0" applyFont="0" applyFill="0" applyBorder="0" applyAlignment="0" applyProtection="0"/>
    <xf numFmtId="227" fontId="8" fillId="43" borderId="0">
      <alignment horizontal="center"/>
    </xf>
    <xf numFmtId="0" fontId="170" fillId="0" borderId="0"/>
    <xf numFmtId="0" fontId="170" fillId="0" borderId="0"/>
    <xf numFmtId="228" fontId="170" fillId="0" borderId="0"/>
    <xf numFmtId="0" fontId="170" fillId="0" borderId="0"/>
    <xf numFmtId="0" fontId="170" fillId="0" borderId="0"/>
    <xf numFmtId="228" fontId="170" fillId="0" borderId="0"/>
    <xf numFmtId="0" fontId="170" fillId="0" borderId="0"/>
    <xf numFmtId="0" fontId="170" fillId="0" borderId="0"/>
    <xf numFmtId="0" fontId="170" fillId="0" borderId="0"/>
    <xf numFmtId="0" fontId="170" fillId="0" borderId="0"/>
    <xf numFmtId="0" fontId="141" fillId="0" borderId="0"/>
    <xf numFmtId="0" fontId="170" fillId="0" borderId="0"/>
    <xf numFmtId="225" fontId="7" fillId="0" borderId="0"/>
    <xf numFmtId="0" fontId="170" fillId="0" borderId="0"/>
    <xf numFmtId="0" fontId="141" fillId="0" borderId="0"/>
    <xf numFmtId="0" fontId="7" fillId="0" borderId="0" applyNumberFormat="0" applyFill="0" applyBorder="0" applyProtection="0">
      <alignment horizontal="right" vertical="center"/>
    </xf>
    <xf numFmtId="0" fontId="221" fillId="52" borderId="0" applyNumberFormat="0" applyBorder="0" applyAlignment="0" applyProtection="0"/>
    <xf numFmtId="37" fontId="174" fillId="0" borderId="0"/>
    <xf numFmtId="229" fontId="175" fillId="0" borderId="0"/>
    <xf numFmtId="0" fontId="135" fillId="0" borderId="0"/>
    <xf numFmtId="0" fontId="135" fillId="0" borderId="0"/>
    <xf numFmtId="0" fontId="135" fillId="0" borderId="0"/>
    <xf numFmtId="0" fontId="222" fillId="0" borderId="0"/>
    <xf numFmtId="0" fontId="5" fillId="0" borderId="0"/>
    <xf numFmtId="0" fontId="7" fillId="0" borderId="0"/>
    <xf numFmtId="0" fontId="7" fillId="0" borderId="0">
      <alignment vertical="center"/>
    </xf>
    <xf numFmtId="0" fontId="7" fillId="0" borderId="0"/>
    <xf numFmtId="0" fontId="7" fillId="0" borderId="0"/>
    <xf numFmtId="0" fontId="7" fillId="0" borderId="0"/>
    <xf numFmtId="0" fontId="7" fillId="0" borderId="0"/>
    <xf numFmtId="0" fontId="222" fillId="0" borderId="0"/>
    <xf numFmtId="0" fontId="7" fillId="0" borderId="0"/>
    <xf numFmtId="0" fontId="222" fillId="0" borderId="0"/>
    <xf numFmtId="0" fontId="7" fillId="0" borderId="0"/>
    <xf numFmtId="0" fontId="5" fillId="0" borderId="0"/>
    <xf numFmtId="0" fontId="7" fillId="0" borderId="0"/>
    <xf numFmtId="0" fontId="7" fillId="0" borderId="0"/>
    <xf numFmtId="0" fontId="7" fillId="0" borderId="0"/>
    <xf numFmtId="0" fontId="135" fillId="0" borderId="0"/>
    <xf numFmtId="0" fontId="176" fillId="0" borderId="0"/>
    <xf numFmtId="0" fontId="223" fillId="53" borderId="54" applyNumberFormat="0" applyAlignment="0" applyProtection="0"/>
    <xf numFmtId="230" fontId="9" fillId="0" borderId="0" applyFont="0" applyFill="0" applyBorder="0" applyProtection="0">
      <alignment horizontal="right"/>
    </xf>
    <xf numFmtId="208" fontId="224" fillId="0" borderId="0" applyFill="0" applyBorder="0" applyProtection="0">
      <alignment horizontal="right" vertical="center"/>
    </xf>
    <xf numFmtId="208" fontId="177" fillId="0" borderId="0" applyFill="0" applyBorder="0" applyProtection="0">
      <alignment horizontal="right" vertical="center"/>
    </xf>
    <xf numFmtId="208" fontId="225" fillId="0" borderId="0" applyFill="0" applyBorder="0" applyProtection="0">
      <alignment horizontal="right" vertical="center"/>
    </xf>
    <xf numFmtId="208" fontId="178" fillId="0" borderId="0" applyFill="0" applyBorder="0" applyProtection="0">
      <alignment horizontal="right" vertical="center"/>
    </xf>
    <xf numFmtId="43" fontId="10" fillId="0" borderId="0" applyFont="0" applyFill="0" applyBorder="0" applyAlignment="0" applyProtection="0"/>
    <xf numFmtId="41" fontId="10" fillId="0" borderId="0" applyFont="0" applyFill="0" applyBorder="0" applyAlignment="0" applyProtection="0"/>
    <xf numFmtId="0" fontId="179" fillId="0" borderId="0">
      <alignment horizontal="left"/>
    </xf>
    <xf numFmtId="0" fontId="226" fillId="48" borderId="55" applyNumberFormat="0" applyAlignment="0" applyProtection="0"/>
    <xf numFmtId="0" fontId="172" fillId="0" borderId="0"/>
    <xf numFmtId="9" fontId="13" fillId="0" borderId="0" applyFont="0" applyFill="0" applyBorder="0" applyAlignment="0" applyProtection="0"/>
    <xf numFmtId="10" fontId="7" fillId="0" borderId="0" applyFont="0" applyFill="0" applyBorder="0" applyAlignment="0" applyProtection="0"/>
    <xf numFmtId="9" fontId="7" fillId="0" borderId="0" applyFont="0" applyFill="0" applyBorder="0" applyAlignment="0" applyProtection="0"/>
    <xf numFmtId="9" fontId="42" fillId="0" borderId="0" applyFont="0" applyFill="0" applyBorder="0" applyAlignment="0" applyProtection="0"/>
    <xf numFmtId="9" fontId="22"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1" fontId="101" fillId="15" borderId="0">
      <alignment horizontal="center"/>
    </xf>
    <xf numFmtId="1" fontId="225" fillId="0" borderId="0" applyFill="0" applyBorder="0" applyProtection="0">
      <alignment horizontal="right" vertical="center"/>
    </xf>
    <xf numFmtId="231" fontId="8" fillId="0" borderId="0"/>
    <xf numFmtId="0" fontId="180" fillId="0" borderId="0"/>
    <xf numFmtId="0" fontId="181" fillId="0" borderId="0"/>
    <xf numFmtId="0" fontId="169" fillId="0" borderId="0" applyNumberFormat="0" applyFill="0" applyBorder="0" applyProtection="0">
      <alignment horizontal="right" vertical="center"/>
    </xf>
    <xf numFmtId="0" fontId="7" fillId="17" borderId="0" applyNumberFormat="0" applyFon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11">
      <alignment horizontal="centerContinuous"/>
    </xf>
    <xf numFmtId="0" fontId="34" fillId="0" borderId="11">
      <alignment horizontal="centerContinuous"/>
    </xf>
    <xf numFmtId="0" fontId="34" fillId="0" borderId="11">
      <alignment horizontal="centerContinuous"/>
    </xf>
    <xf numFmtId="0" fontId="34" fillId="0" borderId="11">
      <alignment horizontal="centerContinuous"/>
    </xf>
    <xf numFmtId="0" fontId="34" fillId="0" borderId="11">
      <alignment horizontal="centerContinuous"/>
    </xf>
    <xf numFmtId="0" fontId="34" fillId="0" borderId="11">
      <alignment horizontal="centerContinuous"/>
    </xf>
    <xf numFmtId="0" fontId="34" fillId="0" borderId="11">
      <alignment horizontal="centerContinuous"/>
    </xf>
    <xf numFmtId="0" fontId="34" fillId="0" borderId="11">
      <alignment horizontal="centerContinuous"/>
    </xf>
    <xf numFmtId="0" fontId="34" fillId="0" borderId="11">
      <alignment horizontal="centerContinuous"/>
    </xf>
    <xf numFmtId="0" fontId="34" fillId="0" borderId="11">
      <alignment horizontal="centerContinuous"/>
    </xf>
    <xf numFmtId="0" fontId="34" fillId="0" borderId="11">
      <alignment horizontal="centerContinuous"/>
    </xf>
    <xf numFmtId="0" fontId="7" fillId="0" borderId="0"/>
    <xf numFmtId="0" fontId="182" fillId="0" borderId="0" applyNumberFormat="0" applyAlignment="0" applyProtection="0"/>
    <xf numFmtId="0" fontId="7" fillId="0" borderId="0"/>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41" fontId="7" fillId="0" borderId="0" applyFont="0" applyFill="0" applyBorder="0" applyAlignment="0" applyProtection="0"/>
    <xf numFmtId="0" fontId="7" fillId="0" borderId="0"/>
    <xf numFmtId="15"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15" fontId="7" fillId="0" borderId="0">
      <protection locked="0"/>
    </xf>
    <xf numFmtId="15" fontId="7" fillId="0" borderId="0">
      <protection locked="0"/>
    </xf>
    <xf numFmtId="15" fontId="7" fillId="0" borderId="0">
      <protection locked="0"/>
    </xf>
    <xf numFmtId="15" fontId="7" fillId="0" borderId="0">
      <protection locked="0"/>
    </xf>
    <xf numFmtId="15" fontId="7" fillId="0" borderId="0"/>
    <xf numFmtId="0" fontId="7" fillId="0" borderId="0">
      <alignment vertical="top"/>
    </xf>
    <xf numFmtId="0"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15" fontId="7" fillId="0" borderId="0"/>
    <xf numFmtId="15" fontId="7" fillId="0" borderId="0">
      <protection locked="0"/>
    </xf>
    <xf numFmtId="15" fontId="7" fillId="0" borderId="0"/>
    <xf numFmtId="0" fontId="7" fillId="0" borderId="0"/>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xf numFmtId="0" fontId="182" fillId="0" borderId="0" applyNumberFormat="0" applyAlignment="0" applyProtection="0"/>
    <xf numFmtId="15" fontId="7" fillId="0" borderId="0"/>
    <xf numFmtId="0" fontId="7" fillId="0" borderId="0">
      <alignment vertical="top"/>
    </xf>
    <xf numFmtId="15" fontId="7" fillId="0" borderId="0"/>
    <xf numFmtId="0" fontId="7" fillId="0" borderId="0">
      <alignment vertical="top"/>
    </xf>
    <xf numFmtId="0" fontId="7" fillId="0" borderId="0"/>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0" fontId="7" fillId="0" borderId="0">
      <alignment vertical="top"/>
    </xf>
    <xf numFmtId="0"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xf numFmtId="0" fontId="7" fillId="0" borderId="0"/>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121" fillId="0" borderId="0">
      <alignment vertical="top"/>
    </xf>
    <xf numFmtId="15" fontId="7" fillId="0" borderId="0"/>
    <xf numFmtId="0" fontId="7" fillId="0" borderId="0">
      <alignment vertical="top"/>
    </xf>
    <xf numFmtId="0" fontId="7" fillId="0" borderId="0"/>
    <xf numFmtId="0" fontId="7" fillId="0" borderId="0">
      <alignment vertical="top"/>
    </xf>
    <xf numFmtId="0" fontId="121" fillId="0" borderId="0">
      <alignment vertical="top"/>
    </xf>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15" fontId="7" fillId="0" borderId="0">
      <protection locked="0"/>
    </xf>
    <xf numFmtId="15" fontId="7" fillId="0" borderId="0"/>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117" fillId="0" borderId="0"/>
    <xf numFmtId="0" fontId="7" fillId="0" borderId="0"/>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8" fillId="18" borderId="25" applyNumberFormat="0" applyProtection="0">
      <alignment wrapText="1"/>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183" fillId="0" borderId="0">
      <alignment vertical="center"/>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183" fillId="0" borderId="0">
      <alignment vertical="center"/>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121" fillId="0" borderId="0">
      <alignment vertical="top"/>
    </xf>
    <xf numFmtId="0" fontId="7" fillId="0" borderId="0"/>
    <xf numFmtId="15" fontId="7" fillId="0" borderId="0">
      <protection locked="0"/>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protection locked="0"/>
    </xf>
    <xf numFmtId="0" fontId="121" fillId="0" borderId="0">
      <alignment vertical="top"/>
    </xf>
    <xf numFmtId="0" fontId="7" fillId="0" borderId="0"/>
    <xf numFmtId="15" fontId="7" fillId="0" borderId="0"/>
    <xf numFmtId="0" fontId="7" fillId="0" borderId="0">
      <alignment vertical="top"/>
    </xf>
    <xf numFmtId="15" fontId="7" fillId="0" borderId="0">
      <protection locked="0"/>
    </xf>
    <xf numFmtId="0" fontId="7" fillId="0" borderId="0">
      <alignment vertical="top"/>
    </xf>
    <xf numFmtId="15" fontId="7" fillId="0" borderId="0">
      <protection locked="0"/>
    </xf>
    <xf numFmtId="0" fontId="7" fillId="0" borderId="0">
      <alignment vertical="top"/>
    </xf>
    <xf numFmtId="15" fontId="7" fillId="0" borderId="0">
      <protection locked="0"/>
    </xf>
    <xf numFmtId="15" fontId="7" fillId="0" borderId="0">
      <protection locked="0"/>
    </xf>
    <xf numFmtId="15" fontId="7" fillId="0" borderId="0">
      <protection locked="0"/>
    </xf>
    <xf numFmtId="15" fontId="7" fillId="0" borderId="0">
      <protection locked="0"/>
    </xf>
    <xf numFmtId="15" fontId="7" fillId="0" borderId="0">
      <protection locked="0"/>
    </xf>
    <xf numFmtId="15" fontId="7" fillId="0" borderId="0"/>
    <xf numFmtId="15" fontId="7" fillId="0" borderId="0">
      <protection locked="0"/>
    </xf>
    <xf numFmtId="15" fontId="7" fillId="0" borderId="0">
      <protection locked="0"/>
    </xf>
    <xf numFmtId="15" fontId="7" fillId="0" borderId="0">
      <protection locked="0"/>
    </xf>
    <xf numFmtId="15" fontId="7" fillId="0" borderId="0">
      <protection locked="0"/>
    </xf>
    <xf numFmtId="15" fontId="7" fillId="0" borderId="0">
      <protection locked="0"/>
    </xf>
    <xf numFmtId="15" fontId="7" fillId="0" borderId="0">
      <protection locked="0"/>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15" fontId="7" fillId="0" borderId="0"/>
    <xf numFmtId="0" fontId="151" fillId="0" borderId="1" applyNumberFormat="0">
      <alignment horizontal="center" vertical="center"/>
    </xf>
    <xf numFmtId="0" fontId="184" fillId="0" borderId="1" applyNumberFormat="0" applyProtection="0">
      <alignment horizontal="center" vertical="center"/>
    </xf>
    <xf numFmtId="0" fontId="185" fillId="0" borderId="1" applyNumberFormat="0" applyFill="0" applyProtection="0">
      <alignment horizontal="left" vertical="center"/>
    </xf>
    <xf numFmtId="0" fontId="16" fillId="0" borderId="0">
      <alignment vertical="center"/>
    </xf>
    <xf numFmtId="0" fontId="210" fillId="0" borderId="0" applyNumberFormat="0" applyFill="0" applyBorder="0" applyAlignment="0" applyProtection="0"/>
    <xf numFmtId="0" fontId="186" fillId="46" borderId="0" applyNumberFormat="0" applyBorder="0" applyProtection="0">
      <alignment horizontal="left" vertical="center"/>
    </xf>
    <xf numFmtId="0" fontId="187" fillId="1" borderId="0" applyNumberFormat="0" applyBorder="0" applyProtection="0">
      <alignment horizontal="left" vertical="center"/>
    </xf>
    <xf numFmtId="165" fontId="37" fillId="0" borderId="0"/>
    <xf numFmtId="232" fontId="188" fillId="0" borderId="17" applyNumberFormat="0" applyFont="0" applyFill="0" applyAlignment="0" applyProtection="0"/>
    <xf numFmtId="0" fontId="189" fillId="18" borderId="1" applyNumberFormat="0" applyFill="0" applyProtection="0">
      <alignment horizontal="left" vertical="center"/>
    </xf>
    <xf numFmtId="165" fontId="20" fillId="0" borderId="45"/>
    <xf numFmtId="233" fontId="190" fillId="0" borderId="0">
      <alignment horizontal="right"/>
    </xf>
    <xf numFmtId="234" fontId="101" fillId="15" borderId="19" applyBorder="0">
      <alignment horizontal="right" vertical="center"/>
      <protection locked="0"/>
    </xf>
    <xf numFmtId="0" fontId="191" fillId="0" borderId="0" applyNumberFormat="0"/>
    <xf numFmtId="235" fontId="151" fillId="18" borderId="20" applyNumberFormat="0" applyFill="0" applyAlignment="0" applyProtection="0">
      <alignment horizontal="right" vertical="center"/>
    </xf>
    <xf numFmtId="0" fontId="227" fillId="0" borderId="0" applyNumberFormat="0" applyFill="0" applyBorder="0" applyAlignment="0" applyProtection="0"/>
    <xf numFmtId="1" fontId="7" fillId="0" borderId="0">
      <alignment horizontal="center"/>
    </xf>
    <xf numFmtId="0" fontId="7" fillId="0" borderId="0"/>
    <xf numFmtId="236" fontId="7" fillId="0" borderId="0" applyFont="0" applyFill="0" applyBorder="0" applyAlignment="0" applyProtection="0"/>
    <xf numFmtId="237" fontId="7" fillId="0" borderId="0" applyFont="0" applyFill="0" applyBorder="0" applyAlignment="0" applyProtection="0"/>
    <xf numFmtId="238" fontId="192" fillId="0" borderId="0" applyFont="0" applyFill="0" applyBorder="0" applyAlignment="0" applyProtection="0"/>
    <xf numFmtId="239" fontId="192" fillId="0" borderId="0" applyFont="0" applyFill="0" applyBorder="0" applyAlignment="0" applyProtection="0"/>
    <xf numFmtId="0" fontId="193" fillId="16" borderId="0" applyNumberFormat="0" applyBorder="0" applyAlignment="0" applyProtection="0">
      <alignment vertical="center"/>
    </xf>
    <xf numFmtId="0" fontId="194" fillId="13" borderId="0" applyNumberFormat="0" applyBorder="0" applyAlignment="0" applyProtection="0">
      <alignment vertical="center"/>
    </xf>
    <xf numFmtId="0" fontId="143" fillId="0" borderId="0">
      <alignment vertical="center"/>
    </xf>
    <xf numFmtId="0" fontId="183" fillId="0" borderId="0"/>
    <xf numFmtId="0" fontId="145" fillId="39" borderId="0" applyNumberFormat="0" applyBorder="0" applyAlignment="0" applyProtection="0">
      <alignment vertical="center"/>
    </xf>
    <xf numFmtId="0" fontId="145" fillId="9" borderId="0" applyNumberFormat="0" applyBorder="0" applyAlignment="0" applyProtection="0">
      <alignment vertical="center"/>
    </xf>
    <xf numFmtId="0" fontId="145" fillId="10" borderId="0" applyNumberFormat="0" applyBorder="0" applyAlignment="0" applyProtection="0">
      <alignment vertical="center"/>
    </xf>
    <xf numFmtId="0" fontId="145" fillId="37" borderId="0" applyNumberFormat="0" applyBorder="0" applyAlignment="0" applyProtection="0">
      <alignment vertical="center"/>
    </xf>
    <xf numFmtId="0" fontId="145" fillId="8" borderId="0" applyNumberFormat="0" applyBorder="0" applyAlignment="0" applyProtection="0">
      <alignment vertical="center"/>
    </xf>
    <xf numFmtId="0" fontId="145" fillId="12" borderId="0" applyNumberFormat="0" applyBorder="0" applyAlignment="0" applyProtection="0">
      <alignment vertical="center"/>
    </xf>
    <xf numFmtId="0" fontId="195" fillId="0" borderId="0"/>
    <xf numFmtId="0" fontId="196" fillId="0" borderId="0" applyNumberFormat="0" applyFill="0" applyBorder="0" applyAlignment="0" applyProtection="0">
      <alignment vertical="center"/>
    </xf>
    <xf numFmtId="0" fontId="197" fillId="0" borderId="47" applyNumberFormat="0" applyFill="0" applyAlignment="0" applyProtection="0">
      <alignment vertical="center"/>
    </xf>
    <xf numFmtId="0" fontId="198" fillId="0" borderId="6" applyNumberFormat="0" applyFill="0" applyAlignment="0" applyProtection="0">
      <alignment vertical="center"/>
    </xf>
    <xf numFmtId="0" fontId="199" fillId="0" borderId="48" applyNumberFormat="0" applyFill="0" applyAlignment="0" applyProtection="0">
      <alignment vertical="center"/>
    </xf>
    <xf numFmtId="0" fontId="199" fillId="0" borderId="0" applyNumberFormat="0" applyFill="0" applyBorder="0" applyAlignment="0" applyProtection="0">
      <alignment vertical="center"/>
    </xf>
    <xf numFmtId="0" fontId="200" fillId="0" borderId="0" applyNumberFormat="0" applyFill="0" applyBorder="0" applyAlignment="0" applyProtection="0">
      <alignment vertical="center"/>
    </xf>
    <xf numFmtId="0" fontId="201" fillId="14" borderId="3" applyNumberFormat="0" applyAlignment="0" applyProtection="0">
      <alignment vertical="center"/>
    </xf>
    <xf numFmtId="0" fontId="202" fillId="0" borderId="49" applyNumberFormat="0" applyFill="0" applyAlignment="0" applyProtection="0">
      <alignment vertical="center"/>
    </xf>
    <xf numFmtId="0" fontId="92" fillId="45" borderId="9" applyNumberFormat="0" applyFont="0" applyAlignment="0" applyProtection="0">
      <alignment vertical="center"/>
    </xf>
    <xf numFmtId="0" fontId="203" fillId="0" borderId="0" applyNumberFormat="0" applyFill="0" applyBorder="0" applyAlignment="0" applyProtection="0">
      <alignment vertical="center"/>
    </xf>
    <xf numFmtId="0" fontId="204" fillId="0" borderId="0" applyNumberFormat="0" applyFill="0" applyBorder="0" applyAlignment="0" applyProtection="0">
      <alignment vertical="center"/>
    </xf>
    <xf numFmtId="0" fontId="205" fillId="6" borderId="2" applyNumberFormat="0" applyAlignment="0" applyProtection="0">
      <alignment vertical="center"/>
    </xf>
    <xf numFmtId="240" fontId="183" fillId="0" borderId="0" applyFont="0" applyFill="0" applyBorder="0" applyAlignment="0" applyProtection="0"/>
    <xf numFmtId="0" fontId="206" fillId="32" borderId="2" applyNumberFormat="0" applyAlignment="0" applyProtection="0">
      <alignment vertical="center"/>
    </xf>
    <xf numFmtId="0" fontId="207" fillId="6" borderId="10" applyNumberFormat="0" applyAlignment="0" applyProtection="0">
      <alignment vertical="center"/>
    </xf>
    <xf numFmtId="0" fontId="208" fillId="44" borderId="0" applyNumberFormat="0" applyBorder="0" applyAlignment="0" applyProtection="0">
      <alignment vertical="center"/>
    </xf>
    <xf numFmtId="0" fontId="209" fillId="0" borderId="8" applyNumberFormat="0" applyFill="0" applyAlignment="0" applyProtection="0">
      <alignment vertical="center"/>
    </xf>
    <xf numFmtId="0" fontId="7" fillId="0" borderId="0"/>
    <xf numFmtId="0" fontId="7" fillId="0" borderId="0"/>
    <xf numFmtId="0" fontId="7" fillId="0" borderId="0"/>
    <xf numFmtId="0" fontId="7" fillId="4" borderId="9" applyNumberFormat="0" applyFont="0" applyAlignment="0" applyProtection="0"/>
    <xf numFmtId="0" fontId="4" fillId="0" borderId="0"/>
    <xf numFmtId="0" fontId="76" fillId="0" borderId="0"/>
    <xf numFmtId="0" fontId="76" fillId="0" borderId="0"/>
    <xf numFmtId="0" fontId="76" fillId="0" borderId="0"/>
    <xf numFmtId="0" fontId="76" fillId="0" borderId="0"/>
    <xf numFmtId="0" fontId="164" fillId="0" borderId="0"/>
    <xf numFmtId="0" fontId="4" fillId="0" borderId="0"/>
    <xf numFmtId="0" fontId="4" fillId="0" borderId="0"/>
    <xf numFmtId="0" fontId="180"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3" fillId="0" borderId="0"/>
    <xf numFmtId="0" fontId="3" fillId="0" borderId="0"/>
    <xf numFmtId="0" fontId="3"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 fillId="0" borderId="0"/>
    <xf numFmtId="0" fontId="2" fillId="0" borderId="0"/>
    <xf numFmtId="0" fontId="2" fillId="0" borderId="0"/>
    <xf numFmtId="0" fontId="2" fillId="0" borderId="0"/>
    <xf numFmtId="0" fontId="1" fillId="0" borderId="0"/>
    <xf numFmtId="0" fontId="1" fillId="64" borderId="0" applyNumberFormat="0" applyBorder="0" applyAlignment="0" applyProtection="0"/>
    <xf numFmtId="0" fontId="1" fillId="68" borderId="0" applyNumberFormat="0" applyBorder="0" applyAlignment="0" applyProtection="0"/>
    <xf numFmtId="0" fontId="1" fillId="72" borderId="0" applyNumberFormat="0" applyBorder="0" applyAlignment="0" applyProtection="0"/>
    <xf numFmtId="0" fontId="1" fillId="76" borderId="0" applyNumberFormat="0" applyBorder="0" applyAlignment="0" applyProtection="0"/>
    <xf numFmtId="0" fontId="1" fillId="80" borderId="0" applyNumberFormat="0" applyBorder="0" applyAlignment="0" applyProtection="0"/>
    <xf numFmtId="0" fontId="1" fillId="84" borderId="0" applyNumberFormat="0" applyBorder="0" applyAlignment="0" applyProtection="0"/>
    <xf numFmtId="0" fontId="1" fillId="65" borderId="0" applyNumberFormat="0" applyBorder="0" applyAlignment="0" applyProtection="0"/>
    <xf numFmtId="0" fontId="1" fillId="69" borderId="0" applyNumberFormat="0" applyBorder="0" applyAlignment="0" applyProtection="0"/>
    <xf numFmtId="0" fontId="1" fillId="73" borderId="0" applyNumberFormat="0" applyBorder="0" applyAlignment="0" applyProtection="0"/>
    <xf numFmtId="0" fontId="1" fillId="77" borderId="0" applyNumberFormat="0" applyBorder="0" applyAlignment="0" applyProtection="0"/>
    <xf numFmtId="0" fontId="1" fillId="81" borderId="0" applyNumberFormat="0" applyBorder="0" applyAlignment="0" applyProtection="0"/>
    <xf numFmtId="0" fontId="1" fillId="85" borderId="0" applyNumberFormat="0" applyBorder="0" applyAlignment="0" applyProtection="0"/>
    <xf numFmtId="0" fontId="255" fillId="66" borderId="0" applyNumberFormat="0" applyBorder="0" applyAlignment="0" applyProtection="0"/>
    <xf numFmtId="0" fontId="255" fillId="70" borderId="0" applyNumberFormat="0" applyBorder="0" applyAlignment="0" applyProtection="0"/>
    <xf numFmtId="0" fontId="255" fillId="74" borderId="0" applyNumberFormat="0" applyBorder="0" applyAlignment="0" applyProtection="0"/>
    <xf numFmtId="0" fontId="255" fillId="78" borderId="0" applyNumberFormat="0" applyBorder="0" applyAlignment="0" applyProtection="0"/>
    <xf numFmtId="0" fontId="255" fillId="82" borderId="0" applyNumberFormat="0" applyBorder="0" applyAlignment="0" applyProtection="0"/>
    <xf numFmtId="0" fontId="255" fillId="86" borderId="0" applyNumberFormat="0" applyBorder="0" applyAlignment="0" applyProtection="0"/>
    <xf numFmtId="0" fontId="255" fillId="63" borderId="0" applyNumberFormat="0" applyBorder="0" applyAlignment="0" applyProtection="0"/>
    <xf numFmtId="0" fontId="255" fillId="67" borderId="0" applyNumberFormat="0" applyBorder="0" applyAlignment="0" applyProtection="0"/>
    <xf numFmtId="0" fontId="255" fillId="71" borderId="0" applyNumberFormat="0" applyBorder="0" applyAlignment="0" applyProtection="0"/>
    <xf numFmtId="0" fontId="255" fillId="75" borderId="0" applyNumberFormat="0" applyBorder="0" applyAlignment="0" applyProtection="0"/>
    <xf numFmtId="0" fontId="255" fillId="79" borderId="0" applyNumberFormat="0" applyBorder="0" applyAlignment="0" applyProtection="0"/>
    <xf numFmtId="0" fontId="255" fillId="83" borderId="0" applyNumberFormat="0" applyBorder="0" applyAlignment="0" applyProtection="0"/>
    <xf numFmtId="0" fontId="245" fillId="47" borderId="0" applyNumberFormat="0" applyBorder="0" applyAlignment="0" applyProtection="0"/>
    <xf numFmtId="0" fontId="19" fillId="87" borderId="0"/>
    <xf numFmtId="0" fontId="249" fillId="48" borderId="50" applyNumberFormat="0" applyAlignment="0" applyProtection="0"/>
    <xf numFmtId="0" fontId="251" fillId="49" borderId="51" applyNumberFormat="0" applyAlignment="0" applyProtection="0"/>
    <xf numFmtId="0" fontId="253" fillId="0" borderId="0" applyNumberFormat="0" applyFill="0" applyBorder="0" applyAlignment="0" applyProtection="0"/>
    <xf numFmtId="0" fontId="244" fillId="50" borderId="0" applyNumberFormat="0" applyBorder="0" applyAlignment="0" applyProtection="0"/>
    <xf numFmtId="0" fontId="241" fillId="0" borderId="58" applyNumberFormat="0" applyFill="0" applyAlignment="0" applyProtection="0"/>
    <xf numFmtId="0" fontId="242" fillId="0" borderId="59" applyNumberFormat="0" applyFill="0" applyAlignment="0" applyProtection="0"/>
    <xf numFmtId="0" fontId="243" fillId="0" borderId="60" applyNumberFormat="0" applyFill="0" applyAlignment="0" applyProtection="0"/>
    <xf numFmtId="0" fontId="243" fillId="0" borderId="0" applyNumberFormat="0" applyFill="0" applyBorder="0" applyAlignment="0" applyProtection="0"/>
    <xf numFmtId="0" fontId="247" fillId="51" borderId="50" applyNumberFormat="0" applyAlignment="0" applyProtection="0"/>
    <xf numFmtId="0" fontId="250" fillId="0" borderId="53" applyNumberFormat="0" applyFill="0" applyAlignment="0" applyProtection="0"/>
    <xf numFmtId="0" fontId="246" fillId="52" borderId="0" applyNumberFormat="0" applyBorder="0" applyAlignment="0" applyProtection="0"/>
    <xf numFmtId="0" fontId="1" fillId="53" borderId="54" applyNumberFormat="0" applyFont="0" applyAlignment="0" applyProtection="0"/>
    <xf numFmtId="0" fontId="248" fillId="48" borderId="55" applyNumberFormat="0" applyAlignment="0" applyProtection="0"/>
    <xf numFmtId="0" fontId="240" fillId="0" borderId="0" applyNumberFormat="0" applyFill="0" applyBorder="0" applyAlignment="0" applyProtection="0"/>
    <xf numFmtId="0" fontId="254" fillId="0" borderId="61" applyNumberFormat="0" applyFill="0" applyAlignment="0" applyProtection="0"/>
    <xf numFmtId="0" fontId="252" fillId="0" borderId="0" applyNumberFormat="0" applyFill="0" applyBorder="0" applyAlignment="0" applyProtection="0"/>
    <xf numFmtId="0" fontId="1" fillId="0" borderId="0"/>
    <xf numFmtId="0" fontId="247" fillId="51" borderId="50" applyNumberFormat="0" applyAlignment="0" applyProtection="0"/>
    <xf numFmtId="0" fontId="247" fillId="51" borderId="50" applyNumberFormat="0" applyAlignment="0" applyProtection="0"/>
    <xf numFmtId="0" fontId="247" fillId="51" borderId="50" applyNumberFormat="0" applyAlignment="0" applyProtection="0"/>
    <xf numFmtId="0" fontId="247" fillId="51" borderId="50" applyNumberFormat="0" applyAlignment="0" applyProtection="0"/>
    <xf numFmtId="0" fontId="247" fillId="51" borderId="50" applyNumberFormat="0" applyAlignment="0" applyProtection="0"/>
    <xf numFmtId="0" fontId="247" fillId="51" borderId="50" applyNumberFormat="0" applyAlignment="0" applyProtection="0"/>
    <xf numFmtId="0" fontId="247" fillId="51" borderId="50" applyNumberFormat="0" applyAlignment="0" applyProtection="0"/>
    <xf numFmtId="0" fontId="247" fillId="51" borderId="50" applyNumberFormat="0" applyAlignment="0" applyProtection="0"/>
    <xf numFmtId="0" fontId="247" fillId="51" borderId="50" applyNumberFormat="0" applyAlignment="0" applyProtection="0"/>
    <xf numFmtId="0" fontId="247" fillId="51" borderId="50" applyNumberFormat="0" applyAlignment="0" applyProtection="0"/>
    <xf numFmtId="0" fontId="247" fillId="51" borderId="50" applyNumberFormat="0" applyAlignment="0" applyProtection="0"/>
    <xf numFmtId="0" fontId="247" fillId="51" borderId="50" applyNumberFormat="0" applyAlignment="0" applyProtection="0"/>
    <xf numFmtId="0" fontId="254" fillId="0" borderId="61" applyNumberFormat="0" applyFill="0" applyAlignment="0" applyProtection="0"/>
    <xf numFmtId="0" fontId="1" fillId="0" borderId="0"/>
    <xf numFmtId="0" fontId="247" fillId="51" borderId="50" applyNumberFormat="0" applyAlignment="0" applyProtection="0"/>
    <xf numFmtId="0" fontId="254" fillId="0" borderId="61" applyNumberFormat="0" applyFill="0" applyAlignment="0" applyProtection="0"/>
    <xf numFmtId="0" fontId="1" fillId="0" borderId="0"/>
    <xf numFmtId="0" fontId="247" fillId="51" borderId="50" applyNumberFormat="0" applyAlignment="0" applyProtection="0"/>
    <xf numFmtId="0" fontId="254" fillId="0" borderId="61" applyNumberFormat="0" applyFill="0" applyAlignment="0" applyProtection="0"/>
    <xf numFmtId="0" fontId="1" fillId="0" borderId="0"/>
    <xf numFmtId="0" fontId="247" fillId="51" borderId="50" applyNumberFormat="0" applyAlignment="0" applyProtection="0"/>
    <xf numFmtId="0" fontId="254" fillId="0" borderId="61" applyNumberFormat="0" applyFill="0" applyAlignment="0" applyProtection="0"/>
    <xf numFmtId="0" fontId="1" fillId="0" borderId="0"/>
    <xf numFmtId="0" fontId="247" fillId="51" borderId="50" applyNumberFormat="0" applyAlignment="0" applyProtection="0"/>
    <xf numFmtId="0" fontId="254" fillId="0" borderId="61" applyNumberFormat="0" applyFill="0" applyAlignment="0" applyProtection="0"/>
    <xf numFmtId="0" fontId="1" fillId="0" borderId="0"/>
    <xf numFmtId="0" fontId="247" fillId="51" borderId="50" applyNumberFormat="0" applyAlignment="0" applyProtection="0"/>
    <xf numFmtId="0" fontId="254" fillId="0" borderId="61" applyNumberFormat="0" applyFill="0" applyAlignment="0" applyProtection="0"/>
    <xf numFmtId="0" fontId="1" fillId="0" borderId="0"/>
    <xf numFmtId="0" fontId="247" fillId="51" borderId="50" applyNumberFormat="0" applyAlignment="0" applyProtection="0"/>
    <xf numFmtId="0" fontId="254" fillId="0" borderId="61" applyNumberFormat="0" applyFill="0" applyAlignment="0" applyProtection="0"/>
    <xf numFmtId="0" fontId="1" fillId="0" borderId="0"/>
    <xf numFmtId="0" fontId="247" fillId="51" borderId="50" applyNumberFormat="0" applyAlignment="0" applyProtection="0"/>
    <xf numFmtId="0" fontId="247" fillId="51" borderId="50" applyNumberFormat="0" applyAlignment="0" applyProtection="0"/>
    <xf numFmtId="0" fontId="1" fillId="0" borderId="0"/>
    <xf numFmtId="0" fontId="247" fillId="51" borderId="50"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40" fillId="0" borderId="0"/>
  </cellStyleXfs>
  <cellXfs count="1969">
    <xf numFmtId="0" fontId="0" fillId="0" borderId="0" xfId="0"/>
    <xf numFmtId="0" fontId="7" fillId="0" borderId="0" xfId="254"/>
    <xf numFmtId="0" fontId="0" fillId="18" borderId="0" xfId="0" applyFill="1"/>
    <xf numFmtId="0" fontId="41" fillId="18" borderId="0" xfId="0" applyFont="1" applyFill="1"/>
    <xf numFmtId="0" fontId="20" fillId="18" borderId="0" xfId="0" applyFont="1" applyFill="1"/>
    <xf numFmtId="0" fontId="20" fillId="18" borderId="0" xfId="207" applyNumberFormat="1" applyFont="1" applyFill="1"/>
    <xf numFmtId="168" fontId="20" fillId="18" borderId="0" xfId="207" applyNumberFormat="1" applyFont="1" applyFill="1"/>
    <xf numFmtId="0" fontId="17" fillId="18" borderId="0" xfId="207" applyNumberFormat="1" applyFont="1" applyFill="1"/>
    <xf numFmtId="0" fontId="17" fillId="18" borderId="0" xfId="207" applyNumberFormat="1" applyFont="1" applyFill="1" applyAlignment="1">
      <alignment horizontal="left" indent="1"/>
    </xf>
    <xf numFmtId="166" fontId="17" fillId="18" borderId="0" xfId="240" applyNumberFormat="1" applyFont="1" applyFill="1" applyAlignment="1">
      <alignment horizontal="right"/>
    </xf>
    <xf numFmtId="167" fontId="20" fillId="18" borderId="0" xfId="207" applyNumberFormat="1" applyFont="1" applyFill="1"/>
    <xf numFmtId="0" fontId="8" fillId="18" borderId="0" xfId="0" applyFont="1" applyFill="1" applyAlignment="1">
      <alignment vertical="center"/>
    </xf>
    <xf numFmtId="174" fontId="8" fillId="18" borderId="0" xfId="0" applyNumberFormat="1" applyFont="1" applyFill="1" applyAlignment="1">
      <alignment vertical="center"/>
    </xf>
    <xf numFmtId="0" fontId="20" fillId="18" borderId="0" xfId="0" applyFont="1" applyFill="1" applyBorder="1" applyAlignment="1">
      <alignment vertical="center"/>
    </xf>
    <xf numFmtId="0" fontId="20" fillId="18" borderId="13" xfId="0" applyFont="1" applyFill="1" applyBorder="1" applyAlignment="1">
      <alignment vertical="center"/>
    </xf>
    <xf numFmtId="175" fontId="53" fillId="18" borderId="13" xfId="0" applyNumberFormat="1" applyFont="1" applyFill="1" applyBorder="1" applyAlignment="1">
      <alignment horizontal="right" vertical="center"/>
    </xf>
    <xf numFmtId="176" fontId="53" fillId="18" borderId="13" xfId="0" applyNumberFormat="1" applyFont="1" applyFill="1" applyBorder="1" applyAlignment="1">
      <alignment horizontal="right" vertical="center"/>
    </xf>
    <xf numFmtId="0" fontId="8" fillId="18" borderId="0" xfId="0" applyFont="1" applyFill="1" applyAlignment="1">
      <alignment horizontal="left" vertical="center" indent="1"/>
    </xf>
    <xf numFmtId="173" fontId="8" fillId="18" borderId="0" xfId="0" applyNumberFormat="1" applyFont="1" applyFill="1" applyAlignment="1">
      <alignment vertical="center"/>
    </xf>
    <xf numFmtId="0" fontId="20" fillId="18" borderId="0" xfId="0" applyFont="1" applyFill="1" applyAlignment="1">
      <alignment vertical="center"/>
    </xf>
    <xf numFmtId="0" fontId="20" fillId="18" borderId="14" xfId="0" applyFont="1" applyFill="1" applyBorder="1" applyAlignment="1">
      <alignment vertical="center"/>
    </xf>
    <xf numFmtId="0" fontId="46" fillId="18" borderId="0" xfId="0" applyFont="1" applyFill="1" applyAlignment="1">
      <alignment vertical="center"/>
    </xf>
    <xf numFmtId="173" fontId="44" fillId="18" borderId="0" xfId="0" applyNumberFormat="1" applyFont="1" applyFill="1" applyAlignment="1">
      <alignment vertical="center"/>
    </xf>
    <xf numFmtId="173" fontId="8" fillId="18" borderId="0" xfId="0" applyNumberFormat="1" applyFont="1" applyFill="1" applyAlignment="1">
      <alignment horizontal="right" vertical="center"/>
    </xf>
    <xf numFmtId="0" fontId="17" fillId="18" borderId="0" xfId="0" applyFont="1" applyFill="1" applyAlignment="1">
      <alignment vertical="center"/>
    </xf>
    <xf numFmtId="0" fontId="54" fillId="18" borderId="0" xfId="0" applyFont="1" applyFill="1" applyAlignment="1">
      <alignment vertical="center"/>
    </xf>
    <xf numFmtId="172" fontId="8" fillId="18" borderId="0" xfId="0" applyNumberFormat="1" applyFont="1" applyFill="1" applyAlignment="1">
      <alignment vertical="center"/>
    </xf>
    <xf numFmtId="9" fontId="8" fillId="18" borderId="0" xfId="240" applyFont="1" applyFill="1" applyAlignment="1">
      <alignment vertical="center"/>
    </xf>
    <xf numFmtId="0" fontId="8" fillId="18" borderId="0" xfId="0" applyFont="1" applyFill="1" applyBorder="1" applyAlignment="1">
      <alignment vertical="center"/>
    </xf>
    <xf numFmtId="173" fontId="44" fillId="18" borderId="0" xfId="0" applyNumberFormat="1" applyFont="1" applyFill="1" applyAlignment="1">
      <alignment horizontal="right" vertical="center"/>
    </xf>
    <xf numFmtId="0" fontId="17" fillId="18" borderId="0" xfId="0" applyFont="1" applyFill="1" applyBorder="1" applyAlignment="1">
      <alignment vertical="center"/>
    </xf>
    <xf numFmtId="175" fontId="20" fillId="18" borderId="13" xfId="0" applyNumberFormat="1" applyFont="1" applyFill="1" applyBorder="1" applyAlignment="1">
      <alignment horizontal="right" vertical="center"/>
    </xf>
    <xf numFmtId="176" fontId="20" fillId="18" borderId="13" xfId="0" applyNumberFormat="1" applyFont="1" applyFill="1" applyBorder="1" applyAlignment="1">
      <alignment horizontal="right" vertical="center"/>
    </xf>
    <xf numFmtId="0" fontId="8" fillId="18" borderId="0" xfId="0" applyFont="1" applyFill="1" applyBorder="1" applyAlignment="1">
      <alignment horizontal="left" vertical="center" indent="1"/>
    </xf>
    <xf numFmtId="0" fontId="48" fillId="18" borderId="0" xfId="0" applyFont="1" applyFill="1" applyAlignment="1">
      <alignment horizontal="left" vertical="center" indent="1"/>
    </xf>
    <xf numFmtId="170" fontId="8" fillId="18" borderId="0" xfId="0" applyNumberFormat="1" applyFont="1" applyFill="1" applyAlignment="1">
      <alignment horizontal="right" vertical="center"/>
    </xf>
    <xf numFmtId="10" fontId="8" fillId="18" borderId="0" xfId="0" applyNumberFormat="1" applyFont="1" applyFill="1" applyAlignment="1">
      <alignment vertical="center"/>
    </xf>
    <xf numFmtId="0" fontId="45" fillId="18" borderId="0" xfId="0" applyFont="1" applyFill="1" applyAlignment="1">
      <alignment horizontal="centerContinuous" vertical="center"/>
    </xf>
    <xf numFmtId="170" fontId="8" fillId="18" borderId="0" xfId="0" applyNumberFormat="1" applyFont="1" applyFill="1" applyAlignment="1">
      <alignment vertical="center"/>
    </xf>
    <xf numFmtId="37" fontId="8" fillId="18" borderId="0" xfId="0" applyNumberFormat="1" applyFont="1" applyFill="1" applyAlignment="1">
      <alignment vertical="center"/>
    </xf>
    <xf numFmtId="168" fontId="8" fillId="18" borderId="0" xfId="207" applyNumberFormat="1" applyFont="1" applyFill="1"/>
    <xf numFmtId="173" fontId="17" fillId="18" borderId="0" xfId="0" applyNumberFormat="1" applyFont="1" applyFill="1" applyAlignment="1">
      <alignment vertical="center"/>
    </xf>
    <xf numFmtId="0" fontId="0" fillId="0" borderId="0" xfId="0" applyFill="1"/>
    <xf numFmtId="0" fontId="8" fillId="18" borderId="0" xfId="0" applyNumberFormat="1" applyFont="1" applyFill="1"/>
    <xf numFmtId="172" fontId="8" fillId="18" borderId="0" xfId="0" applyNumberFormat="1" applyFont="1" applyFill="1" applyAlignment="1">
      <alignment horizontal="right" vertical="center"/>
    </xf>
    <xf numFmtId="0" fontId="8" fillId="18" borderId="0" xfId="0" applyFont="1" applyFill="1" applyAlignment="1">
      <alignment horizontal="right"/>
    </xf>
    <xf numFmtId="172" fontId="8" fillId="18" borderId="0" xfId="0" applyNumberFormat="1" applyFont="1" applyFill="1" applyBorder="1" applyAlignment="1">
      <alignment horizontal="right" vertical="center"/>
    </xf>
    <xf numFmtId="9" fontId="8" fillId="18" borderId="0" xfId="240" applyFont="1" applyFill="1"/>
    <xf numFmtId="166" fontId="8" fillId="18" borderId="0" xfId="240" applyNumberFormat="1" applyFont="1" applyFill="1"/>
    <xf numFmtId="0" fontId="17" fillId="18" borderId="0" xfId="0" applyFont="1" applyFill="1" applyAlignment="1">
      <alignment horizontal="left" vertical="center" indent="1"/>
    </xf>
    <xf numFmtId="177" fontId="58" fillId="18" borderId="0" xfId="0" applyNumberFormat="1" applyFont="1" applyFill="1" applyAlignment="1">
      <alignment vertical="center"/>
    </xf>
    <xf numFmtId="0" fontId="17" fillId="18" borderId="0" xfId="0" applyFont="1" applyFill="1" applyAlignment="1">
      <alignment horizontal="left" vertical="center"/>
    </xf>
    <xf numFmtId="0" fontId="7" fillId="18" borderId="0" xfId="0" applyFont="1" applyFill="1"/>
    <xf numFmtId="0" fontId="61" fillId="18" borderId="0" xfId="0" applyFont="1" applyFill="1"/>
    <xf numFmtId="0" fontId="63" fillId="18" borderId="0" xfId="0" applyFont="1" applyFill="1"/>
    <xf numFmtId="0" fontId="41" fillId="0" borderId="0" xfId="0" applyFont="1"/>
    <xf numFmtId="173" fontId="59" fillId="18" borderId="0" xfId="0" applyNumberFormat="1" applyFont="1" applyFill="1" applyAlignment="1">
      <alignment vertical="center"/>
    </xf>
    <xf numFmtId="172" fontId="59" fillId="18" borderId="0" xfId="0" applyNumberFormat="1" applyFont="1" applyFill="1" applyAlignment="1">
      <alignment vertical="center"/>
    </xf>
    <xf numFmtId="0" fontId="53" fillId="18" borderId="0" xfId="0" applyFont="1" applyFill="1" applyAlignment="1">
      <alignment vertical="center"/>
    </xf>
    <xf numFmtId="0" fontId="8" fillId="18" borderId="0" xfId="0" applyFont="1" applyFill="1" applyAlignment="1">
      <alignment horizontal="left" vertical="center"/>
    </xf>
    <xf numFmtId="173" fontId="59" fillId="18" borderId="0" xfId="0" applyNumberFormat="1" applyFont="1" applyFill="1" applyBorder="1" applyAlignment="1">
      <alignment vertical="center"/>
    </xf>
    <xf numFmtId="0" fontId="59" fillId="18" borderId="0" xfId="0" applyFont="1" applyFill="1" applyBorder="1" applyAlignment="1">
      <alignment vertical="center"/>
    </xf>
    <xf numFmtId="0" fontId="63" fillId="18" borderId="0" xfId="0" applyFont="1" applyFill="1" applyAlignment="1">
      <alignment horizontal="right"/>
    </xf>
    <xf numFmtId="0" fontId="8" fillId="18" borderId="0" xfId="0" applyFont="1" applyFill="1"/>
    <xf numFmtId="9" fontId="0" fillId="0" borderId="0" xfId="240" applyFont="1"/>
    <xf numFmtId="167" fontId="8" fillId="18" borderId="0" xfId="207" applyNumberFormat="1" applyFont="1" applyFill="1" applyAlignment="1">
      <alignment vertical="center"/>
    </xf>
    <xf numFmtId="173" fontId="8" fillId="18" borderId="0" xfId="0" applyNumberFormat="1" applyFont="1" applyFill="1" applyBorder="1" applyAlignment="1">
      <alignment horizontal="right" vertical="center"/>
    </xf>
    <xf numFmtId="0" fontId="21" fillId="0" borderId="0" xfId="0" applyFont="1"/>
    <xf numFmtId="166" fontId="59" fillId="18" borderId="0" xfId="0" applyNumberFormat="1" applyFont="1" applyFill="1" applyBorder="1" applyAlignment="1">
      <alignment vertical="center"/>
    </xf>
    <xf numFmtId="166" fontId="59" fillId="18" borderId="0" xfId="0" applyNumberFormat="1" applyFont="1" applyFill="1" applyAlignment="1">
      <alignment vertical="center"/>
    </xf>
    <xf numFmtId="0" fontId="21" fillId="0" borderId="0" xfId="0" applyFont="1" applyFill="1"/>
    <xf numFmtId="9" fontId="59" fillId="18" borderId="0" xfId="240" applyFont="1" applyFill="1" applyBorder="1" applyAlignment="1">
      <alignment horizontal="right" vertical="center"/>
    </xf>
    <xf numFmtId="170" fontId="59" fillId="18" borderId="0" xfId="0" applyNumberFormat="1" applyFont="1" applyFill="1" applyAlignment="1">
      <alignment vertical="center"/>
    </xf>
    <xf numFmtId="170" fontId="59" fillId="18" borderId="0" xfId="0" applyNumberFormat="1" applyFont="1" applyFill="1" applyAlignment="1">
      <alignment horizontal="right" vertical="center"/>
    </xf>
    <xf numFmtId="166" fontId="8" fillId="18" borderId="0" xfId="240" applyNumberFormat="1" applyFont="1" applyFill="1" applyAlignment="1">
      <alignment horizontal="right" vertical="center"/>
    </xf>
    <xf numFmtId="43" fontId="8" fillId="18" borderId="0" xfId="0" applyNumberFormat="1" applyFont="1" applyFill="1" applyAlignment="1">
      <alignment vertical="center"/>
    </xf>
    <xf numFmtId="170" fontId="8" fillId="18" borderId="0" xfId="0" applyNumberFormat="1" applyFont="1" applyFill="1" applyBorder="1" applyAlignment="1">
      <alignment horizontal="right" vertical="center"/>
    </xf>
    <xf numFmtId="166" fontId="8" fillId="18" borderId="0" xfId="240" applyNumberFormat="1" applyFont="1" applyFill="1" applyBorder="1" applyAlignment="1">
      <alignment horizontal="right" vertical="center"/>
    </xf>
    <xf numFmtId="165" fontId="8" fillId="18" borderId="0" xfId="0" applyNumberFormat="1" applyFont="1" applyFill="1" applyBorder="1" applyAlignment="1">
      <alignment vertical="center"/>
    </xf>
    <xf numFmtId="9" fontId="8" fillId="18" borderId="0" xfId="240" applyFont="1" applyFill="1" applyBorder="1" applyAlignment="1">
      <alignment horizontal="right" vertical="center"/>
    </xf>
    <xf numFmtId="173" fontId="44" fillId="18" borderId="0" xfId="0" applyNumberFormat="1" applyFont="1" applyFill="1" applyBorder="1" applyAlignment="1">
      <alignment horizontal="right" vertical="center"/>
    </xf>
    <xf numFmtId="9" fontId="8" fillId="18" borderId="0" xfId="240" applyFont="1" applyFill="1" applyAlignment="1">
      <alignment horizontal="right" vertical="center"/>
    </xf>
    <xf numFmtId="166" fontId="8" fillId="18" borderId="0" xfId="240" applyNumberFormat="1" applyFont="1" applyFill="1" applyAlignment="1">
      <alignment vertical="center"/>
    </xf>
    <xf numFmtId="0" fontId="0" fillId="18" borderId="0" xfId="0" applyFill="1" applyBorder="1"/>
    <xf numFmtId="167" fontId="8" fillId="18" borderId="0" xfId="207" applyNumberFormat="1" applyFont="1" applyFill="1" applyAlignment="1">
      <alignment horizontal="right" vertical="center"/>
    </xf>
    <xf numFmtId="9" fontId="8" fillId="18" borderId="0" xfId="240" applyFont="1" applyFill="1" applyBorder="1"/>
    <xf numFmtId="170" fontId="8" fillId="18" borderId="0" xfId="0" applyNumberFormat="1" applyFont="1" applyFill="1" applyBorder="1" applyAlignment="1">
      <alignment vertical="center"/>
    </xf>
    <xf numFmtId="167" fontId="8" fillId="18" borderId="0" xfId="207" applyNumberFormat="1" applyFont="1" applyFill="1" applyBorder="1" applyAlignment="1">
      <alignment horizontal="right" vertical="center"/>
    </xf>
    <xf numFmtId="174" fontId="8" fillId="18" borderId="0" xfId="0" applyNumberFormat="1" applyFont="1" applyFill="1" applyBorder="1" applyAlignment="1">
      <alignment vertical="center"/>
    </xf>
    <xf numFmtId="167" fontId="8" fillId="18" borderId="0" xfId="207" applyNumberFormat="1" applyFont="1" applyFill="1" applyBorder="1" applyAlignment="1">
      <alignment vertical="center"/>
    </xf>
    <xf numFmtId="0" fontId="8" fillId="18" borderId="0" xfId="0" applyFont="1" applyFill="1" applyAlignment="1">
      <alignment horizontal="left" vertical="center" indent="2"/>
    </xf>
    <xf numFmtId="168" fontId="8" fillId="18" borderId="0" xfId="207" applyNumberFormat="1" applyFont="1" applyFill="1" applyBorder="1"/>
    <xf numFmtId="178" fontId="20" fillId="18" borderId="0" xfId="0" applyNumberFormat="1" applyFont="1" applyFill="1" applyBorder="1" applyAlignment="1">
      <alignment vertical="center"/>
    </xf>
    <xf numFmtId="9" fontId="8" fillId="18" borderId="0" xfId="240" applyFont="1" applyFill="1" applyBorder="1" applyAlignment="1">
      <alignment vertical="center"/>
    </xf>
    <xf numFmtId="173" fontId="8" fillId="18" borderId="0" xfId="0" applyNumberFormat="1" applyFont="1" applyFill="1" applyBorder="1" applyAlignment="1">
      <alignment vertical="center"/>
    </xf>
    <xf numFmtId="0" fontId="66" fillId="18" borderId="0" xfId="0" applyFont="1" applyFill="1" applyAlignment="1">
      <alignment vertical="center"/>
    </xf>
    <xf numFmtId="0" fontId="66" fillId="18" borderId="0" xfId="0" applyFont="1" applyFill="1" applyBorder="1" applyAlignment="1">
      <alignment vertical="center"/>
    </xf>
    <xf numFmtId="0" fontId="68" fillId="18" borderId="0" xfId="0" applyFont="1" applyFill="1" applyBorder="1" applyAlignment="1">
      <alignment vertical="center"/>
    </xf>
    <xf numFmtId="166" fontId="68" fillId="18" borderId="0" xfId="240" applyNumberFormat="1" applyFont="1" applyFill="1" applyBorder="1" applyAlignment="1">
      <alignment horizontal="right" vertical="center"/>
    </xf>
    <xf numFmtId="166" fontId="66" fillId="18" borderId="0" xfId="240" applyNumberFormat="1" applyFont="1" applyFill="1" applyBorder="1" applyAlignment="1">
      <alignment horizontal="right" vertical="center"/>
    </xf>
    <xf numFmtId="173" fontId="66" fillId="18" borderId="0" xfId="0" applyNumberFormat="1" applyFont="1" applyFill="1" applyBorder="1" applyAlignment="1">
      <alignment horizontal="right" vertical="center"/>
    </xf>
    <xf numFmtId="0" fontId="68" fillId="18" borderId="0" xfId="0" applyFont="1" applyFill="1" applyAlignment="1">
      <alignment vertical="center"/>
    </xf>
    <xf numFmtId="172" fontId="59" fillId="18" borderId="0" xfId="0" applyNumberFormat="1" applyFont="1" applyFill="1" applyBorder="1" applyAlignment="1">
      <alignment vertical="center"/>
    </xf>
    <xf numFmtId="0" fontId="74" fillId="18" borderId="0" xfId="0" applyFont="1" applyFill="1" applyAlignment="1">
      <alignment vertical="center"/>
    </xf>
    <xf numFmtId="171" fontId="20" fillId="18" borderId="0" xfId="0" applyNumberFormat="1" applyFont="1" applyFill="1" applyAlignment="1">
      <alignment vertical="center"/>
    </xf>
    <xf numFmtId="172" fontId="49" fillId="18" borderId="0" xfId="0" applyNumberFormat="1" applyFont="1" applyFill="1" applyAlignment="1">
      <alignment vertical="center"/>
    </xf>
    <xf numFmtId="0" fontId="50" fillId="18" borderId="0" xfId="0" applyFont="1" applyFill="1" applyAlignment="1">
      <alignment horizontal="right" vertical="center"/>
    </xf>
    <xf numFmtId="0" fontId="43" fillId="18" borderId="0" xfId="0" applyFont="1" applyFill="1" applyAlignment="1">
      <alignment vertical="center"/>
    </xf>
    <xf numFmtId="171" fontId="17" fillId="18" borderId="0" xfId="0" applyNumberFormat="1" applyFont="1" applyFill="1" applyAlignment="1">
      <alignment vertical="center"/>
    </xf>
    <xf numFmtId="178" fontId="48" fillId="18" borderId="0" xfId="0" applyNumberFormat="1" applyFont="1" applyFill="1" applyAlignment="1">
      <alignment horizontal="right" vertical="center"/>
    </xf>
    <xf numFmtId="173" fontId="64" fillId="18" borderId="0" xfId="0" applyNumberFormat="1" applyFont="1" applyFill="1" applyAlignment="1">
      <alignment vertical="center"/>
    </xf>
    <xf numFmtId="171" fontId="20" fillId="18" borderId="17" xfId="0" applyNumberFormat="1" applyFont="1" applyFill="1" applyBorder="1" applyAlignment="1">
      <alignment horizontal="right" vertical="center"/>
    </xf>
    <xf numFmtId="171" fontId="64" fillId="18" borderId="0" xfId="0" applyNumberFormat="1" applyFont="1" applyFill="1" applyAlignment="1">
      <alignment vertical="center"/>
    </xf>
    <xf numFmtId="178" fontId="17" fillId="18" borderId="0" xfId="0" applyNumberFormat="1" applyFont="1" applyFill="1" applyAlignment="1">
      <alignment horizontal="right" vertical="center"/>
    </xf>
    <xf numFmtId="178" fontId="49" fillId="18" borderId="0" xfId="0" applyNumberFormat="1" applyFont="1" applyFill="1" applyAlignment="1">
      <alignment vertical="center"/>
    </xf>
    <xf numFmtId="174" fontId="20" fillId="18" borderId="14" xfId="0" applyNumberFormat="1" applyFont="1" applyFill="1" applyBorder="1" applyAlignment="1">
      <alignment vertical="center"/>
    </xf>
    <xf numFmtId="0" fontId="72" fillId="18" borderId="0" xfId="0" applyFont="1" applyFill="1" applyAlignment="1">
      <alignment horizontal="center" vertical="center"/>
    </xf>
    <xf numFmtId="171" fontId="17" fillId="18" borderId="0" xfId="0" applyNumberFormat="1" applyFont="1" applyFill="1" applyBorder="1" applyAlignment="1">
      <alignment vertical="center"/>
    </xf>
    <xf numFmtId="4" fontId="79" fillId="18" borderId="0" xfId="0" applyNumberFormat="1" applyFont="1" applyFill="1" applyBorder="1" applyAlignment="1">
      <alignment vertical="center"/>
    </xf>
    <xf numFmtId="4" fontId="50" fillId="18" borderId="0" xfId="0" applyNumberFormat="1" applyFont="1" applyFill="1" applyBorder="1" applyAlignment="1">
      <alignment vertical="center"/>
    </xf>
    <xf numFmtId="171" fontId="72" fillId="18" borderId="0" xfId="0" applyNumberFormat="1" applyFont="1" applyFill="1" applyBorder="1" applyAlignment="1">
      <alignment vertical="center"/>
    </xf>
    <xf numFmtId="171" fontId="72" fillId="18" borderId="0" xfId="0" applyNumberFormat="1" applyFont="1" applyFill="1" applyAlignment="1">
      <alignment vertical="center"/>
    </xf>
    <xf numFmtId="0" fontId="20" fillId="18" borderId="18" xfId="0" applyFont="1" applyFill="1" applyBorder="1" applyAlignment="1">
      <alignment vertical="center"/>
    </xf>
    <xf numFmtId="0" fontId="17" fillId="18" borderId="19" xfId="0" applyFont="1" applyFill="1" applyBorder="1" applyAlignment="1">
      <alignment vertical="center"/>
    </xf>
    <xf numFmtId="0" fontId="20" fillId="18" borderId="18" xfId="0" applyFont="1" applyFill="1" applyBorder="1" applyAlignment="1">
      <alignment horizontal="centerContinuous" vertical="center"/>
    </xf>
    <xf numFmtId="0" fontId="20" fillId="18" borderId="1" xfId="0" applyFont="1" applyFill="1" applyBorder="1" applyAlignment="1">
      <alignment horizontal="centerContinuous" vertical="center"/>
    </xf>
    <xf numFmtId="0" fontId="20" fillId="18" borderId="20" xfId="0" applyFont="1" applyFill="1" applyBorder="1" applyAlignment="1">
      <alignment horizontal="centerContinuous" vertical="center"/>
    </xf>
    <xf numFmtId="173" fontId="17" fillId="18" borderId="21" xfId="0" applyNumberFormat="1" applyFont="1" applyFill="1" applyBorder="1" applyAlignment="1">
      <alignment vertical="center"/>
    </xf>
    <xf numFmtId="171" fontId="70" fillId="18" borderId="19" xfId="0" applyNumberFormat="1" applyFont="1" applyFill="1" applyBorder="1" applyAlignment="1">
      <alignment vertical="center"/>
    </xf>
    <xf numFmtId="178" fontId="20" fillId="18" borderId="4" xfId="0" applyNumberFormat="1" applyFont="1" applyFill="1" applyBorder="1" applyAlignment="1">
      <alignment vertical="center"/>
    </xf>
    <xf numFmtId="0" fontId="20" fillId="18" borderId="19" xfId="0" applyFont="1" applyFill="1" applyBorder="1" applyAlignment="1">
      <alignment vertical="center"/>
    </xf>
    <xf numFmtId="187" fontId="20" fillId="18" borderId="19" xfId="0" applyNumberFormat="1" applyFont="1" applyFill="1" applyBorder="1" applyAlignment="1">
      <alignment vertical="center"/>
    </xf>
    <xf numFmtId="173" fontId="17" fillId="18" borderId="22" xfId="0" applyNumberFormat="1" applyFont="1" applyFill="1" applyBorder="1" applyAlignment="1">
      <alignment vertical="center"/>
    </xf>
    <xf numFmtId="173" fontId="17" fillId="18" borderId="17" xfId="0" applyNumberFormat="1" applyFont="1" applyFill="1" applyBorder="1" applyAlignment="1">
      <alignment vertical="center"/>
    </xf>
    <xf numFmtId="173" fontId="17" fillId="18" borderId="23" xfId="0" applyNumberFormat="1" applyFont="1" applyFill="1" applyBorder="1" applyAlignment="1">
      <alignment vertical="center"/>
    </xf>
    <xf numFmtId="187" fontId="20" fillId="18" borderId="24" xfId="0" applyNumberFormat="1" applyFont="1" applyFill="1" applyBorder="1" applyAlignment="1">
      <alignment vertical="center"/>
    </xf>
    <xf numFmtId="173" fontId="17" fillId="18" borderId="24" xfId="0" applyNumberFormat="1" applyFont="1" applyFill="1" applyBorder="1" applyAlignment="1">
      <alignment vertical="center"/>
    </xf>
    <xf numFmtId="173" fontId="17" fillId="18" borderId="14" xfId="0" applyNumberFormat="1" applyFont="1" applyFill="1" applyBorder="1" applyAlignment="1">
      <alignment vertical="center"/>
    </xf>
    <xf numFmtId="170" fontId="49" fillId="18" borderId="0" xfId="0" applyNumberFormat="1" applyFont="1" applyFill="1" applyBorder="1" applyAlignment="1">
      <alignment vertical="center"/>
    </xf>
    <xf numFmtId="173" fontId="20" fillId="18" borderId="0" xfId="0" applyNumberFormat="1" applyFont="1" applyFill="1" applyBorder="1" applyAlignment="1">
      <alignment vertical="center"/>
    </xf>
    <xf numFmtId="178" fontId="17" fillId="18" borderId="0" xfId="0" applyNumberFormat="1" applyFont="1" applyFill="1" applyBorder="1" applyAlignment="1">
      <alignment horizontal="right" vertical="center"/>
    </xf>
    <xf numFmtId="176" fontId="20" fillId="18" borderId="0" xfId="0" applyNumberFormat="1" applyFont="1" applyFill="1" applyBorder="1" applyAlignment="1">
      <alignment horizontal="right" vertical="center"/>
    </xf>
    <xf numFmtId="173" fontId="64" fillId="18" borderId="0" xfId="0" applyNumberFormat="1" applyFont="1" applyFill="1" applyBorder="1" applyAlignment="1">
      <alignment vertical="center"/>
    </xf>
    <xf numFmtId="11" fontId="20" fillId="18" borderId="0" xfId="0" applyNumberFormat="1" applyFont="1" applyFill="1" applyBorder="1" applyAlignment="1">
      <alignment vertical="center"/>
    </xf>
    <xf numFmtId="9" fontId="20" fillId="18" borderId="0" xfId="0" applyNumberFormat="1" applyFont="1" applyFill="1" applyBorder="1" applyAlignment="1">
      <alignment vertical="center"/>
    </xf>
    <xf numFmtId="0" fontId="48" fillId="18" borderId="0" xfId="246" applyFont="1" applyFill="1" applyBorder="1" applyAlignment="1">
      <alignment horizontal="right"/>
    </xf>
    <xf numFmtId="0" fontId="48" fillId="18" borderId="0" xfId="246" quotePrefix="1" applyFont="1" applyFill="1" applyBorder="1" applyAlignment="1">
      <alignment horizontal="right"/>
    </xf>
    <xf numFmtId="0" fontId="48" fillId="18" borderId="0" xfId="246" applyFont="1" applyFill="1" applyAlignment="1">
      <alignment horizontal="left"/>
    </xf>
    <xf numFmtId="0" fontId="20" fillId="18" borderId="0" xfId="246" applyFont="1" applyFill="1" applyAlignment="1">
      <alignment horizontal="center"/>
    </xf>
    <xf numFmtId="0" fontId="8" fillId="18" borderId="0" xfId="246" applyFont="1" applyFill="1" applyAlignment="1"/>
    <xf numFmtId="0" fontId="8" fillId="18" borderId="0" xfId="246" applyFont="1" applyFill="1" applyBorder="1" applyAlignment="1"/>
    <xf numFmtId="0" fontId="17" fillId="18" borderId="0" xfId="246" applyFont="1" applyFill="1" applyAlignment="1">
      <alignment horizontal="left"/>
    </xf>
    <xf numFmtId="0" fontId="17" fillId="18" borderId="0" xfId="246" applyFont="1" applyFill="1" applyAlignment="1"/>
    <xf numFmtId="0" fontId="17" fillId="18" borderId="0" xfId="246" applyFont="1" applyFill="1" applyBorder="1" applyAlignment="1"/>
    <xf numFmtId="166" fontId="17" fillId="18" borderId="0" xfId="240" applyNumberFormat="1" applyFont="1" applyFill="1" applyBorder="1"/>
    <xf numFmtId="0" fontId="20" fillId="18" borderId="0" xfId="246" applyFont="1" applyFill="1" applyAlignment="1"/>
    <xf numFmtId="38" fontId="20" fillId="18" borderId="0" xfId="240" applyNumberFormat="1" applyFont="1" applyFill="1" applyBorder="1"/>
    <xf numFmtId="10" fontId="20" fillId="18" borderId="0" xfId="240" applyNumberFormat="1" applyFont="1" applyFill="1" applyBorder="1"/>
    <xf numFmtId="166" fontId="20" fillId="18" borderId="0" xfId="240" applyNumberFormat="1" applyFont="1" applyFill="1" applyBorder="1"/>
    <xf numFmtId="40" fontId="17" fillId="18" borderId="0" xfId="246" applyNumberFormat="1" applyFont="1" applyFill="1" applyBorder="1" applyAlignment="1"/>
    <xf numFmtId="3" fontId="17" fillId="18" borderId="0" xfId="207" applyNumberFormat="1" applyFont="1" applyFill="1" applyBorder="1"/>
    <xf numFmtId="0" fontId="20" fillId="18" borderId="0" xfId="246" applyFont="1" applyFill="1" applyBorder="1" applyAlignment="1"/>
    <xf numFmtId="40" fontId="20" fillId="18" borderId="0" xfId="246" applyNumberFormat="1" applyFont="1" applyFill="1" applyBorder="1" applyAlignment="1"/>
    <xf numFmtId="4" fontId="17" fillId="18" borderId="0" xfId="246" applyNumberFormat="1" applyFont="1" applyFill="1" applyAlignment="1">
      <alignment horizontal="center"/>
    </xf>
    <xf numFmtId="2" fontId="17" fillId="18" borderId="0" xfId="246" applyNumberFormat="1" applyFont="1" applyFill="1" applyAlignment="1">
      <alignment horizontal="center"/>
    </xf>
    <xf numFmtId="166" fontId="9" fillId="21" borderId="0" xfId="240" applyNumberFormat="1" applyFont="1" applyFill="1" applyBorder="1"/>
    <xf numFmtId="43" fontId="9" fillId="21" borderId="0" xfId="207" applyFont="1" applyFill="1" applyBorder="1"/>
    <xf numFmtId="2" fontId="17" fillId="18" borderId="0" xfId="246" applyNumberFormat="1" applyFont="1" applyFill="1" applyBorder="1" applyAlignment="1"/>
    <xf numFmtId="165" fontId="17" fillId="18" borderId="0" xfId="246" applyNumberFormat="1" applyFont="1" applyFill="1" applyBorder="1" applyAlignment="1"/>
    <xf numFmtId="165" fontId="20" fillId="18" borderId="0" xfId="246" applyNumberFormat="1" applyFont="1" applyFill="1" applyBorder="1" applyAlignment="1"/>
    <xf numFmtId="0" fontId="20" fillId="22" borderId="0" xfId="0" applyFont="1" applyFill="1" applyBorder="1" applyAlignment="1">
      <alignment vertical="center"/>
    </xf>
    <xf numFmtId="0" fontId="45" fillId="22" borderId="0" xfId="0" applyFont="1" applyFill="1" applyBorder="1" applyAlignment="1">
      <alignment horizontal="centerContinuous" vertical="center"/>
    </xf>
    <xf numFmtId="0" fontId="53" fillId="18" borderId="0" xfId="0" applyFont="1" applyFill="1" applyBorder="1" applyAlignment="1">
      <alignment vertical="center"/>
    </xf>
    <xf numFmtId="0" fontId="53" fillId="18" borderId="13" xfId="0" applyFont="1" applyFill="1" applyBorder="1" applyAlignment="1">
      <alignment vertical="center"/>
    </xf>
    <xf numFmtId="0" fontId="8" fillId="18" borderId="0" xfId="0" applyFont="1" applyFill="1" applyBorder="1"/>
    <xf numFmtId="177" fontId="53" fillId="18" borderId="0" xfId="0" applyNumberFormat="1" applyFont="1" applyFill="1" applyBorder="1" applyAlignment="1">
      <alignment vertical="center"/>
    </xf>
    <xf numFmtId="177" fontId="8" fillId="18" borderId="0" xfId="0" applyNumberFormat="1" applyFont="1" applyFill="1" applyBorder="1" applyAlignment="1">
      <alignment vertical="center"/>
    </xf>
    <xf numFmtId="0" fontId="60" fillId="18" borderId="0" xfId="0" applyFont="1" applyFill="1" applyAlignment="1">
      <alignment horizontal="left" vertical="center" indent="1"/>
    </xf>
    <xf numFmtId="172" fontId="44" fillId="18" borderId="0" xfId="0" applyNumberFormat="1" applyFont="1" applyFill="1" applyBorder="1" applyAlignment="1">
      <alignment horizontal="right" vertical="center"/>
    </xf>
    <xf numFmtId="166" fontId="8" fillId="18" borderId="0" xfId="240" applyNumberFormat="1" applyFont="1" applyFill="1" applyBorder="1" applyAlignment="1">
      <alignment vertical="center"/>
    </xf>
    <xf numFmtId="173" fontId="53" fillId="18" borderId="0" xfId="0" applyNumberFormat="1" applyFont="1" applyFill="1" applyBorder="1" applyAlignment="1">
      <alignment horizontal="right" vertical="center"/>
    </xf>
    <xf numFmtId="170" fontId="59" fillId="18" borderId="0" xfId="0" applyNumberFormat="1" applyFont="1" applyFill="1" applyBorder="1" applyAlignment="1">
      <alignment horizontal="right" vertical="center"/>
    </xf>
    <xf numFmtId="166" fontId="53" fillId="18" borderId="0" xfId="240" applyNumberFormat="1" applyFont="1" applyFill="1" applyBorder="1" applyAlignment="1">
      <alignment horizontal="right" vertical="center"/>
    </xf>
    <xf numFmtId="0" fontId="66" fillId="18" borderId="0" xfId="0" applyFont="1" applyFill="1"/>
    <xf numFmtId="0" fontId="66" fillId="18" borderId="0" xfId="0" applyFont="1" applyFill="1" applyBorder="1"/>
    <xf numFmtId="0" fontId="8" fillId="18" borderId="0" xfId="0" applyNumberFormat="1" applyFont="1" applyFill="1" applyAlignment="1">
      <alignment horizontal="left"/>
    </xf>
    <xf numFmtId="0" fontId="8" fillId="18" borderId="0" xfId="0" applyFont="1" applyFill="1" applyBorder="1" applyAlignment="1">
      <alignment horizontal="left" vertical="center" indent="2"/>
    </xf>
    <xf numFmtId="43" fontId="8" fillId="18" borderId="0" xfId="207" applyNumberFormat="1" applyFont="1" applyFill="1" applyBorder="1" applyAlignment="1">
      <alignment horizontal="right" vertical="center"/>
    </xf>
    <xf numFmtId="9" fontId="8" fillId="18" borderId="0" xfId="240" applyFont="1" applyFill="1" applyBorder="1" applyAlignment="1">
      <alignment horizontal="right"/>
    </xf>
    <xf numFmtId="178" fontId="8" fillId="18" borderId="0" xfId="240" applyNumberFormat="1" applyFont="1" applyFill="1" applyBorder="1" applyAlignment="1">
      <alignment horizontal="right" vertical="center"/>
    </xf>
    <xf numFmtId="178" fontId="53" fillId="18" borderId="0" xfId="240" applyNumberFormat="1" applyFont="1" applyFill="1" applyBorder="1" applyAlignment="1">
      <alignment horizontal="right" vertical="center"/>
    </xf>
    <xf numFmtId="0" fontId="8" fillId="18" borderId="0" xfId="0" applyFont="1" applyFill="1" applyBorder="1" applyAlignment="1">
      <alignment horizontal="left" vertical="center"/>
    </xf>
    <xf numFmtId="170" fontId="59" fillId="18" borderId="0" xfId="0" applyNumberFormat="1" applyFont="1" applyFill="1" applyBorder="1" applyAlignment="1">
      <alignment vertical="center"/>
    </xf>
    <xf numFmtId="0" fontId="60" fillId="18" borderId="0" xfId="0" applyFont="1" applyFill="1" applyBorder="1" applyAlignment="1">
      <alignment horizontal="left" vertical="center" indent="1"/>
    </xf>
    <xf numFmtId="173" fontId="53" fillId="18" borderId="0" xfId="0" applyNumberFormat="1" applyFont="1" applyFill="1" applyAlignment="1">
      <alignment horizontal="right" vertical="center"/>
    </xf>
    <xf numFmtId="0" fontId="8" fillId="18" borderId="0" xfId="0" applyFont="1" applyFill="1" applyAlignment="1">
      <alignment horizontal="left" vertical="center" indent="3"/>
    </xf>
    <xf numFmtId="165" fontId="8" fillId="18" borderId="0" xfId="0" applyNumberFormat="1" applyFont="1" applyFill="1" applyAlignment="1">
      <alignment vertical="center"/>
    </xf>
    <xf numFmtId="0" fontId="8" fillId="0" borderId="0" xfId="0" applyFont="1" applyBorder="1"/>
    <xf numFmtId="9" fontId="8" fillId="18" borderId="0" xfId="240" applyNumberFormat="1" applyFont="1" applyFill="1" applyAlignment="1">
      <alignment vertical="center"/>
    </xf>
    <xf numFmtId="165" fontId="8" fillId="18" borderId="0" xfId="0" applyNumberFormat="1" applyFont="1" applyFill="1" applyAlignment="1">
      <alignment horizontal="right" vertical="center"/>
    </xf>
    <xf numFmtId="184" fontId="8" fillId="18" borderId="0" xfId="0" applyNumberFormat="1" applyFont="1" applyFill="1" applyAlignment="1">
      <alignment horizontal="right" vertical="center"/>
    </xf>
    <xf numFmtId="0" fontId="46" fillId="18" borderId="0" xfId="0" applyFont="1" applyFill="1" applyAlignment="1">
      <alignment horizontal="center" vertical="center"/>
    </xf>
    <xf numFmtId="192" fontId="53" fillId="18" borderId="0" xfId="0" applyNumberFormat="1" applyFont="1" applyFill="1" applyBorder="1" applyAlignment="1">
      <alignment vertical="center"/>
    </xf>
    <xf numFmtId="166" fontId="62" fillId="18" borderId="0" xfId="240" applyNumberFormat="1" applyFont="1" applyFill="1" applyBorder="1" applyAlignment="1">
      <alignment horizontal="right" vertical="center"/>
    </xf>
    <xf numFmtId="164" fontId="0" fillId="18" borderId="0" xfId="0" applyNumberFormat="1" applyFill="1"/>
    <xf numFmtId="164" fontId="8" fillId="18" borderId="0" xfId="0" applyNumberFormat="1" applyFont="1" applyFill="1" applyAlignment="1">
      <alignment vertical="center"/>
    </xf>
    <xf numFmtId="164" fontId="59" fillId="18" borderId="0" xfId="0" applyNumberFormat="1" applyFont="1" applyFill="1" applyAlignment="1">
      <alignment vertical="center"/>
    </xf>
    <xf numFmtId="164" fontId="53" fillId="18" borderId="0" xfId="0" applyNumberFormat="1" applyFont="1" applyFill="1" applyBorder="1" applyAlignment="1">
      <alignment vertical="center"/>
    </xf>
    <xf numFmtId="0" fontId="21" fillId="18" borderId="0" xfId="0" applyFont="1" applyFill="1"/>
    <xf numFmtId="0" fontId="72" fillId="18" borderId="0" xfId="0" applyFont="1" applyFill="1" applyBorder="1" applyAlignment="1">
      <alignment vertical="center"/>
    </xf>
    <xf numFmtId="0" fontId="72" fillId="18" borderId="0" xfId="0" applyFont="1" applyFill="1" applyAlignment="1">
      <alignment vertical="center"/>
    </xf>
    <xf numFmtId="0" fontId="86" fillId="18" borderId="0" xfId="0" applyFont="1" applyFill="1"/>
    <xf numFmtId="168" fontId="72" fillId="18" borderId="0" xfId="0" applyNumberFormat="1" applyFont="1" applyFill="1" applyBorder="1" applyAlignment="1">
      <alignment vertical="center"/>
    </xf>
    <xf numFmtId="164" fontId="20" fillId="18" borderId="0" xfId="0" applyNumberFormat="1" applyFont="1" applyFill="1" applyBorder="1" applyAlignment="1">
      <alignment vertical="center"/>
    </xf>
    <xf numFmtId="164" fontId="20" fillId="18" borderId="0" xfId="0" applyNumberFormat="1" applyFont="1" applyFill="1" applyAlignment="1">
      <alignment vertical="center"/>
    </xf>
    <xf numFmtId="164" fontId="8" fillId="18" borderId="0" xfId="0" applyNumberFormat="1" applyFont="1" applyFill="1" applyBorder="1" applyAlignment="1">
      <alignment vertical="center"/>
    </xf>
    <xf numFmtId="164" fontId="8" fillId="18" borderId="0" xfId="0" applyNumberFormat="1" applyFont="1" applyFill="1" applyBorder="1" applyAlignment="1">
      <alignment horizontal="right" vertical="center"/>
    </xf>
    <xf numFmtId="164" fontId="59" fillId="18" borderId="0" xfId="0" applyNumberFormat="1" applyFont="1" applyFill="1" applyBorder="1" applyAlignment="1">
      <alignment vertical="center"/>
    </xf>
    <xf numFmtId="164" fontId="42" fillId="18" borderId="0" xfId="0" applyNumberFormat="1" applyFont="1" applyFill="1" applyAlignment="1">
      <alignment vertical="center"/>
    </xf>
    <xf numFmtId="164" fontId="56" fillId="18" borderId="0" xfId="0" applyNumberFormat="1" applyFont="1" applyFill="1" applyBorder="1" applyAlignment="1">
      <alignment vertical="center"/>
    </xf>
    <xf numFmtId="164" fontId="17" fillId="18" borderId="0" xfId="0" applyNumberFormat="1" applyFont="1" applyFill="1" applyBorder="1" applyAlignment="1">
      <alignment vertical="center"/>
    </xf>
    <xf numFmtId="170" fontId="58" fillId="18" borderId="0" xfId="0" applyNumberFormat="1" applyFont="1" applyFill="1" applyBorder="1" applyAlignment="1">
      <alignment vertical="center"/>
    </xf>
    <xf numFmtId="0" fontId="58" fillId="18" borderId="0" xfId="0" applyFont="1" applyFill="1" applyAlignment="1">
      <alignment vertical="center"/>
    </xf>
    <xf numFmtId="166" fontId="59" fillId="18" borderId="0" xfId="240" applyNumberFormat="1" applyFont="1" applyFill="1" applyBorder="1" applyAlignment="1">
      <alignment horizontal="right" vertical="center"/>
    </xf>
    <xf numFmtId="164" fontId="8" fillId="18" borderId="0" xfId="0" applyNumberFormat="1" applyFont="1" applyFill="1" applyBorder="1"/>
    <xf numFmtId="209" fontId="72" fillId="18" borderId="0" xfId="0" applyNumberFormat="1" applyFont="1" applyFill="1" applyBorder="1" applyAlignment="1">
      <alignment vertical="center"/>
    </xf>
    <xf numFmtId="39" fontId="8" fillId="18" borderId="0" xfId="0" applyNumberFormat="1" applyFont="1" applyFill="1" applyAlignment="1">
      <alignment horizontal="right" vertical="center"/>
    </xf>
    <xf numFmtId="0" fontId="25" fillId="0" borderId="0" xfId="0" applyFont="1" applyFill="1"/>
    <xf numFmtId="0" fontId="20" fillId="18" borderId="0" xfId="0" applyFont="1" applyFill="1" applyAlignment="1">
      <alignment horizontal="left" vertical="center" indent="1"/>
    </xf>
    <xf numFmtId="0" fontId="20" fillId="18" borderId="0" xfId="0" applyFont="1" applyFill="1" applyAlignment="1">
      <alignment horizontal="left" vertical="center"/>
    </xf>
    <xf numFmtId="0" fontId="17" fillId="18" borderId="0" xfId="207" applyNumberFormat="1" applyFont="1" applyFill="1" applyAlignment="1">
      <alignment horizontal="left"/>
    </xf>
    <xf numFmtId="0" fontId="17" fillId="18" borderId="0" xfId="0" applyFont="1" applyFill="1" applyBorder="1" applyAlignment="1">
      <alignment horizontal="left" indent="1"/>
    </xf>
    <xf numFmtId="170" fontId="62" fillId="18" borderId="0" xfId="0" applyNumberFormat="1" applyFont="1" applyFill="1" applyBorder="1" applyAlignment="1">
      <alignment horizontal="right" vertical="center"/>
    </xf>
    <xf numFmtId="194" fontId="17" fillId="18" borderId="0" xfId="0" applyNumberFormat="1" applyFont="1" applyFill="1" applyBorder="1" applyAlignment="1">
      <alignment vertical="center"/>
    </xf>
    <xf numFmtId="180" fontId="17" fillId="18" borderId="0" xfId="0" applyNumberFormat="1" applyFont="1" applyFill="1" applyBorder="1" applyAlignment="1">
      <alignment vertical="center"/>
    </xf>
    <xf numFmtId="210" fontId="72" fillId="18" borderId="0" xfId="0" applyNumberFormat="1" applyFont="1" applyFill="1" applyBorder="1" applyAlignment="1">
      <alignment vertical="center"/>
    </xf>
    <xf numFmtId="164" fontId="84" fillId="18" borderId="0" xfId="0" applyNumberFormat="1" applyFont="1" applyFill="1" applyBorder="1" applyAlignment="1">
      <alignment horizontal="right" vertical="center"/>
    </xf>
    <xf numFmtId="170" fontId="17" fillId="18" borderId="0" xfId="0" applyNumberFormat="1" applyFont="1" applyFill="1" applyBorder="1" applyAlignment="1">
      <alignment vertical="center"/>
    </xf>
    <xf numFmtId="0" fontId="25" fillId="18" borderId="0" xfId="0" applyFont="1" applyFill="1" applyBorder="1"/>
    <xf numFmtId="182" fontId="50" fillId="18" borderId="0" xfId="0" applyNumberFormat="1" applyFont="1" applyFill="1" applyBorder="1" applyAlignment="1">
      <alignment horizontal="right" vertical="center"/>
    </xf>
    <xf numFmtId="182" fontId="8" fillId="18" borderId="0" xfId="0" applyNumberFormat="1" applyFont="1" applyFill="1" applyBorder="1" applyAlignment="1">
      <alignment vertical="center"/>
    </xf>
    <xf numFmtId="209" fontId="72" fillId="18" borderId="0" xfId="0" applyNumberFormat="1" applyFont="1" applyFill="1" applyAlignment="1">
      <alignment vertical="center"/>
    </xf>
    <xf numFmtId="0" fontId="70" fillId="19" borderId="0" xfId="0" applyFont="1" applyFill="1" applyAlignment="1">
      <alignment vertical="center"/>
    </xf>
    <xf numFmtId="209" fontId="66" fillId="18" borderId="0" xfId="0" applyNumberFormat="1" applyFont="1" applyFill="1" applyAlignment="1">
      <alignment vertical="center"/>
    </xf>
    <xf numFmtId="164" fontId="20" fillId="18" borderId="0" xfId="0" applyNumberFormat="1" applyFont="1" applyFill="1" applyBorder="1"/>
    <xf numFmtId="189" fontId="20" fillId="18" borderId="0" xfId="0" applyNumberFormat="1" applyFont="1" applyFill="1" applyBorder="1" applyAlignment="1">
      <alignment horizontal="right" vertical="center"/>
    </xf>
    <xf numFmtId="190" fontId="53" fillId="18" borderId="0" xfId="0" applyNumberFormat="1" applyFont="1" applyFill="1" applyBorder="1" applyAlignment="1">
      <alignment horizontal="right" vertical="center"/>
    </xf>
    <xf numFmtId="164" fontId="21" fillId="18" borderId="0" xfId="0" applyNumberFormat="1" applyFont="1" applyFill="1"/>
    <xf numFmtId="0" fontId="17" fillId="18" borderId="0" xfId="207" applyNumberFormat="1" applyFont="1" applyFill="1" applyBorder="1" applyAlignment="1">
      <alignment horizontal="left"/>
    </xf>
    <xf numFmtId="0" fontId="17" fillId="18" borderId="0" xfId="207" applyNumberFormat="1" applyFont="1" applyFill="1" applyBorder="1" applyAlignment="1">
      <alignment horizontal="left" indent="1"/>
    </xf>
    <xf numFmtId="0" fontId="72" fillId="18" borderId="0" xfId="207" applyNumberFormat="1" applyFont="1" applyFill="1" applyBorder="1"/>
    <xf numFmtId="0" fontId="46" fillId="18" borderId="0" xfId="0" applyFont="1" applyFill="1" applyBorder="1" applyAlignment="1">
      <alignment vertical="center"/>
    </xf>
    <xf numFmtId="164" fontId="59" fillId="18" borderId="0" xfId="0" applyNumberFormat="1" applyFont="1" applyFill="1" applyBorder="1" applyAlignment="1">
      <alignment horizontal="right" vertical="center"/>
    </xf>
    <xf numFmtId="164" fontId="65" fillId="18" borderId="0" xfId="0" applyNumberFormat="1" applyFont="1" applyFill="1" applyBorder="1" applyAlignment="1">
      <alignment vertical="center"/>
    </xf>
    <xf numFmtId="0" fontId="17" fillId="18" borderId="0" xfId="0" applyFont="1" applyFill="1" applyBorder="1" applyAlignment="1">
      <alignment horizontal="left"/>
    </xf>
    <xf numFmtId="38" fontId="17" fillId="18" borderId="0" xfId="233" applyNumberFormat="1" applyFont="1" applyFill="1" applyAlignment="1">
      <alignment horizontal="left"/>
    </xf>
    <xf numFmtId="0" fontId="25" fillId="0" borderId="0" xfId="0" applyFont="1" applyFill="1" applyBorder="1"/>
    <xf numFmtId="0" fontId="17" fillId="18" borderId="0" xfId="0" applyFont="1" applyFill="1" applyBorder="1" applyAlignment="1">
      <alignment horizontal="left" vertical="center"/>
    </xf>
    <xf numFmtId="178" fontId="8" fillId="18" borderId="0" xfId="0" applyNumberFormat="1" applyFont="1" applyFill="1" applyBorder="1" applyAlignment="1">
      <alignment horizontal="right" vertical="center"/>
    </xf>
    <xf numFmtId="0" fontId="0" fillId="0" borderId="0" xfId="0" applyBorder="1"/>
    <xf numFmtId="175" fontId="20" fillId="18" borderId="14" xfId="0" applyNumberFormat="1" applyFont="1" applyFill="1" applyBorder="1" applyAlignment="1">
      <alignment horizontal="right" vertical="center"/>
    </xf>
    <xf numFmtId="176" fontId="20" fillId="18" borderId="14" xfId="0" applyNumberFormat="1" applyFont="1" applyFill="1" applyBorder="1" applyAlignment="1">
      <alignment horizontal="right" vertical="center"/>
    </xf>
    <xf numFmtId="10" fontId="20" fillId="18" borderId="0" xfId="240" applyNumberFormat="1" applyFont="1" applyFill="1" applyBorder="1" applyAlignment="1">
      <alignment horizontal="right" vertical="center"/>
    </xf>
    <xf numFmtId="10" fontId="20" fillId="18" borderId="0" xfId="0" applyNumberFormat="1" applyFont="1" applyFill="1" applyAlignment="1">
      <alignment horizontal="right" vertical="center"/>
    </xf>
    <xf numFmtId="10" fontId="20" fillId="18" borderId="0" xfId="0" applyNumberFormat="1" applyFont="1" applyFill="1" applyAlignment="1">
      <alignment vertical="center"/>
    </xf>
    <xf numFmtId="191" fontId="20" fillId="18" borderId="0" xfId="0" applyNumberFormat="1" applyFont="1" applyFill="1" applyAlignment="1">
      <alignment horizontal="right" vertical="center"/>
    </xf>
    <xf numFmtId="0" fontId="20" fillId="18" borderId="0" xfId="0" applyFont="1" applyFill="1" applyBorder="1" applyAlignment="1">
      <alignment horizontal="left"/>
    </xf>
    <xf numFmtId="166" fontId="17" fillId="18" borderId="0" xfId="240" applyNumberFormat="1" applyFont="1" applyFill="1" applyAlignment="1">
      <alignment vertical="center"/>
    </xf>
    <xf numFmtId="180" fontId="8" fillId="18" borderId="0" xfId="0" applyNumberFormat="1" applyFont="1" applyFill="1" applyBorder="1" applyAlignment="1">
      <alignment horizontal="right" vertical="center"/>
    </xf>
    <xf numFmtId="180" fontId="73" fillId="18" borderId="0" xfId="0" applyNumberFormat="1" applyFont="1" applyFill="1" applyBorder="1" applyAlignment="1">
      <alignment horizontal="right" vertical="center"/>
    </xf>
    <xf numFmtId="38" fontId="90" fillId="24" borderId="25" xfId="235" applyFont="1" applyFill="1" applyBorder="1"/>
    <xf numFmtId="38" fontId="10" fillId="0" borderId="0" xfId="235"/>
    <xf numFmtId="38" fontId="10" fillId="0" borderId="0" xfId="235" applyFont="1"/>
    <xf numFmtId="167" fontId="8" fillId="18" borderId="0" xfId="0" applyNumberFormat="1" applyFont="1" applyFill="1"/>
    <xf numFmtId="166" fontId="8" fillId="18" borderId="0" xfId="0" applyNumberFormat="1" applyFont="1" applyFill="1"/>
    <xf numFmtId="9" fontId="8" fillId="18" borderId="0" xfId="0" applyNumberFormat="1" applyFont="1" applyFill="1"/>
    <xf numFmtId="166" fontId="8" fillId="17" borderId="0" xfId="0" applyNumberFormat="1" applyFont="1" applyFill="1"/>
    <xf numFmtId="165" fontId="20" fillId="18" borderId="0" xfId="207" applyNumberFormat="1" applyFont="1" applyFill="1" applyBorder="1"/>
    <xf numFmtId="37" fontId="8" fillId="18" borderId="0" xfId="0" applyNumberFormat="1" applyFont="1" applyFill="1"/>
    <xf numFmtId="167" fontId="55" fillId="18" borderId="0" xfId="207" applyNumberFormat="1" applyFont="1" applyFill="1" applyAlignment="1">
      <alignment vertical="center"/>
    </xf>
    <xf numFmtId="0" fontId="20" fillId="18" borderId="0" xfId="0" applyFont="1" applyFill="1" applyAlignment="1">
      <alignment horizontal="right"/>
    </xf>
    <xf numFmtId="172" fontId="44" fillId="18" borderId="0" xfId="0" applyNumberFormat="1" applyFont="1" applyFill="1" applyAlignment="1">
      <alignment vertical="center"/>
    </xf>
    <xf numFmtId="164" fontId="46" fillId="18" borderId="0" xfId="0" applyNumberFormat="1" applyFont="1" applyFill="1" applyBorder="1" applyAlignment="1">
      <alignment vertical="center"/>
    </xf>
    <xf numFmtId="164" fontId="60" fillId="18" borderId="0" xfId="0" applyNumberFormat="1" applyFont="1" applyFill="1" applyBorder="1" applyAlignment="1">
      <alignment vertical="center"/>
    </xf>
    <xf numFmtId="168" fontId="17" fillId="18" borderId="0" xfId="207" applyNumberFormat="1" applyFont="1" applyFill="1" applyAlignment="1">
      <alignment horizontal="left" indent="1"/>
    </xf>
    <xf numFmtId="43" fontId="8" fillId="18" borderId="0" xfId="207" applyFont="1" applyFill="1" applyBorder="1" applyAlignment="1">
      <alignment horizontal="right" vertical="center"/>
    </xf>
    <xf numFmtId="209" fontId="72" fillId="18" borderId="0" xfId="0" applyNumberFormat="1" applyFont="1" applyFill="1" applyBorder="1" applyAlignment="1">
      <alignment horizontal="right" vertical="center"/>
    </xf>
    <xf numFmtId="0" fontId="8" fillId="18" borderId="0" xfId="0" applyFont="1" applyFill="1" applyBorder="1" applyAlignment="1">
      <alignment horizontal="right" vertical="center"/>
    </xf>
    <xf numFmtId="9" fontId="8" fillId="18" borderId="0" xfId="240" applyFont="1" applyFill="1" applyAlignment="1">
      <alignment horizontal="right"/>
    </xf>
    <xf numFmtId="0" fontId="8" fillId="0" borderId="0" xfId="0" applyFont="1" applyFill="1" applyAlignment="1">
      <alignment vertical="center"/>
    </xf>
    <xf numFmtId="0" fontId="8" fillId="0" borderId="0" xfId="0" applyFont="1" applyFill="1"/>
    <xf numFmtId="0" fontId="53" fillId="0" borderId="0" xfId="0" applyFont="1" applyFill="1"/>
    <xf numFmtId="164" fontId="8" fillId="0" borderId="0" xfId="0" applyNumberFormat="1" applyFont="1" applyFill="1"/>
    <xf numFmtId="0" fontId="0" fillId="20" borderId="0" xfId="0" applyFill="1" applyBorder="1"/>
    <xf numFmtId="0" fontId="8" fillId="18" borderId="0" xfId="0" applyNumberFormat="1" applyFont="1" applyFill="1" applyBorder="1"/>
    <xf numFmtId="193" fontId="53" fillId="18" borderId="17" xfId="0" applyNumberFormat="1" applyFont="1" applyFill="1" applyBorder="1" applyAlignment="1">
      <alignment vertical="center"/>
    </xf>
    <xf numFmtId="0" fontId="21" fillId="18" borderId="0" xfId="0" applyFont="1" applyFill="1" applyBorder="1"/>
    <xf numFmtId="167" fontId="50" fillId="18" borderId="0" xfId="0" applyNumberFormat="1" applyFont="1" applyFill="1" applyBorder="1" applyAlignment="1">
      <alignment vertical="center"/>
    </xf>
    <xf numFmtId="164" fontId="20" fillId="18" borderId="0" xfId="0" applyNumberFormat="1" applyFont="1" applyFill="1" applyBorder="1" applyAlignment="1">
      <alignment horizontal="right" vertical="center"/>
    </xf>
    <xf numFmtId="167" fontId="8" fillId="18" borderId="0" xfId="207" applyNumberFormat="1" applyFont="1" applyFill="1" applyBorder="1"/>
    <xf numFmtId="166" fontId="8" fillId="18" borderId="0" xfId="0" applyNumberFormat="1" applyFont="1" applyFill="1" applyBorder="1"/>
    <xf numFmtId="166" fontId="8" fillId="18" borderId="0" xfId="240" applyNumberFormat="1" applyFont="1" applyFill="1" applyBorder="1"/>
    <xf numFmtId="37" fontId="8" fillId="18" borderId="0" xfId="0" applyNumberFormat="1" applyFont="1" applyFill="1" applyBorder="1"/>
    <xf numFmtId="9" fontId="8" fillId="18" borderId="0" xfId="0" applyNumberFormat="1" applyFont="1" applyFill="1" applyBorder="1"/>
    <xf numFmtId="3" fontId="8" fillId="18" borderId="0" xfId="0" applyNumberFormat="1" applyFont="1" applyFill="1" applyBorder="1"/>
    <xf numFmtId="0" fontId="8" fillId="18" borderId="0" xfId="0" applyFont="1" applyFill="1" applyBorder="1" applyAlignment="1">
      <alignment horizontal="left" indent="1"/>
    </xf>
    <xf numFmtId="0" fontId="20" fillId="18" borderId="0" xfId="0" applyFont="1" applyFill="1" applyBorder="1" applyAlignment="1">
      <alignment horizontal="left" vertical="center"/>
    </xf>
    <xf numFmtId="164" fontId="102" fillId="18" borderId="0" xfId="0" applyNumberFormat="1" applyFont="1" applyFill="1" applyAlignment="1">
      <alignment vertical="center"/>
    </xf>
    <xf numFmtId="173" fontId="102" fillId="18" borderId="0" xfId="0" applyNumberFormat="1" applyFont="1" applyFill="1" applyAlignment="1">
      <alignment horizontal="right" vertical="center"/>
    </xf>
    <xf numFmtId="2" fontId="103" fillId="18" borderId="0" xfId="0" applyNumberFormat="1" applyFont="1" applyFill="1" applyAlignment="1">
      <alignment vertical="center"/>
    </xf>
    <xf numFmtId="192" fontId="8" fillId="18" borderId="0" xfId="0" applyNumberFormat="1" applyFont="1" applyFill="1" applyBorder="1" applyAlignment="1">
      <alignment vertical="center"/>
    </xf>
    <xf numFmtId="3" fontId="8" fillId="18" borderId="0" xfId="0" applyNumberFormat="1" applyFont="1" applyFill="1" applyAlignment="1"/>
    <xf numFmtId="3" fontId="8" fillId="18" borderId="0" xfId="0" applyNumberFormat="1" applyFont="1" applyFill="1" applyBorder="1" applyAlignment="1"/>
    <xf numFmtId="0" fontId="46" fillId="18" borderId="0" xfId="0" applyFont="1" applyFill="1" applyBorder="1" applyAlignment="1">
      <alignment horizontal="left" vertical="center"/>
    </xf>
    <xf numFmtId="192" fontId="108" fillId="18" borderId="0" xfId="0" applyNumberFormat="1" applyFont="1" applyFill="1" applyBorder="1" applyAlignment="1">
      <alignment vertical="center"/>
    </xf>
    <xf numFmtId="0" fontId="46" fillId="18" borderId="0" xfId="0" applyFont="1" applyFill="1" applyBorder="1" applyAlignment="1">
      <alignment horizontal="left" vertical="center" indent="1"/>
    </xf>
    <xf numFmtId="0" fontId="20" fillId="18" borderId="0" xfId="0" applyFont="1" applyFill="1" applyBorder="1" applyAlignment="1">
      <alignment horizontal="left" vertical="center" indent="1"/>
    </xf>
    <xf numFmtId="173" fontId="20" fillId="18" borderId="0" xfId="0" applyNumberFormat="1" applyFont="1" applyFill="1" applyAlignment="1">
      <alignment horizontal="right" vertical="center"/>
    </xf>
    <xf numFmtId="173" fontId="20" fillId="18" borderId="0" xfId="0" applyNumberFormat="1" applyFont="1" applyFill="1" applyBorder="1" applyAlignment="1">
      <alignment horizontal="right" vertical="center"/>
    </xf>
    <xf numFmtId="0" fontId="8" fillId="18" borderId="0" xfId="0" applyFont="1" applyFill="1" applyAlignment="1">
      <alignment horizontal="left" vertical="center" indent="4"/>
    </xf>
    <xf numFmtId="170" fontId="100" fillId="18" borderId="0" xfId="0" applyNumberFormat="1" applyFont="1" applyFill="1" applyBorder="1" applyAlignment="1">
      <alignment horizontal="right" vertical="center"/>
    </xf>
    <xf numFmtId="167" fontId="84" fillId="18" borderId="0" xfId="207" applyNumberFormat="1" applyFont="1" applyFill="1" applyBorder="1"/>
    <xf numFmtId="168" fontId="84" fillId="18" borderId="0" xfId="207" applyNumberFormat="1" applyFont="1" applyFill="1" applyBorder="1"/>
    <xf numFmtId="170" fontId="20" fillId="18" borderId="0" xfId="0" applyNumberFormat="1" applyFont="1" applyFill="1" applyBorder="1" applyAlignment="1">
      <alignment horizontal="right" vertical="center"/>
    </xf>
    <xf numFmtId="170" fontId="20" fillId="18" borderId="0" xfId="0" applyNumberFormat="1" applyFont="1" applyFill="1" applyAlignment="1">
      <alignment horizontal="right" vertical="center"/>
    </xf>
    <xf numFmtId="170" fontId="54" fillId="18" borderId="0" xfId="0" applyNumberFormat="1" applyFont="1" applyFill="1" applyBorder="1" applyAlignment="1">
      <alignment horizontal="right" vertical="center"/>
    </xf>
    <xf numFmtId="170" fontId="54" fillId="18" borderId="0" xfId="0" applyNumberFormat="1" applyFont="1" applyFill="1" applyAlignment="1">
      <alignment horizontal="right" vertical="center"/>
    </xf>
    <xf numFmtId="0" fontId="20" fillId="18" borderId="1" xfId="0" applyFont="1" applyFill="1" applyBorder="1" applyAlignment="1">
      <alignment vertical="center"/>
    </xf>
    <xf numFmtId="0" fontId="53" fillId="18" borderId="1" xfId="0" applyFont="1" applyFill="1" applyBorder="1" applyAlignment="1">
      <alignment vertical="center"/>
    </xf>
    <xf numFmtId="170" fontId="85" fillId="18" borderId="0" xfId="0" applyNumberFormat="1" applyFont="1" applyFill="1" applyBorder="1" applyAlignment="1">
      <alignment vertical="center"/>
    </xf>
    <xf numFmtId="166" fontId="20" fillId="18" borderId="0" xfId="240" applyNumberFormat="1" applyFont="1" applyFill="1" applyBorder="1" applyAlignment="1">
      <alignment vertical="center"/>
    </xf>
    <xf numFmtId="192" fontId="109" fillId="18" borderId="0" xfId="0" applyNumberFormat="1" applyFont="1" applyFill="1" applyBorder="1" applyAlignment="1">
      <alignment vertical="center"/>
    </xf>
    <xf numFmtId="192" fontId="83" fillId="18" borderId="0" xfId="0" applyNumberFormat="1" applyFont="1" applyFill="1" applyBorder="1" applyAlignment="1">
      <alignment vertical="center"/>
    </xf>
    <xf numFmtId="192" fontId="20" fillId="18" borderId="0" xfId="0" applyNumberFormat="1" applyFont="1" applyFill="1" applyBorder="1" applyAlignment="1">
      <alignment vertical="center"/>
    </xf>
    <xf numFmtId="0" fontId="20" fillId="18" borderId="0" xfId="0" applyFont="1" applyFill="1" applyBorder="1"/>
    <xf numFmtId="0" fontId="8" fillId="18" borderId="0" xfId="0" applyFont="1" applyFill="1" applyBorder="1" applyAlignment="1">
      <alignment horizontal="left"/>
    </xf>
    <xf numFmtId="167" fontId="20" fillId="18" borderId="0" xfId="207" applyNumberFormat="1" applyFont="1" applyFill="1" applyBorder="1" applyAlignment="1">
      <alignment horizontal="right" vertical="center"/>
    </xf>
    <xf numFmtId="9" fontId="8" fillId="18" borderId="0" xfId="0" applyNumberFormat="1" applyFont="1" applyFill="1" applyAlignment="1">
      <alignment horizontal="right"/>
    </xf>
    <xf numFmtId="166" fontId="8" fillId="18" borderId="0" xfId="0" applyNumberFormat="1" applyFont="1" applyFill="1" applyBorder="1" applyAlignment="1">
      <alignment horizontal="right"/>
    </xf>
    <xf numFmtId="10" fontId="8" fillId="18" borderId="0" xfId="0" applyNumberFormat="1" applyFont="1" applyFill="1" applyBorder="1"/>
    <xf numFmtId="10" fontId="8" fillId="18" borderId="0" xfId="240" applyNumberFormat="1" applyFont="1" applyFill="1"/>
    <xf numFmtId="10" fontId="8" fillId="18" borderId="0" xfId="240" applyNumberFormat="1" applyFont="1" applyFill="1" applyBorder="1"/>
    <xf numFmtId="167" fontId="83" fillId="18" borderId="0" xfId="207" applyNumberFormat="1" applyFont="1" applyFill="1" applyBorder="1" applyAlignment="1">
      <alignment vertical="center"/>
    </xf>
    <xf numFmtId="10" fontId="59" fillId="18" borderId="0" xfId="240" applyNumberFormat="1" applyFont="1" applyFill="1" applyBorder="1" applyAlignment="1">
      <alignment horizontal="right" vertical="center"/>
    </xf>
    <xf numFmtId="10" fontId="53" fillId="18" borderId="0" xfId="240" applyNumberFormat="1" applyFont="1" applyFill="1" applyBorder="1" applyAlignment="1">
      <alignment horizontal="right" vertical="center"/>
    </xf>
    <xf numFmtId="10" fontId="8" fillId="18" borderId="0" xfId="240" applyNumberFormat="1" applyFont="1" applyFill="1" applyBorder="1" applyAlignment="1">
      <alignment horizontal="right" vertical="center"/>
    </xf>
    <xf numFmtId="10" fontId="8" fillId="18" borderId="0" xfId="240" applyNumberFormat="1" applyFont="1" applyFill="1" applyAlignment="1">
      <alignment vertical="center"/>
    </xf>
    <xf numFmtId="10" fontId="8" fillId="18" borderId="0" xfId="240" applyNumberFormat="1" applyFont="1" applyFill="1" applyBorder="1" applyAlignment="1">
      <alignment vertical="center"/>
    </xf>
    <xf numFmtId="10" fontId="53" fillId="18" borderId="0" xfId="240" applyNumberFormat="1" applyFont="1" applyFill="1" applyAlignment="1">
      <alignment vertical="center"/>
    </xf>
    <xf numFmtId="0" fontId="8" fillId="18" borderId="14" xfId="0" applyFont="1" applyFill="1" applyBorder="1" applyAlignment="1">
      <alignment vertical="center"/>
    </xf>
    <xf numFmtId="168" fontId="8" fillId="18" borderId="0" xfId="207" applyNumberFormat="1" applyFont="1" applyFill="1" applyBorder="1" applyAlignment="1">
      <alignment vertical="center"/>
    </xf>
    <xf numFmtId="10" fontId="100" fillId="18" borderId="0" xfId="240" applyNumberFormat="1" applyFont="1" applyFill="1" applyBorder="1" applyAlignment="1">
      <alignment horizontal="right" vertical="center"/>
    </xf>
    <xf numFmtId="168" fontId="8" fillId="18" borderId="0" xfId="207" applyNumberFormat="1" applyFont="1" applyFill="1" applyBorder="1" applyAlignment="1">
      <alignment horizontal="right" vertical="center"/>
    </xf>
    <xf numFmtId="167" fontId="100" fillId="18" borderId="0" xfId="207" applyNumberFormat="1" applyFont="1" applyFill="1" applyBorder="1" applyAlignment="1">
      <alignment horizontal="right" vertical="center"/>
    </xf>
    <xf numFmtId="0" fontId="100" fillId="18" borderId="0" xfId="0" applyFont="1" applyFill="1" applyBorder="1"/>
    <xf numFmtId="173" fontId="8" fillId="18" borderId="0" xfId="0" applyNumberFormat="1" applyFont="1" applyFill="1"/>
    <xf numFmtId="166" fontId="100" fillId="18" borderId="0" xfId="240" applyNumberFormat="1" applyFont="1" applyFill="1" applyBorder="1" applyAlignment="1">
      <alignment horizontal="right" vertical="center"/>
    </xf>
    <xf numFmtId="9" fontId="100" fillId="18" borderId="0" xfId="240" applyFont="1" applyFill="1" applyBorder="1" applyAlignment="1">
      <alignment horizontal="right" vertical="center"/>
    </xf>
    <xf numFmtId="9" fontId="97" fillId="18" borderId="0" xfId="240" applyFont="1" applyFill="1"/>
    <xf numFmtId="173" fontId="100" fillId="18" borderId="0" xfId="0" applyNumberFormat="1" applyFont="1" applyFill="1"/>
    <xf numFmtId="173" fontId="98" fillId="18" borderId="0" xfId="0" applyNumberFormat="1" applyFont="1" applyFill="1" applyBorder="1" applyAlignment="1">
      <alignment horizontal="right" vertical="center"/>
    </xf>
    <xf numFmtId="170" fontId="98" fillId="18" borderId="0" xfId="0" applyNumberFormat="1" applyFont="1" applyFill="1" applyBorder="1" applyAlignment="1">
      <alignment horizontal="right" vertical="center"/>
    </xf>
    <xf numFmtId="192" fontId="87" fillId="18" borderId="1" xfId="0" applyNumberFormat="1" applyFont="1" applyFill="1" applyBorder="1" applyAlignment="1">
      <alignment vertical="center"/>
    </xf>
    <xf numFmtId="0" fontId="68" fillId="18" borderId="1" xfId="0" applyFont="1" applyFill="1" applyBorder="1" applyAlignment="1">
      <alignment vertical="center"/>
    </xf>
    <xf numFmtId="9" fontId="20" fillId="18" borderId="0" xfId="240" applyFont="1" applyFill="1" applyBorder="1" applyAlignment="1">
      <alignment horizontal="right" vertical="center"/>
    </xf>
    <xf numFmtId="187" fontId="8" fillId="18" borderId="0" xfId="240" applyNumberFormat="1" applyFont="1" applyFill="1" applyBorder="1" applyAlignment="1">
      <alignment horizontal="right" vertical="center"/>
    </xf>
    <xf numFmtId="167" fontId="87" fillId="18" borderId="0" xfId="207" applyNumberFormat="1" applyFont="1" applyFill="1" applyBorder="1" applyAlignment="1">
      <alignment vertical="center"/>
    </xf>
    <xf numFmtId="168" fontId="58" fillId="18" borderId="0" xfId="207" applyNumberFormat="1" applyFont="1" applyFill="1" applyAlignment="1">
      <alignment horizontal="right" vertical="center"/>
    </xf>
    <xf numFmtId="39" fontId="20" fillId="18" borderId="0" xfId="0" applyNumberFormat="1" applyFont="1" applyFill="1" applyBorder="1" applyAlignment="1">
      <alignment horizontal="right" vertical="center"/>
    </xf>
    <xf numFmtId="0" fontId="8" fillId="18" borderId="0" xfId="207" applyNumberFormat="1" applyFont="1" applyFill="1"/>
    <xf numFmtId="43" fontId="8" fillId="18" borderId="0" xfId="207" applyNumberFormat="1" applyFont="1" applyFill="1" applyAlignment="1">
      <alignment horizontal="right" vertical="center"/>
    </xf>
    <xf numFmtId="167" fontId="87" fillId="18" borderId="1" xfId="207" applyNumberFormat="1" applyFont="1" applyFill="1" applyBorder="1" applyAlignment="1">
      <alignment vertical="center"/>
    </xf>
    <xf numFmtId="168" fontId="87" fillId="18" borderId="1" xfId="207" applyNumberFormat="1" applyFont="1" applyFill="1" applyBorder="1" applyAlignment="1">
      <alignment vertical="center"/>
    </xf>
    <xf numFmtId="0" fontId="17" fillId="18" borderId="0" xfId="207" applyNumberFormat="1" applyFont="1" applyFill="1" applyAlignment="1">
      <alignment horizontal="left" indent="2"/>
    </xf>
    <xf numFmtId="173" fontId="99" fillId="18" borderId="0" xfId="0" applyNumberFormat="1" applyFont="1" applyFill="1" applyBorder="1" applyAlignment="1">
      <alignment horizontal="right" vertical="center"/>
    </xf>
    <xf numFmtId="9" fontId="20" fillId="18" borderId="0" xfId="240" applyFont="1" applyFill="1"/>
    <xf numFmtId="168" fontId="20" fillId="18" borderId="17" xfId="0" applyNumberFormat="1" applyFont="1" applyFill="1" applyBorder="1" applyAlignment="1">
      <alignment vertical="center"/>
    </xf>
    <xf numFmtId="167" fontId="84" fillId="18" borderId="0" xfId="207" applyNumberFormat="1" applyFont="1" applyFill="1" applyBorder="1" applyAlignment="1">
      <alignment vertical="center"/>
    </xf>
    <xf numFmtId="0" fontId="20" fillId="0" borderId="0" xfId="0" applyFont="1" applyFill="1" applyBorder="1" applyAlignment="1">
      <alignment vertical="center"/>
    </xf>
    <xf numFmtId="0" fontId="20" fillId="0" borderId="0" xfId="0" applyFont="1" applyFill="1" applyAlignment="1">
      <alignment vertical="center"/>
    </xf>
    <xf numFmtId="166" fontId="8" fillId="0" borderId="0" xfId="240" applyNumberFormat="1" applyFont="1" applyFill="1"/>
    <xf numFmtId="0" fontId="20" fillId="0" borderId="0" xfId="0" applyFont="1" applyFill="1"/>
    <xf numFmtId="0" fontId="8" fillId="0" borderId="0" xfId="0" applyFont="1" applyFill="1" applyBorder="1"/>
    <xf numFmtId="168" fontId="20" fillId="18" borderId="0" xfId="207" applyNumberFormat="1" applyFont="1" applyFill="1" applyAlignment="1">
      <alignment vertical="center"/>
    </xf>
    <xf numFmtId="9" fontId="83" fillId="18" borderId="0" xfId="240" applyFont="1" applyFill="1" applyBorder="1"/>
    <xf numFmtId="43" fontId="8" fillId="18" borderId="0" xfId="207" applyNumberFormat="1" applyFont="1" applyFill="1"/>
    <xf numFmtId="10" fontId="8" fillId="18" borderId="0" xfId="0" applyNumberFormat="1" applyFont="1" applyFill="1" applyBorder="1" applyAlignment="1">
      <alignment vertical="center"/>
    </xf>
    <xf numFmtId="164" fontId="107" fillId="18" borderId="0" xfId="0" applyNumberFormat="1" applyFont="1" applyFill="1" applyBorder="1" applyAlignment="1">
      <alignment vertical="center"/>
    </xf>
    <xf numFmtId="164" fontId="98" fillId="18" borderId="0" xfId="0" applyNumberFormat="1" applyFont="1" applyFill="1" applyAlignment="1">
      <alignment vertical="center"/>
    </xf>
    <xf numFmtId="167" fontId="20" fillId="18" borderId="0" xfId="207" applyNumberFormat="1" applyFont="1" applyFill="1" applyBorder="1" applyAlignment="1">
      <alignment vertical="center"/>
    </xf>
    <xf numFmtId="0" fontId="8" fillId="18" borderId="19" xfId="0" applyFont="1" applyFill="1" applyBorder="1" applyAlignment="1">
      <alignment vertical="center"/>
    </xf>
    <xf numFmtId="173" fontId="17" fillId="18" borderId="0" xfId="0" applyNumberFormat="1" applyFont="1" applyFill="1" applyBorder="1" applyAlignment="1">
      <alignment vertical="center"/>
    </xf>
    <xf numFmtId="0" fontId="20" fillId="18" borderId="24" xfId="0" applyFont="1" applyFill="1" applyBorder="1" applyAlignment="1">
      <alignment vertical="center"/>
    </xf>
    <xf numFmtId="0" fontId="20" fillId="18" borderId="20" xfId="0" applyFont="1" applyFill="1" applyBorder="1" applyAlignment="1">
      <alignment vertical="center"/>
    </xf>
    <xf numFmtId="0" fontId="17" fillId="18" borderId="29" xfId="0" applyFont="1" applyFill="1" applyBorder="1" applyAlignment="1">
      <alignment vertical="center"/>
    </xf>
    <xf numFmtId="0" fontId="17" fillId="18" borderId="16" xfId="0" applyFont="1" applyFill="1" applyBorder="1" applyAlignment="1">
      <alignment vertical="center"/>
    </xf>
    <xf numFmtId="186" fontId="49" fillId="18" borderId="30" xfId="0" applyNumberFormat="1" applyFont="1" applyFill="1" applyBorder="1" applyAlignment="1">
      <alignment horizontal="right" vertical="center"/>
    </xf>
    <xf numFmtId="178" fontId="49" fillId="18" borderId="4" xfId="0" applyNumberFormat="1" applyFont="1" applyFill="1" applyBorder="1" applyAlignment="1">
      <alignment vertical="center"/>
    </xf>
    <xf numFmtId="178" fontId="49" fillId="18" borderId="0" xfId="0" applyNumberFormat="1" applyFont="1" applyFill="1" applyBorder="1" applyAlignment="1">
      <alignment vertical="center"/>
    </xf>
    <xf numFmtId="178" fontId="47" fillId="18" borderId="4" xfId="0" applyNumberFormat="1" applyFont="1" applyFill="1" applyBorder="1" applyAlignment="1">
      <alignment vertical="center"/>
    </xf>
    <xf numFmtId="167" fontId="20" fillId="18" borderId="21" xfId="207" applyNumberFormat="1" applyFont="1" applyFill="1" applyBorder="1" applyAlignment="1">
      <alignment vertical="center"/>
    </xf>
    <xf numFmtId="10" fontId="57" fillId="18" borderId="0" xfId="240" applyNumberFormat="1" applyFont="1" applyFill="1" applyBorder="1" applyAlignment="1">
      <alignment horizontal="right" vertical="center"/>
    </xf>
    <xf numFmtId="37" fontId="98" fillId="18" borderId="0" xfId="207" applyNumberFormat="1" applyFont="1" applyFill="1" applyBorder="1"/>
    <xf numFmtId="39" fontId="8" fillId="18" borderId="0" xfId="0" applyNumberFormat="1" applyFont="1" applyFill="1" applyBorder="1" applyAlignment="1">
      <alignment vertical="center"/>
    </xf>
    <xf numFmtId="0" fontId="114" fillId="19" borderId="0" xfId="0" applyFont="1" applyFill="1"/>
    <xf numFmtId="0" fontId="0" fillId="18" borderId="0" xfId="0" applyFill="1" applyAlignment="1">
      <alignment horizontal="right"/>
    </xf>
    <xf numFmtId="4" fontId="8" fillId="18" borderId="0" xfId="0" applyNumberFormat="1" applyFont="1" applyFill="1" applyBorder="1" applyAlignment="1">
      <alignment vertical="center"/>
    </xf>
    <xf numFmtId="171" fontId="8" fillId="18" borderId="0" xfId="0" applyNumberFormat="1" applyFont="1" applyFill="1" applyBorder="1" applyAlignment="1">
      <alignment horizontal="right" vertical="center"/>
    </xf>
    <xf numFmtId="171" fontId="8" fillId="18" borderId="0" xfId="0" applyNumberFormat="1" applyFont="1" applyFill="1" applyBorder="1" applyAlignment="1">
      <alignment vertical="center"/>
    </xf>
    <xf numFmtId="0" fontId="8" fillId="18" borderId="0" xfId="0" quotePrefix="1" applyFont="1" applyFill="1" applyAlignment="1">
      <alignment horizontal="left" vertical="center"/>
    </xf>
    <xf numFmtId="171" fontId="53" fillId="18" borderId="0" xfId="0" applyNumberFormat="1" applyFont="1" applyFill="1" applyAlignment="1">
      <alignment vertical="center"/>
    </xf>
    <xf numFmtId="172" fontId="102" fillId="18" borderId="0" xfId="0" applyNumberFormat="1" applyFont="1" applyFill="1" applyAlignment="1">
      <alignment vertical="center"/>
    </xf>
    <xf numFmtId="172" fontId="102" fillId="18" borderId="0" xfId="0" applyNumberFormat="1" applyFont="1" applyFill="1" applyBorder="1" applyAlignment="1">
      <alignment vertical="center"/>
    </xf>
    <xf numFmtId="172" fontId="98" fillId="18" borderId="0" xfId="0" applyNumberFormat="1" applyFont="1" applyFill="1" applyAlignment="1">
      <alignment vertical="center"/>
    </xf>
    <xf numFmtId="172" fontId="98" fillId="18" borderId="0" xfId="0" applyNumberFormat="1" applyFont="1" applyFill="1" applyBorder="1" applyAlignment="1">
      <alignment vertical="center"/>
    </xf>
    <xf numFmtId="180" fontId="8" fillId="18" borderId="0" xfId="0" applyNumberFormat="1" applyFont="1" applyFill="1"/>
    <xf numFmtId="167" fontId="98" fillId="18" borderId="0" xfId="207" applyNumberFormat="1" applyFont="1" applyFill="1"/>
    <xf numFmtId="167" fontId="98" fillId="18" borderId="0" xfId="0" applyNumberFormat="1" applyFont="1" applyFill="1" applyAlignment="1">
      <alignment vertical="center"/>
    </xf>
    <xf numFmtId="166" fontId="20" fillId="18" borderId="0" xfId="240" applyNumberFormat="1" applyFont="1" applyFill="1" applyBorder="1" applyAlignment="1">
      <alignment horizontal="right" vertical="center"/>
    </xf>
    <xf numFmtId="0" fontId="113" fillId="19" borderId="0" xfId="0" applyFont="1" applyFill="1"/>
    <xf numFmtId="164" fontId="17" fillId="18" borderId="0" xfId="207" applyNumberFormat="1" applyFont="1" applyFill="1" applyBorder="1"/>
    <xf numFmtId="9" fontId="17" fillId="18" borderId="0" xfId="0" applyNumberFormat="1" applyFont="1" applyFill="1" applyBorder="1" applyAlignment="1">
      <alignment vertical="center"/>
    </xf>
    <xf numFmtId="173" fontId="80" fillId="18" borderId="0" xfId="0" applyNumberFormat="1" applyFont="1" applyFill="1" applyBorder="1" applyAlignment="1">
      <alignment vertical="center"/>
    </xf>
    <xf numFmtId="0" fontId="8" fillId="18" borderId="19" xfId="0" applyFont="1" applyFill="1" applyBorder="1"/>
    <xf numFmtId="0" fontId="20" fillId="18" borderId="0" xfId="0" applyFont="1" applyFill="1" applyBorder="1" applyAlignment="1">
      <alignment horizontal="right"/>
    </xf>
    <xf numFmtId="180" fontId="98" fillId="18" borderId="0" xfId="0" applyNumberFormat="1" applyFont="1" applyFill="1" applyBorder="1" applyAlignment="1">
      <alignment vertical="center"/>
    </xf>
    <xf numFmtId="37" fontId="98" fillId="18" borderId="0" xfId="0" applyNumberFormat="1" applyFont="1" applyFill="1" applyAlignment="1">
      <alignment vertical="center"/>
    </xf>
    <xf numFmtId="164" fontId="98" fillId="18" borderId="0" xfId="0" quotePrefix="1" applyNumberFormat="1" applyFont="1" applyFill="1" applyBorder="1" applyAlignment="1">
      <alignment horizontal="right" vertical="center"/>
    </xf>
    <xf numFmtId="164" fontId="98" fillId="18" borderId="0" xfId="0" applyNumberFormat="1" applyFont="1" applyFill="1" applyBorder="1" applyAlignment="1">
      <alignment vertical="center"/>
    </xf>
    <xf numFmtId="0" fontId="98" fillId="18" borderId="0" xfId="0" applyFont="1" applyFill="1" applyBorder="1" applyAlignment="1">
      <alignment vertical="center"/>
    </xf>
    <xf numFmtId="0" fontId="98" fillId="18" borderId="0" xfId="0" applyFont="1" applyFill="1" applyAlignment="1">
      <alignment vertical="center"/>
    </xf>
    <xf numFmtId="0" fontId="20" fillId="18" borderId="0" xfId="0" quotePrefix="1" applyFont="1" applyFill="1" applyAlignment="1">
      <alignment horizontal="left" vertical="center"/>
    </xf>
    <xf numFmtId="167" fontId="98" fillId="18" borderId="0" xfId="0" applyNumberFormat="1" applyFont="1" applyFill="1" applyBorder="1" applyAlignment="1">
      <alignment vertical="center"/>
    </xf>
    <xf numFmtId="168" fontId="98" fillId="18" borderId="0" xfId="207" applyNumberFormat="1" applyFont="1" applyFill="1" applyAlignment="1">
      <alignment horizontal="right"/>
    </xf>
    <xf numFmtId="9" fontId="8" fillId="18" borderId="0" xfId="207" applyNumberFormat="1" applyFont="1" applyFill="1" applyBorder="1" applyAlignment="1">
      <alignment horizontal="right" vertical="center"/>
    </xf>
    <xf numFmtId="168" fontId="98" fillId="18" borderId="0" xfId="207" applyNumberFormat="1" applyFont="1" applyFill="1"/>
    <xf numFmtId="39" fontId="8" fillId="18" borderId="0" xfId="0" applyNumberFormat="1" applyFont="1" applyFill="1" applyBorder="1" applyAlignment="1">
      <alignment horizontal="right" vertical="center"/>
    </xf>
    <xf numFmtId="0" fontId="7" fillId="18" borderId="0" xfId="0" applyFont="1" applyFill="1" applyBorder="1"/>
    <xf numFmtId="0" fontId="7" fillId="20" borderId="0" xfId="0" applyFont="1" applyFill="1" applyBorder="1"/>
    <xf numFmtId="9" fontId="20" fillId="18" borderId="0" xfId="0" applyNumberFormat="1" applyFont="1" applyFill="1" applyBorder="1" applyAlignment="1">
      <alignment horizontal="right" vertical="center"/>
    </xf>
    <xf numFmtId="9" fontId="8" fillId="18" borderId="0" xfId="240" applyNumberFormat="1" applyFont="1" applyFill="1" applyBorder="1" applyAlignment="1">
      <alignment horizontal="right" vertical="center"/>
    </xf>
    <xf numFmtId="9" fontId="20" fillId="18" borderId="0" xfId="240" applyNumberFormat="1" applyFont="1" applyFill="1" applyBorder="1" applyAlignment="1">
      <alignment horizontal="right" vertical="center"/>
    </xf>
    <xf numFmtId="167" fontId="20" fillId="18" borderId="0" xfId="207" applyNumberFormat="1" applyFont="1" applyFill="1" applyBorder="1"/>
    <xf numFmtId="0" fontId="66" fillId="18" borderId="0" xfId="207" applyNumberFormat="1" applyFont="1" applyFill="1" applyAlignment="1">
      <alignment horizontal="left"/>
    </xf>
    <xf numFmtId="43" fontId="8" fillId="18" borderId="0" xfId="207" applyNumberFormat="1" applyFont="1" applyFill="1" applyBorder="1" applyAlignment="1">
      <alignment horizontal="right"/>
    </xf>
    <xf numFmtId="164" fontId="106" fillId="18" borderId="0" xfId="0" applyNumberFormat="1" applyFont="1" applyFill="1" applyBorder="1" applyAlignment="1">
      <alignment vertical="center"/>
    </xf>
    <xf numFmtId="172" fontId="8" fillId="18" borderId="0" xfId="240" applyNumberFormat="1" applyFont="1" applyFill="1" applyBorder="1" applyAlignment="1">
      <alignment horizontal="right" vertical="center"/>
    </xf>
    <xf numFmtId="168" fontId="98" fillId="18" borderId="0" xfId="207" applyNumberFormat="1" applyFont="1" applyFill="1" applyBorder="1" applyAlignment="1">
      <alignment horizontal="right"/>
    </xf>
    <xf numFmtId="10" fontId="57" fillId="18" borderId="0" xfId="0" applyNumberFormat="1" applyFont="1" applyFill="1" applyAlignment="1">
      <alignment vertical="center"/>
    </xf>
    <xf numFmtId="10" fontId="20" fillId="18" borderId="0" xfId="240" applyNumberFormat="1" applyFont="1" applyFill="1" applyAlignment="1">
      <alignment vertical="center"/>
    </xf>
    <xf numFmtId="167" fontId="110" fillId="18" borderId="0" xfId="207" applyNumberFormat="1" applyFont="1" applyFill="1" applyBorder="1" applyAlignment="1">
      <alignment horizontal="right" vertical="center"/>
    </xf>
    <xf numFmtId="168" fontId="20" fillId="18" borderId="0" xfId="207" applyNumberFormat="1" applyFont="1" applyFill="1" applyBorder="1" applyAlignment="1">
      <alignment horizontal="right" vertical="center"/>
    </xf>
    <xf numFmtId="168" fontId="110" fillId="18" borderId="0" xfId="207" applyNumberFormat="1" applyFont="1" applyFill="1" applyBorder="1" applyAlignment="1">
      <alignment horizontal="right" vertical="center"/>
    </xf>
    <xf numFmtId="9" fontId="20" fillId="18" borderId="0" xfId="240" applyFont="1" applyFill="1" applyBorder="1" applyAlignment="1">
      <alignment vertical="center"/>
    </xf>
    <xf numFmtId="0" fontId="100" fillId="18" borderId="0" xfId="0" applyFont="1" applyFill="1" applyBorder="1" applyAlignment="1">
      <alignment vertical="center"/>
    </xf>
    <xf numFmtId="0" fontId="100" fillId="18" borderId="0" xfId="0" applyFont="1" applyFill="1" applyBorder="1" applyAlignment="1">
      <alignment horizontal="left" vertical="center" indent="1"/>
    </xf>
    <xf numFmtId="9" fontId="100" fillId="18" borderId="0" xfId="240" applyFont="1" applyFill="1" applyBorder="1"/>
    <xf numFmtId="166" fontId="100" fillId="18" borderId="0" xfId="240" applyNumberFormat="1" applyFont="1" applyFill="1" applyBorder="1"/>
    <xf numFmtId="177" fontId="100" fillId="18" borderId="0" xfId="0" applyNumberFormat="1" applyFont="1" applyFill="1" applyBorder="1" applyAlignment="1">
      <alignment vertical="center"/>
    </xf>
    <xf numFmtId="168" fontId="20" fillId="18" borderId="0" xfId="207" applyNumberFormat="1" applyFont="1" applyFill="1" applyBorder="1" applyAlignment="1">
      <alignment vertical="center"/>
    </xf>
    <xf numFmtId="168" fontId="20" fillId="18" borderId="0" xfId="207" applyNumberFormat="1" applyFont="1" applyFill="1" applyBorder="1"/>
    <xf numFmtId="177" fontId="20" fillId="18" borderId="0" xfId="0" applyNumberFormat="1" applyFont="1" applyFill="1" applyBorder="1" applyAlignment="1">
      <alignment vertical="center"/>
    </xf>
    <xf numFmtId="9" fontId="20" fillId="18" borderId="0" xfId="240" applyFont="1" applyFill="1" applyBorder="1"/>
    <xf numFmtId="0" fontId="0" fillId="18" borderId="0" xfId="0" applyFill="1" applyBorder="1" applyAlignment="1">
      <alignment horizontal="right"/>
    </xf>
    <xf numFmtId="166" fontId="20" fillId="18" borderId="0" xfId="240" applyNumberFormat="1" applyFont="1" applyFill="1" applyAlignment="1">
      <alignment horizontal="right" vertical="center"/>
    </xf>
    <xf numFmtId="175" fontId="8" fillId="18" borderId="0" xfId="0" applyNumberFormat="1" applyFont="1" applyFill="1"/>
    <xf numFmtId="43" fontId="8" fillId="18" borderId="0" xfId="207" applyFont="1" applyFill="1" applyBorder="1"/>
    <xf numFmtId="169" fontId="8" fillId="18" borderId="0" xfId="207" applyNumberFormat="1" applyFont="1" applyFill="1" applyBorder="1"/>
    <xf numFmtId="9" fontId="8" fillId="18" borderId="0" xfId="0" applyNumberFormat="1" applyFont="1" applyFill="1" applyBorder="1" applyAlignment="1">
      <alignment vertical="center"/>
    </xf>
    <xf numFmtId="9" fontId="106" fillId="18" borderId="0" xfId="0" applyNumberFormat="1" applyFont="1" applyFill="1" applyBorder="1" applyAlignment="1">
      <alignment vertical="center"/>
    </xf>
    <xf numFmtId="168" fontId="8" fillId="18" borderId="0" xfId="207" applyNumberFormat="1" applyFont="1" applyFill="1" applyAlignment="1">
      <alignment horizontal="right"/>
    </xf>
    <xf numFmtId="49" fontId="0" fillId="0" borderId="0" xfId="0" applyNumberFormat="1"/>
    <xf numFmtId="9" fontId="20" fillId="18" borderId="1" xfId="0" applyNumberFormat="1" applyFont="1" applyFill="1" applyBorder="1" applyAlignment="1">
      <alignment horizontal="right" vertical="center"/>
    </xf>
    <xf numFmtId="184" fontId="20" fillId="25" borderId="0" xfId="0" applyNumberFormat="1" applyFont="1" applyFill="1" applyBorder="1" applyAlignment="1">
      <alignment vertical="center"/>
    </xf>
    <xf numFmtId="0" fontId="0" fillId="25" borderId="0" xfId="0" applyFill="1"/>
    <xf numFmtId="0" fontId="17" fillId="25" borderId="0" xfId="0" applyFont="1" applyFill="1" applyAlignment="1">
      <alignment vertical="center"/>
    </xf>
    <xf numFmtId="171" fontId="17" fillId="25" borderId="0" xfId="0" applyNumberFormat="1" applyFont="1" applyFill="1" applyBorder="1" applyAlignment="1">
      <alignment vertical="center"/>
    </xf>
    <xf numFmtId="0" fontId="0" fillId="25" borderId="0" xfId="0" applyFill="1" applyBorder="1"/>
    <xf numFmtId="0" fontId="20" fillId="25" borderId="0" xfId="0" applyFont="1" applyFill="1" applyBorder="1" applyAlignment="1">
      <alignment vertical="center"/>
    </xf>
    <xf numFmtId="178" fontId="20" fillId="25" borderId="0" xfId="0" applyNumberFormat="1" applyFont="1" applyFill="1" applyBorder="1" applyAlignment="1">
      <alignment vertical="center"/>
    </xf>
    <xf numFmtId="0" fontId="8" fillId="25" borderId="0" xfId="0" applyFont="1" applyFill="1" applyBorder="1" applyAlignment="1">
      <alignment vertical="center"/>
    </xf>
    <xf numFmtId="173" fontId="69" fillId="25" borderId="0" xfId="0" applyNumberFormat="1" applyFont="1" applyFill="1" applyBorder="1" applyAlignment="1">
      <alignment vertical="center"/>
    </xf>
    <xf numFmtId="178" fontId="42" fillId="25" borderId="0" xfId="0" applyNumberFormat="1" applyFont="1" applyFill="1" applyBorder="1" applyAlignment="1">
      <alignment vertical="center"/>
    </xf>
    <xf numFmtId="171" fontId="20" fillId="25" borderId="0" xfId="0" applyNumberFormat="1" applyFont="1" applyFill="1" applyBorder="1" applyAlignment="1">
      <alignment vertical="center"/>
    </xf>
    <xf numFmtId="171" fontId="8" fillId="25" borderId="0" xfId="0" applyNumberFormat="1" applyFont="1" applyFill="1" applyBorder="1" applyAlignment="1">
      <alignment vertical="center"/>
    </xf>
    <xf numFmtId="9" fontId="8" fillId="25" borderId="0" xfId="0" applyNumberFormat="1" applyFont="1" applyFill="1" applyBorder="1"/>
    <xf numFmtId="179" fontId="20" fillId="25" borderId="0" xfId="0" applyNumberFormat="1" applyFont="1" applyFill="1" applyBorder="1" applyAlignment="1">
      <alignment vertical="center"/>
    </xf>
    <xf numFmtId="8" fontId="8" fillId="25" borderId="0" xfId="0" applyNumberFormat="1" applyFont="1" applyFill="1" applyBorder="1" applyAlignment="1">
      <alignment vertical="center"/>
    </xf>
    <xf numFmtId="181" fontId="20" fillId="25" borderId="0" xfId="0" applyNumberFormat="1" applyFont="1" applyFill="1" applyBorder="1" applyAlignment="1">
      <alignment vertical="center"/>
    </xf>
    <xf numFmtId="181" fontId="8" fillId="25" borderId="0" xfId="0" applyNumberFormat="1" applyFont="1" applyFill="1" applyBorder="1" applyAlignment="1">
      <alignment vertical="center"/>
    </xf>
    <xf numFmtId="173" fontId="20" fillId="25" borderId="0" xfId="0" applyNumberFormat="1" applyFont="1" applyFill="1" applyBorder="1" applyAlignment="1">
      <alignment vertical="center"/>
    </xf>
    <xf numFmtId="173" fontId="8" fillId="25" borderId="0" xfId="0" applyNumberFormat="1" applyFont="1" applyFill="1" applyBorder="1" applyAlignment="1">
      <alignment vertical="center"/>
    </xf>
    <xf numFmtId="178" fontId="8" fillId="25" borderId="0" xfId="0" applyNumberFormat="1" applyFont="1" applyFill="1" applyBorder="1" applyAlignment="1">
      <alignment vertical="center"/>
    </xf>
    <xf numFmtId="207" fontId="20" fillId="18" borderId="0" xfId="0" applyNumberFormat="1" applyFont="1" applyFill="1" applyBorder="1" applyAlignment="1">
      <alignment horizontal="right"/>
    </xf>
    <xf numFmtId="0" fontId="7" fillId="26" borderId="0" xfId="0" applyFont="1" applyFill="1"/>
    <xf numFmtId="0" fontId="7" fillId="26" borderId="0" xfId="0" applyFont="1" applyFill="1" applyBorder="1"/>
    <xf numFmtId="0" fontId="0" fillId="26" borderId="0" xfId="0" applyFill="1"/>
    <xf numFmtId="0" fontId="7" fillId="25" borderId="0" xfId="0" applyFont="1" applyFill="1"/>
    <xf numFmtId="208" fontId="0" fillId="25" borderId="0" xfId="0" applyNumberFormat="1" applyFill="1"/>
    <xf numFmtId="0" fontId="7" fillId="25" borderId="0" xfId="0" applyFont="1" applyFill="1" applyBorder="1"/>
    <xf numFmtId="0" fontId="8" fillId="25" borderId="0" xfId="0" applyFont="1" applyFill="1"/>
    <xf numFmtId="168" fontId="8" fillId="25" borderId="0" xfId="207" applyNumberFormat="1" applyFont="1" applyFill="1"/>
    <xf numFmtId="167" fontId="8" fillId="25" borderId="0" xfId="207" applyNumberFormat="1" applyFont="1" applyFill="1"/>
    <xf numFmtId="0" fontId="41" fillId="25" borderId="0" xfId="0" applyFont="1" applyFill="1"/>
    <xf numFmtId="167" fontId="8" fillId="25" borderId="0" xfId="0" applyNumberFormat="1" applyFont="1" applyFill="1"/>
    <xf numFmtId="168" fontId="42" fillId="25" borderId="0" xfId="207" applyNumberFormat="1" applyFont="1" applyFill="1" applyBorder="1"/>
    <xf numFmtId="0" fontId="8" fillId="25" borderId="0" xfId="0" applyFont="1" applyFill="1" applyBorder="1"/>
    <xf numFmtId="168" fontId="8" fillId="25" borderId="0" xfId="207" applyNumberFormat="1" applyFont="1" applyFill="1" applyBorder="1"/>
    <xf numFmtId="43" fontId="8" fillId="25" borderId="0" xfId="207" applyFont="1" applyFill="1" applyBorder="1"/>
    <xf numFmtId="168" fontId="8" fillId="26" borderId="0" xfId="207" applyNumberFormat="1" applyFont="1" applyFill="1" applyBorder="1"/>
    <xf numFmtId="0" fontId="41" fillId="25" borderId="0" xfId="0" applyFont="1" applyFill="1" applyBorder="1"/>
    <xf numFmtId="9" fontId="8" fillId="25" borderId="0" xfId="240" applyFont="1" applyFill="1"/>
    <xf numFmtId="8" fontId="123" fillId="25" borderId="0" xfId="0" applyNumberFormat="1" applyFont="1" applyFill="1" applyBorder="1" applyAlignment="1">
      <alignment vertical="center"/>
    </xf>
    <xf numFmtId="0" fontId="66" fillId="25" borderId="0" xfId="0" applyFont="1" applyFill="1"/>
    <xf numFmtId="167" fontId="8" fillId="26" borderId="0" xfId="207" applyNumberFormat="1" applyFont="1" applyFill="1" applyBorder="1"/>
    <xf numFmtId="9" fontId="8" fillId="26" borderId="0" xfId="0" applyNumberFormat="1" applyFont="1" applyFill="1" applyBorder="1"/>
    <xf numFmtId="0" fontId="7" fillId="0" borderId="0" xfId="0" applyFont="1" applyFill="1" applyBorder="1"/>
    <xf numFmtId="185" fontId="8" fillId="18" borderId="0" xfId="0" applyNumberFormat="1" applyFont="1" applyFill="1" applyBorder="1" applyAlignment="1">
      <alignment horizontal="right" vertical="center"/>
    </xf>
    <xf numFmtId="164" fontId="8" fillId="25" borderId="0" xfId="0" applyNumberFormat="1" applyFont="1" applyFill="1" applyAlignment="1">
      <alignment horizontal="right" vertical="center"/>
    </xf>
    <xf numFmtId="0" fontId="123" fillId="18" borderId="0" xfId="0" applyFont="1" applyFill="1" applyAlignment="1">
      <alignment vertical="center"/>
    </xf>
    <xf numFmtId="166" fontId="129" fillId="25" borderId="0" xfId="240" applyNumberFormat="1" applyFont="1" applyFill="1" applyBorder="1" applyAlignment="1">
      <alignment vertical="center"/>
    </xf>
    <xf numFmtId="0" fontId="8" fillId="25" borderId="0" xfId="0" applyFont="1" applyFill="1" applyAlignment="1">
      <alignment vertical="center"/>
    </xf>
    <xf numFmtId="0" fontId="66" fillId="25" borderId="0" xfId="0" applyFont="1" applyFill="1" applyAlignment="1">
      <alignment vertical="center"/>
    </xf>
    <xf numFmtId="173" fontId="102" fillId="18" borderId="0" xfId="0" applyNumberFormat="1" applyFont="1" applyFill="1" applyBorder="1" applyAlignment="1">
      <alignment vertical="center"/>
    </xf>
    <xf numFmtId="43" fontId="100" fillId="18" borderId="0" xfId="0" applyNumberFormat="1" applyFont="1" applyFill="1" applyBorder="1" applyAlignment="1">
      <alignment vertical="center"/>
    </xf>
    <xf numFmtId="170" fontId="96" fillId="18" borderId="0" xfId="0" applyNumberFormat="1" applyFont="1" applyFill="1" applyBorder="1" applyAlignment="1">
      <alignment horizontal="right" vertical="center"/>
    </xf>
    <xf numFmtId="170" fontId="57" fillId="18" borderId="0" xfId="0" applyNumberFormat="1" applyFont="1" applyFill="1" applyBorder="1" applyAlignment="1">
      <alignment horizontal="right" vertical="center"/>
    </xf>
    <xf numFmtId="170" fontId="56" fillId="18" borderId="0" xfId="0" applyNumberFormat="1" applyFont="1" applyFill="1" applyBorder="1" applyAlignment="1">
      <alignment horizontal="right" vertical="center"/>
    </xf>
    <xf numFmtId="37" fontId="8" fillId="18" borderId="0" xfId="0" applyNumberFormat="1" applyFont="1" applyFill="1" applyBorder="1" applyAlignment="1">
      <alignment vertical="center"/>
    </xf>
    <xf numFmtId="0" fontId="8" fillId="25" borderId="19" xfId="0" applyFont="1" applyFill="1" applyBorder="1"/>
    <xf numFmtId="9" fontId="55" fillId="18" borderId="0" xfId="240" applyFont="1" applyFill="1" applyAlignment="1">
      <alignment vertical="center"/>
    </xf>
    <xf numFmtId="172" fontId="44" fillId="18" borderId="0" xfId="0" applyNumberFormat="1" applyFont="1" applyFill="1" applyBorder="1" applyAlignment="1">
      <alignment vertical="center"/>
    </xf>
    <xf numFmtId="193" fontId="98" fillId="18" borderId="0" xfId="0" applyNumberFormat="1" applyFont="1" applyFill="1" applyBorder="1" applyAlignment="1">
      <alignment vertical="center"/>
    </xf>
    <xf numFmtId="0" fontId="61" fillId="18" borderId="0" xfId="0" applyFont="1" applyFill="1" applyBorder="1"/>
    <xf numFmtId="191" fontId="20" fillId="18" borderId="0" xfId="0" applyNumberFormat="1" applyFont="1" applyFill="1" applyBorder="1" applyAlignment="1">
      <alignment horizontal="right" vertical="center"/>
    </xf>
    <xf numFmtId="209" fontId="66" fillId="18" borderId="0" xfId="0" applyNumberFormat="1" applyFont="1" applyFill="1" applyBorder="1" applyAlignment="1">
      <alignment vertical="center"/>
    </xf>
    <xf numFmtId="184" fontId="8" fillId="18" borderId="0" xfId="0" applyNumberFormat="1" applyFont="1" applyFill="1" applyBorder="1" applyAlignment="1">
      <alignment vertical="center"/>
    </xf>
    <xf numFmtId="164" fontId="42" fillId="18" borderId="0" xfId="0" applyNumberFormat="1" applyFont="1" applyFill="1" applyBorder="1" applyAlignment="1">
      <alignment vertical="center"/>
    </xf>
    <xf numFmtId="0" fontId="41" fillId="18" borderId="0" xfId="0" applyFont="1" applyFill="1" applyBorder="1"/>
    <xf numFmtId="182" fontId="20" fillId="18" borderId="0" xfId="0" applyNumberFormat="1" applyFont="1" applyFill="1" applyBorder="1" applyAlignment="1">
      <alignment vertical="center"/>
    </xf>
    <xf numFmtId="166" fontId="17" fillId="18" borderId="0" xfId="240" applyNumberFormat="1" applyFont="1" applyFill="1" applyBorder="1" applyAlignment="1">
      <alignment vertical="center"/>
    </xf>
    <xf numFmtId="165" fontId="8" fillId="18" borderId="0" xfId="0" applyNumberFormat="1" applyFont="1" applyFill="1" applyBorder="1" applyAlignment="1">
      <alignment horizontal="right" vertical="center"/>
    </xf>
    <xf numFmtId="0" fontId="63" fillId="18" borderId="0" xfId="0" applyFont="1" applyFill="1" applyBorder="1" applyAlignment="1">
      <alignment horizontal="right"/>
    </xf>
    <xf numFmtId="164" fontId="8" fillId="25" borderId="0" xfId="0" applyNumberFormat="1" applyFont="1" applyFill="1" applyBorder="1" applyAlignment="1">
      <alignment horizontal="right" vertical="center"/>
    </xf>
    <xf numFmtId="168" fontId="8" fillId="18" borderId="0" xfId="207" applyNumberFormat="1" applyFont="1" applyFill="1" applyBorder="1" applyAlignment="1">
      <alignment horizontal="right"/>
    </xf>
    <xf numFmtId="0" fontId="41" fillId="0" borderId="0" xfId="0" applyFont="1" applyBorder="1"/>
    <xf numFmtId="9" fontId="8" fillId="18" borderId="0" xfId="209" applyNumberFormat="1" applyFont="1" applyFill="1" applyBorder="1" applyAlignment="1">
      <alignment horizontal="right"/>
    </xf>
    <xf numFmtId="43" fontId="8" fillId="25" borderId="0" xfId="207" applyNumberFormat="1" applyFont="1" applyFill="1" applyBorder="1" applyAlignment="1">
      <alignment horizontal="right"/>
    </xf>
    <xf numFmtId="43" fontId="8" fillId="18" borderId="0" xfId="0" applyNumberFormat="1" applyFont="1" applyFill="1" applyBorder="1"/>
    <xf numFmtId="168" fontId="8" fillId="18" borderId="0" xfId="240" applyNumberFormat="1" applyFont="1" applyFill="1" applyBorder="1"/>
    <xf numFmtId="0" fontId="21" fillId="26" borderId="0" xfId="0" applyFont="1" applyFill="1" applyBorder="1"/>
    <xf numFmtId="164" fontId="68" fillId="18" borderId="0" xfId="0" applyNumberFormat="1" applyFont="1" applyFill="1" applyBorder="1" applyAlignment="1">
      <alignment vertical="center"/>
    </xf>
    <xf numFmtId="0" fontId="123" fillId="18" borderId="0" xfId="0" applyFont="1" applyFill="1" applyBorder="1" applyAlignment="1">
      <alignment horizontal="left" indent="1"/>
    </xf>
    <xf numFmtId="0" fontId="130" fillId="18" borderId="0" xfId="0" applyFont="1" applyFill="1" applyBorder="1" applyAlignment="1">
      <alignment vertical="center"/>
    </xf>
    <xf numFmtId="170" fontId="123" fillId="18" borderId="0" xfId="0" applyNumberFormat="1" applyFont="1" applyFill="1" applyBorder="1" applyAlignment="1">
      <alignment vertical="center"/>
    </xf>
    <xf numFmtId="0" fontId="66" fillId="0" borderId="0" xfId="0" applyFont="1" applyFill="1" applyAlignment="1">
      <alignment horizontal="right" vertical="center"/>
    </xf>
    <xf numFmtId="0" fontId="66" fillId="0" borderId="0" xfId="0" applyFont="1" applyFill="1" applyBorder="1" applyAlignment="1">
      <alignment horizontal="right" vertical="center"/>
    </xf>
    <xf numFmtId="0" fontId="66" fillId="0" borderId="0" xfId="0" applyFont="1" applyFill="1" applyAlignment="1">
      <alignment horizontal="right"/>
    </xf>
    <xf numFmtId="0" fontId="66" fillId="0" borderId="0" xfId="0" applyFont="1" applyFill="1" applyAlignment="1">
      <alignment vertical="center"/>
    </xf>
    <xf numFmtId="0" fontId="20" fillId="0" borderId="0" xfId="0" applyFont="1" applyFill="1" applyAlignment="1">
      <alignment horizontal="right" vertical="center"/>
    </xf>
    <xf numFmtId="0" fontId="66" fillId="0" borderId="0" xfId="0" applyFont="1" applyFill="1"/>
    <xf numFmtId="0" fontId="42" fillId="0" borderId="0" xfId="0" applyFont="1" applyFill="1" applyAlignment="1">
      <alignment vertical="center"/>
    </xf>
    <xf numFmtId="0" fontId="8" fillId="0" borderId="0" xfId="0" applyFont="1" applyFill="1" applyAlignment="1">
      <alignment horizontal="center" vertical="center" wrapText="1"/>
    </xf>
    <xf numFmtId="0" fontId="8" fillId="0" borderId="0" xfId="0" applyFont="1" applyFill="1" applyBorder="1" applyAlignment="1">
      <alignment vertical="center"/>
    </xf>
    <xf numFmtId="0" fontId="8" fillId="0" borderId="0" xfId="0" applyFont="1" applyFill="1" applyBorder="1" applyAlignment="1">
      <alignment horizontal="right" vertical="center"/>
    </xf>
    <xf numFmtId="0" fontId="68" fillId="0" borderId="0" xfId="0" applyFont="1" applyFill="1" applyBorder="1" applyAlignment="1">
      <alignment horizontal="right" vertical="center"/>
    </xf>
    <xf numFmtId="0" fontId="57" fillId="0" borderId="0" xfId="0" applyFont="1" applyFill="1" applyAlignment="1">
      <alignment horizontal="right"/>
    </xf>
    <xf numFmtId="0" fontId="110" fillId="0" borderId="0" xfId="0" applyFont="1" applyFill="1" applyAlignment="1">
      <alignment horizontal="right"/>
    </xf>
    <xf numFmtId="0" fontId="100" fillId="0" borderId="0" xfId="0" applyFont="1" applyFill="1" applyBorder="1" applyAlignment="1">
      <alignment vertical="center"/>
    </xf>
    <xf numFmtId="0" fontId="100" fillId="0" borderId="0" xfId="0" applyFont="1" applyFill="1" applyBorder="1" applyAlignment="1">
      <alignment horizontal="right" vertical="center"/>
    </xf>
    <xf numFmtId="0" fontId="66" fillId="0" borderId="0" xfId="0" applyFont="1" applyFill="1" applyBorder="1" applyAlignment="1">
      <alignment horizontal="right"/>
    </xf>
    <xf numFmtId="0" fontId="56" fillId="0" borderId="0" xfId="0" applyFont="1" applyFill="1" applyBorder="1" applyAlignment="1">
      <alignment horizontal="right"/>
    </xf>
    <xf numFmtId="0" fontId="53" fillId="0" borderId="1" xfId="0" applyFont="1" applyFill="1" applyBorder="1"/>
    <xf numFmtId="0" fontId="53" fillId="0" borderId="0" xfId="0" applyFont="1" applyFill="1" applyBorder="1"/>
    <xf numFmtId="0" fontId="57" fillId="0" borderId="0" xfId="0" applyFont="1" applyFill="1" applyBorder="1" applyAlignment="1">
      <alignment horizontal="right"/>
    </xf>
    <xf numFmtId="0" fontId="68" fillId="0" borderId="1" xfId="0" applyFont="1" applyFill="1" applyBorder="1" applyAlignment="1">
      <alignment horizontal="right"/>
    </xf>
    <xf numFmtId="0" fontId="68" fillId="0" borderId="0" xfId="0" applyFont="1" applyFill="1" applyBorder="1" applyAlignment="1">
      <alignment horizontal="right"/>
    </xf>
    <xf numFmtId="0" fontId="123" fillId="0" borderId="0" xfId="0" applyFont="1" applyFill="1" applyAlignment="1">
      <alignment vertical="center"/>
    </xf>
    <xf numFmtId="0" fontId="123" fillId="0" borderId="0" xfId="0" applyFont="1" applyFill="1" applyAlignment="1">
      <alignment horizontal="right" vertical="center"/>
    </xf>
    <xf numFmtId="0" fontId="68" fillId="0" borderId="0" xfId="0" applyFont="1" applyFill="1" applyAlignment="1">
      <alignment horizontal="right"/>
    </xf>
    <xf numFmtId="0" fontId="20" fillId="0" borderId="0" xfId="0" applyFont="1" applyFill="1" applyBorder="1"/>
    <xf numFmtId="0" fontId="54" fillId="0" borderId="0" xfId="0" applyFont="1" applyFill="1"/>
    <xf numFmtId="0" fontId="74" fillId="0" borderId="0" xfId="0" applyFont="1" applyFill="1" applyAlignment="1">
      <alignment horizontal="right"/>
    </xf>
    <xf numFmtId="0" fontId="0" fillId="0" borderId="0" xfId="0" applyFill="1" applyBorder="1"/>
    <xf numFmtId="0" fontId="100" fillId="0" borderId="0" xfId="0" applyFont="1" applyFill="1" applyBorder="1"/>
    <xf numFmtId="0" fontId="123" fillId="0" borderId="0" xfId="0" applyFont="1" applyFill="1"/>
    <xf numFmtId="0" fontId="8" fillId="0" borderId="0" xfId="0" applyFont="1" applyFill="1" applyAlignment="1">
      <alignment horizontal="center" vertical="center"/>
    </xf>
    <xf numFmtId="0" fontId="8" fillId="0" borderId="0" xfId="0" applyFont="1" applyFill="1" applyAlignment="1">
      <alignment horizontal="center"/>
    </xf>
    <xf numFmtId="0" fontId="8" fillId="0" borderId="0" xfId="0" applyFont="1" applyFill="1" applyBorder="1" applyAlignment="1">
      <alignment horizontal="center" vertical="center"/>
    </xf>
    <xf numFmtId="0" fontId="21" fillId="0" borderId="0" xfId="0" applyFont="1" applyFill="1" applyBorder="1"/>
    <xf numFmtId="0" fontId="20" fillId="0" borderId="0" xfId="0"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xf numFmtId="0" fontId="41" fillId="0" borderId="0" xfId="0" applyFont="1" applyFill="1"/>
    <xf numFmtId="0" fontId="86" fillId="0" borderId="0" xfId="0" applyFont="1" applyFill="1"/>
    <xf numFmtId="0" fontId="72" fillId="0" borderId="0" xfId="0" applyFont="1" applyFill="1" applyBorder="1" applyAlignment="1">
      <alignment vertical="center"/>
    </xf>
    <xf numFmtId="0" fontId="66" fillId="0" borderId="0" xfId="0" applyFont="1" applyFill="1" applyBorder="1" applyAlignment="1">
      <alignment horizontal="center" vertical="center"/>
    </xf>
    <xf numFmtId="0" fontId="8" fillId="0" borderId="0" xfId="0" applyFont="1" applyFill="1" applyBorder="1" applyAlignment="1">
      <alignment horizontal="center"/>
    </xf>
    <xf numFmtId="0" fontId="100" fillId="0" borderId="0" xfId="0" applyFont="1" applyFill="1" applyBorder="1" applyAlignment="1">
      <alignment horizontal="center" vertical="center"/>
    </xf>
    <xf numFmtId="0" fontId="61" fillId="0" borderId="0" xfId="0" applyFont="1" applyFill="1"/>
    <xf numFmtId="0" fontId="53" fillId="0" borderId="0" xfId="0" applyFont="1" applyFill="1" applyAlignment="1">
      <alignment horizontal="center"/>
    </xf>
    <xf numFmtId="0" fontId="20" fillId="0" borderId="0" xfId="0" applyFont="1" applyFill="1" applyBorder="1" applyAlignment="1">
      <alignment horizontal="center"/>
    </xf>
    <xf numFmtId="0" fontId="20" fillId="0" borderId="0" xfId="0" applyFont="1" applyFill="1" applyAlignment="1">
      <alignment horizontal="center"/>
    </xf>
    <xf numFmtId="164" fontId="20" fillId="0" borderId="0" xfId="0" applyNumberFormat="1" applyFont="1" applyFill="1" applyBorder="1" applyAlignment="1">
      <alignment horizontal="right" vertical="center"/>
    </xf>
    <xf numFmtId="168" fontId="8" fillId="0" borderId="0" xfId="207" applyNumberFormat="1" applyFont="1" applyFill="1" applyBorder="1"/>
    <xf numFmtId="168" fontId="8" fillId="0" borderId="0" xfId="207" applyNumberFormat="1" applyFont="1" applyFill="1" applyBorder="1" applyAlignment="1">
      <alignment horizontal="center"/>
    </xf>
    <xf numFmtId="9" fontId="8" fillId="18" borderId="0" xfId="0" applyNumberFormat="1" applyFont="1" applyFill="1" applyBorder="1" applyAlignment="1">
      <alignment horizontal="right" vertical="center"/>
    </xf>
    <xf numFmtId="0" fontId="8" fillId="18" borderId="0" xfId="0" applyNumberFormat="1" applyFont="1" applyFill="1" applyBorder="1" applyAlignment="1">
      <alignment horizontal="right" vertical="center"/>
    </xf>
    <xf numFmtId="168" fontId="8" fillId="18" borderId="0" xfId="207" applyNumberFormat="1" applyFont="1" applyFill="1" applyAlignment="1">
      <alignment vertical="center"/>
    </xf>
    <xf numFmtId="168" fontId="58" fillId="18" borderId="0" xfId="207" applyNumberFormat="1" applyFont="1" applyFill="1" applyBorder="1" applyAlignment="1">
      <alignment vertical="center"/>
    </xf>
    <xf numFmtId="166" fontId="8" fillId="18" borderId="0" xfId="0" applyNumberFormat="1" applyFont="1" applyFill="1" applyBorder="1" applyAlignment="1">
      <alignment vertical="center"/>
    </xf>
    <xf numFmtId="166" fontId="8" fillId="26" borderId="0" xfId="240" applyNumberFormat="1" applyFont="1" applyFill="1" applyBorder="1" applyAlignment="1">
      <alignment horizontal="right" vertical="center"/>
    </xf>
    <xf numFmtId="167" fontId="133" fillId="18" borderId="0" xfId="207" applyNumberFormat="1" applyFont="1" applyFill="1" applyBorder="1" applyAlignment="1">
      <alignment horizontal="right" vertical="center"/>
    </xf>
    <xf numFmtId="9" fontId="8" fillId="26" borderId="0" xfId="240" applyFont="1" applyFill="1" applyBorder="1" applyAlignment="1">
      <alignment horizontal="right" vertical="center"/>
    </xf>
    <xf numFmtId="167" fontId="66" fillId="18" borderId="0" xfId="207" applyNumberFormat="1" applyFont="1" applyFill="1" applyBorder="1" applyAlignment="1">
      <alignment horizontal="right" vertical="center"/>
    </xf>
    <xf numFmtId="164" fontId="59" fillId="25" borderId="0" xfId="0" applyNumberFormat="1" applyFont="1" applyFill="1" applyBorder="1" applyAlignment="1">
      <alignment vertical="center"/>
    </xf>
    <xf numFmtId="164" fontId="8" fillId="25" borderId="0" xfId="0" applyNumberFormat="1" applyFont="1" applyFill="1" applyBorder="1" applyAlignment="1">
      <alignment vertical="center"/>
    </xf>
    <xf numFmtId="164" fontId="17" fillId="25" borderId="0" xfId="0" applyNumberFormat="1" applyFont="1" applyFill="1" applyAlignment="1">
      <alignment vertical="center"/>
    </xf>
    <xf numFmtId="168" fontId="8" fillId="25" borderId="0" xfId="207" applyNumberFormat="1" applyFont="1" applyFill="1" applyBorder="1" applyAlignment="1">
      <alignment vertical="center"/>
    </xf>
    <xf numFmtId="172" fontId="49" fillId="18" borderId="0" xfId="0" applyNumberFormat="1" applyFont="1" applyFill="1" applyBorder="1" applyAlignment="1">
      <alignment vertical="center"/>
    </xf>
    <xf numFmtId="171" fontId="17" fillId="18" borderId="17" xfId="0" applyNumberFormat="1" applyFont="1" applyFill="1" applyBorder="1" applyAlignment="1">
      <alignment vertical="center"/>
    </xf>
    <xf numFmtId="178" fontId="48" fillId="18" borderId="0" xfId="0" applyNumberFormat="1" applyFont="1" applyFill="1" applyBorder="1" applyAlignment="1">
      <alignment horizontal="right" vertical="center"/>
    </xf>
    <xf numFmtId="171" fontId="64" fillId="18" borderId="0" xfId="0" applyNumberFormat="1" applyFont="1" applyFill="1" applyBorder="1" applyAlignment="1">
      <alignment vertical="center"/>
    </xf>
    <xf numFmtId="166" fontId="17" fillId="18" borderId="0" xfId="240" applyNumberFormat="1" applyFont="1" applyFill="1" applyBorder="1" applyAlignment="1">
      <alignment horizontal="right" vertical="center"/>
    </xf>
    <xf numFmtId="9" fontId="53" fillId="18" borderId="0" xfId="240" applyFont="1" applyFill="1" applyBorder="1" applyAlignment="1">
      <alignment vertical="center"/>
    </xf>
    <xf numFmtId="164" fontId="8" fillId="25" borderId="0" xfId="0" applyNumberFormat="1" applyFont="1" applyFill="1" applyAlignment="1">
      <alignment vertical="center"/>
    </xf>
    <xf numFmtId="164" fontId="17" fillId="25" borderId="0" xfId="0" applyNumberFormat="1" applyFont="1" applyFill="1" applyBorder="1" applyAlignment="1">
      <alignment vertical="center"/>
    </xf>
    <xf numFmtId="166" fontId="126" fillId="18" borderId="0" xfId="240" applyNumberFormat="1" applyFont="1" applyFill="1" applyBorder="1" applyAlignment="1">
      <alignment horizontal="right" vertical="center"/>
    </xf>
    <xf numFmtId="167" fontId="8" fillId="18" borderId="0" xfId="207" applyNumberFormat="1" applyFont="1" applyFill="1" applyBorder="1" applyAlignment="1">
      <alignment horizontal="right"/>
    </xf>
    <xf numFmtId="43" fontId="123" fillId="18" borderId="0" xfId="207" applyNumberFormat="1" applyFont="1" applyFill="1" applyBorder="1"/>
    <xf numFmtId="0" fontId="8" fillId="25" borderId="0" xfId="0" applyFont="1" applyFill="1" applyAlignment="1">
      <alignment horizontal="left" indent="1"/>
    </xf>
    <xf numFmtId="9" fontId="0" fillId="25" borderId="0" xfId="240" applyFont="1" applyFill="1"/>
    <xf numFmtId="166" fontId="8" fillId="25" borderId="0" xfId="240" applyNumberFormat="1" applyFont="1" applyFill="1" applyBorder="1" applyAlignment="1">
      <alignment vertical="center"/>
    </xf>
    <xf numFmtId="168" fontId="127" fillId="18" borderId="0" xfId="207" applyNumberFormat="1" applyFont="1" applyFill="1" applyBorder="1" applyAlignment="1">
      <alignment horizontal="right" vertical="center"/>
    </xf>
    <xf numFmtId="173" fontId="127" fillId="18" borderId="0" xfId="0" applyNumberFormat="1" applyFont="1" applyFill="1" applyBorder="1" applyAlignment="1">
      <alignment vertical="center"/>
    </xf>
    <xf numFmtId="168" fontId="20" fillId="25" borderId="0" xfId="207" applyNumberFormat="1" applyFont="1" applyFill="1" applyBorder="1" applyAlignment="1">
      <alignment horizontal="right" vertical="center"/>
    </xf>
    <xf numFmtId="170" fontId="17" fillId="18" borderId="22" xfId="0" applyNumberFormat="1" applyFont="1" applyFill="1" applyBorder="1" applyAlignment="1">
      <alignment vertical="center"/>
    </xf>
    <xf numFmtId="170" fontId="17" fillId="18" borderId="17" xfId="0" applyNumberFormat="1" applyFont="1" applyFill="1" applyBorder="1" applyAlignment="1">
      <alignment vertical="center"/>
    </xf>
    <xf numFmtId="170" fontId="17" fillId="18" borderId="23" xfId="0" applyNumberFormat="1" applyFont="1" applyFill="1" applyBorder="1" applyAlignment="1">
      <alignment vertical="center"/>
    </xf>
    <xf numFmtId="170" fontId="17" fillId="18" borderId="24" xfId="0" applyNumberFormat="1" applyFont="1" applyFill="1" applyBorder="1" applyAlignment="1">
      <alignment vertical="center"/>
    </xf>
    <xf numFmtId="170" fontId="17" fillId="18" borderId="14" xfId="0" applyNumberFormat="1" applyFont="1" applyFill="1" applyBorder="1" applyAlignment="1">
      <alignment vertical="center"/>
    </xf>
    <xf numFmtId="170" fontId="17" fillId="18" borderId="21" xfId="0" applyNumberFormat="1" applyFont="1" applyFill="1" applyBorder="1" applyAlignment="1">
      <alignment vertical="center"/>
    </xf>
    <xf numFmtId="0" fontId="41" fillId="0" borderId="0" xfId="0" applyFont="1" applyFill="1" applyBorder="1"/>
    <xf numFmtId="0" fontId="61" fillId="0" borderId="0" xfId="0" applyFont="1" applyFill="1" applyBorder="1"/>
    <xf numFmtId="9" fontId="8" fillId="0" borderId="0" xfId="240" applyFont="1" applyFill="1" applyBorder="1"/>
    <xf numFmtId="0" fontId="228" fillId="0" borderId="0" xfId="0" applyFont="1" applyFill="1" applyBorder="1"/>
    <xf numFmtId="0" fontId="228" fillId="0" borderId="0" xfId="0" applyFont="1" applyFill="1"/>
    <xf numFmtId="209" fontId="8" fillId="18" borderId="0" xfId="0" applyNumberFormat="1" applyFont="1" applyFill="1" applyBorder="1" applyAlignment="1">
      <alignment vertical="center"/>
    </xf>
    <xf numFmtId="10" fontId="57" fillId="18" borderId="0" xfId="0" applyNumberFormat="1" applyFont="1" applyFill="1" applyBorder="1" applyAlignment="1">
      <alignment vertical="center"/>
    </xf>
    <xf numFmtId="0" fontId="98" fillId="18" borderId="0" xfId="0" applyFont="1" applyFill="1" applyBorder="1"/>
    <xf numFmtId="185" fontId="8" fillId="18" borderId="0" xfId="0" applyNumberFormat="1" applyFont="1" applyFill="1" applyBorder="1" applyAlignment="1">
      <alignment vertical="center"/>
    </xf>
    <xf numFmtId="9" fontId="8" fillId="18" borderId="0" xfId="240" applyNumberFormat="1" applyFont="1" applyFill="1" applyBorder="1" applyAlignment="1">
      <alignment vertical="center"/>
    </xf>
    <xf numFmtId="0" fontId="63" fillId="18" borderId="0" xfId="0" applyFont="1" applyFill="1" applyBorder="1"/>
    <xf numFmtId="37" fontId="127" fillId="25" borderId="0" xfId="207" applyNumberFormat="1" applyFont="1" applyFill="1" applyBorder="1" applyAlignment="1">
      <alignment vertical="center"/>
    </xf>
    <xf numFmtId="0" fontId="17" fillId="25" borderId="0" xfId="0" applyFont="1" applyFill="1" applyBorder="1" applyAlignment="1">
      <alignment vertical="center"/>
    </xf>
    <xf numFmtId="37" fontId="17" fillId="25" borderId="0" xfId="0" applyNumberFormat="1" applyFont="1" applyFill="1" applyBorder="1" applyAlignment="1">
      <alignment vertical="center"/>
    </xf>
    <xf numFmtId="175" fontId="8" fillId="18" borderId="0" xfId="0" applyNumberFormat="1" applyFont="1" applyFill="1" applyBorder="1"/>
    <xf numFmtId="167" fontId="8" fillId="25" borderId="0" xfId="207" applyNumberFormat="1" applyFont="1" applyFill="1" applyBorder="1"/>
    <xf numFmtId="167" fontId="8" fillId="25" borderId="0" xfId="0" applyNumberFormat="1" applyFont="1" applyFill="1" applyBorder="1"/>
    <xf numFmtId="208" fontId="0" fillId="25" borderId="0" xfId="0" applyNumberFormat="1" applyFill="1" applyBorder="1"/>
    <xf numFmtId="168" fontId="58" fillId="18" borderId="0" xfId="207" applyNumberFormat="1" applyFont="1" applyFill="1" applyBorder="1"/>
    <xf numFmtId="172" fontId="44" fillId="18" borderId="19" xfId="0" applyNumberFormat="1" applyFont="1" applyFill="1" applyBorder="1" applyAlignment="1">
      <alignment vertical="center"/>
    </xf>
    <xf numFmtId="164" fontId="8" fillId="18" borderId="19" xfId="0" applyNumberFormat="1" applyFont="1" applyFill="1" applyBorder="1" applyAlignment="1">
      <alignment vertical="center"/>
    </xf>
    <xf numFmtId="164" fontId="20" fillId="18" borderId="19" xfId="0" applyNumberFormat="1" applyFont="1" applyFill="1" applyBorder="1" applyAlignment="1">
      <alignment vertical="center"/>
    </xf>
    <xf numFmtId="209" fontId="72" fillId="18" borderId="19" xfId="0" applyNumberFormat="1" applyFont="1" applyFill="1" applyBorder="1" applyAlignment="1">
      <alignment vertical="center"/>
    </xf>
    <xf numFmtId="167" fontId="8" fillId="18" borderId="19" xfId="207" applyNumberFormat="1" applyFont="1" applyFill="1" applyBorder="1" applyAlignment="1">
      <alignment horizontal="right" vertical="center"/>
    </xf>
    <xf numFmtId="39" fontId="8" fillId="18" borderId="19" xfId="0" applyNumberFormat="1" applyFont="1" applyFill="1" applyBorder="1" applyAlignment="1">
      <alignment horizontal="right" vertical="center"/>
    </xf>
    <xf numFmtId="0" fontId="53" fillId="18" borderId="19" xfId="0" applyFont="1" applyFill="1" applyBorder="1" applyAlignment="1">
      <alignment vertical="center"/>
    </xf>
    <xf numFmtId="10" fontId="57" fillId="18" borderId="19" xfId="240" applyNumberFormat="1" applyFont="1" applyFill="1" applyBorder="1" applyAlignment="1">
      <alignment horizontal="right" vertical="center"/>
    </xf>
    <xf numFmtId="173" fontId="8" fillId="18" borderId="19" xfId="0" applyNumberFormat="1" applyFont="1" applyFill="1" applyBorder="1" applyAlignment="1">
      <alignment vertical="center"/>
    </xf>
    <xf numFmtId="182" fontId="8" fillId="18" borderId="19" xfId="0" applyNumberFormat="1" applyFont="1" applyFill="1" applyBorder="1" applyAlignment="1">
      <alignment vertical="center"/>
    </xf>
    <xf numFmtId="9" fontId="20" fillId="18" borderId="19" xfId="240" applyFont="1" applyFill="1" applyBorder="1" applyAlignment="1">
      <alignment vertical="center"/>
    </xf>
    <xf numFmtId="9" fontId="20" fillId="18" borderId="19" xfId="240" applyFont="1" applyFill="1" applyBorder="1" applyAlignment="1">
      <alignment horizontal="right" vertical="center"/>
    </xf>
    <xf numFmtId="9" fontId="8" fillId="18" borderId="19" xfId="240" applyFont="1" applyFill="1" applyBorder="1" applyAlignment="1">
      <alignment horizontal="right" vertical="center"/>
    </xf>
    <xf numFmtId="9" fontId="8" fillId="18" borderId="19" xfId="240" applyFont="1" applyFill="1" applyBorder="1" applyAlignment="1">
      <alignment vertical="center"/>
    </xf>
    <xf numFmtId="166" fontId="8" fillId="18" borderId="19" xfId="240" applyNumberFormat="1" applyFont="1" applyFill="1" applyBorder="1" applyAlignment="1">
      <alignment horizontal="right" vertical="center"/>
    </xf>
    <xf numFmtId="166" fontId="20" fillId="18" borderId="19" xfId="240" applyNumberFormat="1" applyFont="1" applyFill="1" applyBorder="1" applyAlignment="1">
      <alignment horizontal="right" vertical="center"/>
    </xf>
    <xf numFmtId="166" fontId="20" fillId="18" borderId="19" xfId="240" applyNumberFormat="1" applyFont="1" applyFill="1" applyBorder="1" applyAlignment="1">
      <alignment vertical="center"/>
    </xf>
    <xf numFmtId="10" fontId="8" fillId="18" borderId="19" xfId="240" applyNumberFormat="1" applyFont="1" applyFill="1" applyBorder="1" applyAlignment="1">
      <alignment horizontal="right" vertical="center"/>
    </xf>
    <xf numFmtId="164" fontId="8" fillId="18" borderId="19" xfId="0" applyNumberFormat="1" applyFont="1" applyFill="1" applyBorder="1"/>
    <xf numFmtId="209" fontId="66" fillId="18" borderId="19" xfId="0" applyNumberFormat="1" applyFont="1" applyFill="1" applyBorder="1" applyAlignment="1">
      <alignment vertical="center"/>
    </xf>
    <xf numFmtId="184" fontId="8" fillId="18" borderId="19" xfId="0" applyNumberFormat="1" applyFont="1" applyFill="1" applyBorder="1" applyAlignment="1">
      <alignment vertical="center"/>
    </xf>
    <xf numFmtId="170" fontId="8" fillId="18" borderId="19" xfId="0" applyNumberFormat="1" applyFont="1" applyFill="1" applyBorder="1" applyAlignment="1">
      <alignment vertical="center"/>
    </xf>
    <xf numFmtId="166" fontId="59" fillId="18" borderId="19" xfId="0" applyNumberFormat="1" applyFont="1" applyFill="1" applyBorder="1" applyAlignment="1">
      <alignment vertical="center"/>
    </xf>
    <xf numFmtId="185" fontId="8" fillId="18" borderId="19" xfId="0" applyNumberFormat="1" applyFont="1" applyFill="1" applyBorder="1" applyAlignment="1">
      <alignment horizontal="right" vertical="center"/>
    </xf>
    <xf numFmtId="0" fontId="41" fillId="18" borderId="19" xfId="0" applyFont="1" applyFill="1" applyBorder="1"/>
    <xf numFmtId="180" fontId="98" fillId="18" borderId="19" xfId="0" applyNumberFormat="1" applyFont="1" applyFill="1" applyBorder="1" applyAlignment="1">
      <alignment vertical="center"/>
    </xf>
    <xf numFmtId="170" fontId="49" fillId="18" borderId="19" xfId="0" applyNumberFormat="1" applyFont="1" applyFill="1" applyBorder="1" applyAlignment="1">
      <alignment vertical="center"/>
    </xf>
    <xf numFmtId="182" fontId="20" fillId="18" borderId="19" xfId="0" applyNumberFormat="1" applyFont="1" applyFill="1" applyBorder="1" applyAlignment="1">
      <alignment vertical="center"/>
    </xf>
    <xf numFmtId="165" fontId="8" fillId="18" borderId="19" xfId="0" applyNumberFormat="1" applyFont="1" applyFill="1" applyBorder="1" applyAlignment="1">
      <alignment horizontal="right" vertical="center"/>
    </xf>
    <xf numFmtId="166" fontId="8" fillId="18" borderId="19" xfId="240" applyNumberFormat="1" applyFont="1" applyFill="1" applyBorder="1" applyAlignment="1">
      <alignment vertical="center"/>
    </xf>
    <xf numFmtId="0" fontId="63" fillId="18" borderId="19" xfId="0" applyFont="1" applyFill="1" applyBorder="1" applyAlignment="1">
      <alignment horizontal="right"/>
    </xf>
    <xf numFmtId="168" fontId="72" fillId="18" borderId="19" xfId="0" applyNumberFormat="1" applyFont="1" applyFill="1" applyBorder="1" applyAlignment="1">
      <alignment vertical="center"/>
    </xf>
    <xf numFmtId="168" fontId="8" fillId="18" borderId="19" xfId="207" applyNumberFormat="1" applyFont="1" applyFill="1" applyBorder="1"/>
    <xf numFmtId="168" fontId="8" fillId="18" borderId="19" xfId="207" applyNumberFormat="1" applyFont="1" applyFill="1" applyBorder="1" applyAlignment="1">
      <alignment horizontal="right"/>
    </xf>
    <xf numFmtId="9" fontId="8" fillId="18" borderId="19" xfId="240" applyFont="1" applyFill="1" applyBorder="1"/>
    <xf numFmtId="43" fontId="8" fillId="18" borderId="19" xfId="207" applyFont="1" applyFill="1" applyBorder="1"/>
    <xf numFmtId="9" fontId="8" fillId="18" borderId="19" xfId="0" applyNumberFormat="1" applyFont="1" applyFill="1" applyBorder="1"/>
    <xf numFmtId="0" fontId="41" fillId="25" borderId="19" xfId="0" applyFont="1" applyFill="1" applyBorder="1"/>
    <xf numFmtId="0" fontId="7" fillId="25" borderId="19" xfId="0" applyFont="1" applyFill="1" applyBorder="1"/>
    <xf numFmtId="43" fontId="8" fillId="25" borderId="19" xfId="207" applyFont="1" applyFill="1" applyBorder="1"/>
    <xf numFmtId="168" fontId="8" fillId="25" borderId="19" xfId="207" applyNumberFormat="1" applyFont="1" applyFill="1" applyBorder="1"/>
    <xf numFmtId="9" fontId="0" fillId="0" borderId="19" xfId="240" applyFont="1" applyBorder="1"/>
    <xf numFmtId="0" fontId="41" fillId="0" borderId="19" xfId="0" applyFont="1" applyBorder="1"/>
    <xf numFmtId="0" fontId="21" fillId="25" borderId="0" xfId="0" applyFont="1" applyFill="1"/>
    <xf numFmtId="0" fontId="21" fillId="25" borderId="0" xfId="0" applyFont="1" applyFill="1" applyBorder="1"/>
    <xf numFmtId="167" fontId="127" fillId="18" borderId="0" xfId="207" applyNumberFormat="1" applyFont="1" applyFill="1" applyBorder="1" applyAlignment="1">
      <alignment horizontal="right" vertical="center"/>
    </xf>
    <xf numFmtId="9" fontId="126" fillId="18" borderId="0" xfId="0" applyNumberFormat="1" applyFont="1" applyFill="1"/>
    <xf numFmtId="9" fontId="126" fillId="18" borderId="0" xfId="0" applyNumberFormat="1" applyFont="1" applyFill="1" applyBorder="1"/>
    <xf numFmtId="43" fontId="20" fillId="18" borderId="0" xfId="207" applyFont="1" applyFill="1" applyBorder="1"/>
    <xf numFmtId="173" fontId="8" fillId="18" borderId="19" xfId="0" applyNumberFormat="1" applyFont="1" applyFill="1" applyBorder="1" applyAlignment="1">
      <alignment horizontal="right" vertical="center"/>
    </xf>
    <xf numFmtId="168" fontId="127" fillId="18" borderId="0" xfId="207" applyNumberFormat="1" applyFont="1" applyFill="1" applyBorder="1"/>
    <xf numFmtId="173" fontId="84" fillId="18" borderId="0" xfId="0" applyNumberFormat="1" applyFont="1" applyFill="1" applyBorder="1" applyAlignment="1">
      <alignment horizontal="right" vertical="center"/>
    </xf>
    <xf numFmtId="0" fontId="58" fillId="18" borderId="0" xfId="0" applyFont="1" applyFill="1" applyBorder="1" applyAlignment="1">
      <alignment vertical="center"/>
    </xf>
    <xf numFmtId="173" fontId="58" fillId="18" borderId="0" xfId="0" applyNumberFormat="1" applyFont="1" applyFill="1" applyBorder="1" applyAlignment="1">
      <alignment horizontal="right" vertical="center"/>
    </xf>
    <xf numFmtId="43" fontId="8" fillId="18" borderId="0" xfId="207" applyNumberFormat="1" applyFont="1" applyFill="1" applyBorder="1"/>
    <xf numFmtId="0" fontId="8" fillId="18" borderId="0" xfId="0" applyNumberFormat="1" applyFont="1" applyFill="1" applyBorder="1" applyAlignment="1">
      <alignment horizontal="left"/>
    </xf>
    <xf numFmtId="173" fontId="131" fillId="18" borderId="0" xfId="0" applyNumberFormat="1" applyFont="1" applyFill="1" applyBorder="1" applyAlignment="1">
      <alignment horizontal="right" vertical="center"/>
    </xf>
    <xf numFmtId="0" fontId="20" fillId="18" borderId="0" xfId="0" applyNumberFormat="1" applyFont="1" applyFill="1" applyBorder="1" applyAlignment="1">
      <alignment horizontal="left"/>
    </xf>
    <xf numFmtId="0" fontId="57" fillId="25" borderId="0" xfId="0" applyFont="1" applyFill="1" applyAlignment="1">
      <alignment horizontal="right"/>
    </xf>
    <xf numFmtId="166" fontId="8" fillId="25" borderId="0" xfId="240" applyNumberFormat="1" applyFont="1" applyFill="1" applyBorder="1"/>
    <xf numFmtId="166" fontId="59" fillId="25" borderId="0" xfId="240" applyNumberFormat="1" applyFont="1" applyFill="1" applyAlignment="1">
      <alignment horizontal="right" vertical="center"/>
    </xf>
    <xf numFmtId="9" fontId="8" fillId="25" borderId="0" xfId="0" applyNumberFormat="1" applyFont="1" applyFill="1" applyAlignment="1">
      <alignment horizontal="right"/>
    </xf>
    <xf numFmtId="172" fontId="59" fillId="25" borderId="0" xfId="0" applyNumberFormat="1" applyFont="1" applyFill="1" applyAlignment="1">
      <alignment vertical="center"/>
    </xf>
    <xf numFmtId="3" fontId="8" fillId="25" borderId="0" xfId="0" applyNumberFormat="1" applyFont="1" applyFill="1" applyAlignment="1"/>
    <xf numFmtId="166" fontId="66" fillId="18" borderId="0" xfId="240" applyNumberFormat="1" applyFont="1" applyFill="1" applyAlignment="1">
      <alignment vertical="center"/>
    </xf>
    <xf numFmtId="166" fontId="66" fillId="18" borderId="0" xfId="240" applyNumberFormat="1" applyFont="1" applyFill="1"/>
    <xf numFmtId="166" fontId="59" fillId="18" borderId="0" xfId="240" applyNumberFormat="1" applyFont="1" applyFill="1" applyAlignment="1">
      <alignment vertical="center"/>
    </xf>
    <xf numFmtId="166" fontId="8" fillId="18" borderId="0" xfId="240" applyNumberFormat="1" applyFont="1" applyFill="1" applyAlignment="1"/>
    <xf numFmtId="166" fontId="8" fillId="18" borderId="0" xfId="240" applyNumberFormat="1" applyFont="1" applyFill="1" applyBorder="1" applyAlignment="1"/>
    <xf numFmtId="166" fontId="66" fillId="18" borderId="0" xfId="240" applyNumberFormat="1" applyFont="1" applyFill="1" applyBorder="1"/>
    <xf numFmtId="166" fontId="59" fillId="18" borderId="0" xfId="240" applyNumberFormat="1" applyFont="1" applyFill="1" applyBorder="1" applyAlignment="1">
      <alignment vertical="center"/>
    </xf>
    <xf numFmtId="166" fontId="84" fillId="18" borderId="0" xfId="240" applyNumberFormat="1" applyFont="1" applyFill="1" applyBorder="1"/>
    <xf numFmtId="166" fontId="66" fillId="18" borderId="0" xfId="240" applyNumberFormat="1" applyFont="1" applyFill="1" applyBorder="1" applyAlignment="1">
      <alignment vertical="center"/>
    </xf>
    <xf numFmtId="168" fontId="8" fillId="18" borderId="0" xfId="0" applyNumberFormat="1" applyFont="1" applyFill="1" applyBorder="1" applyAlignment="1">
      <alignment vertical="center"/>
    </xf>
    <xf numFmtId="180" fontId="131" fillId="18" borderId="0" xfId="0" applyNumberFormat="1" applyFont="1" applyFill="1" applyBorder="1" applyAlignment="1">
      <alignment horizontal="right" vertical="center"/>
    </xf>
    <xf numFmtId="168" fontId="112" fillId="18" borderId="0" xfId="207" applyNumberFormat="1" applyFont="1" applyFill="1" applyBorder="1" applyAlignment="1">
      <alignment vertical="center"/>
    </xf>
    <xf numFmtId="3" fontId="8" fillId="25" borderId="0" xfId="0" applyNumberFormat="1" applyFont="1" applyFill="1" applyBorder="1" applyAlignment="1"/>
    <xf numFmtId="172" fontId="98" fillId="18" borderId="19" xfId="0" applyNumberFormat="1" applyFont="1" applyFill="1" applyBorder="1" applyAlignment="1">
      <alignment vertical="center"/>
    </xf>
    <xf numFmtId="172" fontId="102" fillId="18" borderId="19" xfId="0" applyNumberFormat="1" applyFont="1" applyFill="1" applyBorder="1" applyAlignment="1">
      <alignment vertical="center"/>
    </xf>
    <xf numFmtId="168" fontId="8" fillId="18" borderId="19" xfId="207" applyNumberFormat="1" applyFont="1" applyFill="1" applyBorder="1" applyAlignment="1">
      <alignment vertical="center"/>
    </xf>
    <xf numFmtId="168" fontId="20" fillId="18" borderId="19" xfId="207" applyNumberFormat="1" applyFont="1" applyFill="1" applyBorder="1" applyAlignment="1">
      <alignment horizontal="right" vertical="center"/>
    </xf>
    <xf numFmtId="168" fontId="8" fillId="18" borderId="19" xfId="207" applyNumberFormat="1" applyFont="1" applyFill="1" applyBorder="1" applyAlignment="1">
      <alignment horizontal="right" vertical="center"/>
    </xf>
    <xf numFmtId="0" fontId="100" fillId="18" borderId="19" xfId="0" applyFont="1" applyFill="1" applyBorder="1" applyAlignment="1">
      <alignment vertical="center"/>
    </xf>
    <xf numFmtId="43" fontId="8" fillId="18" borderId="19" xfId="207" applyNumberFormat="1" applyFont="1" applyFill="1" applyBorder="1" applyAlignment="1">
      <alignment horizontal="right" vertical="center"/>
    </xf>
    <xf numFmtId="166" fontId="8" fillId="18" borderId="19" xfId="240" applyNumberFormat="1" applyFont="1" applyFill="1" applyBorder="1"/>
    <xf numFmtId="172" fontId="8" fillId="18" borderId="19" xfId="0" applyNumberFormat="1" applyFont="1" applyFill="1" applyBorder="1" applyAlignment="1">
      <alignment horizontal="right" vertical="center"/>
    </xf>
    <xf numFmtId="168" fontId="20" fillId="18" borderId="19" xfId="207" applyNumberFormat="1" applyFont="1" applyFill="1" applyBorder="1"/>
    <xf numFmtId="168" fontId="127" fillId="25" borderId="19" xfId="207" applyNumberFormat="1" applyFont="1" applyFill="1" applyBorder="1" applyAlignment="1">
      <alignment horizontal="right" vertical="center"/>
    </xf>
    <xf numFmtId="9" fontId="106" fillId="18" borderId="19" xfId="0" applyNumberFormat="1" applyFont="1" applyFill="1" applyBorder="1" applyAlignment="1">
      <alignment vertical="center"/>
    </xf>
    <xf numFmtId="10" fontId="8" fillId="18" borderId="19" xfId="240" applyNumberFormat="1" applyFont="1" applyFill="1" applyBorder="1" applyAlignment="1">
      <alignment vertical="center"/>
    </xf>
    <xf numFmtId="178" fontId="8" fillId="18" borderId="19" xfId="240" applyNumberFormat="1" applyFont="1" applyFill="1" applyBorder="1" applyAlignment="1">
      <alignment horizontal="right" vertical="center"/>
    </xf>
    <xf numFmtId="172" fontId="8" fillId="18" borderId="19" xfId="240" applyNumberFormat="1" applyFont="1" applyFill="1" applyBorder="1" applyAlignment="1">
      <alignment horizontal="right" vertical="center"/>
    </xf>
    <xf numFmtId="192" fontId="53" fillId="18" borderId="19" xfId="0" applyNumberFormat="1" applyFont="1" applyFill="1" applyBorder="1" applyAlignment="1">
      <alignment vertical="center"/>
    </xf>
    <xf numFmtId="173" fontId="53" fillId="18" borderId="19" xfId="0" applyNumberFormat="1" applyFont="1" applyFill="1" applyBorder="1" applyAlignment="1">
      <alignment horizontal="right" vertical="center"/>
    </xf>
    <xf numFmtId="170" fontId="59" fillId="18" borderId="19" xfId="0" applyNumberFormat="1" applyFont="1" applyFill="1" applyBorder="1" applyAlignment="1">
      <alignment horizontal="right" vertical="center"/>
    </xf>
    <xf numFmtId="173" fontId="20" fillId="18" borderId="19" xfId="0" applyNumberFormat="1" applyFont="1" applyFill="1" applyBorder="1" applyAlignment="1">
      <alignment horizontal="right" vertical="center"/>
    </xf>
    <xf numFmtId="37" fontId="8" fillId="18" borderId="19" xfId="0" applyNumberFormat="1" applyFont="1" applyFill="1" applyBorder="1" applyAlignment="1">
      <alignment vertical="center"/>
    </xf>
    <xf numFmtId="0" fontId="8" fillId="0" borderId="19" xfId="0" applyFont="1" applyFill="1" applyBorder="1"/>
    <xf numFmtId="166" fontId="8" fillId="18" borderId="19" xfId="0" applyNumberFormat="1" applyFont="1" applyFill="1" applyBorder="1" applyAlignment="1">
      <alignment vertical="center"/>
    </xf>
    <xf numFmtId="192" fontId="8" fillId="18" borderId="19" xfId="0" applyNumberFormat="1" applyFont="1" applyFill="1" applyBorder="1" applyAlignment="1">
      <alignment vertical="center"/>
    </xf>
    <xf numFmtId="10" fontId="59" fillId="18" borderId="19" xfId="240" applyNumberFormat="1" applyFont="1" applyFill="1" applyBorder="1" applyAlignment="1">
      <alignment horizontal="right" vertical="center"/>
    </xf>
    <xf numFmtId="170" fontId="96" fillId="18" borderId="19" xfId="0" applyNumberFormat="1" applyFont="1" applyFill="1" applyBorder="1" applyAlignment="1">
      <alignment horizontal="right" vertical="center"/>
    </xf>
    <xf numFmtId="170" fontId="57" fillId="18" borderId="19" xfId="0" applyNumberFormat="1" applyFont="1" applyFill="1" applyBorder="1" applyAlignment="1">
      <alignment horizontal="right" vertical="center"/>
    </xf>
    <xf numFmtId="170" fontId="56" fillId="18" borderId="19" xfId="0" applyNumberFormat="1" applyFont="1" applyFill="1" applyBorder="1" applyAlignment="1">
      <alignment horizontal="right" vertical="center"/>
    </xf>
    <xf numFmtId="167" fontId="83" fillId="18" borderId="19" xfId="207" applyNumberFormat="1" applyFont="1" applyFill="1" applyBorder="1" applyAlignment="1">
      <alignment vertical="center"/>
    </xf>
    <xf numFmtId="192" fontId="20" fillId="18" borderId="19" xfId="0" applyNumberFormat="1" applyFont="1" applyFill="1" applyBorder="1" applyAlignment="1">
      <alignment vertical="center"/>
    </xf>
    <xf numFmtId="168" fontId="8" fillId="18" borderId="19" xfId="0" applyNumberFormat="1" applyFont="1" applyFill="1" applyBorder="1" applyAlignment="1">
      <alignment vertical="center"/>
    </xf>
    <xf numFmtId="9" fontId="8" fillId="18" borderId="19" xfId="0" applyNumberFormat="1" applyFont="1" applyFill="1" applyBorder="1" applyAlignment="1">
      <alignment horizontal="right" vertical="center"/>
    </xf>
    <xf numFmtId="9" fontId="126" fillId="25" borderId="0" xfId="0" applyNumberFormat="1" applyFont="1" applyFill="1" applyBorder="1" applyAlignment="1">
      <alignment vertical="center"/>
    </xf>
    <xf numFmtId="9" fontId="8" fillId="25" borderId="0" xfId="0" applyNumberFormat="1" applyFont="1" applyFill="1" applyBorder="1" applyAlignment="1">
      <alignment vertical="center"/>
    </xf>
    <xf numFmtId="173" fontId="55" fillId="18" borderId="0" xfId="0" applyNumberFormat="1" applyFont="1" applyFill="1" applyAlignment="1">
      <alignment horizontal="right" vertical="center"/>
    </xf>
    <xf numFmtId="170" fontId="134" fillId="18" borderId="0" xfId="0" applyNumberFormat="1" applyFont="1" applyFill="1" applyBorder="1"/>
    <xf numFmtId="170" fontId="127" fillId="18" borderId="0" xfId="0" applyNumberFormat="1" applyFont="1" applyFill="1" applyBorder="1"/>
    <xf numFmtId="9" fontId="126" fillId="18" borderId="0" xfId="240" applyFont="1" applyFill="1" applyBorder="1" applyAlignment="1">
      <alignment horizontal="right" vertical="center"/>
    </xf>
    <xf numFmtId="37" fontId="17" fillId="18" borderId="0" xfId="207" applyNumberFormat="1" applyFont="1" applyFill="1" applyBorder="1" applyAlignment="1">
      <alignment horizontal="right"/>
    </xf>
    <xf numFmtId="0" fontId="57" fillId="0" borderId="0" xfId="0" applyFont="1" applyFill="1" applyAlignment="1">
      <alignment horizontal="left"/>
    </xf>
    <xf numFmtId="3" fontId="8" fillId="0" borderId="0" xfId="0" applyNumberFormat="1" applyFont="1" applyFill="1"/>
    <xf numFmtId="170" fontId="8" fillId="0" borderId="0" xfId="0" applyNumberFormat="1" applyFont="1" applyFill="1" applyBorder="1"/>
    <xf numFmtId="167" fontId="8" fillId="18" borderId="0" xfId="0" applyNumberFormat="1" applyFont="1" applyFill="1" applyBorder="1"/>
    <xf numFmtId="9" fontId="126" fillId="25" borderId="0" xfId="240" applyFont="1" applyFill="1" applyBorder="1" applyAlignment="1">
      <alignment horizontal="right"/>
    </xf>
    <xf numFmtId="168" fontId="126" fillId="18" borderId="0" xfId="207" applyNumberFormat="1" applyFont="1" applyFill="1" applyBorder="1"/>
    <xf numFmtId="9" fontId="97" fillId="18" borderId="0" xfId="240" applyFont="1" applyFill="1" applyBorder="1"/>
    <xf numFmtId="180" fontId="8" fillId="18" borderId="0" xfId="0" applyNumberFormat="1" applyFont="1" applyFill="1" applyBorder="1"/>
    <xf numFmtId="173" fontId="8" fillId="18" borderId="0" xfId="0" applyNumberFormat="1" applyFont="1" applyFill="1" applyBorder="1"/>
    <xf numFmtId="173" fontId="100" fillId="18" borderId="0" xfId="0" applyNumberFormat="1" applyFont="1" applyFill="1" applyBorder="1"/>
    <xf numFmtId="43" fontId="20" fillId="18" borderId="19" xfId="207" applyFont="1" applyFill="1" applyBorder="1"/>
    <xf numFmtId="173" fontId="8" fillId="18" borderId="19" xfId="0" applyNumberFormat="1" applyFont="1" applyFill="1" applyBorder="1"/>
    <xf numFmtId="0" fontId="230" fillId="0" borderId="0" xfId="0" applyFont="1" applyFill="1" applyBorder="1" applyAlignment="1">
      <alignment vertical="center"/>
    </xf>
    <xf numFmtId="0" fontId="125" fillId="0" borderId="0" xfId="0" applyFont="1" applyFill="1" applyBorder="1" applyAlignment="1">
      <alignment vertical="center"/>
    </xf>
    <xf numFmtId="167" fontId="20" fillId="25" borderId="0" xfId="207" applyNumberFormat="1" applyFont="1" applyFill="1" applyBorder="1" applyAlignment="1">
      <alignment horizontal="right"/>
    </xf>
    <xf numFmtId="0" fontId="20" fillId="25" borderId="0" xfId="0" applyFont="1" applyFill="1" applyBorder="1"/>
    <xf numFmtId="0" fontId="8" fillId="25" borderId="0" xfId="0" applyFont="1" applyFill="1" applyBorder="1" applyAlignment="1">
      <alignment horizontal="center"/>
    </xf>
    <xf numFmtId="43" fontId="17" fillId="18" borderId="0" xfId="207" applyFont="1" applyFill="1" applyAlignment="1">
      <alignment horizontal="right" vertical="center"/>
    </xf>
    <xf numFmtId="166" fontId="8" fillId="25" borderId="0" xfId="240" applyNumberFormat="1" applyFont="1" applyFill="1" applyBorder="1" applyAlignment="1">
      <alignment horizontal="right"/>
    </xf>
    <xf numFmtId="0" fontId="8" fillId="25" borderId="0" xfId="0" applyFont="1" applyFill="1" applyAlignment="1">
      <alignment horizontal="left" vertical="center" indent="1"/>
    </xf>
    <xf numFmtId="172" fontId="55" fillId="18" borderId="0" xfId="0" applyNumberFormat="1" applyFont="1" applyFill="1" applyBorder="1" applyAlignment="1">
      <alignment vertical="center"/>
    </xf>
    <xf numFmtId="209" fontId="68" fillId="18" borderId="0" xfId="0" applyNumberFormat="1" applyFont="1" applyFill="1" applyBorder="1" applyAlignment="1">
      <alignment vertical="center"/>
    </xf>
    <xf numFmtId="164" fontId="83" fillId="18" borderId="0" xfId="0" applyNumberFormat="1" applyFont="1" applyFill="1" applyBorder="1" applyAlignment="1">
      <alignment horizontal="right" vertical="center"/>
    </xf>
    <xf numFmtId="184" fontId="20" fillId="18" borderId="0" xfId="0" applyNumberFormat="1" applyFont="1" applyFill="1" applyBorder="1" applyAlignment="1">
      <alignment vertical="center"/>
    </xf>
    <xf numFmtId="166" fontId="57" fillId="18" borderId="0" xfId="0" applyNumberFormat="1" applyFont="1" applyFill="1" applyBorder="1" applyAlignment="1">
      <alignment vertical="center"/>
    </xf>
    <xf numFmtId="185" fontId="20" fillId="18" borderId="0" xfId="0" applyNumberFormat="1" applyFont="1" applyFill="1" applyBorder="1" applyAlignment="1">
      <alignment horizontal="right" vertical="center"/>
    </xf>
    <xf numFmtId="180" fontId="99" fillId="18" borderId="0" xfId="0" applyNumberFormat="1" applyFont="1" applyFill="1" applyBorder="1" applyAlignment="1">
      <alignment vertical="center"/>
    </xf>
    <xf numFmtId="170" fontId="55" fillId="18" borderId="0" xfId="0" applyNumberFormat="1" applyFont="1" applyFill="1" applyBorder="1" applyAlignment="1">
      <alignment vertical="center"/>
    </xf>
    <xf numFmtId="165" fontId="20" fillId="18" borderId="0" xfId="0" applyNumberFormat="1" applyFont="1" applyFill="1" applyBorder="1" applyAlignment="1">
      <alignment horizontal="right" vertical="center"/>
    </xf>
    <xf numFmtId="0" fontId="21" fillId="18" borderId="0" xfId="0" applyFont="1" applyFill="1" applyBorder="1" applyAlignment="1">
      <alignment horizontal="right"/>
    </xf>
    <xf numFmtId="168" fontId="68" fillId="18" borderId="0" xfId="0" applyNumberFormat="1" applyFont="1" applyFill="1" applyBorder="1" applyAlignment="1">
      <alignment vertical="center"/>
    </xf>
    <xf numFmtId="168" fontId="20" fillId="18" borderId="0" xfId="207" applyNumberFormat="1" applyFont="1" applyFill="1" applyBorder="1" applyAlignment="1">
      <alignment horizontal="right"/>
    </xf>
    <xf numFmtId="9" fontId="20" fillId="18" borderId="0" xfId="0" applyNumberFormat="1" applyFont="1" applyFill="1" applyBorder="1"/>
    <xf numFmtId="168" fontId="20" fillId="25" borderId="0" xfId="207" applyNumberFormat="1" applyFont="1" applyFill="1" applyBorder="1"/>
    <xf numFmtId="9" fontId="21" fillId="0" borderId="0" xfId="240" applyFont="1" applyBorder="1"/>
    <xf numFmtId="0" fontId="21" fillId="0" borderId="0" xfId="0" applyFont="1" applyBorder="1"/>
    <xf numFmtId="168" fontId="8" fillId="18" borderId="0" xfId="0" applyNumberFormat="1" applyFont="1" applyFill="1" applyBorder="1"/>
    <xf numFmtId="166" fontId="59" fillId="25" borderId="0" xfId="240" applyNumberFormat="1" applyFont="1" applyFill="1" applyBorder="1" applyAlignment="1">
      <alignment horizontal="right" vertical="center"/>
    </xf>
    <xf numFmtId="3" fontId="98" fillId="18" borderId="0" xfId="0" applyNumberFormat="1" applyFont="1" applyFill="1" applyBorder="1"/>
    <xf numFmtId="9" fontId="0" fillId="0" borderId="0" xfId="240" applyFont="1" applyBorder="1"/>
    <xf numFmtId="164" fontId="84" fillId="18" borderId="19" xfId="0" applyNumberFormat="1" applyFont="1" applyFill="1" applyBorder="1" applyAlignment="1">
      <alignment horizontal="right" vertical="center"/>
    </xf>
    <xf numFmtId="168" fontId="8" fillId="25" borderId="19" xfId="207" applyNumberFormat="1" applyFont="1" applyFill="1" applyBorder="1" applyAlignment="1">
      <alignment vertical="center"/>
    </xf>
    <xf numFmtId="9" fontId="126" fillId="18" borderId="19" xfId="240" applyFont="1" applyFill="1" applyBorder="1" applyAlignment="1">
      <alignment horizontal="right" vertical="center"/>
    </xf>
    <xf numFmtId="0" fontId="20" fillId="25" borderId="0" xfId="0" applyFont="1" applyFill="1" applyBorder="1" applyAlignment="1">
      <alignment horizontal="left" vertical="center"/>
    </xf>
    <xf numFmtId="0" fontId="53" fillId="25" borderId="0" xfId="0" applyFont="1" applyFill="1" applyBorder="1" applyAlignment="1">
      <alignment vertical="center"/>
    </xf>
    <xf numFmtId="43" fontId="53" fillId="25" borderId="0" xfId="207" applyNumberFormat="1" applyFont="1" applyFill="1" applyBorder="1" applyAlignment="1">
      <alignment horizontal="right" vertical="center"/>
    </xf>
    <xf numFmtId="0" fontId="53" fillId="28" borderId="0" xfId="0" applyFont="1" applyFill="1" applyBorder="1" applyAlignment="1">
      <alignment vertical="center"/>
    </xf>
    <xf numFmtId="0" fontId="20" fillId="28" borderId="0" xfId="0" applyFont="1" applyFill="1" applyBorder="1" applyAlignment="1">
      <alignment vertical="center"/>
    </xf>
    <xf numFmtId="0" fontId="8" fillId="28" borderId="0" xfId="0" applyFont="1" applyFill="1" applyBorder="1" applyAlignment="1">
      <alignment vertical="center"/>
    </xf>
    <xf numFmtId="43" fontId="8" fillId="25" borderId="0" xfId="207" applyNumberFormat="1" applyFont="1" applyFill="1" applyBorder="1" applyAlignment="1">
      <alignment horizontal="right" vertical="center"/>
    </xf>
    <xf numFmtId="168" fontId="41" fillId="0" borderId="0" xfId="207" applyNumberFormat="1" applyFont="1" applyFill="1"/>
    <xf numFmtId="168" fontId="8" fillId="0" borderId="0" xfId="207" applyNumberFormat="1" applyFont="1" applyFill="1" applyAlignment="1">
      <alignment horizontal="center"/>
    </xf>
    <xf numFmtId="168" fontId="72" fillId="18" borderId="0" xfId="207" applyNumberFormat="1" applyFont="1" applyFill="1" applyBorder="1" applyAlignment="1">
      <alignment horizontal="right" vertical="center"/>
    </xf>
    <xf numFmtId="168" fontId="41" fillId="18" borderId="0" xfId="207" applyNumberFormat="1" applyFont="1" applyFill="1"/>
    <xf numFmtId="168" fontId="53" fillId="18" borderId="0" xfId="207" applyNumberFormat="1" applyFont="1" applyFill="1" applyAlignment="1">
      <alignment vertical="center"/>
    </xf>
    <xf numFmtId="168" fontId="53" fillId="18" borderId="0" xfId="207" applyNumberFormat="1" applyFont="1" applyFill="1" applyBorder="1" applyAlignment="1">
      <alignment vertical="center"/>
    </xf>
    <xf numFmtId="168" fontId="0" fillId="18" borderId="0" xfId="207" applyNumberFormat="1" applyFont="1" applyFill="1"/>
    <xf numFmtId="168" fontId="106" fillId="18" borderId="0" xfId="207" applyNumberFormat="1" applyFont="1" applyFill="1" applyBorder="1" applyAlignment="1">
      <alignment horizontal="right" vertical="center"/>
    </xf>
    <xf numFmtId="168" fontId="58" fillId="18" borderId="0" xfId="0" applyNumberFormat="1" applyFont="1" applyFill="1" applyBorder="1" applyAlignment="1">
      <alignment horizontal="right" vertical="center"/>
    </xf>
    <xf numFmtId="168" fontId="58" fillId="18" borderId="0" xfId="0" applyNumberFormat="1" applyFont="1" applyFill="1" applyBorder="1" applyAlignment="1">
      <alignment vertical="center"/>
    </xf>
    <xf numFmtId="168" fontId="8" fillId="18" borderId="0" xfId="0" applyNumberFormat="1" applyFont="1" applyFill="1" applyAlignment="1">
      <alignment vertical="center"/>
    </xf>
    <xf numFmtId="168" fontId="59" fillId="18" borderId="0" xfId="0" applyNumberFormat="1" applyFont="1" applyFill="1" applyBorder="1" applyAlignment="1">
      <alignment vertical="center"/>
    </xf>
    <xf numFmtId="168" fontId="84" fillId="18" borderId="0" xfId="0" applyNumberFormat="1" applyFont="1" applyFill="1" applyBorder="1" applyAlignment="1">
      <alignment vertical="center"/>
    </xf>
    <xf numFmtId="168" fontId="56" fillId="18" borderId="0" xfId="207" applyNumberFormat="1" applyFont="1" applyFill="1" applyBorder="1" applyAlignment="1">
      <alignment vertical="center"/>
    </xf>
    <xf numFmtId="168" fontId="126" fillId="18" borderId="0" xfId="207" applyNumberFormat="1" applyFont="1" applyFill="1" applyBorder="1" applyAlignment="1">
      <alignment vertical="center"/>
    </xf>
    <xf numFmtId="168" fontId="58" fillId="25" borderId="0" xfId="0" applyNumberFormat="1" applyFont="1" applyFill="1" applyBorder="1" applyAlignment="1">
      <alignment horizontal="right" vertical="center"/>
    </xf>
    <xf numFmtId="168" fontId="126" fillId="18" borderId="0" xfId="0" applyNumberFormat="1" applyFont="1" applyFill="1" applyBorder="1" applyAlignment="1">
      <alignment vertical="center"/>
    </xf>
    <xf numFmtId="168" fontId="50" fillId="18" borderId="0" xfId="0" applyNumberFormat="1" applyFont="1" applyFill="1" applyBorder="1" applyAlignment="1">
      <alignment vertical="center"/>
    </xf>
    <xf numFmtId="168" fontId="20" fillId="18" borderId="0" xfId="0" applyNumberFormat="1" applyFont="1" applyFill="1" applyBorder="1" applyAlignment="1">
      <alignment vertical="center"/>
    </xf>
    <xf numFmtId="0" fontId="125" fillId="54" borderId="0" xfId="0" applyFont="1" applyFill="1" applyBorder="1" applyAlignment="1">
      <alignment vertical="center"/>
    </xf>
    <xf numFmtId="0" fontId="230" fillId="54" borderId="0" xfId="0" applyFont="1" applyFill="1" applyBorder="1" applyAlignment="1">
      <alignment vertical="center"/>
    </xf>
    <xf numFmtId="166" fontId="84" fillId="25" borderId="0" xfId="0" applyNumberFormat="1" applyFont="1" applyFill="1" applyAlignment="1">
      <alignment horizontal="right" vertical="center"/>
    </xf>
    <xf numFmtId="10" fontId="84" fillId="25" borderId="0" xfId="240" applyNumberFormat="1" applyFont="1" applyFill="1" applyAlignment="1">
      <alignment horizontal="right" vertical="center"/>
    </xf>
    <xf numFmtId="166" fontId="8" fillId="25" borderId="0" xfId="0" applyNumberFormat="1" applyFont="1" applyFill="1"/>
    <xf numFmtId="178" fontId="59" fillId="25" borderId="0" xfId="0" applyNumberFormat="1" applyFont="1" applyFill="1" applyAlignment="1">
      <alignment horizontal="right" vertical="center"/>
    </xf>
    <xf numFmtId="10" fontId="59" fillId="25" borderId="0" xfId="240" applyNumberFormat="1" applyFont="1" applyFill="1" applyAlignment="1">
      <alignment horizontal="right" vertical="center"/>
    </xf>
    <xf numFmtId="178" fontId="84" fillId="25" borderId="0" xfId="0" applyNumberFormat="1" applyFont="1" applyFill="1" applyAlignment="1">
      <alignment horizontal="right" vertical="center"/>
    </xf>
    <xf numFmtId="187" fontId="84" fillId="25" borderId="0" xfId="0" applyNumberFormat="1" applyFont="1" applyFill="1" applyAlignment="1">
      <alignment horizontal="right" vertical="center"/>
    </xf>
    <xf numFmtId="187" fontId="59" fillId="25" borderId="0" xfId="0" applyNumberFormat="1" applyFont="1" applyFill="1" applyAlignment="1">
      <alignment horizontal="right" vertical="center"/>
    </xf>
    <xf numFmtId="173" fontId="58" fillId="18" borderId="0" xfId="0" applyNumberFormat="1" applyFont="1" applyFill="1" applyBorder="1" applyAlignment="1">
      <alignment vertical="center"/>
    </xf>
    <xf numFmtId="9" fontId="20" fillId="18" borderId="0" xfId="240" applyNumberFormat="1" applyFont="1" applyFill="1" applyBorder="1" applyAlignment="1">
      <alignment vertical="center"/>
    </xf>
    <xf numFmtId="173" fontId="234" fillId="18" borderId="0" xfId="0" applyNumberFormat="1" applyFont="1" applyFill="1" applyBorder="1" applyAlignment="1">
      <alignment vertical="center"/>
    </xf>
    <xf numFmtId="9" fontId="58" fillId="18" borderId="0" xfId="240" applyFont="1" applyFill="1" applyBorder="1" applyAlignment="1">
      <alignment vertical="center"/>
    </xf>
    <xf numFmtId="9" fontId="108" fillId="18" borderId="0" xfId="240" applyFont="1" applyFill="1" applyBorder="1" applyAlignment="1">
      <alignment vertical="center"/>
    </xf>
    <xf numFmtId="9" fontId="8" fillId="26" borderId="0" xfId="240" applyNumberFormat="1" applyFont="1" applyFill="1" applyBorder="1" applyAlignment="1">
      <alignment horizontal="right" vertical="center"/>
    </xf>
    <xf numFmtId="166" fontId="56" fillId="18" borderId="0" xfId="0" applyNumberFormat="1" applyFont="1" applyFill="1" applyAlignment="1">
      <alignment vertical="center"/>
    </xf>
    <xf numFmtId="9" fontId="20" fillId="18" borderId="0" xfId="207" applyNumberFormat="1" applyFont="1" applyFill="1" applyBorder="1" applyAlignment="1">
      <alignment horizontal="right" vertical="center"/>
    </xf>
    <xf numFmtId="168" fontId="8" fillId="18" borderId="0" xfId="0" applyNumberFormat="1" applyFont="1" applyFill="1" applyBorder="1" applyAlignment="1">
      <alignment horizontal="right" vertical="center"/>
    </xf>
    <xf numFmtId="166" fontId="8" fillId="55" borderId="0" xfId="240" applyNumberFormat="1" applyFont="1" applyFill="1" applyBorder="1" applyAlignment="1">
      <alignment horizontal="right" vertical="center"/>
    </xf>
    <xf numFmtId="166" fontId="8" fillId="55" borderId="0" xfId="240" applyNumberFormat="1" applyFont="1" applyFill="1" applyAlignment="1">
      <alignment horizontal="right" vertical="center"/>
    </xf>
    <xf numFmtId="0" fontId="20" fillId="25" borderId="0" xfId="0" applyFont="1" applyFill="1" applyAlignment="1">
      <alignment vertical="center"/>
    </xf>
    <xf numFmtId="171" fontId="20" fillId="25" borderId="0" xfId="0" applyNumberFormat="1" applyFont="1" applyFill="1" applyAlignment="1">
      <alignment vertical="center"/>
    </xf>
    <xf numFmtId="172" fontId="8" fillId="25" borderId="0" xfId="0" applyNumberFormat="1" applyFont="1" applyFill="1" applyAlignment="1">
      <alignment vertical="center"/>
    </xf>
    <xf numFmtId="172" fontId="8" fillId="25" borderId="0" xfId="0" applyNumberFormat="1" applyFont="1" applyFill="1" applyBorder="1" applyAlignment="1">
      <alignment vertical="center"/>
    </xf>
    <xf numFmtId="0" fontId="53" fillId="56" borderId="0" xfId="0" applyFont="1" applyFill="1" applyBorder="1" applyAlignment="1">
      <alignment vertical="center"/>
    </xf>
    <xf numFmtId="0" fontId="8" fillId="56" borderId="0" xfId="0" applyFont="1" applyFill="1" applyBorder="1" applyAlignment="1">
      <alignment vertical="center"/>
    </xf>
    <xf numFmtId="168" fontId="123" fillId="18" borderId="0" xfId="0" applyNumberFormat="1" applyFont="1" applyFill="1" applyBorder="1" applyAlignment="1">
      <alignment vertical="center"/>
    </xf>
    <xf numFmtId="0" fontId="66" fillId="0" borderId="0" xfId="0" applyFont="1" applyFill="1" applyAlignment="1">
      <alignment horizontal="left" vertical="center"/>
    </xf>
    <xf numFmtId="168" fontId="234" fillId="18" borderId="19" xfId="0" applyNumberFormat="1" applyFont="1" applyFill="1" applyBorder="1" applyAlignment="1">
      <alignment vertical="center"/>
    </xf>
    <xf numFmtId="168" fontId="234" fillId="18" borderId="0" xfId="0" applyNumberFormat="1" applyFont="1" applyFill="1" applyBorder="1" applyAlignment="1">
      <alignment vertical="center"/>
    </xf>
    <xf numFmtId="10" fontId="8" fillId="55" borderId="0" xfId="240" applyNumberFormat="1" applyFont="1" applyFill="1" applyAlignment="1">
      <alignment horizontal="right" vertical="center"/>
    </xf>
    <xf numFmtId="168" fontId="20" fillId="18" borderId="1" xfId="207" applyNumberFormat="1" applyFont="1" applyFill="1" applyBorder="1" applyAlignment="1">
      <alignment vertical="center"/>
    </xf>
    <xf numFmtId="166" fontId="234" fillId="18" borderId="0" xfId="240" applyNumberFormat="1" applyFont="1" applyFill="1" applyBorder="1" applyAlignment="1">
      <alignment horizontal="right" vertical="center"/>
    </xf>
    <xf numFmtId="0" fontId="8" fillId="25" borderId="0" xfId="0" applyFont="1" applyFill="1" applyBorder="1" applyAlignment="1">
      <alignment horizontal="left" vertical="center" indent="1"/>
    </xf>
    <xf numFmtId="37" fontId="20" fillId="18" borderId="0" xfId="207" applyNumberFormat="1" applyFont="1" applyFill="1" applyBorder="1" applyAlignment="1">
      <alignment vertical="center"/>
    </xf>
    <xf numFmtId="0" fontId="20" fillId="56" borderId="0" xfId="0" applyFont="1" applyFill="1" applyBorder="1" applyAlignment="1">
      <alignment vertical="center"/>
    </xf>
    <xf numFmtId="175" fontId="53" fillId="56" borderId="0" xfId="0" applyNumberFormat="1" applyFont="1" applyFill="1" applyBorder="1" applyAlignment="1">
      <alignment horizontal="right" vertical="center"/>
    </xf>
    <xf numFmtId="189" fontId="53" fillId="56" borderId="0" xfId="0" applyNumberFormat="1" applyFont="1" applyFill="1" applyBorder="1" applyAlignment="1">
      <alignment vertical="center"/>
    </xf>
    <xf numFmtId="189" fontId="53" fillId="56" borderId="19" xfId="0" applyNumberFormat="1" applyFont="1" applyFill="1" applyBorder="1" applyAlignment="1">
      <alignment vertical="center"/>
    </xf>
    <xf numFmtId="37" fontId="234" fillId="25" borderId="0" xfId="207" applyNumberFormat="1" applyFont="1" applyFill="1" applyBorder="1" applyAlignment="1">
      <alignment horizontal="right" vertical="center"/>
    </xf>
    <xf numFmtId="173" fontId="46" fillId="18" borderId="0" xfId="0" applyNumberFormat="1" applyFont="1" applyFill="1" applyBorder="1" applyAlignment="1">
      <alignment horizontal="right" vertical="center"/>
    </xf>
    <xf numFmtId="173" fontId="46" fillId="18" borderId="0" xfId="0" applyNumberFormat="1" applyFont="1" applyFill="1" applyBorder="1"/>
    <xf numFmtId="173" fontId="46" fillId="18" borderId="0" xfId="0" applyNumberFormat="1" applyFont="1" applyFill="1"/>
    <xf numFmtId="168" fontId="98" fillId="18" borderId="0" xfId="0" applyNumberFormat="1" applyFont="1" applyFill="1" applyBorder="1" applyAlignment="1">
      <alignment vertical="center"/>
    </xf>
    <xf numFmtId="168" fontId="126" fillId="18" borderId="0" xfId="0" applyNumberFormat="1" applyFont="1" applyFill="1" applyBorder="1"/>
    <xf numFmtId="168" fontId="231" fillId="18" borderId="0" xfId="0" applyNumberFormat="1" applyFont="1" applyFill="1" applyBorder="1"/>
    <xf numFmtId="168" fontId="8" fillId="18" borderId="0" xfId="0" applyNumberFormat="1" applyFont="1" applyFill="1"/>
    <xf numFmtId="168" fontId="231" fillId="18" borderId="0" xfId="207" applyNumberFormat="1" applyFont="1" applyFill="1" applyBorder="1"/>
    <xf numFmtId="168" fontId="8" fillId="25" borderId="0" xfId="0" applyNumberFormat="1" applyFont="1" applyFill="1" applyBorder="1" applyAlignment="1">
      <alignment vertical="center"/>
    </xf>
    <xf numFmtId="173" fontId="234" fillId="18" borderId="0" xfId="0" applyNumberFormat="1" applyFont="1" applyFill="1"/>
    <xf numFmtId="168" fontId="234" fillId="18" borderId="0" xfId="207" applyNumberFormat="1" applyFont="1" applyFill="1" applyBorder="1"/>
    <xf numFmtId="0" fontId="228" fillId="0" borderId="0" xfId="0" applyFont="1" applyFill="1" applyAlignment="1">
      <alignment horizontal="right"/>
    </xf>
    <xf numFmtId="0" fontId="228" fillId="18" borderId="0" xfId="0" applyFont="1" applyFill="1" applyAlignment="1">
      <alignment horizontal="left" vertical="center" indent="3"/>
    </xf>
    <xf numFmtId="0" fontId="228" fillId="18" borderId="0" xfId="0" applyFont="1" applyFill="1" applyAlignment="1">
      <alignment vertical="center"/>
    </xf>
    <xf numFmtId="170" fontId="228" fillId="18" borderId="0" xfId="0" applyNumberFormat="1" applyFont="1" applyFill="1" applyBorder="1" applyAlignment="1">
      <alignment horizontal="right" vertical="center"/>
    </xf>
    <xf numFmtId="9" fontId="228" fillId="18" borderId="0" xfId="240" applyFont="1" applyFill="1" applyBorder="1" applyAlignment="1">
      <alignment horizontal="right" vertical="center"/>
    </xf>
    <xf numFmtId="170" fontId="228" fillId="18" borderId="0" xfId="0" applyNumberFormat="1" applyFont="1" applyFill="1" applyAlignment="1">
      <alignment horizontal="right" vertical="center"/>
    </xf>
    <xf numFmtId="170" fontId="228" fillId="18" borderId="19" xfId="0" applyNumberFormat="1" applyFont="1" applyFill="1" applyBorder="1" applyAlignment="1">
      <alignment horizontal="right" vertical="center"/>
    </xf>
    <xf numFmtId="166" fontId="8" fillId="26" borderId="0" xfId="240" applyNumberFormat="1" applyFont="1" applyFill="1" applyBorder="1"/>
    <xf numFmtId="0" fontId="127" fillId="18" borderId="0" xfId="0" applyFont="1" applyFill="1" applyBorder="1"/>
    <xf numFmtId="0" fontId="127" fillId="18" borderId="0" xfId="0" applyFont="1" applyFill="1"/>
    <xf numFmtId="10" fontId="126" fillId="25" borderId="0" xfId="240" applyNumberFormat="1" applyFont="1" applyFill="1" applyBorder="1" applyAlignment="1">
      <alignment horizontal="right" vertical="center"/>
    </xf>
    <xf numFmtId="173" fontId="8" fillId="26" borderId="0" xfId="0" applyNumberFormat="1" applyFont="1" applyFill="1" applyBorder="1"/>
    <xf numFmtId="173" fontId="8" fillId="26" borderId="0" xfId="0" applyNumberFormat="1" applyFont="1" applyFill="1"/>
    <xf numFmtId="9" fontId="8" fillId="26" borderId="0" xfId="240" applyNumberFormat="1" applyFont="1" applyFill="1" applyBorder="1"/>
    <xf numFmtId="168" fontId="8" fillId="26" borderId="0" xfId="207" applyNumberFormat="1" applyFont="1" applyFill="1" applyBorder="1" applyAlignment="1">
      <alignment horizontal="right" vertical="center"/>
    </xf>
    <xf numFmtId="168" fontId="8" fillId="25" borderId="0" xfId="207" applyNumberFormat="1" applyFont="1" applyFill="1" applyBorder="1" applyAlignment="1">
      <alignment horizontal="right" vertical="center"/>
    </xf>
    <xf numFmtId="173" fontId="8" fillId="26" borderId="0" xfId="0" applyNumberFormat="1" applyFont="1" applyFill="1" applyBorder="1" applyAlignment="1">
      <alignment horizontal="right" vertical="center"/>
    </xf>
    <xf numFmtId="173" fontId="8" fillId="55" borderId="0" xfId="0" applyNumberFormat="1" applyFont="1" applyFill="1" applyBorder="1" applyAlignment="1">
      <alignment horizontal="right" vertical="center"/>
    </xf>
    <xf numFmtId="168" fontId="98" fillId="18" borderId="0" xfId="207" applyNumberFormat="1" applyFont="1" applyFill="1" applyBorder="1"/>
    <xf numFmtId="168" fontId="98" fillId="18" borderId="0" xfId="0" applyNumberFormat="1" applyFont="1" applyFill="1" applyAlignment="1">
      <alignment vertical="center"/>
    </xf>
    <xf numFmtId="168" fontId="87" fillId="18" borderId="0" xfId="207" applyNumberFormat="1" applyFont="1" applyFill="1" applyBorder="1" applyAlignment="1">
      <alignment vertical="center"/>
    </xf>
    <xf numFmtId="168" fontId="83" fillId="18" borderId="0" xfId="207" applyNumberFormat="1" applyFont="1" applyFill="1" applyBorder="1" applyAlignment="1">
      <alignment vertical="center"/>
    </xf>
    <xf numFmtId="168" fontId="53" fillId="18" borderId="0" xfId="207" applyNumberFormat="1" applyFont="1" applyFill="1" applyBorder="1" applyAlignment="1">
      <alignment horizontal="right" vertical="center"/>
    </xf>
    <xf numFmtId="9" fontId="20" fillId="25" borderId="0" xfId="240" applyFont="1" applyFill="1" applyBorder="1" applyAlignment="1">
      <alignment horizontal="right" vertical="center"/>
    </xf>
    <xf numFmtId="166" fontId="8" fillId="25" borderId="0" xfId="0" applyNumberFormat="1" applyFont="1" applyFill="1" applyAlignment="1">
      <alignment horizontal="right" vertical="center"/>
    </xf>
    <xf numFmtId="10" fontId="8" fillId="25" borderId="0" xfId="240" applyNumberFormat="1" applyFont="1" applyFill="1" applyAlignment="1">
      <alignment horizontal="right" vertical="center"/>
    </xf>
    <xf numFmtId="178" fontId="8" fillId="25" borderId="0" xfId="0" applyNumberFormat="1" applyFont="1" applyFill="1" applyAlignment="1">
      <alignment horizontal="right" vertical="center"/>
    </xf>
    <xf numFmtId="187" fontId="8" fillId="25" borderId="0" xfId="0" applyNumberFormat="1" applyFont="1" applyFill="1" applyAlignment="1">
      <alignment horizontal="right" vertical="center"/>
    </xf>
    <xf numFmtId="166" fontId="8" fillId="57" borderId="19" xfId="240" applyNumberFormat="1" applyFont="1" applyFill="1" applyBorder="1" applyAlignment="1">
      <alignment vertical="center"/>
    </xf>
    <xf numFmtId="166" fontId="8" fillId="57" borderId="0" xfId="240" applyNumberFormat="1" applyFont="1" applyFill="1" applyBorder="1" applyAlignment="1">
      <alignment vertical="center"/>
    </xf>
    <xf numFmtId="166" fontId="8" fillId="57" borderId="19" xfId="240" applyNumberFormat="1" applyFont="1" applyFill="1" applyBorder="1" applyAlignment="1">
      <alignment horizontal="right" vertical="center"/>
    </xf>
    <xf numFmtId="166" fontId="8" fillId="57" borderId="0" xfId="240" applyNumberFormat="1" applyFont="1" applyFill="1" applyAlignment="1">
      <alignment horizontal="right" vertical="center"/>
    </xf>
    <xf numFmtId="166" fontId="8" fillId="57" borderId="0" xfId="240" applyNumberFormat="1" applyFont="1" applyFill="1" applyBorder="1"/>
    <xf numFmtId="166" fontId="8" fillId="57" borderId="0" xfId="240" applyNumberFormat="1" applyFont="1" applyFill="1" applyBorder="1" applyAlignment="1">
      <alignment horizontal="right" vertical="center"/>
    </xf>
    <xf numFmtId="10" fontId="8" fillId="57" borderId="19" xfId="240" applyNumberFormat="1" applyFont="1" applyFill="1" applyBorder="1" applyAlignment="1">
      <alignment vertical="center"/>
    </xf>
    <xf numFmtId="10" fontId="8" fillId="57" borderId="0" xfId="240" applyNumberFormat="1" applyFont="1" applyFill="1" applyAlignment="1">
      <alignment vertical="center"/>
    </xf>
    <xf numFmtId="178" fontId="8" fillId="57" borderId="0" xfId="240" applyNumberFormat="1" applyFont="1" applyFill="1" applyBorder="1" applyAlignment="1">
      <alignment horizontal="right" vertical="center"/>
    </xf>
    <xf numFmtId="168" fontId="8" fillId="57" borderId="0" xfId="207" applyNumberFormat="1" applyFont="1" applyFill="1" applyBorder="1"/>
    <xf numFmtId="170" fontId="8" fillId="57" borderId="0" xfId="0" applyNumberFormat="1" applyFont="1" applyFill="1" applyBorder="1" applyAlignment="1">
      <alignment horizontal="right" vertical="center"/>
    </xf>
    <xf numFmtId="170" fontId="8" fillId="57" borderId="0" xfId="207" applyNumberFormat="1" applyFont="1" applyFill="1" applyBorder="1"/>
    <xf numFmtId="9" fontId="8" fillId="57" borderId="0" xfId="240" applyNumberFormat="1" applyFont="1" applyFill="1" applyBorder="1" applyAlignment="1">
      <alignment horizontal="right" vertical="center"/>
    </xf>
    <xf numFmtId="241" fontId="109" fillId="18" borderId="0" xfId="0" applyNumberFormat="1" applyFont="1" applyFill="1" applyBorder="1" applyAlignment="1">
      <alignment vertical="center"/>
    </xf>
    <xf numFmtId="168" fontId="58" fillId="18" borderId="0" xfId="207" applyNumberFormat="1" applyFont="1" applyFill="1" applyAlignment="1">
      <alignment vertical="center"/>
    </xf>
    <xf numFmtId="168" fontId="59" fillId="18" borderId="0" xfId="207" applyNumberFormat="1" applyFont="1" applyFill="1" applyBorder="1" applyAlignment="1">
      <alignment vertical="center"/>
    </xf>
    <xf numFmtId="173" fontId="58" fillId="18" borderId="19" xfId="0" applyNumberFormat="1" applyFont="1" applyFill="1" applyBorder="1" applyAlignment="1">
      <alignment vertical="center"/>
    </xf>
    <xf numFmtId="173" fontId="85" fillId="18" borderId="0" xfId="0" applyNumberFormat="1" applyFont="1" applyFill="1" applyBorder="1" applyAlignment="1">
      <alignment vertical="center"/>
    </xf>
    <xf numFmtId="173" fontId="8" fillId="18" borderId="19" xfId="240" applyNumberFormat="1" applyFont="1" applyFill="1" applyBorder="1" applyAlignment="1">
      <alignment vertical="center"/>
    </xf>
    <xf numFmtId="166" fontId="8" fillId="25" borderId="0" xfId="240" applyNumberFormat="1" applyFont="1" applyFill="1" applyBorder="1" applyAlignment="1">
      <alignment horizontal="right" vertical="center"/>
    </xf>
    <xf numFmtId="166" fontId="59" fillId="25" borderId="0" xfId="0" applyNumberFormat="1" applyFont="1" applyFill="1" applyBorder="1" applyAlignment="1">
      <alignment vertical="center"/>
    </xf>
    <xf numFmtId="173" fontId="8" fillId="18" borderId="0" xfId="207" applyNumberFormat="1" applyFont="1" applyFill="1" applyBorder="1" applyAlignment="1">
      <alignment horizontal="right" vertical="center"/>
    </xf>
    <xf numFmtId="43" fontId="8" fillId="26" borderId="0" xfId="207" applyNumberFormat="1" applyFont="1" applyFill="1" applyBorder="1" applyAlignment="1">
      <alignment horizontal="right" vertical="center"/>
    </xf>
    <xf numFmtId="168" fontId="58" fillId="18" borderId="19" xfId="0" applyNumberFormat="1" applyFont="1" applyFill="1" applyBorder="1" applyAlignment="1">
      <alignment vertical="center"/>
    </xf>
    <xf numFmtId="168" fontId="112" fillId="18" borderId="0" xfId="0" applyNumberFormat="1" applyFont="1" applyFill="1" applyBorder="1" applyAlignment="1">
      <alignment vertical="center"/>
    </xf>
    <xf numFmtId="168" fontId="8" fillId="57" borderId="0" xfId="0" applyNumberFormat="1" applyFont="1" applyFill="1" applyBorder="1" applyAlignment="1">
      <alignment vertical="center"/>
    </xf>
    <xf numFmtId="10" fontId="8" fillId="25" borderId="0" xfId="240" applyNumberFormat="1" applyFont="1" applyFill="1" applyBorder="1" applyAlignment="1">
      <alignment vertical="center"/>
    </xf>
    <xf numFmtId="10" fontId="8" fillId="57" borderId="0" xfId="240" applyNumberFormat="1" applyFont="1" applyFill="1" applyBorder="1" applyAlignment="1">
      <alignment vertical="center"/>
    </xf>
    <xf numFmtId="167" fontId="123" fillId="18" borderId="0" xfId="207" applyNumberFormat="1" applyFont="1" applyFill="1" applyBorder="1" applyAlignment="1">
      <alignment horizontal="right" vertical="center"/>
    </xf>
    <xf numFmtId="10" fontId="8" fillId="57" borderId="0" xfId="240" applyNumberFormat="1" applyFont="1" applyFill="1" applyBorder="1" applyAlignment="1">
      <alignment horizontal="right" vertical="center"/>
    </xf>
    <xf numFmtId="167" fontId="126" fillId="25" borderId="0" xfId="207" applyNumberFormat="1" applyFont="1" applyFill="1" applyBorder="1"/>
    <xf numFmtId="173" fontId="134" fillId="18" borderId="0" xfId="0" applyNumberFormat="1" applyFont="1" applyFill="1" applyBorder="1"/>
    <xf numFmtId="173" fontId="20" fillId="18" borderId="0" xfId="207" applyNumberFormat="1" applyFont="1" applyFill="1" applyBorder="1"/>
    <xf numFmtId="173" fontId="20" fillId="18" borderId="19" xfId="207" applyNumberFormat="1" applyFont="1" applyFill="1" applyBorder="1"/>
    <xf numFmtId="173" fontId="8" fillId="18" borderId="0" xfId="207" applyNumberFormat="1" applyFont="1" applyFill="1" applyBorder="1"/>
    <xf numFmtId="173" fontId="8" fillId="18" borderId="19" xfId="207" applyNumberFormat="1" applyFont="1" applyFill="1" applyBorder="1"/>
    <xf numFmtId="173" fontId="8" fillId="26" borderId="0" xfId="207" applyNumberFormat="1" applyFont="1" applyFill="1" applyBorder="1"/>
    <xf numFmtId="173" fontId="8" fillId="26" borderId="19" xfId="207" applyNumberFormat="1" applyFont="1" applyFill="1" applyBorder="1"/>
    <xf numFmtId="9" fontId="8" fillId="57" borderId="0" xfId="240" applyFont="1" applyFill="1" applyAlignment="1">
      <alignment horizontal="right" vertical="center"/>
    </xf>
    <xf numFmtId="166" fontId="8" fillId="57" borderId="0" xfId="240" applyNumberFormat="1" applyFont="1" applyFill="1"/>
    <xf numFmtId="167" fontId="8" fillId="57" borderId="0" xfId="207" applyNumberFormat="1" applyFont="1" applyFill="1" applyBorder="1"/>
    <xf numFmtId="9" fontId="128" fillId="25" borderId="0" xfId="240" applyFont="1" applyFill="1" applyBorder="1" applyAlignment="1">
      <alignment horizontal="right" vertical="center"/>
    </xf>
    <xf numFmtId="166" fontId="20" fillId="25" borderId="0" xfId="240" applyNumberFormat="1" applyFont="1" applyFill="1" applyBorder="1" applyAlignment="1">
      <alignment horizontal="right" vertical="center"/>
    </xf>
    <xf numFmtId="166" fontId="110" fillId="25" borderId="0" xfId="240" applyNumberFormat="1" applyFont="1" applyFill="1" applyBorder="1" applyAlignment="1">
      <alignment horizontal="right" vertical="center"/>
    </xf>
    <xf numFmtId="166" fontId="8" fillId="26" borderId="0" xfId="240" applyNumberFormat="1" applyFont="1" applyFill="1" applyAlignment="1">
      <alignment horizontal="right" vertical="center"/>
    </xf>
    <xf numFmtId="168" fontId="228" fillId="25" borderId="0" xfId="207" applyNumberFormat="1" applyFont="1" applyFill="1" applyBorder="1"/>
    <xf numFmtId="173" fontId="235" fillId="18" borderId="0" xfId="0" applyNumberFormat="1" applyFont="1" applyFill="1" applyBorder="1" applyAlignment="1">
      <alignment horizontal="right" vertical="center"/>
    </xf>
    <xf numFmtId="0" fontId="66" fillId="25" borderId="0" xfId="0" applyFont="1" applyFill="1" applyBorder="1" applyAlignment="1">
      <alignment horizontal="left" vertical="center"/>
    </xf>
    <xf numFmtId="37" fontId="234" fillId="18" borderId="0" xfId="207" applyNumberFormat="1" applyFont="1" applyFill="1" applyBorder="1" applyAlignment="1">
      <alignment horizontal="right" vertical="center"/>
    </xf>
    <xf numFmtId="173" fontId="20" fillId="18" borderId="0" xfId="0" applyNumberFormat="1" applyFont="1" applyFill="1" applyBorder="1"/>
    <xf numFmtId="173" fontId="20" fillId="18" borderId="19" xfId="0" applyNumberFormat="1" applyFont="1" applyFill="1" applyBorder="1"/>
    <xf numFmtId="9" fontId="8" fillId="26" borderId="19" xfId="240" applyFont="1" applyFill="1" applyBorder="1" applyAlignment="1">
      <alignment horizontal="right" vertical="center"/>
    </xf>
    <xf numFmtId="0" fontId="8" fillId="25" borderId="0" xfId="0" applyFont="1" applyFill="1" applyAlignment="1">
      <alignment horizontal="center" vertical="center"/>
    </xf>
    <xf numFmtId="178" fontId="8" fillId="57" borderId="0" xfId="0" applyNumberFormat="1" applyFont="1" applyFill="1" applyAlignment="1">
      <alignment horizontal="right" vertical="center"/>
    </xf>
    <xf numFmtId="10" fontId="8" fillId="57" borderId="0" xfId="240" applyNumberFormat="1" applyFont="1" applyFill="1" applyAlignment="1">
      <alignment horizontal="right" vertical="center"/>
    </xf>
    <xf numFmtId="0" fontId="20" fillId="28" borderId="0" xfId="0" applyFont="1" applyFill="1" applyAlignment="1">
      <alignment horizontal="left" vertical="center"/>
    </xf>
    <xf numFmtId="0" fontId="8" fillId="28" borderId="0" xfId="0" applyFont="1" applyFill="1"/>
    <xf numFmtId="0" fontId="8" fillId="28" borderId="0" xfId="0" applyFont="1" applyFill="1" applyBorder="1"/>
    <xf numFmtId="0" fontId="20" fillId="59" borderId="0" xfId="0" applyFont="1" applyFill="1" applyAlignment="1">
      <alignment horizontal="left" vertical="center"/>
    </xf>
    <xf numFmtId="0" fontId="8" fillId="59" borderId="0" xfId="0" applyFont="1" applyFill="1" applyAlignment="1">
      <alignment vertical="center"/>
    </xf>
    <xf numFmtId="0" fontId="8" fillId="59" borderId="0" xfId="0" applyFont="1" applyFill="1"/>
    <xf numFmtId="0" fontId="8" fillId="59" borderId="0" xfId="0" applyFont="1" applyFill="1" applyBorder="1"/>
    <xf numFmtId="0" fontId="20" fillId="56" borderId="0" xfId="0" applyFont="1" applyFill="1" applyAlignment="1">
      <alignment horizontal="left" vertical="center"/>
    </xf>
    <xf numFmtId="0" fontId="8" fillId="56" borderId="0" xfId="0" applyFont="1" applyFill="1"/>
    <xf numFmtId="0" fontId="8" fillId="56" borderId="0" xfId="0" applyFont="1" applyFill="1" applyBorder="1"/>
    <xf numFmtId="164" fontId="20" fillId="25" borderId="0" xfId="0" applyNumberFormat="1" applyFont="1" applyFill="1" applyBorder="1" applyAlignment="1">
      <alignment horizontal="right" vertical="center"/>
    </xf>
    <xf numFmtId="4" fontId="56" fillId="26" borderId="0" xfId="0" applyNumberFormat="1" applyFont="1" applyFill="1"/>
    <xf numFmtId="176" fontId="20" fillId="26" borderId="0" xfId="0" applyNumberFormat="1" applyFont="1" applyFill="1" applyBorder="1" applyAlignment="1">
      <alignment horizontal="right" vertical="center"/>
    </xf>
    <xf numFmtId="0" fontId="0" fillId="26" borderId="0" xfId="0" applyFill="1" applyBorder="1"/>
    <xf numFmtId="0" fontId="20" fillId="26" borderId="0" xfId="0" applyFont="1" applyFill="1"/>
    <xf numFmtId="0" fontId="0" fillId="26" borderId="19" xfId="0" applyFill="1" applyBorder="1"/>
    <xf numFmtId="168" fontId="59" fillId="57" borderId="0" xfId="0" applyNumberFormat="1" applyFont="1" applyFill="1" applyBorder="1" applyAlignment="1">
      <alignment vertical="center"/>
    </xf>
    <xf numFmtId="168" fontId="85" fillId="18" borderId="0" xfId="207" applyNumberFormat="1" applyFont="1" applyFill="1" applyBorder="1" applyAlignment="1">
      <alignment horizontal="right" vertical="center"/>
    </xf>
    <xf numFmtId="168" fontId="106" fillId="18" borderId="0" xfId="0" applyNumberFormat="1" applyFont="1" applyFill="1" applyBorder="1" applyAlignment="1">
      <alignment vertical="center"/>
    </xf>
    <xf numFmtId="168" fontId="57" fillId="18" borderId="0" xfId="0" applyNumberFormat="1" applyFont="1" applyFill="1" applyBorder="1" applyAlignment="1">
      <alignment vertical="center"/>
    </xf>
    <xf numFmtId="168" fontId="59" fillId="18" borderId="19" xfId="0" applyNumberFormat="1" applyFont="1" applyFill="1" applyBorder="1" applyAlignment="1">
      <alignment vertical="center"/>
    </xf>
    <xf numFmtId="168" fontId="47" fillId="18" borderId="0" xfId="0" applyNumberFormat="1" applyFont="1" applyFill="1" applyBorder="1" applyAlignment="1">
      <alignment vertical="center"/>
    </xf>
    <xf numFmtId="168" fontId="50" fillId="18" borderId="19" xfId="0" applyNumberFormat="1" applyFont="1" applyFill="1" applyBorder="1" applyAlignment="1">
      <alignment vertical="center"/>
    </xf>
    <xf numFmtId="37" fontId="98" fillId="18" borderId="0" xfId="0" applyNumberFormat="1" applyFont="1" applyFill="1" applyBorder="1" applyAlignment="1">
      <alignment vertical="center"/>
    </xf>
    <xf numFmtId="37" fontId="106" fillId="18" borderId="0" xfId="0" applyNumberFormat="1" applyFont="1" applyFill="1" applyBorder="1" applyAlignment="1">
      <alignment vertical="center"/>
    </xf>
    <xf numFmtId="37" fontId="44" fillId="18" borderId="0" xfId="0" applyNumberFormat="1" applyFont="1" applyFill="1" applyBorder="1" applyAlignment="1">
      <alignment vertical="center"/>
    </xf>
    <xf numFmtId="37" fontId="44" fillId="18" borderId="19" xfId="0" applyNumberFormat="1" applyFont="1" applyFill="1" applyBorder="1" applyAlignment="1">
      <alignment vertical="center"/>
    </xf>
    <xf numFmtId="37" fontId="8" fillId="18" borderId="0" xfId="207" applyNumberFormat="1" applyFont="1" applyFill="1" applyBorder="1" applyAlignment="1">
      <alignment vertical="center"/>
    </xf>
    <xf numFmtId="37" fontId="20" fillId="18" borderId="0" xfId="0" applyNumberFormat="1" applyFont="1" applyFill="1" applyBorder="1" applyAlignment="1">
      <alignment vertical="center"/>
    </xf>
    <xf numFmtId="37" fontId="8" fillId="57" borderId="0" xfId="0" applyNumberFormat="1" applyFont="1" applyFill="1" applyAlignment="1">
      <alignment vertical="center"/>
    </xf>
    <xf numFmtId="37" fontId="8" fillId="57" borderId="0" xfId="0" applyNumberFormat="1" applyFont="1" applyFill="1" applyBorder="1" applyAlignment="1">
      <alignment vertical="center"/>
    </xf>
    <xf numFmtId="37" fontId="56" fillId="25" borderId="0" xfId="0" applyNumberFormat="1" applyFont="1" applyFill="1" applyBorder="1" applyAlignment="1">
      <alignment vertical="center"/>
    </xf>
    <xf numFmtId="37" fontId="56" fillId="25" borderId="0" xfId="0" applyNumberFormat="1" applyFont="1" applyFill="1" applyAlignment="1">
      <alignment vertical="center"/>
    </xf>
    <xf numFmtId="37" fontId="8" fillId="25" borderId="0" xfId="0" applyNumberFormat="1" applyFont="1" applyFill="1" applyBorder="1" applyAlignment="1">
      <alignment vertical="center"/>
    </xf>
    <xf numFmtId="37" fontId="8" fillId="25" borderId="0" xfId="0" applyNumberFormat="1" applyFont="1" applyFill="1" applyAlignment="1">
      <alignment vertical="center"/>
    </xf>
    <xf numFmtId="37" fontId="234" fillId="18" borderId="0" xfId="0" applyNumberFormat="1" applyFont="1" applyFill="1" applyBorder="1" applyAlignment="1">
      <alignment vertical="center"/>
    </xf>
    <xf numFmtId="39" fontId="53" fillId="25" borderId="0" xfId="0" applyNumberFormat="1" applyFont="1" applyFill="1" applyBorder="1" applyAlignment="1">
      <alignment horizontal="right" vertical="center"/>
    </xf>
    <xf numFmtId="39" fontId="20" fillId="25" borderId="0" xfId="0" applyNumberFormat="1" applyFont="1" applyFill="1" applyBorder="1" applyAlignment="1">
      <alignment horizontal="right" vertical="center"/>
    </xf>
    <xf numFmtId="39" fontId="53" fillId="25" borderId="19" xfId="0" applyNumberFormat="1" applyFont="1" applyFill="1" applyBorder="1" applyAlignment="1">
      <alignment horizontal="right" vertical="center"/>
    </xf>
    <xf numFmtId="0" fontId="17" fillId="25" borderId="0" xfId="207" applyNumberFormat="1" applyFont="1" applyFill="1"/>
    <xf numFmtId="0" fontId="8" fillId="25" borderId="0" xfId="0" applyFont="1" applyFill="1" applyBorder="1" applyAlignment="1">
      <alignment horizontal="center" vertical="center"/>
    </xf>
    <xf numFmtId="178" fontId="8" fillId="57" borderId="0" xfId="0" applyNumberFormat="1" applyFont="1" applyFill="1" applyBorder="1" applyAlignment="1">
      <alignment horizontal="right" vertical="center"/>
    </xf>
    <xf numFmtId="37" fontId="53" fillId="18" borderId="17" xfId="0" applyNumberFormat="1" applyFont="1" applyFill="1" applyBorder="1" applyAlignment="1">
      <alignment vertical="center"/>
    </xf>
    <xf numFmtId="37" fontId="8" fillId="57" borderId="0" xfId="207" applyNumberFormat="1" applyFont="1" applyFill="1" applyBorder="1" applyAlignment="1">
      <alignment vertical="center"/>
    </xf>
    <xf numFmtId="37" fontId="8" fillId="57" borderId="0" xfId="207" applyNumberFormat="1" applyFont="1" applyFill="1" applyAlignment="1">
      <alignment vertical="center"/>
    </xf>
    <xf numFmtId="37" fontId="53" fillId="18" borderId="0" xfId="0" applyNumberFormat="1" applyFont="1" applyFill="1" applyBorder="1" applyAlignment="1">
      <alignment vertical="center"/>
    </xf>
    <xf numFmtId="37" fontId="102" fillId="18" borderId="0" xfId="0" applyNumberFormat="1" applyFont="1" applyFill="1" applyAlignment="1">
      <alignment vertical="center"/>
    </xf>
    <xf numFmtId="37" fontId="102" fillId="18" borderId="0" xfId="207" applyNumberFormat="1" applyFont="1" applyFill="1"/>
    <xf numFmtId="168" fontId="53" fillId="18" borderId="17" xfId="0" applyNumberFormat="1" applyFont="1" applyFill="1" applyBorder="1" applyAlignment="1">
      <alignment vertical="center"/>
    </xf>
    <xf numFmtId="168" fontId="8" fillId="57" borderId="0" xfId="0" applyNumberFormat="1" applyFont="1" applyFill="1" applyAlignment="1">
      <alignment vertical="center"/>
    </xf>
    <xf numFmtId="168" fontId="101" fillId="18" borderId="0" xfId="0" applyNumberFormat="1" applyFont="1" applyFill="1" applyAlignment="1">
      <alignment vertical="center"/>
    </xf>
    <xf numFmtId="168" fontId="99" fillId="18" borderId="0" xfId="0" applyNumberFormat="1" applyFont="1" applyFill="1" applyBorder="1" applyAlignment="1">
      <alignment vertical="center"/>
    </xf>
    <xf numFmtId="37" fontId="8" fillId="18" borderId="0" xfId="0" applyNumberFormat="1" applyFont="1" applyFill="1" applyAlignment="1">
      <alignment horizontal="right" vertical="center"/>
    </xf>
    <xf numFmtId="37" fontId="8" fillId="18" borderId="0" xfId="0" applyNumberFormat="1" applyFont="1" applyFill="1" applyBorder="1" applyAlignment="1">
      <alignment horizontal="right" vertical="center"/>
    </xf>
    <xf numFmtId="37" fontId="20" fillId="18" borderId="0" xfId="0" applyNumberFormat="1" applyFont="1" applyFill="1" applyBorder="1" applyAlignment="1">
      <alignment horizontal="right" vertical="center"/>
    </xf>
    <xf numFmtId="37" fontId="8" fillId="57" borderId="0" xfId="0" applyNumberFormat="1" applyFont="1" applyFill="1" applyBorder="1" applyAlignment="1">
      <alignment horizontal="right" vertical="center"/>
    </xf>
    <xf numFmtId="0" fontId="8" fillId="25" borderId="0" xfId="207" applyNumberFormat="1" applyFont="1" applyFill="1" applyAlignment="1">
      <alignment horizontal="left" indent="1"/>
    </xf>
    <xf numFmtId="168" fontId="66" fillId="18" borderId="0" xfId="207" applyNumberFormat="1" applyFont="1" applyFill="1"/>
    <xf numFmtId="37" fontId="127" fillId="25" borderId="0" xfId="0" applyNumberFormat="1" applyFont="1" applyFill="1" applyBorder="1" applyAlignment="1">
      <alignment vertical="center"/>
    </xf>
    <xf numFmtId="37" fontId="102" fillId="25" borderId="0" xfId="0" applyNumberFormat="1" applyFont="1" applyFill="1" applyAlignment="1">
      <alignment vertical="center"/>
    </xf>
    <xf numFmtId="37" fontId="98" fillId="25" borderId="0" xfId="207" applyNumberFormat="1" applyFont="1" applyFill="1"/>
    <xf numFmtId="37" fontId="84" fillId="25" borderId="0" xfId="0" applyNumberFormat="1" applyFont="1" applyFill="1" applyBorder="1" applyAlignment="1">
      <alignment vertical="center"/>
    </xf>
    <xf numFmtId="37" fontId="84" fillId="25" borderId="0" xfId="0" applyNumberFormat="1" applyFont="1" applyFill="1" applyAlignment="1">
      <alignment vertical="center"/>
    </xf>
    <xf numFmtId="37" fontId="98" fillId="25" borderId="0" xfId="207" applyNumberFormat="1" applyFont="1" applyFill="1" applyAlignment="1">
      <alignment horizontal="right"/>
    </xf>
    <xf numFmtId="37" fontId="59" fillId="25" borderId="0" xfId="0" applyNumberFormat="1" applyFont="1" applyFill="1" applyAlignment="1">
      <alignment vertical="center"/>
    </xf>
    <xf numFmtId="37" fontId="8" fillId="25" borderId="0" xfId="207" applyNumberFormat="1" applyFont="1" applyFill="1" applyBorder="1" applyAlignment="1">
      <alignment vertical="center"/>
    </xf>
    <xf numFmtId="37" fontId="84" fillId="25" borderId="0" xfId="207" applyNumberFormat="1" applyFont="1" applyFill="1" applyBorder="1" applyAlignment="1">
      <alignment vertical="center"/>
    </xf>
    <xf numFmtId="37" fontId="59" fillId="25" borderId="0" xfId="207" applyNumberFormat="1" applyFont="1" applyFill="1" applyAlignment="1">
      <alignment vertical="center"/>
    </xf>
    <xf numFmtId="37" fontId="98" fillId="25" borderId="0" xfId="0" applyNumberFormat="1" applyFont="1" applyFill="1" applyAlignment="1">
      <alignment vertical="center"/>
    </xf>
    <xf numFmtId="37" fontId="72" fillId="25" borderId="0" xfId="0" applyNumberFormat="1" applyFont="1" applyFill="1" applyBorder="1" applyAlignment="1">
      <alignment vertical="center"/>
    </xf>
    <xf numFmtId="37" fontId="8" fillId="25" borderId="0" xfId="0" applyNumberFormat="1" applyFont="1" applyFill="1" applyBorder="1" applyAlignment="1">
      <alignment horizontal="right" vertical="center"/>
    </xf>
    <xf numFmtId="37" fontId="61" fillId="25" borderId="0" xfId="0" applyNumberFormat="1" applyFont="1" applyFill="1" applyBorder="1"/>
    <xf numFmtId="37" fontId="8" fillId="25" borderId="0" xfId="0" applyNumberFormat="1" applyFont="1" applyFill="1" applyBorder="1"/>
    <xf numFmtId="168" fontId="84" fillId="18" borderId="0" xfId="0" applyNumberFormat="1" applyFont="1" applyFill="1" applyAlignment="1">
      <alignment vertical="center"/>
    </xf>
    <xf numFmtId="168" fontId="135" fillId="18" borderId="0" xfId="0" applyNumberFormat="1" applyFont="1" applyFill="1" applyBorder="1"/>
    <xf numFmtId="168" fontId="135" fillId="18" borderId="0" xfId="0" applyNumberFormat="1" applyFont="1" applyFill="1" applyBorder="1" applyAlignment="1">
      <alignment vertical="center"/>
    </xf>
    <xf numFmtId="168" fontId="107" fillId="18" borderId="0" xfId="0" applyNumberFormat="1" applyFont="1" applyFill="1" applyBorder="1" applyAlignment="1">
      <alignment vertical="center"/>
    </xf>
    <xf numFmtId="168" fontId="135" fillId="18" borderId="0" xfId="207" applyNumberFormat="1" applyFont="1" applyFill="1" applyBorder="1" applyAlignment="1">
      <alignment horizontal="right" vertical="center"/>
    </xf>
    <xf numFmtId="168" fontId="20" fillId="18" borderId="0" xfId="0" applyNumberFormat="1" applyFont="1" applyFill="1" applyBorder="1" applyAlignment="1">
      <alignment horizontal="right" vertical="center"/>
    </xf>
    <xf numFmtId="168" fontId="61" fillId="18" borderId="0" xfId="0" applyNumberFormat="1" applyFont="1" applyFill="1" applyBorder="1"/>
    <xf numFmtId="168" fontId="21" fillId="18" borderId="0" xfId="0" applyNumberFormat="1" applyFont="1" applyFill="1" applyBorder="1"/>
    <xf numFmtId="168" fontId="61" fillId="18" borderId="19" xfId="0" applyNumberFormat="1" applyFont="1" applyFill="1" applyBorder="1"/>
    <xf numFmtId="168" fontId="83" fillId="18" borderId="0" xfId="0" applyNumberFormat="1" applyFont="1" applyFill="1" applyBorder="1" applyAlignment="1">
      <alignment vertical="center"/>
    </xf>
    <xf numFmtId="168" fontId="135" fillId="18" borderId="0" xfId="207" applyNumberFormat="1" applyFont="1" applyFill="1" applyBorder="1" applyAlignment="1">
      <alignment vertical="center"/>
    </xf>
    <xf numFmtId="168" fontId="8" fillId="57" borderId="0" xfId="0" applyNumberFormat="1" applyFont="1" applyFill="1"/>
    <xf numFmtId="168" fontId="8" fillId="57" borderId="0" xfId="207" applyNumberFormat="1" applyFont="1" applyFill="1" applyBorder="1" applyAlignment="1">
      <alignment vertical="center"/>
    </xf>
    <xf numFmtId="168" fontId="8" fillId="57" borderId="0" xfId="0" applyNumberFormat="1" applyFont="1" applyFill="1" applyBorder="1" applyAlignment="1">
      <alignment horizontal="right" vertical="center"/>
    </xf>
    <xf numFmtId="37" fontId="20" fillId="18" borderId="0" xfId="0" applyNumberFormat="1" applyFont="1" applyFill="1" applyAlignment="1">
      <alignment vertical="center"/>
    </xf>
    <xf numFmtId="37" fontId="103" fillId="18" borderId="0" xfId="0" applyNumberFormat="1" applyFont="1" applyFill="1" applyAlignment="1">
      <alignment vertical="center"/>
    </xf>
    <xf numFmtId="37" fontId="0" fillId="18" borderId="0" xfId="0" applyNumberFormat="1" applyFill="1" applyBorder="1"/>
    <xf numFmtId="37" fontId="60" fillId="18" borderId="0" xfId="0" applyNumberFormat="1" applyFont="1" applyFill="1" applyBorder="1" applyAlignment="1">
      <alignment vertical="center"/>
    </xf>
    <xf numFmtId="37" fontId="60" fillId="18" borderId="0" xfId="0" applyNumberFormat="1" applyFont="1" applyFill="1" applyAlignment="1">
      <alignment vertical="center"/>
    </xf>
    <xf numFmtId="37" fontId="98" fillId="18" borderId="0" xfId="0" applyNumberFormat="1" applyFont="1" applyFill="1"/>
    <xf numFmtId="37" fontId="98" fillId="18" borderId="0" xfId="0" applyNumberFormat="1" applyFont="1" applyFill="1" applyBorder="1"/>
    <xf numFmtId="37" fontId="88" fillId="18" borderId="0" xfId="0" applyNumberFormat="1" applyFont="1" applyFill="1" applyBorder="1" applyAlignment="1">
      <alignment vertical="center"/>
    </xf>
    <xf numFmtId="37" fontId="59" fillId="18" borderId="0" xfId="0" applyNumberFormat="1" applyFont="1" applyFill="1" applyBorder="1" applyAlignment="1">
      <alignment vertical="center"/>
    </xf>
    <xf numFmtId="37" fontId="46" fillId="18" borderId="0" xfId="0" applyNumberFormat="1" applyFont="1" applyFill="1" applyAlignment="1">
      <alignment vertical="center"/>
    </xf>
    <xf numFmtId="37" fontId="46" fillId="18" borderId="0" xfId="0" applyNumberFormat="1" applyFont="1" applyFill="1" applyBorder="1" applyAlignment="1">
      <alignment vertical="center"/>
    </xf>
    <xf numFmtId="37" fontId="60" fillId="18" borderId="19" xfId="0" applyNumberFormat="1" applyFont="1" applyFill="1" applyBorder="1" applyAlignment="1">
      <alignment vertical="center"/>
    </xf>
    <xf numFmtId="37" fontId="44" fillId="18" borderId="0" xfId="0" applyNumberFormat="1" applyFont="1" applyFill="1" applyAlignment="1">
      <alignment vertical="center"/>
    </xf>
    <xf numFmtId="37" fontId="42" fillId="18" borderId="0" xfId="0" applyNumberFormat="1" applyFont="1" applyFill="1" applyAlignment="1">
      <alignment vertical="center"/>
    </xf>
    <xf numFmtId="37" fontId="20" fillId="18" borderId="19" xfId="0" applyNumberFormat="1" applyFont="1" applyFill="1" applyBorder="1" applyAlignment="1">
      <alignment vertical="center"/>
    </xf>
    <xf numFmtId="37" fontId="88" fillId="18" borderId="19" xfId="0" applyNumberFormat="1" applyFont="1" applyFill="1" applyBorder="1" applyAlignment="1">
      <alignment vertical="center"/>
    </xf>
    <xf numFmtId="37" fontId="20" fillId="25" borderId="0" xfId="0" applyNumberFormat="1" applyFont="1" applyFill="1" applyBorder="1" applyAlignment="1">
      <alignment vertical="center"/>
    </xf>
    <xf numFmtId="37" fontId="233" fillId="18" borderId="0" xfId="0" applyNumberFormat="1" applyFont="1" applyFill="1" applyBorder="1" applyAlignment="1">
      <alignment vertical="center"/>
    </xf>
    <xf numFmtId="37" fontId="20" fillId="18" borderId="0" xfId="0" applyNumberFormat="1" applyFont="1" applyFill="1" applyBorder="1"/>
    <xf numFmtId="37" fontId="100" fillId="18" borderId="0" xfId="0" applyNumberFormat="1" applyFont="1" applyFill="1" applyBorder="1"/>
    <xf numFmtId="173" fontId="47" fillId="18" borderId="0" xfId="0" applyNumberFormat="1" applyFont="1" applyFill="1" applyBorder="1" applyAlignment="1">
      <alignment vertical="center"/>
    </xf>
    <xf numFmtId="173" fontId="47" fillId="18" borderId="19" xfId="0" applyNumberFormat="1" applyFont="1" applyFill="1" applyBorder="1" applyAlignment="1">
      <alignment vertical="center"/>
    </xf>
    <xf numFmtId="37" fontId="73" fillId="25" borderId="0" xfId="0" applyNumberFormat="1" applyFont="1" applyFill="1" applyBorder="1" applyAlignment="1">
      <alignment vertical="center"/>
    </xf>
    <xf numFmtId="37" fontId="59" fillId="25" borderId="0" xfId="0" applyNumberFormat="1" applyFont="1" applyFill="1" applyBorder="1" applyAlignment="1">
      <alignment vertical="center"/>
    </xf>
    <xf numFmtId="37" fontId="17" fillId="25" borderId="0" xfId="207" applyNumberFormat="1" applyFont="1" applyFill="1" applyBorder="1"/>
    <xf numFmtId="37" fontId="17" fillId="25" borderId="0" xfId="0" applyNumberFormat="1" applyFont="1" applyFill="1" applyAlignment="1">
      <alignment vertical="center"/>
    </xf>
    <xf numFmtId="37" fontId="0" fillId="25" borderId="0" xfId="0" applyNumberFormat="1" applyFill="1" applyBorder="1"/>
    <xf numFmtId="37" fontId="9" fillId="25" borderId="0" xfId="0" applyNumberFormat="1" applyFont="1" applyFill="1" applyBorder="1" applyAlignment="1">
      <alignment vertical="center"/>
    </xf>
    <xf numFmtId="168" fontId="8" fillId="25" borderId="0" xfId="207" applyNumberFormat="1" applyFont="1" applyFill="1" applyAlignment="1">
      <alignment horizontal="right" vertical="center"/>
    </xf>
    <xf numFmtId="4" fontId="57" fillId="26" borderId="0" xfId="0" applyNumberFormat="1" applyFont="1" applyFill="1" applyBorder="1"/>
    <xf numFmtId="0" fontId="45" fillId="25" borderId="0" xfId="0" applyFont="1" applyFill="1" applyBorder="1" applyAlignment="1">
      <alignment horizontal="centerContinuous" vertical="center"/>
    </xf>
    <xf numFmtId="0" fontId="8" fillId="25" borderId="0" xfId="0" applyFont="1" applyFill="1" applyAlignment="1">
      <alignment horizontal="center"/>
    </xf>
    <xf numFmtId="0" fontId="25" fillId="25" borderId="0" xfId="0" applyFont="1" applyFill="1"/>
    <xf numFmtId="168" fontId="102" fillId="25" borderId="0" xfId="207" applyNumberFormat="1" applyFont="1" applyFill="1" applyBorder="1" applyAlignment="1">
      <alignment vertical="center"/>
    </xf>
    <xf numFmtId="168" fontId="98" fillId="25" borderId="0" xfId="207" applyNumberFormat="1" applyFont="1" applyFill="1" applyBorder="1" applyAlignment="1">
      <alignment vertical="center"/>
    </xf>
    <xf numFmtId="168" fontId="134" fillId="25" borderId="0" xfId="207" applyNumberFormat="1" applyFont="1" applyFill="1" applyBorder="1" applyAlignment="1">
      <alignment vertical="center"/>
    </xf>
    <xf numFmtId="0" fontId="25" fillId="25" borderId="0" xfId="0" applyFont="1" applyFill="1" applyBorder="1"/>
    <xf numFmtId="168" fontId="20" fillId="25" borderId="0" xfId="207" applyNumberFormat="1" applyFont="1" applyFill="1" applyBorder="1" applyAlignment="1">
      <alignment vertical="center"/>
    </xf>
    <xf numFmtId="37" fontId="98" fillId="25" borderId="0" xfId="0" applyNumberFormat="1" applyFont="1" applyFill="1" applyBorder="1" applyAlignment="1">
      <alignment vertical="center"/>
    </xf>
    <xf numFmtId="168" fontId="59" fillId="25" borderId="0" xfId="207" applyNumberFormat="1" applyFont="1" applyFill="1" applyBorder="1" applyAlignment="1">
      <alignment vertical="center"/>
    </xf>
    <xf numFmtId="168" fontId="57" fillId="25" borderId="0" xfId="207" applyNumberFormat="1" applyFont="1" applyFill="1" applyBorder="1" applyAlignment="1">
      <alignment vertical="center"/>
    </xf>
    <xf numFmtId="168" fontId="59" fillId="25" borderId="19" xfId="207" applyNumberFormat="1" applyFont="1" applyFill="1" applyBorder="1" applyAlignment="1">
      <alignment vertical="center"/>
    </xf>
    <xf numFmtId="168" fontId="20" fillId="25" borderId="19" xfId="207" applyNumberFormat="1" applyFont="1" applyFill="1" applyBorder="1" applyAlignment="1">
      <alignment vertical="center"/>
    </xf>
    <xf numFmtId="168" fontId="8" fillId="25" borderId="19" xfId="207" applyNumberFormat="1" applyFont="1" applyFill="1" applyBorder="1" applyAlignment="1">
      <alignment horizontal="right" vertical="center"/>
    </xf>
    <xf numFmtId="37" fontId="17" fillId="25" borderId="0" xfId="207" applyNumberFormat="1" applyFont="1" applyFill="1"/>
    <xf numFmtId="168" fontId="17" fillId="25" borderId="0" xfId="207" applyNumberFormat="1" applyFont="1" applyFill="1"/>
    <xf numFmtId="168" fontId="17" fillId="25" borderId="0" xfId="207" applyNumberFormat="1" applyFont="1" applyFill="1" applyBorder="1"/>
    <xf numFmtId="168" fontId="17" fillId="25" borderId="19" xfId="207" applyNumberFormat="1" applyFont="1" applyFill="1" applyBorder="1"/>
    <xf numFmtId="0" fontId="17" fillId="25" borderId="0" xfId="207" applyNumberFormat="1" applyFont="1" applyFill="1" applyAlignment="1">
      <alignment horizontal="left" indent="1"/>
    </xf>
    <xf numFmtId="37" fontId="56" fillId="25" borderId="0" xfId="207" applyNumberFormat="1" applyFont="1" applyFill="1"/>
    <xf numFmtId="168" fontId="8" fillId="25" borderId="0" xfId="207" applyNumberFormat="1" applyFont="1" applyFill="1" applyAlignment="1">
      <alignment vertical="center"/>
    </xf>
    <xf numFmtId="0" fontId="72" fillId="25" borderId="0" xfId="207" applyNumberFormat="1" applyFont="1" applyFill="1" applyAlignment="1">
      <alignment horizontal="left" indent="1"/>
    </xf>
    <xf numFmtId="37" fontId="102" fillId="25" borderId="0" xfId="207" applyNumberFormat="1" applyFont="1" applyFill="1"/>
    <xf numFmtId="0" fontId="17" fillId="25" borderId="0" xfId="0" applyFont="1" applyFill="1" applyBorder="1" applyAlignment="1">
      <alignment horizontal="left" vertical="center"/>
    </xf>
    <xf numFmtId="164" fontId="50" fillId="25" borderId="0" xfId="0" applyNumberFormat="1" applyFont="1" applyFill="1" applyBorder="1" applyAlignment="1">
      <alignment vertical="center"/>
    </xf>
    <xf numFmtId="168" fontId="50" fillId="25" borderId="0" xfId="207" applyNumberFormat="1" applyFont="1" applyFill="1" applyBorder="1" applyAlignment="1">
      <alignment vertical="center"/>
    </xf>
    <xf numFmtId="168" fontId="17" fillId="25" borderId="0" xfId="207" applyNumberFormat="1" applyFont="1" applyFill="1" applyBorder="1" applyAlignment="1">
      <alignment vertical="center"/>
    </xf>
    <xf numFmtId="168" fontId="17" fillId="25" borderId="19" xfId="207" applyNumberFormat="1" applyFont="1" applyFill="1" applyBorder="1" applyAlignment="1">
      <alignment vertical="center"/>
    </xf>
    <xf numFmtId="3" fontId="25" fillId="25" borderId="0" xfId="0" applyNumberFormat="1" applyFont="1" applyFill="1" applyBorder="1"/>
    <xf numFmtId="3" fontId="0" fillId="25" borderId="0" xfId="0" applyNumberFormat="1" applyFill="1"/>
    <xf numFmtId="168" fontId="17" fillId="25" borderId="0" xfId="207" applyNumberFormat="1" applyFont="1" applyFill="1" applyAlignment="1">
      <alignment vertical="center"/>
    </xf>
    <xf numFmtId="0" fontId="46" fillId="25" borderId="0" xfId="0" applyFont="1" applyFill="1" applyAlignment="1">
      <alignment vertical="center"/>
    </xf>
    <xf numFmtId="164" fontId="46" fillId="25" borderId="0" xfId="0" applyNumberFormat="1" applyFont="1" applyFill="1" applyAlignment="1">
      <alignment vertical="center"/>
    </xf>
    <xf numFmtId="168" fontId="46" fillId="25" borderId="0" xfId="207" applyNumberFormat="1" applyFont="1" applyFill="1" applyAlignment="1">
      <alignment vertical="center"/>
    </xf>
    <xf numFmtId="168" fontId="60" fillId="25" borderId="0" xfId="207" applyNumberFormat="1" applyFont="1" applyFill="1" applyAlignment="1">
      <alignment vertical="center"/>
    </xf>
    <xf numFmtId="168" fontId="60" fillId="25" borderId="0" xfId="207" applyNumberFormat="1" applyFont="1" applyFill="1" applyBorder="1" applyAlignment="1">
      <alignment vertical="center"/>
    </xf>
    <xf numFmtId="168" fontId="46" fillId="25" borderId="0" xfId="207" applyNumberFormat="1" applyFont="1" applyFill="1" applyBorder="1" applyAlignment="1">
      <alignment vertical="center"/>
    </xf>
    <xf numFmtId="168" fontId="60" fillId="25" borderId="19" xfId="207" applyNumberFormat="1" applyFont="1" applyFill="1" applyBorder="1" applyAlignment="1">
      <alignment vertical="center"/>
    </xf>
    <xf numFmtId="168" fontId="53" fillId="25" borderId="0" xfId="207" applyNumberFormat="1" applyFont="1" applyFill="1" applyAlignment="1">
      <alignment vertical="center"/>
    </xf>
    <xf numFmtId="168" fontId="53" fillId="25" borderId="0" xfId="207" applyNumberFormat="1" applyFont="1" applyFill="1" applyBorder="1" applyAlignment="1">
      <alignment vertical="center"/>
    </xf>
    <xf numFmtId="168" fontId="53" fillId="25" borderId="19" xfId="207" applyNumberFormat="1" applyFont="1" applyFill="1" applyBorder="1" applyAlignment="1">
      <alignment vertical="center"/>
    </xf>
    <xf numFmtId="37" fontId="9" fillId="25" borderId="0" xfId="0" applyNumberFormat="1" applyFont="1" applyFill="1" applyAlignment="1">
      <alignment vertical="center"/>
    </xf>
    <xf numFmtId="0" fontId="17" fillId="25" borderId="0" xfId="0" applyFont="1" applyFill="1" applyAlignment="1">
      <alignment horizontal="left" vertical="center" indent="1"/>
    </xf>
    <xf numFmtId="164" fontId="46" fillId="25" borderId="0" xfId="0" applyNumberFormat="1" applyFont="1" applyFill="1" applyBorder="1" applyAlignment="1">
      <alignment vertical="center"/>
    </xf>
    <xf numFmtId="164" fontId="53" fillId="25" borderId="0" xfId="0" applyNumberFormat="1" applyFont="1" applyFill="1" applyBorder="1" applyAlignment="1">
      <alignment vertical="center"/>
    </xf>
    <xf numFmtId="171" fontId="17" fillId="25" borderId="0" xfId="0" applyNumberFormat="1" applyFont="1" applyFill="1" applyBorder="1" applyAlignment="1">
      <alignment horizontal="right" vertical="center"/>
    </xf>
    <xf numFmtId="168" fontId="17" fillId="25" borderId="0" xfId="207" applyNumberFormat="1" applyFont="1" applyFill="1" applyBorder="1" applyAlignment="1">
      <alignment horizontal="right" vertical="center"/>
    </xf>
    <xf numFmtId="168" fontId="17" fillId="25" borderId="19" xfId="207" applyNumberFormat="1" applyFont="1" applyFill="1" applyBorder="1" applyAlignment="1">
      <alignment horizontal="right" vertical="center"/>
    </xf>
    <xf numFmtId="168" fontId="20" fillId="25" borderId="0" xfId="207" applyNumberFormat="1" applyFont="1" applyFill="1" applyBorder="1" applyAlignment="1">
      <alignment horizontal="right"/>
    </xf>
    <xf numFmtId="164" fontId="8" fillId="57" borderId="0" xfId="0" applyNumberFormat="1" applyFont="1" applyFill="1" applyAlignment="1">
      <alignment vertical="center"/>
    </xf>
    <xf numFmtId="39" fontId="8" fillId="18" borderId="0" xfId="207" applyNumberFormat="1" applyFont="1" applyFill="1" applyBorder="1" applyAlignment="1">
      <alignment vertical="center"/>
    </xf>
    <xf numFmtId="39" fontId="20" fillId="18" borderId="0" xfId="207" applyNumberFormat="1" applyFont="1" applyFill="1" applyBorder="1" applyAlignment="1">
      <alignment vertical="center"/>
    </xf>
    <xf numFmtId="37" fontId="112" fillId="18" borderId="0" xfId="0" applyNumberFormat="1" applyFont="1" applyFill="1" applyBorder="1" applyAlignment="1">
      <alignment vertical="center"/>
    </xf>
    <xf numFmtId="10" fontId="234" fillId="25" borderId="0" xfId="240" applyNumberFormat="1" applyFont="1" applyFill="1" applyBorder="1" applyAlignment="1">
      <alignment horizontal="right" vertical="center"/>
    </xf>
    <xf numFmtId="164" fontId="8" fillId="57" borderId="0" xfId="0" applyNumberFormat="1" applyFont="1" applyFill="1" applyBorder="1" applyAlignment="1">
      <alignment vertical="center"/>
    </xf>
    <xf numFmtId="37" fontId="98" fillId="25" borderId="0" xfId="0" applyNumberFormat="1" applyFont="1" applyFill="1" applyBorder="1"/>
    <xf numFmtId="182" fontId="8" fillId="57" borderId="19" xfId="0" applyNumberFormat="1" applyFont="1" applyFill="1" applyBorder="1" applyAlignment="1">
      <alignment vertical="center"/>
    </xf>
    <xf numFmtId="10" fontId="56" fillId="57" borderId="0" xfId="240" applyNumberFormat="1" applyFont="1" applyFill="1" applyBorder="1" applyAlignment="1">
      <alignment vertical="center"/>
    </xf>
    <xf numFmtId="164" fontId="8" fillId="25" borderId="0" xfId="0" applyNumberFormat="1" applyFont="1" applyFill="1" applyBorder="1"/>
    <xf numFmtId="180" fontId="17" fillId="25" borderId="0" xfId="0" applyNumberFormat="1" applyFont="1" applyFill="1" applyBorder="1" applyAlignment="1">
      <alignment vertical="center"/>
    </xf>
    <xf numFmtId="180" fontId="56" fillId="25" borderId="0" xfId="0" applyNumberFormat="1" applyFont="1" applyFill="1" applyBorder="1" applyAlignment="1">
      <alignment vertical="center"/>
    </xf>
    <xf numFmtId="166" fontId="8" fillId="25" borderId="0" xfId="0" applyNumberFormat="1" applyFont="1" applyFill="1" applyBorder="1" applyAlignment="1">
      <alignment vertical="center"/>
    </xf>
    <xf numFmtId="164" fontId="20" fillId="25" borderId="0" xfId="0" applyNumberFormat="1" applyFont="1" applyFill="1" applyBorder="1"/>
    <xf numFmtId="164" fontId="57" fillId="25" borderId="0" xfId="0" applyNumberFormat="1" applyFont="1" applyFill="1" applyBorder="1"/>
    <xf numFmtId="0" fontId="21" fillId="18" borderId="19" xfId="0" applyFont="1" applyFill="1" applyBorder="1"/>
    <xf numFmtId="37" fontId="231" fillId="18" borderId="0" xfId="0" applyNumberFormat="1" applyFont="1" applyFill="1" applyBorder="1"/>
    <xf numFmtId="164" fontId="8" fillId="57" borderId="0" xfId="0" applyNumberFormat="1" applyFont="1" applyFill="1" applyBorder="1" applyAlignment="1">
      <alignment horizontal="right" vertical="center"/>
    </xf>
    <xf numFmtId="166" fontId="8" fillId="57" borderId="0" xfId="0" applyNumberFormat="1" applyFont="1" applyFill="1" applyBorder="1" applyAlignment="1">
      <alignment vertical="center"/>
    </xf>
    <xf numFmtId="37" fontId="234" fillId="25" borderId="0" xfId="0" applyNumberFormat="1" applyFont="1" applyFill="1" applyBorder="1" applyAlignment="1">
      <alignment vertical="center"/>
    </xf>
    <xf numFmtId="178" fontId="59" fillId="57" borderId="19" xfId="0" applyNumberFormat="1" applyFont="1" applyFill="1" applyBorder="1" applyAlignment="1">
      <alignment horizontal="right" vertical="center"/>
    </xf>
    <xf numFmtId="178" fontId="59" fillId="57" borderId="0" xfId="0" applyNumberFormat="1" applyFont="1" applyFill="1" applyBorder="1" applyAlignment="1">
      <alignment horizontal="right" vertical="center"/>
    </xf>
    <xf numFmtId="37" fontId="234" fillId="25" borderId="0" xfId="0" applyNumberFormat="1" applyFont="1" applyFill="1" applyBorder="1" applyAlignment="1">
      <alignment horizontal="right" vertical="center"/>
    </xf>
    <xf numFmtId="178" fontId="126" fillId="57" borderId="0" xfId="0" applyNumberFormat="1" applyFont="1" applyFill="1" applyBorder="1" applyAlignment="1">
      <alignment horizontal="right" vertical="center"/>
    </xf>
    <xf numFmtId="37" fontId="234" fillId="25" borderId="0" xfId="0" applyNumberFormat="1" applyFont="1" applyFill="1" applyAlignment="1">
      <alignment vertical="center"/>
    </xf>
    <xf numFmtId="176" fontId="125" fillId="54" borderId="1" xfId="0" applyNumberFormat="1" applyFont="1" applyFill="1" applyBorder="1" applyAlignment="1">
      <alignment horizontal="right" vertical="center"/>
    </xf>
    <xf numFmtId="167" fontId="55" fillId="25" borderId="0" xfId="207" applyNumberFormat="1" applyFont="1" applyFill="1" applyAlignment="1">
      <alignment vertical="center"/>
    </xf>
    <xf numFmtId="172" fontId="55" fillId="25" borderId="0" xfId="0" applyNumberFormat="1" applyFont="1" applyFill="1" applyBorder="1" applyAlignment="1">
      <alignment vertical="center"/>
    </xf>
    <xf numFmtId="4" fontId="17" fillId="18" borderId="0" xfId="246" applyNumberFormat="1" applyFont="1" applyFill="1" applyBorder="1" applyAlignment="1">
      <alignment horizontal="center"/>
    </xf>
    <xf numFmtId="2" fontId="17" fillId="18" borderId="0" xfId="246" applyNumberFormat="1" applyFont="1" applyFill="1" applyBorder="1" applyAlignment="1">
      <alignment horizontal="center"/>
    </xf>
    <xf numFmtId="166" fontId="17" fillId="18" borderId="0" xfId="240" applyNumberFormat="1" applyFont="1" applyFill="1" applyBorder="1" applyAlignment="1">
      <alignment horizontal="right"/>
    </xf>
    <xf numFmtId="0" fontId="125" fillId="60" borderId="0" xfId="0" applyFont="1" applyFill="1" applyBorder="1" applyAlignment="1">
      <alignment vertical="center"/>
    </xf>
    <xf numFmtId="0" fontId="232" fillId="60" borderId="0" xfId="0" applyFont="1" applyFill="1" applyBorder="1" applyAlignment="1">
      <alignment horizontal="centerContinuous" vertical="center"/>
    </xf>
    <xf numFmtId="168" fontId="17" fillId="18" borderId="0" xfId="207" applyNumberFormat="1" applyFont="1" applyFill="1" applyAlignment="1">
      <alignment vertical="center"/>
    </xf>
    <xf numFmtId="168" fontId="20" fillId="18" borderId="17" xfId="207" applyNumberFormat="1" applyFont="1" applyFill="1" applyBorder="1" applyAlignment="1">
      <alignment horizontal="right" vertical="center"/>
    </xf>
    <xf numFmtId="0" fontId="230" fillId="25" borderId="0" xfId="0" applyFont="1" applyFill="1" applyBorder="1" applyAlignment="1">
      <alignment vertical="center"/>
    </xf>
    <xf numFmtId="166" fontId="230" fillId="25" borderId="0" xfId="240" applyNumberFormat="1" applyFont="1" applyFill="1" applyBorder="1" applyAlignment="1">
      <alignment vertical="center"/>
    </xf>
    <xf numFmtId="0" fontId="229" fillId="25" borderId="0" xfId="0" applyFont="1" applyFill="1" applyBorder="1"/>
    <xf numFmtId="0" fontId="125" fillId="25" borderId="0" xfId="0" applyFont="1" applyFill="1" applyBorder="1" applyAlignment="1">
      <alignment horizontal="center"/>
    </xf>
    <xf numFmtId="0" fontId="125" fillId="25" borderId="0" xfId="0" applyFont="1" applyFill="1" applyBorder="1" applyAlignment="1">
      <alignment vertical="center"/>
    </xf>
    <xf numFmtId="0" fontId="125" fillId="25" borderId="0" xfId="0" applyFont="1" applyFill="1" applyBorder="1" applyAlignment="1">
      <alignment horizontal="center" vertical="center"/>
    </xf>
    <xf numFmtId="0" fontId="20" fillId="18" borderId="14" xfId="0" applyFont="1" applyFill="1" applyBorder="1" applyAlignment="1">
      <alignment horizontal="right" vertical="center"/>
    </xf>
    <xf numFmtId="9" fontId="49" fillId="25" borderId="0" xfId="240" applyFont="1" applyFill="1" applyBorder="1" applyAlignment="1">
      <alignment horizontal="right" vertical="center"/>
    </xf>
    <xf numFmtId="186" fontId="49" fillId="25" borderId="0" xfId="0" applyNumberFormat="1" applyFont="1" applyFill="1" applyBorder="1" applyAlignment="1">
      <alignment horizontal="right" vertical="center"/>
    </xf>
    <xf numFmtId="178" fontId="49" fillId="25" borderId="0" xfId="0" applyNumberFormat="1" applyFont="1" applyFill="1" applyBorder="1" applyAlignment="1">
      <alignment vertical="center"/>
    </xf>
    <xf numFmtId="9" fontId="0" fillId="25" borderId="0" xfId="240" applyFont="1" applyFill="1" applyBorder="1"/>
    <xf numFmtId="183" fontId="0" fillId="25" borderId="0" xfId="0" applyNumberFormat="1" applyFill="1"/>
    <xf numFmtId="167" fontId="20" fillId="25" borderId="0" xfId="207" applyNumberFormat="1" applyFont="1" applyFill="1" applyBorder="1" applyAlignment="1">
      <alignment vertical="center"/>
    </xf>
    <xf numFmtId="166" fontId="17" fillId="25" borderId="0" xfId="240" applyNumberFormat="1" applyFont="1" applyFill="1" applyBorder="1" applyAlignment="1">
      <alignment vertical="center"/>
    </xf>
    <xf numFmtId="166" fontId="17" fillId="25" borderId="0" xfId="240" applyNumberFormat="1" applyFont="1" applyFill="1" applyAlignment="1">
      <alignment vertical="center"/>
    </xf>
    <xf numFmtId="0" fontId="20" fillId="55" borderId="18" xfId="0" applyFont="1" applyFill="1" applyBorder="1" applyAlignment="1">
      <alignment vertical="center"/>
    </xf>
    <xf numFmtId="0" fontId="0" fillId="55" borderId="0" xfId="0" applyFill="1"/>
    <xf numFmtId="178" fontId="50" fillId="55" borderId="0" xfId="0" applyNumberFormat="1" applyFont="1" applyFill="1" applyBorder="1" applyAlignment="1">
      <alignment vertical="center"/>
    </xf>
    <xf numFmtId="171" fontId="17" fillId="55" borderId="0" xfId="0" applyNumberFormat="1" applyFont="1" applyFill="1" applyBorder="1" applyAlignment="1">
      <alignment vertical="center"/>
    </xf>
    <xf numFmtId="0" fontId="17" fillId="55" borderId="0" xfId="0" applyFont="1" applyFill="1" applyAlignment="1">
      <alignment vertical="center"/>
    </xf>
    <xf numFmtId="0" fontId="17" fillId="55" borderId="0" xfId="0" applyFont="1" applyFill="1" applyBorder="1" applyAlignment="1">
      <alignment vertical="center"/>
    </xf>
    <xf numFmtId="0" fontId="20" fillId="55" borderId="1" xfId="0" applyFont="1" applyFill="1" applyBorder="1" applyAlignment="1">
      <alignment vertical="center"/>
    </xf>
    <xf numFmtId="178" fontId="20" fillId="55" borderId="20" xfId="0" applyNumberFormat="1" applyFont="1" applyFill="1" applyBorder="1" applyAlignment="1">
      <alignment vertical="center"/>
    </xf>
    <xf numFmtId="187" fontId="20" fillId="55" borderId="31" xfId="0" applyNumberFormat="1" applyFont="1" applyFill="1" applyBorder="1" applyAlignment="1">
      <alignment vertical="center"/>
    </xf>
    <xf numFmtId="170" fontId="17" fillId="55" borderId="31" xfId="0" applyNumberFormat="1" applyFont="1" applyFill="1" applyBorder="1" applyAlignment="1">
      <alignment vertical="center"/>
    </xf>
    <xf numFmtId="170" fontId="17" fillId="55" borderId="15" xfId="0" applyNumberFormat="1" applyFont="1" applyFill="1" applyBorder="1" applyAlignment="1">
      <alignment vertical="center"/>
    </xf>
    <xf numFmtId="170" fontId="20" fillId="55" borderId="35" xfId="0" applyNumberFormat="1" applyFont="1" applyFill="1" applyBorder="1" applyAlignment="1">
      <alignment vertical="center"/>
    </xf>
    <xf numFmtId="170" fontId="17" fillId="55" borderId="28" xfId="0" applyNumberFormat="1" applyFont="1" applyFill="1" applyBorder="1" applyAlignment="1">
      <alignment vertical="center"/>
    </xf>
    <xf numFmtId="178" fontId="55" fillId="55" borderId="34" xfId="0" applyNumberFormat="1" applyFont="1" applyFill="1" applyBorder="1" applyAlignment="1">
      <alignment vertical="center"/>
    </xf>
    <xf numFmtId="170" fontId="17" fillId="55" borderId="33" xfId="0" applyNumberFormat="1" applyFont="1" applyFill="1" applyBorder="1" applyAlignment="1">
      <alignment vertical="center"/>
    </xf>
    <xf numFmtId="170" fontId="17" fillId="55" borderId="32" xfId="0" applyNumberFormat="1" applyFont="1" applyFill="1" applyBorder="1" applyAlignment="1">
      <alignment vertical="center"/>
    </xf>
    <xf numFmtId="187" fontId="55" fillId="55" borderId="31" xfId="0" applyNumberFormat="1" applyFont="1" applyFill="1" applyBorder="1" applyAlignment="1">
      <alignment vertical="center"/>
    </xf>
    <xf numFmtId="173" fontId="17" fillId="55" borderId="31" xfId="0" applyNumberFormat="1" applyFont="1" applyFill="1" applyBorder="1" applyAlignment="1">
      <alignment vertical="center"/>
    </xf>
    <xf numFmtId="173" fontId="17" fillId="55" borderId="15" xfId="0" applyNumberFormat="1" applyFont="1" applyFill="1" applyBorder="1" applyAlignment="1">
      <alignment vertical="center"/>
    </xf>
    <xf numFmtId="171" fontId="20" fillId="55" borderId="35" xfId="0" applyNumberFormat="1" applyFont="1" applyFill="1" applyBorder="1" applyAlignment="1">
      <alignment vertical="center"/>
    </xf>
    <xf numFmtId="173" fontId="17" fillId="55" borderId="28" xfId="0" applyNumberFormat="1" applyFont="1" applyFill="1" applyBorder="1" applyAlignment="1">
      <alignment vertical="center"/>
    </xf>
    <xf numFmtId="173" fontId="17" fillId="55" borderId="33" xfId="0" applyNumberFormat="1" applyFont="1" applyFill="1" applyBorder="1" applyAlignment="1">
      <alignment vertical="center"/>
    </xf>
    <xf numFmtId="173" fontId="17" fillId="55" borderId="32" xfId="0" applyNumberFormat="1" applyFont="1" applyFill="1" applyBorder="1" applyAlignment="1">
      <alignment vertical="center"/>
    </xf>
    <xf numFmtId="0" fontId="125" fillId="54" borderId="17" xfId="207" applyNumberFormat="1" applyFont="1" applyFill="1" applyBorder="1" applyAlignment="1">
      <alignment horizontal="right"/>
    </xf>
    <xf numFmtId="175" fontId="125" fillId="54" borderId="17" xfId="0" applyNumberFormat="1" applyFont="1" applyFill="1" applyBorder="1" applyAlignment="1">
      <alignment horizontal="right" vertical="center"/>
    </xf>
    <xf numFmtId="175" fontId="125" fillId="54" borderId="0" xfId="0" applyNumberFormat="1" applyFont="1" applyFill="1" applyBorder="1" applyAlignment="1">
      <alignment horizontal="right" vertical="center"/>
    </xf>
    <xf numFmtId="175" fontId="125" fillId="54" borderId="23" xfId="0" applyNumberFormat="1" applyFont="1" applyFill="1" applyBorder="1" applyAlignment="1">
      <alignment horizontal="right" vertical="center"/>
    </xf>
    <xf numFmtId="176" fontId="125" fillId="54" borderId="17" xfId="0" applyNumberFormat="1" applyFont="1" applyFill="1" applyBorder="1" applyAlignment="1">
      <alignment horizontal="right" vertical="center"/>
    </xf>
    <xf numFmtId="168" fontId="17" fillId="25" borderId="0" xfId="207" applyNumberFormat="1" applyFont="1" applyFill="1" applyBorder="1" applyAlignment="1">
      <alignment horizontal="right"/>
    </xf>
    <xf numFmtId="43" fontId="20" fillId="25" borderId="0" xfId="207" applyNumberFormat="1" applyFont="1" applyFill="1" applyBorder="1" applyAlignment="1">
      <alignment horizontal="right"/>
    </xf>
    <xf numFmtId="0" fontId="20" fillId="25" borderId="0" xfId="207" applyNumberFormat="1" applyFont="1" applyFill="1" applyBorder="1" applyAlignment="1">
      <alignment horizontal="right"/>
    </xf>
    <xf numFmtId="0" fontId="20" fillId="25" borderId="0" xfId="207" applyNumberFormat="1" applyFont="1" applyFill="1" applyBorder="1" applyAlignment="1"/>
    <xf numFmtId="0" fontId="0" fillId="25" borderId="0" xfId="0" applyFill="1" applyBorder="1" applyAlignment="1">
      <alignment horizontal="right"/>
    </xf>
    <xf numFmtId="0" fontId="20" fillId="25" borderId="0" xfId="234" applyFont="1" applyFill="1" applyBorder="1" applyAlignment="1">
      <alignment horizontal="left"/>
    </xf>
    <xf numFmtId="14" fontId="20" fillId="25" borderId="0" xfId="240" applyNumberFormat="1" applyFont="1" applyFill="1" applyBorder="1" applyAlignment="1">
      <alignment horizontal="right"/>
    </xf>
    <xf numFmtId="166" fontId="8" fillId="25" borderId="0" xfId="207" applyNumberFormat="1" applyFont="1" applyFill="1" applyBorder="1" applyAlignment="1">
      <alignment horizontal="right"/>
    </xf>
    <xf numFmtId="0" fontId="8" fillId="25" borderId="0" xfId="234" applyFont="1" applyFill="1" applyBorder="1" applyAlignment="1">
      <alignment horizontal="left"/>
    </xf>
    <xf numFmtId="0" fontId="17" fillId="25" borderId="0" xfId="234" applyFont="1" applyFill="1" applyBorder="1" applyAlignment="1">
      <alignment horizontal="left"/>
    </xf>
    <xf numFmtId="167" fontId="17" fillId="25" borderId="0" xfId="207" applyNumberFormat="1" applyFont="1" applyFill="1" applyBorder="1" applyAlignment="1">
      <alignment horizontal="right"/>
    </xf>
    <xf numFmtId="0" fontId="17" fillId="25" borderId="0" xfId="207" applyNumberFormat="1" applyFont="1" applyFill="1" applyBorder="1" applyAlignment="1">
      <alignment horizontal="left"/>
    </xf>
    <xf numFmtId="0" fontId="17" fillId="25" borderId="0" xfId="207" applyNumberFormat="1" applyFont="1" applyFill="1" applyBorder="1" applyAlignment="1">
      <alignment horizontal="right"/>
    </xf>
    <xf numFmtId="0" fontId="8" fillId="25" borderId="0" xfId="207" applyNumberFormat="1" applyFont="1" applyFill="1" applyBorder="1" applyAlignment="1">
      <alignment horizontal="left"/>
    </xf>
    <xf numFmtId="165" fontId="17" fillId="25" borderId="0" xfId="207" applyNumberFormat="1" applyFont="1" applyFill="1" applyBorder="1" applyAlignment="1">
      <alignment horizontal="right"/>
    </xf>
    <xf numFmtId="167" fontId="17" fillId="25" borderId="0" xfId="207" applyNumberFormat="1" applyFont="1" applyFill="1" applyBorder="1"/>
    <xf numFmtId="0" fontId="20" fillId="18" borderId="36" xfId="0" applyNumberFormat="1" applyFont="1" applyFill="1" applyBorder="1" applyAlignment="1">
      <alignment horizontal="right" vertical="center"/>
    </xf>
    <xf numFmtId="0" fontId="8" fillId="18" borderId="36" xfId="0" applyFont="1" applyFill="1" applyBorder="1"/>
    <xf numFmtId="43" fontId="8" fillId="18" borderId="37" xfId="207" applyNumberFormat="1" applyFont="1" applyFill="1" applyBorder="1" applyAlignment="1">
      <alignment horizontal="right"/>
    </xf>
    <xf numFmtId="0" fontId="8" fillId="25" borderId="36" xfId="0" applyFont="1" applyFill="1" applyBorder="1"/>
    <xf numFmtId="43" fontId="8" fillId="25" borderId="37" xfId="207" applyNumberFormat="1" applyFont="1" applyFill="1" applyBorder="1" applyAlignment="1">
      <alignment horizontal="right"/>
    </xf>
    <xf numFmtId="0" fontId="8" fillId="18" borderId="38" xfId="0" applyFont="1" applyFill="1" applyBorder="1"/>
    <xf numFmtId="166" fontId="8" fillId="18" borderId="26" xfId="207" applyNumberFormat="1" applyFont="1" applyFill="1" applyBorder="1" applyAlignment="1">
      <alignment horizontal="right"/>
    </xf>
    <xf numFmtId="166" fontId="8" fillId="18" borderId="39" xfId="207" applyNumberFormat="1" applyFont="1" applyFill="1" applyBorder="1" applyAlignment="1">
      <alignment horizontal="right"/>
    </xf>
    <xf numFmtId="167" fontId="17" fillId="60" borderId="27" xfId="207" applyNumberFormat="1" applyFont="1" applyFill="1" applyBorder="1"/>
    <xf numFmtId="167" fontId="17" fillId="60" borderId="27" xfId="207" applyNumberFormat="1" applyFont="1" applyFill="1" applyBorder="1" applyAlignment="1">
      <alignment horizontal="right"/>
    </xf>
    <xf numFmtId="0" fontId="8" fillId="55" borderId="36" xfId="0" applyFont="1" applyFill="1" applyBorder="1"/>
    <xf numFmtId="164" fontId="8" fillId="55" borderId="0" xfId="234" applyNumberFormat="1" applyFont="1" applyFill="1" applyBorder="1" applyAlignment="1">
      <alignment horizontal="right"/>
    </xf>
    <xf numFmtId="164" fontId="8" fillId="55" borderId="37" xfId="234" applyNumberFormat="1" applyFont="1" applyFill="1" applyBorder="1" applyAlignment="1">
      <alignment horizontal="right"/>
    </xf>
    <xf numFmtId="167" fontId="8" fillId="55" borderId="0" xfId="207" applyNumberFormat="1" applyFont="1" applyFill="1" applyBorder="1" applyAlignment="1">
      <alignment horizontal="right"/>
    </xf>
    <xf numFmtId="167" fontId="8" fillId="55" borderId="37" xfId="207" applyNumberFormat="1" applyFont="1" applyFill="1" applyBorder="1" applyAlignment="1">
      <alignment horizontal="right"/>
    </xf>
    <xf numFmtId="167" fontId="8" fillId="18" borderId="40" xfId="207" applyNumberFormat="1" applyFont="1" applyFill="1" applyBorder="1" applyAlignment="1">
      <alignment horizontal="right"/>
    </xf>
    <xf numFmtId="166" fontId="17" fillId="18" borderId="40" xfId="240" applyNumberFormat="1" applyFont="1" applyFill="1" applyBorder="1" applyAlignment="1">
      <alignment horizontal="right"/>
    </xf>
    <xf numFmtId="173" fontId="235" fillId="18" borderId="19" xfId="0" applyNumberFormat="1" applyFont="1" applyFill="1" applyBorder="1" applyAlignment="1">
      <alignment horizontal="right" vertical="center"/>
    </xf>
    <xf numFmtId="166" fontId="8" fillId="26" borderId="19" xfId="240" applyNumberFormat="1" applyFont="1" applyFill="1" applyBorder="1"/>
    <xf numFmtId="168" fontId="8" fillId="57" borderId="19" xfId="0" applyNumberFormat="1" applyFont="1" applyFill="1" applyBorder="1" applyAlignment="1">
      <alignment vertical="center"/>
    </xf>
    <xf numFmtId="10" fontId="8" fillId="25" borderId="19" xfId="240" applyNumberFormat="1" applyFont="1" applyFill="1" applyBorder="1" applyAlignment="1">
      <alignment vertical="center"/>
    </xf>
    <xf numFmtId="37" fontId="234" fillId="18" borderId="19" xfId="207" applyNumberFormat="1" applyFont="1" applyFill="1" applyBorder="1" applyAlignment="1">
      <alignment horizontal="right" vertical="center"/>
    </xf>
    <xf numFmtId="9" fontId="8" fillId="57" borderId="19" xfId="0" applyNumberFormat="1" applyFont="1" applyFill="1" applyBorder="1" applyAlignment="1">
      <alignment horizontal="right" vertical="center"/>
    </xf>
    <xf numFmtId="168" fontId="234" fillId="25" borderId="0" xfId="207" applyNumberFormat="1" applyFont="1" applyFill="1" applyBorder="1"/>
    <xf numFmtId="173" fontId="231" fillId="18" borderId="0" xfId="0" applyNumberFormat="1" applyFont="1" applyFill="1" applyBorder="1" applyAlignment="1">
      <alignment vertical="center"/>
    </xf>
    <xf numFmtId="173" fontId="231" fillId="25" borderId="0" xfId="0" applyNumberFormat="1" applyFont="1" applyFill="1" applyBorder="1" applyAlignment="1">
      <alignment vertical="center"/>
    </xf>
    <xf numFmtId="9" fontId="8" fillId="57" borderId="0" xfId="240" applyFont="1" applyFill="1"/>
    <xf numFmtId="173" fontId="8" fillId="57" borderId="0" xfId="0" applyNumberFormat="1" applyFont="1" applyFill="1"/>
    <xf numFmtId="9" fontId="8" fillId="57" borderId="0" xfId="240" applyNumberFormat="1" applyFont="1" applyFill="1"/>
    <xf numFmtId="168" fontId="231" fillId="18" borderId="0" xfId="207" applyNumberFormat="1" applyFont="1" applyFill="1" applyBorder="1" applyAlignment="1">
      <alignment horizontal="right" vertical="center"/>
    </xf>
    <xf numFmtId="192" fontId="87" fillId="18" borderId="0" xfId="0" applyNumberFormat="1" applyFont="1" applyFill="1" applyBorder="1" applyAlignment="1">
      <alignment vertical="center"/>
    </xf>
    <xf numFmtId="9" fontId="231" fillId="18" borderId="0" xfId="240" applyNumberFormat="1" applyFont="1" applyFill="1" applyBorder="1" applyAlignment="1">
      <alignment horizontal="right" vertical="center"/>
    </xf>
    <xf numFmtId="168" fontId="8" fillId="18" borderId="0" xfId="240" applyNumberFormat="1" applyFont="1" applyFill="1" applyBorder="1" applyAlignment="1">
      <alignment horizontal="right" vertical="center"/>
    </xf>
    <xf numFmtId="166" fontId="234" fillId="25" borderId="0" xfId="240" applyNumberFormat="1" applyFont="1" applyFill="1" applyBorder="1" applyAlignment="1">
      <alignment vertical="top"/>
    </xf>
    <xf numFmtId="166" fontId="234" fillId="25" borderId="19" xfId="240" applyNumberFormat="1" applyFont="1" applyFill="1" applyBorder="1" applyAlignment="1">
      <alignment vertical="top"/>
    </xf>
    <xf numFmtId="166" fontId="8" fillId="57" borderId="0" xfId="240" applyNumberFormat="1" applyFont="1" applyFill="1" applyBorder="1" applyAlignment="1">
      <alignment vertical="top"/>
    </xf>
    <xf numFmtId="166" fontId="8" fillId="57" borderId="19" xfId="240" applyNumberFormat="1" applyFont="1" applyFill="1" applyBorder="1" applyAlignment="1">
      <alignment vertical="top"/>
    </xf>
    <xf numFmtId="173" fontId="239" fillId="18" borderId="0" xfId="207" applyNumberFormat="1" applyFont="1" applyFill="1" applyBorder="1" applyAlignment="1">
      <alignment horizontal="right" vertical="center"/>
    </xf>
    <xf numFmtId="168" fontId="239" fillId="18" borderId="0" xfId="207" applyNumberFormat="1" applyFont="1" applyFill="1" applyBorder="1" applyAlignment="1">
      <alignment horizontal="right" vertical="center"/>
    </xf>
    <xf numFmtId="166" fontId="0" fillId="25" borderId="0" xfId="0" applyNumberFormat="1" applyFill="1"/>
    <xf numFmtId="0" fontId="235" fillId="0" borderId="0" xfId="0" applyFont="1" applyFill="1" applyBorder="1" applyAlignment="1">
      <alignment vertical="center"/>
    </xf>
    <xf numFmtId="0" fontId="235" fillId="0" borderId="0" xfId="0" applyFont="1" applyFill="1" applyBorder="1" applyAlignment="1">
      <alignment horizontal="center" vertical="center"/>
    </xf>
    <xf numFmtId="167" fontId="235" fillId="18" borderId="0" xfId="207" applyNumberFormat="1" applyFont="1" applyFill="1" applyBorder="1" applyAlignment="1">
      <alignment vertical="center"/>
    </xf>
    <xf numFmtId="168" fontId="235" fillId="18" borderId="0" xfId="207" applyNumberFormat="1" applyFont="1" applyFill="1" applyBorder="1" applyAlignment="1">
      <alignment vertical="center"/>
    </xf>
    <xf numFmtId="168" fontId="235" fillId="25" borderId="0" xfId="207" applyNumberFormat="1" applyFont="1" applyFill="1" applyBorder="1" applyAlignment="1">
      <alignment vertical="center"/>
    </xf>
    <xf numFmtId="9" fontId="235" fillId="18" borderId="0" xfId="207" applyNumberFormat="1" applyFont="1" applyFill="1" applyBorder="1" applyAlignment="1">
      <alignment horizontal="right" vertical="center"/>
    </xf>
    <xf numFmtId="0" fontId="235" fillId="18" borderId="0" xfId="0" applyFont="1" applyFill="1" applyBorder="1" applyAlignment="1">
      <alignment vertical="center"/>
    </xf>
    <xf numFmtId="168" fontId="238" fillId="57" borderId="0" xfId="207" applyNumberFormat="1" applyFont="1" applyFill="1" applyBorder="1" applyAlignment="1">
      <alignment vertical="center"/>
    </xf>
    <xf numFmtId="173" fontId="239" fillId="18" borderId="0" xfId="0" applyNumberFormat="1" applyFont="1" applyFill="1" applyBorder="1" applyAlignment="1">
      <alignment vertical="center"/>
    </xf>
    <xf numFmtId="173" fontId="233" fillId="18" borderId="0" xfId="207" applyNumberFormat="1" applyFont="1" applyFill="1" applyBorder="1" applyAlignment="1">
      <alignment vertical="center"/>
    </xf>
    <xf numFmtId="171" fontId="20" fillId="61" borderId="0" xfId="0" applyNumberFormat="1" applyFont="1" applyFill="1" applyBorder="1" applyAlignment="1">
      <alignment vertical="center"/>
    </xf>
    <xf numFmtId="0" fontId="8" fillId="18" borderId="0" xfId="207" applyNumberFormat="1" applyFont="1" applyFill="1" applyBorder="1" applyAlignment="1">
      <alignment horizontal="left" indent="1"/>
    </xf>
    <xf numFmtId="9" fontId="8" fillId="59" borderId="0" xfId="240" applyFont="1" applyFill="1"/>
    <xf numFmtId="9" fontId="8" fillId="57" borderId="0" xfId="240" applyFont="1" applyFill="1" applyBorder="1" applyAlignment="1">
      <alignment horizontal="right" vertical="center"/>
    </xf>
    <xf numFmtId="9" fontId="8" fillId="57" borderId="0" xfId="240" applyNumberFormat="1" applyFont="1" applyFill="1" applyBorder="1" applyAlignment="1">
      <alignment vertical="center"/>
    </xf>
    <xf numFmtId="9" fontId="8" fillId="25" borderId="0" xfId="240" applyNumberFormat="1" applyFont="1" applyFill="1" applyBorder="1" applyAlignment="1">
      <alignment vertical="center"/>
    </xf>
    <xf numFmtId="168" fontId="235" fillId="25" borderId="0" xfId="207" applyNumberFormat="1" applyFont="1" applyFill="1" applyBorder="1" applyAlignment="1">
      <alignment horizontal="right" vertical="center"/>
    </xf>
    <xf numFmtId="9" fontId="8" fillId="25" borderId="0" xfId="240" applyNumberFormat="1" applyFont="1" applyFill="1" applyBorder="1" applyAlignment="1">
      <alignment horizontal="right" vertical="center"/>
    </xf>
    <xf numFmtId="9" fontId="59" fillId="25" borderId="19" xfId="240" applyNumberFormat="1" applyFont="1" applyFill="1" applyBorder="1" applyAlignment="1">
      <alignment horizontal="right" vertical="center"/>
    </xf>
    <xf numFmtId="9" fontId="59" fillId="25" borderId="0" xfId="240" applyNumberFormat="1" applyFont="1" applyFill="1" applyBorder="1" applyAlignment="1">
      <alignment horizontal="right" vertical="center"/>
    </xf>
    <xf numFmtId="168" fontId="20" fillId="25" borderId="0" xfId="0" applyNumberFormat="1" applyFont="1" applyFill="1" applyBorder="1" applyAlignment="1">
      <alignment vertical="center"/>
    </xf>
    <xf numFmtId="9" fontId="234" fillId="57" borderId="0" xfId="240" applyFont="1" applyFill="1" applyBorder="1" applyAlignment="1">
      <alignment vertical="center"/>
    </xf>
    <xf numFmtId="9" fontId="234" fillId="25" borderId="0" xfId="240" applyNumberFormat="1" applyFont="1" applyFill="1" applyBorder="1" applyAlignment="1">
      <alignment vertical="center"/>
    </xf>
    <xf numFmtId="9" fontId="234" fillId="18" borderId="0" xfId="240" applyNumberFormat="1" applyFont="1" applyFill="1" applyBorder="1" applyAlignment="1">
      <alignment vertical="center"/>
    </xf>
    <xf numFmtId="168" fontId="8" fillId="25" borderId="0" xfId="0" applyNumberFormat="1" applyFont="1" applyFill="1" applyBorder="1"/>
    <xf numFmtId="0" fontId="8" fillId="18" borderId="0" xfId="207" applyNumberFormat="1" applyFont="1" applyFill="1" applyBorder="1" applyAlignment="1">
      <alignment horizontal="left"/>
    </xf>
    <xf numFmtId="168" fontId="231" fillId="27" borderId="0" xfId="207" applyNumberFormat="1" applyFont="1" applyFill="1" applyBorder="1" applyAlignment="1">
      <alignment horizontal="right" vertical="center"/>
    </xf>
    <xf numFmtId="43" fontId="84" fillId="18" borderId="0" xfId="207" applyNumberFormat="1" applyFont="1" applyFill="1" applyBorder="1"/>
    <xf numFmtId="9" fontId="234" fillId="18" borderId="19" xfId="240" applyFont="1" applyFill="1" applyBorder="1" applyAlignment="1">
      <alignment vertical="center"/>
    </xf>
    <xf numFmtId="9" fontId="234" fillId="18" borderId="0" xfId="240" applyFont="1" applyFill="1" applyBorder="1" applyAlignment="1">
      <alignment vertical="center"/>
    </xf>
    <xf numFmtId="168" fontId="8" fillId="25" borderId="0" xfId="240" applyNumberFormat="1" applyFont="1" applyFill="1" applyBorder="1" applyAlignment="1">
      <alignment horizontal="right" vertical="center"/>
    </xf>
    <xf numFmtId="173" fontId="239" fillId="25" borderId="0" xfId="207" applyNumberFormat="1" applyFont="1" applyFill="1" applyBorder="1" applyAlignment="1">
      <alignment horizontal="right" vertical="center"/>
    </xf>
    <xf numFmtId="37" fontId="239" fillId="18" borderId="0" xfId="0" applyNumberFormat="1" applyFont="1" applyFill="1" applyBorder="1" applyAlignment="1">
      <alignment vertical="center"/>
    </xf>
    <xf numFmtId="37" fontId="239" fillId="18" borderId="19" xfId="0" applyNumberFormat="1" applyFont="1" applyFill="1" applyBorder="1" applyAlignment="1">
      <alignment vertical="center"/>
    </xf>
    <xf numFmtId="168" fontId="88" fillId="18" borderId="0" xfId="207" applyNumberFormat="1" applyFont="1" applyFill="1" applyBorder="1" applyAlignment="1">
      <alignment vertical="center"/>
    </xf>
    <xf numFmtId="10" fontId="8" fillId="26" borderId="0" xfId="240" applyNumberFormat="1" applyFont="1" applyFill="1" applyBorder="1" applyAlignment="1">
      <alignment horizontal="right" vertical="center"/>
    </xf>
    <xf numFmtId="183" fontId="41" fillId="18" borderId="0" xfId="0" applyNumberFormat="1" applyFont="1" applyFill="1" applyBorder="1"/>
    <xf numFmtId="0" fontId="53" fillId="58" borderId="0" xfId="0" applyFont="1" applyFill="1" applyBorder="1" applyAlignment="1">
      <alignment vertical="center"/>
    </xf>
    <xf numFmtId="0" fontId="8" fillId="58" borderId="0" xfId="0" applyFont="1" applyFill="1" applyBorder="1" applyAlignment="1">
      <alignment vertical="center"/>
    </xf>
    <xf numFmtId="0" fontId="52" fillId="58" borderId="0" xfId="0" applyFont="1" applyFill="1" applyBorder="1" applyAlignment="1">
      <alignment horizontal="centerContinuous" vertical="center"/>
    </xf>
    <xf numFmtId="0" fontId="8" fillId="58" borderId="0" xfId="0" applyFont="1" applyFill="1" applyAlignment="1">
      <alignment vertical="center"/>
    </xf>
    <xf numFmtId="0" fontId="45" fillId="58" borderId="0" xfId="0" applyFont="1" applyFill="1" applyBorder="1" applyAlignment="1">
      <alignment horizontal="centerContinuous" vertical="center"/>
    </xf>
    <xf numFmtId="0" fontId="66" fillId="58" borderId="0" xfId="0" applyFont="1" applyFill="1" applyAlignment="1">
      <alignment vertical="center"/>
    </xf>
    <xf numFmtId="188" fontId="52" fillId="58" borderId="0" xfId="0" applyNumberFormat="1" applyFont="1" applyFill="1" applyBorder="1" applyAlignment="1">
      <alignment horizontal="centerContinuous" vertical="center"/>
    </xf>
    <xf numFmtId="176" fontId="52" fillId="58" borderId="0" xfId="0" applyNumberFormat="1" applyFont="1" applyFill="1" applyBorder="1" applyAlignment="1">
      <alignment horizontal="centerContinuous" vertical="center"/>
    </xf>
    <xf numFmtId="176" fontId="52" fillId="58" borderId="19" xfId="0" applyNumberFormat="1" applyFont="1" applyFill="1" applyBorder="1" applyAlignment="1">
      <alignment horizontal="centerContinuous" vertical="center"/>
    </xf>
    <xf numFmtId="0" fontId="53" fillId="58" borderId="13" xfId="0" applyFont="1" applyFill="1" applyBorder="1" applyAlignment="1">
      <alignment vertical="center"/>
    </xf>
    <xf numFmtId="175" fontId="53" fillId="58" borderId="13" xfId="0" applyNumberFormat="1" applyFont="1" applyFill="1" applyBorder="1" applyAlignment="1">
      <alignment horizontal="right" vertical="center"/>
    </xf>
    <xf numFmtId="176" fontId="53" fillId="58" borderId="13" xfId="0" applyNumberFormat="1" applyFont="1" applyFill="1" applyBorder="1" applyAlignment="1">
      <alignment horizontal="right" vertical="center"/>
    </xf>
    <xf numFmtId="176" fontId="20" fillId="58" borderId="13" xfId="0" applyNumberFormat="1" applyFont="1" applyFill="1" applyBorder="1" applyAlignment="1">
      <alignment horizontal="right" vertical="center"/>
    </xf>
    <xf numFmtId="189" fontId="53" fillId="58" borderId="13" xfId="0" applyNumberFormat="1" applyFont="1" applyFill="1" applyBorder="1" applyAlignment="1">
      <alignment horizontal="right" vertical="center"/>
    </xf>
    <xf numFmtId="189" fontId="53" fillId="58" borderId="56" xfId="0" applyNumberFormat="1" applyFont="1" applyFill="1" applyBorder="1" applyAlignment="1">
      <alignment horizontal="right" vertical="center"/>
    </xf>
    <xf numFmtId="189" fontId="53" fillId="58" borderId="26" xfId="0" applyNumberFormat="1" applyFont="1" applyFill="1" applyBorder="1" applyAlignment="1">
      <alignment horizontal="right" vertical="center"/>
    </xf>
    <xf numFmtId="189" fontId="20" fillId="58" borderId="56" xfId="0" applyNumberFormat="1" applyFont="1" applyFill="1" applyBorder="1" applyAlignment="1">
      <alignment horizontal="right" vertical="center"/>
    </xf>
    <xf numFmtId="190" fontId="20" fillId="58" borderId="13" xfId="0" applyNumberFormat="1" applyFont="1" applyFill="1" applyBorder="1" applyAlignment="1">
      <alignment horizontal="right" vertical="center"/>
    </xf>
    <xf numFmtId="190" fontId="53" fillId="58" borderId="13" xfId="0" applyNumberFormat="1" applyFont="1" applyFill="1" applyBorder="1" applyAlignment="1">
      <alignment horizontal="right" vertical="center"/>
    </xf>
    <xf numFmtId="174" fontId="8" fillId="58" borderId="0" xfId="0" applyNumberFormat="1" applyFont="1" applyFill="1" applyAlignment="1">
      <alignment vertical="center"/>
    </xf>
    <xf numFmtId="174" fontId="8" fillId="58" borderId="0" xfId="0" applyNumberFormat="1" applyFont="1" applyFill="1" applyBorder="1" applyAlignment="1">
      <alignment vertical="center"/>
    </xf>
    <xf numFmtId="186" fontId="8" fillId="58" borderId="0" xfId="0" applyNumberFormat="1" applyFont="1" applyFill="1" applyAlignment="1">
      <alignment vertical="center"/>
    </xf>
    <xf numFmtId="186" fontId="8" fillId="58" borderId="0" xfId="0" applyNumberFormat="1" applyFont="1" applyFill="1" applyBorder="1" applyAlignment="1">
      <alignment vertical="center"/>
    </xf>
    <xf numFmtId="186" fontId="8" fillId="58" borderId="19" xfId="0" applyNumberFormat="1" applyFont="1" applyFill="1" applyBorder="1" applyAlignment="1">
      <alignment vertical="center"/>
    </xf>
    <xf numFmtId="0" fontId="230" fillId="54" borderId="0" xfId="0" applyFont="1" applyFill="1" applyAlignment="1">
      <alignment vertical="center"/>
    </xf>
    <xf numFmtId="39" fontId="230" fillId="54" borderId="0" xfId="0" applyNumberFormat="1" applyFont="1" applyFill="1" applyAlignment="1">
      <alignment vertical="center"/>
    </xf>
    <xf numFmtId="39" fontId="230" fillId="54" borderId="0" xfId="0" applyNumberFormat="1" applyFont="1" applyFill="1" applyAlignment="1">
      <alignment horizontal="right" vertical="center"/>
    </xf>
    <xf numFmtId="43" fontId="230" fillId="54" borderId="0" xfId="0" applyNumberFormat="1" applyFont="1" applyFill="1" applyAlignment="1">
      <alignment horizontal="right" vertical="center"/>
    </xf>
    <xf numFmtId="43" fontId="230" fillId="54" borderId="0" xfId="0" applyNumberFormat="1" applyFont="1" applyFill="1" applyBorder="1" applyAlignment="1">
      <alignment horizontal="right" vertical="center"/>
    </xf>
    <xf numFmtId="180" fontId="230" fillId="54" borderId="0" xfId="0" applyNumberFormat="1" applyFont="1" applyFill="1" applyAlignment="1">
      <alignment horizontal="right" vertical="center"/>
    </xf>
    <xf numFmtId="180" fontId="230" fillId="54" borderId="19" xfId="0" applyNumberFormat="1" applyFont="1" applyFill="1" applyBorder="1" applyAlignment="1">
      <alignment horizontal="right" vertical="center"/>
    </xf>
    <xf numFmtId="173" fontId="20" fillId="18" borderId="0" xfId="207" applyNumberFormat="1" applyFont="1" applyFill="1" applyBorder="1" applyAlignment="1">
      <alignment vertical="center"/>
    </xf>
    <xf numFmtId="180" fontId="230" fillId="54" borderId="0" xfId="0" applyNumberFormat="1" applyFont="1" applyFill="1" applyBorder="1" applyAlignment="1">
      <alignment horizontal="right" vertical="center"/>
    </xf>
    <xf numFmtId="168" fontId="231" fillId="25" borderId="0" xfId="207" applyNumberFormat="1" applyFont="1" applyFill="1" applyBorder="1" applyAlignment="1">
      <alignment horizontal="right" vertical="center"/>
    </xf>
    <xf numFmtId="9" fontId="231" fillId="18" borderId="0" xfId="0" applyNumberFormat="1" applyFont="1" applyFill="1" applyBorder="1" applyAlignment="1">
      <alignment vertical="center"/>
    </xf>
    <xf numFmtId="0" fontId="53" fillId="59" borderId="0" xfId="0" applyFont="1" applyFill="1" applyBorder="1" applyAlignment="1">
      <alignment vertical="center"/>
    </xf>
    <xf numFmtId="9" fontId="53" fillId="59" borderId="0" xfId="240" applyFont="1" applyFill="1" applyBorder="1" applyAlignment="1">
      <alignment vertical="center"/>
    </xf>
    <xf numFmtId="168" fontId="41" fillId="25" borderId="0" xfId="0" applyNumberFormat="1" applyFont="1" applyFill="1" applyBorder="1"/>
    <xf numFmtId="168" fontId="53" fillId="18" borderId="0" xfId="0" applyNumberFormat="1" applyFont="1" applyFill="1" applyBorder="1" applyAlignment="1">
      <alignment vertical="center"/>
    </xf>
    <xf numFmtId="168" fontId="46" fillId="18" borderId="0" xfId="0" applyNumberFormat="1" applyFont="1" applyFill="1" applyBorder="1" applyAlignment="1">
      <alignment vertical="center"/>
    </xf>
    <xf numFmtId="168" fontId="101" fillId="18" borderId="0" xfId="0" applyNumberFormat="1" applyFont="1" applyFill="1" applyBorder="1" applyAlignment="1">
      <alignment vertical="center"/>
    </xf>
    <xf numFmtId="168" fontId="47" fillId="18" borderId="0" xfId="0" applyNumberFormat="1" applyFont="1" applyFill="1" applyBorder="1" applyAlignment="1">
      <alignment horizontal="right" vertical="center"/>
    </xf>
    <xf numFmtId="168" fontId="53" fillId="18" borderId="0" xfId="0" applyNumberFormat="1" applyFont="1" applyFill="1" applyBorder="1" applyAlignment="1">
      <alignment horizontal="right" vertical="center"/>
    </xf>
    <xf numFmtId="37" fontId="42" fillId="18" borderId="0" xfId="0" applyNumberFormat="1" applyFont="1" applyFill="1" applyBorder="1" applyAlignment="1">
      <alignment vertical="center"/>
    </xf>
    <xf numFmtId="168" fontId="47" fillId="18" borderId="0" xfId="207" applyNumberFormat="1" applyFont="1" applyFill="1" applyBorder="1" applyAlignment="1">
      <alignment vertical="center"/>
    </xf>
    <xf numFmtId="168" fontId="47" fillId="25" borderId="0" xfId="207" applyNumberFormat="1" applyFont="1" applyFill="1" applyBorder="1" applyAlignment="1">
      <alignment vertical="center"/>
    </xf>
    <xf numFmtId="0" fontId="20" fillId="26" borderId="0" xfId="0" applyFont="1" applyFill="1" applyBorder="1" applyAlignment="1">
      <alignment vertical="center"/>
    </xf>
    <xf numFmtId="0" fontId="260" fillId="25" borderId="0" xfId="0" applyFont="1" applyFill="1" applyBorder="1" applyAlignment="1">
      <alignment vertical="center"/>
    </xf>
    <xf numFmtId="0" fontId="260" fillId="18" borderId="0" xfId="0" applyFont="1" applyFill="1" applyBorder="1" applyAlignment="1">
      <alignment vertical="center"/>
    </xf>
    <xf numFmtId="180" fontId="8" fillId="25" borderId="0" xfId="0" applyNumberFormat="1" applyFont="1" applyFill="1" applyBorder="1" applyAlignment="1">
      <alignment horizontal="right" vertical="center"/>
    </xf>
    <xf numFmtId="43" fontId="8" fillId="25" borderId="19" xfId="207" applyNumberFormat="1" applyFont="1" applyFill="1" applyBorder="1" applyAlignment="1">
      <alignment horizontal="right" vertical="center"/>
    </xf>
    <xf numFmtId="168" fontId="256" fillId="18" borderId="0" xfId="0" applyNumberFormat="1" applyFont="1" applyFill="1" applyBorder="1" applyAlignment="1">
      <alignment vertical="center"/>
    </xf>
    <xf numFmtId="168" fontId="237" fillId="18" borderId="0" xfId="207" applyNumberFormat="1" applyFont="1" applyFill="1" applyBorder="1" applyAlignment="1">
      <alignment vertical="center"/>
    </xf>
    <xf numFmtId="170" fontId="20" fillId="18" borderId="0" xfId="0" applyNumberFormat="1" applyFont="1" applyFill="1" applyBorder="1" applyAlignment="1">
      <alignment vertical="center"/>
    </xf>
    <xf numFmtId="173" fontId="111" fillId="18" borderId="0" xfId="0" applyNumberFormat="1" applyFont="1" applyFill="1" applyBorder="1" applyAlignment="1">
      <alignment vertical="center"/>
    </xf>
    <xf numFmtId="9" fontId="239" fillId="18" borderId="0" xfId="240" applyNumberFormat="1" applyFont="1" applyFill="1" applyBorder="1" applyAlignment="1">
      <alignment horizontal="right" vertical="center"/>
    </xf>
    <xf numFmtId="9" fontId="20" fillId="57" borderId="0" xfId="240" applyNumberFormat="1" applyFont="1" applyFill="1" applyBorder="1" applyAlignment="1">
      <alignment horizontal="right" vertical="center"/>
    </xf>
    <xf numFmtId="166" fontId="57" fillId="18" borderId="0" xfId="240" applyNumberFormat="1" applyFont="1" applyFill="1" applyBorder="1" applyAlignment="1">
      <alignment horizontal="right" vertical="center"/>
    </xf>
    <xf numFmtId="9" fontId="57" fillId="57" borderId="19" xfId="240" applyNumberFormat="1" applyFont="1" applyFill="1" applyBorder="1" applyAlignment="1">
      <alignment horizontal="right" vertical="center"/>
    </xf>
    <xf numFmtId="9" fontId="57" fillId="57" borderId="0" xfId="240" applyNumberFormat="1" applyFont="1" applyFill="1" applyBorder="1" applyAlignment="1">
      <alignment horizontal="right" vertical="center"/>
    </xf>
    <xf numFmtId="37" fontId="53" fillId="18" borderId="0" xfId="207" applyNumberFormat="1" applyFont="1" applyFill="1" applyBorder="1" applyAlignment="1">
      <alignment vertical="center"/>
    </xf>
    <xf numFmtId="168" fontId="53" fillId="56" borderId="0" xfId="207" applyNumberFormat="1" applyFont="1" applyFill="1" applyBorder="1" applyAlignment="1">
      <alignment vertical="center"/>
    </xf>
    <xf numFmtId="0" fontId="66" fillId="56" borderId="0" xfId="0" applyFont="1" applyFill="1" applyBorder="1" applyAlignment="1">
      <alignment vertical="center"/>
    </xf>
    <xf numFmtId="167" fontId="53" fillId="56" borderId="0" xfId="207" applyNumberFormat="1" applyFont="1" applyFill="1" applyBorder="1" applyAlignment="1">
      <alignment vertical="center"/>
    </xf>
    <xf numFmtId="168" fontId="111" fillId="56" borderId="0" xfId="207" applyNumberFormat="1" applyFont="1" applyFill="1" applyBorder="1" applyAlignment="1">
      <alignment vertical="center"/>
    </xf>
    <xf numFmtId="168" fontId="20" fillId="56" borderId="0" xfId="207" applyNumberFormat="1" applyFont="1" applyFill="1" applyBorder="1" applyAlignment="1">
      <alignment vertical="center"/>
    </xf>
    <xf numFmtId="170" fontId="53" fillId="56" borderId="0" xfId="0" applyNumberFormat="1" applyFont="1" applyFill="1" applyBorder="1" applyAlignment="1">
      <alignment vertical="center"/>
    </xf>
    <xf numFmtId="170" fontId="68" fillId="56" borderId="0" xfId="0" applyNumberFormat="1" applyFont="1" applyFill="1" applyBorder="1" applyAlignment="1">
      <alignment vertical="center"/>
    </xf>
    <xf numFmtId="3" fontId="8" fillId="25" borderId="0" xfId="0" applyNumberFormat="1" applyFont="1" applyFill="1"/>
    <xf numFmtId="3" fontId="8" fillId="25" borderId="0" xfId="0" applyNumberFormat="1" applyFont="1" applyFill="1" applyBorder="1"/>
    <xf numFmtId="0" fontId="20" fillId="59" borderId="0" xfId="0" applyFont="1" applyFill="1" applyBorder="1" applyAlignment="1">
      <alignment vertical="center"/>
    </xf>
    <xf numFmtId="164" fontId="20" fillId="59" borderId="0" xfId="0" applyNumberFormat="1" applyFont="1" applyFill="1" applyBorder="1" applyAlignment="1">
      <alignment vertical="center"/>
    </xf>
    <xf numFmtId="164" fontId="53" fillId="59" borderId="0" xfId="0" applyNumberFormat="1" applyFont="1" applyFill="1" applyBorder="1" applyAlignment="1">
      <alignment vertical="center"/>
    </xf>
    <xf numFmtId="166" fontId="53" fillId="59" borderId="0" xfId="240" applyNumberFormat="1" applyFont="1" applyFill="1" applyBorder="1" applyAlignment="1">
      <alignment vertical="center"/>
    </xf>
    <xf numFmtId="0" fontId="8" fillId="59" borderId="0" xfId="0" applyFont="1" applyFill="1" applyBorder="1" applyAlignment="1">
      <alignment vertical="center"/>
    </xf>
    <xf numFmtId="0" fontId="21" fillId="59" borderId="0" xfId="0" applyFont="1" applyFill="1" applyBorder="1" applyAlignment="1">
      <alignment vertical="center"/>
    </xf>
    <xf numFmtId="0" fontId="53" fillId="88" borderId="0" xfId="0" applyFont="1" applyFill="1" applyBorder="1" applyAlignment="1">
      <alignment vertical="center"/>
    </xf>
    <xf numFmtId="168" fontId="87" fillId="88" borderId="0" xfId="207" applyNumberFormat="1" applyFont="1" applyFill="1" applyBorder="1" applyAlignment="1">
      <alignment vertical="center"/>
    </xf>
    <xf numFmtId="168" fontId="233" fillId="88" borderId="0" xfId="207" applyNumberFormat="1" applyFont="1" applyFill="1" applyBorder="1" applyAlignment="1">
      <alignment vertical="center"/>
    </xf>
    <xf numFmtId="9" fontId="20" fillId="88" borderId="0" xfId="0" applyNumberFormat="1" applyFont="1" applyFill="1" applyBorder="1" applyAlignment="1">
      <alignment horizontal="right" vertical="center"/>
    </xf>
    <xf numFmtId="0" fontId="68" fillId="88" borderId="0" xfId="0" applyFont="1" applyFill="1" applyBorder="1" applyAlignment="1">
      <alignment vertical="center"/>
    </xf>
    <xf numFmtId="192" fontId="87" fillId="88" borderId="0" xfId="0" applyNumberFormat="1" applyFont="1" applyFill="1" applyBorder="1" applyAlignment="1">
      <alignment vertical="center"/>
    </xf>
    <xf numFmtId="166" fontId="231" fillId="25" borderId="0" xfId="240" applyNumberFormat="1" applyFont="1" applyFill="1" applyBorder="1" applyAlignment="1">
      <alignment horizontal="right" vertical="center"/>
    </xf>
    <xf numFmtId="0" fontId="8" fillId="25" borderId="0" xfId="0" applyFont="1" applyFill="1" applyBorder="1" applyAlignment="1">
      <alignment horizontal="left" vertical="center" indent="2"/>
    </xf>
    <xf numFmtId="168" fontId="231" fillId="25" borderId="0" xfId="0" applyNumberFormat="1" applyFont="1" applyFill="1" applyBorder="1" applyAlignment="1">
      <alignment vertical="center"/>
    </xf>
    <xf numFmtId="37" fontId="231" fillId="25" borderId="0" xfId="0" applyNumberFormat="1" applyFont="1" applyFill="1" applyBorder="1" applyAlignment="1">
      <alignment vertical="center"/>
    </xf>
    <xf numFmtId="168" fontId="231" fillId="18" borderId="0" xfId="0" applyNumberFormat="1" applyFont="1" applyFill="1" applyBorder="1" applyAlignment="1">
      <alignment horizontal="right" vertical="center"/>
    </xf>
    <xf numFmtId="168" fontId="231" fillId="18" borderId="0" xfId="0" applyNumberFormat="1" applyFont="1" applyFill="1" applyBorder="1" applyAlignment="1">
      <alignment vertical="center"/>
    </xf>
    <xf numFmtId="168" fontId="231" fillId="25" borderId="0" xfId="0" applyNumberFormat="1" applyFont="1" applyFill="1" applyBorder="1" applyAlignment="1">
      <alignment horizontal="right" vertical="center"/>
    </xf>
    <xf numFmtId="168" fontId="231" fillId="18" borderId="0" xfId="207" applyNumberFormat="1" applyFont="1" applyFill="1" applyBorder="1" applyAlignment="1">
      <alignment vertical="center"/>
    </xf>
    <xf numFmtId="168" fontId="231" fillId="18" borderId="0" xfId="0" applyNumberFormat="1" applyFont="1" applyFill="1" applyAlignment="1">
      <alignment vertical="center"/>
    </xf>
    <xf numFmtId="168" fontId="258" fillId="0" borderId="0" xfId="0" applyNumberFormat="1" applyFont="1" applyBorder="1"/>
    <xf numFmtId="37" fontId="231" fillId="18" borderId="0" xfId="0" applyNumberFormat="1" applyFont="1" applyFill="1" applyBorder="1" applyAlignment="1">
      <alignment vertical="center"/>
    </xf>
    <xf numFmtId="0" fontId="52" fillId="58" borderId="0" xfId="0" applyFont="1" applyFill="1" applyBorder="1" applyAlignment="1">
      <alignment vertical="center"/>
    </xf>
    <xf numFmtId="37" fontId="231" fillId="18" borderId="0" xfId="207" applyNumberFormat="1" applyFont="1" applyFill="1" applyBorder="1" applyAlignment="1">
      <alignment vertical="center"/>
    </xf>
    <xf numFmtId="37" fontId="237" fillId="18" borderId="0" xfId="0" applyNumberFormat="1" applyFont="1" applyFill="1" applyBorder="1" applyAlignment="1">
      <alignment vertical="center"/>
    </xf>
    <xf numFmtId="168" fontId="231" fillId="18" borderId="0" xfId="207" applyNumberFormat="1" applyFont="1" applyFill="1"/>
    <xf numFmtId="167" fontId="239" fillId="88" borderId="0" xfId="207" applyNumberFormat="1" applyFont="1" applyFill="1" applyBorder="1" applyAlignment="1">
      <alignment vertical="center"/>
    </xf>
    <xf numFmtId="0" fontId="20" fillId="58" borderId="0" xfId="0" applyFont="1" applyFill="1" applyBorder="1" applyAlignment="1">
      <alignment vertical="center"/>
    </xf>
    <xf numFmtId="37" fontId="231" fillId="25" borderId="0" xfId="207" applyNumberFormat="1" applyFont="1" applyFill="1" applyBorder="1" applyAlignment="1">
      <alignment vertical="center"/>
    </xf>
    <xf numFmtId="168" fontId="239" fillId="88" borderId="0" xfId="207" applyNumberFormat="1" applyFont="1" applyFill="1" applyBorder="1" applyAlignment="1">
      <alignment vertical="center"/>
    </xf>
    <xf numFmtId="170" fontId="231" fillId="18" borderId="0" xfId="0" applyNumberFormat="1" applyFont="1" applyFill="1" applyAlignment="1">
      <alignment horizontal="right" vertical="center"/>
    </xf>
    <xf numFmtId="168" fontId="231" fillId="18" borderId="0" xfId="0" applyNumberFormat="1" applyFont="1" applyFill="1" applyAlignment="1">
      <alignment horizontal="right" vertical="center"/>
    </xf>
    <xf numFmtId="168" fontId="239" fillId="18" borderId="0" xfId="0" applyNumberFormat="1" applyFont="1" applyFill="1" applyBorder="1" applyAlignment="1">
      <alignment vertical="center"/>
    </xf>
    <xf numFmtId="168" fontId="231" fillId="18" borderId="19" xfId="207" applyNumberFormat="1" applyFont="1" applyFill="1" applyBorder="1" applyAlignment="1">
      <alignment horizontal="right" vertical="center"/>
    </xf>
    <xf numFmtId="168" fontId="256" fillId="26" borderId="0" xfId="0" applyNumberFormat="1" applyFont="1" applyFill="1" applyBorder="1" applyAlignment="1">
      <alignment vertical="center"/>
    </xf>
    <xf numFmtId="168" fontId="231" fillId="26" borderId="0" xfId="0" applyNumberFormat="1" applyFont="1" applyFill="1" applyBorder="1" applyAlignment="1">
      <alignment vertical="center"/>
    </xf>
    <xf numFmtId="168" fontId="231" fillId="26" borderId="0" xfId="207" applyNumberFormat="1" applyFont="1" applyFill="1" applyBorder="1" applyAlignment="1">
      <alignment vertical="center"/>
    </xf>
    <xf numFmtId="3" fontId="44" fillId="18" borderId="0" xfId="0" applyNumberFormat="1" applyFont="1" applyFill="1" applyBorder="1" applyAlignment="1">
      <alignment vertical="center"/>
    </xf>
    <xf numFmtId="3" fontId="55" fillId="18" borderId="0" xfId="0" applyNumberFormat="1" applyFont="1" applyFill="1" applyBorder="1" applyAlignment="1">
      <alignment vertical="center"/>
    </xf>
    <xf numFmtId="3" fontId="44" fillId="18" borderId="19" xfId="0" applyNumberFormat="1" applyFont="1" applyFill="1" applyBorder="1" applyAlignment="1">
      <alignment vertical="center"/>
    </xf>
    <xf numFmtId="0" fontId="44" fillId="18" borderId="0" xfId="0" applyFont="1" applyFill="1" applyBorder="1" applyAlignment="1">
      <alignment vertical="center"/>
    </xf>
    <xf numFmtId="9" fontId="237" fillId="18" borderId="0" xfId="240" applyFont="1" applyFill="1" applyBorder="1" applyAlignment="1">
      <alignment vertical="center"/>
    </xf>
    <xf numFmtId="9" fontId="237" fillId="18" borderId="19" xfId="240" applyFont="1" applyFill="1" applyBorder="1" applyAlignment="1">
      <alignment vertical="center"/>
    </xf>
    <xf numFmtId="168" fontId="239" fillId="18" borderId="0" xfId="207" applyNumberFormat="1" applyFont="1" applyFill="1" applyBorder="1" applyAlignment="1">
      <alignment vertical="center"/>
    </xf>
    <xf numFmtId="168" fontId="239" fillId="18" borderId="19" xfId="207" applyNumberFormat="1" applyFont="1" applyFill="1" applyBorder="1" applyAlignment="1">
      <alignment vertical="center"/>
    </xf>
    <xf numFmtId="168" fontId="231" fillId="18" borderId="0" xfId="207" applyNumberFormat="1" applyFont="1" applyFill="1" applyAlignment="1">
      <alignment horizontal="right" vertical="center"/>
    </xf>
    <xf numFmtId="0" fontId="257" fillId="0" borderId="0" xfId="0" applyFont="1" applyFill="1" applyBorder="1"/>
    <xf numFmtId="0" fontId="235" fillId="18" borderId="0" xfId="0" quotePrefix="1" applyFont="1" applyFill="1" applyBorder="1" applyAlignment="1">
      <alignment horizontal="left" vertical="center"/>
    </xf>
    <xf numFmtId="168" fontId="235" fillId="18" borderId="0" xfId="0" applyNumberFormat="1" applyFont="1" applyFill="1" applyBorder="1" applyAlignment="1">
      <alignment vertical="center"/>
    </xf>
    <xf numFmtId="0" fontId="257" fillId="18" borderId="0" xfId="0" applyFont="1" applyFill="1" applyBorder="1"/>
    <xf numFmtId="0" fontId="257" fillId="20" borderId="0" xfId="0" applyFont="1" applyFill="1" applyBorder="1"/>
    <xf numFmtId="10" fontId="8" fillId="18" borderId="0" xfId="0" applyNumberFormat="1" applyFont="1" applyFill="1" applyAlignment="1">
      <alignment horizontal="right" vertical="center"/>
    </xf>
    <xf numFmtId="191" fontId="8" fillId="18" borderId="0" xfId="0" applyNumberFormat="1" applyFont="1" applyFill="1" applyAlignment="1">
      <alignment horizontal="right" vertical="center"/>
    </xf>
    <xf numFmtId="191" fontId="8" fillId="18" borderId="0" xfId="0" applyNumberFormat="1" applyFont="1" applyFill="1" applyBorder="1" applyAlignment="1">
      <alignment horizontal="right" vertical="center"/>
    </xf>
    <xf numFmtId="10" fontId="56" fillId="18" borderId="0" xfId="240" applyNumberFormat="1" applyFont="1" applyFill="1" applyBorder="1" applyAlignment="1">
      <alignment horizontal="right" vertical="center"/>
    </xf>
    <xf numFmtId="10" fontId="56" fillId="18" borderId="19" xfId="240" applyNumberFormat="1" applyFont="1" applyFill="1" applyBorder="1" applyAlignment="1">
      <alignment horizontal="right" vertical="center"/>
    </xf>
    <xf numFmtId="10" fontId="8" fillId="25" borderId="0" xfId="240" applyNumberFormat="1" applyFont="1" applyFill="1" applyBorder="1" applyAlignment="1">
      <alignment horizontal="right" vertical="center"/>
    </xf>
    <xf numFmtId="37" fontId="8" fillId="18" borderId="0" xfId="240" applyNumberFormat="1" applyFont="1" applyFill="1" applyBorder="1" applyAlignment="1">
      <alignment horizontal="right" vertical="center"/>
    </xf>
    <xf numFmtId="37" fontId="56" fillId="18" borderId="0" xfId="240" applyNumberFormat="1" applyFont="1" applyFill="1" applyBorder="1" applyAlignment="1">
      <alignment horizontal="right" vertical="center"/>
    </xf>
    <xf numFmtId="166" fontId="8" fillId="57" borderId="0" xfId="0" applyNumberFormat="1" applyFont="1" applyFill="1" applyAlignment="1">
      <alignment vertical="center"/>
    </xf>
    <xf numFmtId="37" fontId="47" fillId="18" borderId="0" xfId="0" applyNumberFormat="1" applyFont="1" applyFill="1" applyBorder="1" applyAlignment="1">
      <alignment vertical="center"/>
    </xf>
    <xf numFmtId="164" fontId="47" fillId="18" borderId="0" xfId="0" applyNumberFormat="1" applyFont="1" applyFill="1" applyBorder="1" applyAlignment="1">
      <alignment vertical="center"/>
    </xf>
    <xf numFmtId="168" fontId="20" fillId="18" borderId="19" xfId="0" applyNumberFormat="1" applyFont="1" applyFill="1" applyBorder="1" applyAlignment="1">
      <alignment vertical="center"/>
    </xf>
    <xf numFmtId="168" fontId="237" fillId="18" borderId="0" xfId="207" applyNumberFormat="1" applyFont="1" applyFill="1" applyBorder="1" applyAlignment="1">
      <alignment horizontal="right" vertical="center"/>
    </xf>
    <xf numFmtId="168" fontId="237" fillId="18" borderId="0" xfId="0" applyNumberFormat="1" applyFont="1" applyFill="1" applyBorder="1" applyAlignment="1">
      <alignment vertical="center"/>
    </xf>
    <xf numFmtId="168" fontId="20" fillId="18" borderId="0" xfId="240" applyNumberFormat="1" applyFont="1" applyFill="1" applyBorder="1"/>
    <xf numFmtId="0" fontId="123" fillId="0" borderId="0" xfId="0" applyFont="1" applyFill="1" applyBorder="1" applyAlignment="1">
      <alignment horizontal="right" vertical="center"/>
    </xf>
    <xf numFmtId="164" fontId="98" fillId="18" borderId="0" xfId="207" applyNumberFormat="1" applyFont="1" applyFill="1" applyBorder="1"/>
    <xf numFmtId="164" fontId="98" fillId="25" borderId="0" xfId="0" applyNumberFormat="1" applyFont="1" applyFill="1" applyBorder="1" applyAlignment="1">
      <alignment vertical="center"/>
    </xf>
    <xf numFmtId="173" fontId="256" fillId="18" borderId="0" xfId="0" applyNumberFormat="1" applyFont="1" applyFill="1" applyBorder="1" applyAlignment="1">
      <alignment vertical="center"/>
    </xf>
    <xf numFmtId="173" fontId="256" fillId="18" borderId="0" xfId="207" applyNumberFormat="1" applyFont="1" applyFill="1" applyBorder="1" applyAlignment="1">
      <alignment vertical="center"/>
    </xf>
    <xf numFmtId="173" fontId="231" fillId="18" borderId="19" xfId="0" applyNumberFormat="1" applyFont="1" applyFill="1" applyBorder="1" applyAlignment="1">
      <alignment vertical="center"/>
    </xf>
    <xf numFmtId="173" fontId="231" fillId="18" borderId="0" xfId="0" applyNumberFormat="1" applyFont="1" applyFill="1" applyBorder="1" applyAlignment="1">
      <alignment horizontal="right" vertical="center"/>
    </xf>
    <xf numFmtId="173" fontId="231" fillId="18" borderId="19" xfId="0" applyNumberFormat="1" applyFont="1" applyFill="1" applyBorder="1" applyAlignment="1">
      <alignment horizontal="right" vertical="center"/>
    </xf>
    <xf numFmtId="168" fontId="231" fillId="25" borderId="19" xfId="207" applyNumberFormat="1" applyFont="1" applyFill="1" applyBorder="1" applyAlignment="1">
      <alignment horizontal="right" vertical="center"/>
    </xf>
    <xf numFmtId="9" fontId="231" fillId="18" borderId="19" xfId="0" applyNumberFormat="1" applyFont="1" applyFill="1" applyBorder="1" applyAlignment="1">
      <alignment vertical="center"/>
    </xf>
    <xf numFmtId="37" fontId="231" fillId="18" borderId="0" xfId="0" applyNumberFormat="1" applyFont="1" applyFill="1" applyBorder="1" applyAlignment="1">
      <alignment horizontal="right"/>
    </xf>
    <xf numFmtId="9" fontId="98" fillId="18" borderId="0" xfId="0" applyNumberFormat="1" applyFont="1" applyFill="1" applyBorder="1"/>
    <xf numFmtId="168" fontId="231" fillId="18" borderId="19" xfId="207" applyNumberFormat="1" applyFont="1" applyFill="1" applyBorder="1" applyAlignment="1">
      <alignment vertical="center"/>
    </xf>
    <xf numFmtId="168" fontId="237" fillId="25" borderId="0" xfId="207" applyNumberFormat="1" applyFont="1" applyFill="1" applyBorder="1" applyAlignment="1">
      <alignment horizontal="right" vertical="center"/>
    </xf>
    <xf numFmtId="166" fontId="239" fillId="25" borderId="0" xfId="240" applyNumberFormat="1" applyFont="1" applyFill="1" applyBorder="1" applyAlignment="1">
      <alignment horizontal="right" vertical="center"/>
    </xf>
    <xf numFmtId="37" fontId="231" fillId="25" borderId="0" xfId="0" applyNumberFormat="1" applyFont="1" applyFill="1" applyBorder="1" applyAlignment="1">
      <alignment horizontal="right" vertical="center"/>
    </xf>
    <xf numFmtId="168" fontId="258" fillId="18" borderId="0" xfId="0" applyNumberFormat="1" applyFont="1" applyFill="1" applyBorder="1"/>
    <xf numFmtId="168" fontId="260" fillId="18" borderId="0" xfId="0" applyNumberFormat="1" applyFont="1" applyFill="1" applyBorder="1" applyAlignment="1">
      <alignment vertical="center"/>
    </xf>
    <xf numFmtId="37" fontId="239" fillId="25" borderId="0" xfId="0" applyNumberFormat="1" applyFont="1" applyFill="1" applyBorder="1" applyAlignment="1">
      <alignment vertical="center"/>
    </xf>
    <xf numFmtId="37" fontId="231" fillId="25" borderId="0" xfId="207" applyNumberFormat="1" applyFont="1" applyFill="1"/>
    <xf numFmtId="10" fontId="8" fillId="25" borderId="0" xfId="240" applyNumberFormat="1" applyFont="1" applyFill="1" applyAlignment="1">
      <alignment vertical="center"/>
    </xf>
    <xf numFmtId="166" fontId="66" fillId="25" borderId="0" xfId="240" applyNumberFormat="1" applyFont="1" applyFill="1" applyBorder="1" applyAlignment="1">
      <alignment horizontal="right" vertical="center"/>
    </xf>
    <xf numFmtId="0" fontId="20" fillId="18" borderId="0" xfId="0" applyFont="1" applyFill="1" applyAlignment="1">
      <alignment horizontal="left" vertical="center" indent="2"/>
    </xf>
    <xf numFmtId="10" fontId="68" fillId="18" borderId="0" xfId="240" applyNumberFormat="1" applyFont="1" applyFill="1" applyBorder="1" applyAlignment="1">
      <alignment horizontal="right" vertical="center"/>
    </xf>
    <xf numFmtId="168" fontId="20" fillId="25" borderId="0" xfId="240" applyNumberFormat="1" applyFont="1" applyFill="1" applyBorder="1" applyAlignment="1">
      <alignment horizontal="right" vertical="center"/>
    </xf>
    <xf numFmtId="168" fontId="20" fillId="18" borderId="0" xfId="240" applyNumberFormat="1" applyFont="1" applyFill="1" applyBorder="1" applyAlignment="1">
      <alignment horizontal="right" vertical="center"/>
    </xf>
    <xf numFmtId="168" fontId="233" fillId="18" borderId="0" xfId="207" applyNumberFormat="1" applyFont="1" applyFill="1" applyBorder="1" applyAlignment="1">
      <alignment horizontal="right" vertical="center"/>
    </xf>
    <xf numFmtId="168" fontId="111" fillId="18" borderId="0" xfId="0" applyNumberFormat="1" applyFont="1" applyFill="1" applyBorder="1" applyAlignment="1">
      <alignment vertical="center"/>
    </xf>
    <xf numFmtId="168" fontId="20" fillId="88" borderId="0" xfId="207" applyNumberFormat="1" applyFont="1" applyFill="1" applyBorder="1" applyAlignment="1">
      <alignment vertical="center"/>
    </xf>
    <xf numFmtId="173" fontId="234" fillId="18" borderId="19" xfId="0" applyNumberFormat="1" applyFont="1" applyFill="1" applyBorder="1" applyAlignment="1">
      <alignment horizontal="right" vertical="center"/>
    </xf>
    <xf numFmtId="173" fontId="234" fillId="18" borderId="0" xfId="0" applyNumberFormat="1" applyFont="1" applyFill="1" applyBorder="1" applyAlignment="1">
      <alignment horizontal="right" vertical="center"/>
    </xf>
    <xf numFmtId="168" fontId="256" fillId="88" borderId="0" xfId="207" applyNumberFormat="1" applyFont="1" applyFill="1" applyBorder="1" applyAlignment="1">
      <alignment vertical="center"/>
    </xf>
    <xf numFmtId="37" fontId="20" fillId="57" borderId="0" xfId="0" applyNumberFormat="1" applyFont="1" applyFill="1" applyBorder="1" applyAlignment="1">
      <alignment horizontal="right" vertical="center"/>
    </xf>
    <xf numFmtId="37" fontId="115" fillId="18" borderId="0" xfId="0" applyNumberFormat="1" applyFont="1" applyFill="1" applyBorder="1" applyAlignment="1">
      <alignment vertical="center"/>
    </xf>
    <xf numFmtId="37" fontId="233" fillId="18" borderId="0" xfId="0" applyNumberFormat="1" applyFont="1" applyFill="1" applyAlignment="1">
      <alignment vertical="center"/>
    </xf>
    <xf numFmtId="0" fontId="20" fillId="88" borderId="0" xfId="0" applyFont="1" applyFill="1" applyBorder="1" applyAlignment="1">
      <alignment vertical="center"/>
    </xf>
    <xf numFmtId="168" fontId="20" fillId="18" borderId="0" xfId="0" applyNumberFormat="1" applyFont="1" applyFill="1" applyAlignment="1">
      <alignment horizontal="right" vertical="center"/>
    </xf>
    <xf numFmtId="168" fontId="20" fillId="18" borderId="0" xfId="207" applyNumberFormat="1" applyFont="1" applyFill="1" applyAlignment="1">
      <alignment horizontal="right" vertical="center"/>
    </xf>
    <xf numFmtId="0" fontId="54" fillId="18" borderId="0" xfId="0" applyFont="1" applyFill="1" applyBorder="1" applyAlignment="1">
      <alignment vertical="center"/>
    </xf>
    <xf numFmtId="164" fontId="54" fillId="18" borderId="0" xfId="0" applyNumberFormat="1" applyFont="1" applyFill="1" applyBorder="1" applyAlignment="1">
      <alignment vertical="center"/>
    </xf>
    <xf numFmtId="166" fontId="60" fillId="18" borderId="0" xfId="240" applyNumberFormat="1" applyFont="1" applyFill="1" applyBorder="1" applyAlignment="1">
      <alignment vertical="center"/>
    </xf>
    <xf numFmtId="0" fontId="68" fillId="0" borderId="0" xfId="0" applyFont="1" applyFill="1" applyBorder="1" applyAlignment="1">
      <alignment horizontal="center" vertical="center"/>
    </xf>
    <xf numFmtId="168" fontId="20" fillId="18" borderId="0" xfId="0" applyNumberFormat="1" applyFont="1" applyFill="1" applyAlignment="1">
      <alignment vertical="center"/>
    </xf>
    <xf numFmtId="9" fontId="20" fillId="18" borderId="0" xfId="240" applyFont="1" applyFill="1" applyAlignment="1">
      <alignment vertical="center"/>
    </xf>
    <xf numFmtId="0" fontId="21" fillId="20" borderId="0" xfId="0" applyFont="1" applyFill="1"/>
    <xf numFmtId="0" fontId="8" fillId="18" borderId="0" xfId="0" applyFont="1" applyFill="1" applyBorder="1" applyAlignment="1">
      <alignment horizontal="left" vertical="center" indent="3"/>
    </xf>
    <xf numFmtId="0" fontId="89" fillId="25" borderId="0" xfId="0" applyFont="1" applyFill="1" applyAlignment="1">
      <alignment vertical="center"/>
    </xf>
    <xf numFmtId="37" fontId="231" fillId="25" borderId="0" xfId="0" applyNumberFormat="1" applyFont="1" applyFill="1" applyBorder="1"/>
    <xf numFmtId="168" fontId="239" fillId="25" borderId="0" xfId="207" applyNumberFormat="1" applyFont="1" applyFill="1" applyBorder="1" applyAlignment="1">
      <alignment horizontal="left" vertical="center"/>
    </xf>
    <xf numFmtId="168" fontId="231" fillId="25" borderId="0" xfId="207" applyNumberFormat="1" applyFont="1" applyFill="1" applyBorder="1" applyAlignment="1">
      <alignment vertical="center"/>
    </xf>
    <xf numFmtId="168" fontId="239" fillId="25" borderId="0" xfId="207" applyNumberFormat="1" applyFont="1" applyFill="1" applyBorder="1" applyAlignment="1">
      <alignment vertical="center"/>
    </xf>
    <xf numFmtId="1" fontId="20" fillId="18" borderId="13" xfId="0" applyNumberFormat="1" applyFont="1" applyFill="1" applyBorder="1" applyAlignment="1">
      <alignment horizontal="right" vertical="center"/>
    </xf>
    <xf numFmtId="178" fontId="8" fillId="25" borderId="0" xfId="0" applyNumberFormat="1" applyFont="1" applyFill="1" applyBorder="1" applyAlignment="1">
      <alignment horizontal="right" vertical="center"/>
    </xf>
    <xf numFmtId="0" fontId="46" fillId="26" borderId="0" xfId="0" applyFont="1" applyFill="1" applyBorder="1" applyAlignment="1">
      <alignment vertical="center"/>
    </xf>
    <xf numFmtId="164" fontId="46" fillId="26" borderId="0" xfId="0" applyNumberFormat="1" applyFont="1" applyFill="1" applyBorder="1" applyAlignment="1">
      <alignment vertical="center"/>
    </xf>
    <xf numFmtId="168" fontId="8" fillId="26" borderId="0" xfId="240" applyNumberFormat="1" applyFont="1" applyFill="1" applyBorder="1" applyAlignment="1">
      <alignment vertical="center"/>
    </xf>
    <xf numFmtId="9" fontId="8" fillId="26" borderId="0" xfId="240" applyFont="1" applyFill="1" applyBorder="1" applyAlignment="1">
      <alignment vertical="center"/>
    </xf>
    <xf numFmtId="168" fontId="8" fillId="26" borderId="0" xfId="207" applyNumberFormat="1" applyFont="1" applyFill="1" applyBorder="1" applyAlignment="1">
      <alignment vertical="center"/>
    </xf>
    <xf numFmtId="168" fontId="8" fillId="26" borderId="0" xfId="0" applyNumberFormat="1" applyFont="1" applyFill="1" applyBorder="1" applyAlignment="1">
      <alignment vertical="center"/>
    </xf>
    <xf numFmtId="166" fontId="8" fillId="26" borderId="0" xfId="240" applyNumberFormat="1" applyFont="1" applyFill="1" applyBorder="1" applyAlignment="1">
      <alignment vertical="center"/>
    </xf>
    <xf numFmtId="166" fontId="20" fillId="26" borderId="0" xfId="240" applyNumberFormat="1" applyFont="1" applyFill="1" applyBorder="1" applyAlignment="1">
      <alignment vertical="center"/>
    </xf>
    <xf numFmtId="0" fontId="21" fillId="58" borderId="0" xfId="0" applyFont="1" applyFill="1" applyBorder="1" applyAlignment="1">
      <alignment vertical="center"/>
    </xf>
    <xf numFmtId="0" fontId="8" fillId="18" borderId="0" xfId="207" applyNumberFormat="1" applyFont="1" applyFill="1" applyBorder="1" applyAlignment="1">
      <alignment horizontal="left" indent="2"/>
    </xf>
    <xf numFmtId="37" fontId="234" fillId="25" borderId="0" xfId="207" applyNumberFormat="1" applyFont="1" applyFill="1" applyBorder="1" applyAlignment="1">
      <alignment vertical="center"/>
    </xf>
    <xf numFmtId="37" fontId="133" fillId="25" borderId="0" xfId="0" applyNumberFormat="1" applyFont="1" applyFill="1" applyBorder="1" applyAlignment="1">
      <alignment vertical="center"/>
    </xf>
    <xf numFmtId="0" fontId="53" fillId="25" borderId="0" xfId="0" applyFont="1" applyFill="1" applyBorder="1" applyAlignment="1">
      <alignment horizontal="center"/>
    </xf>
    <xf numFmtId="164" fontId="20" fillId="25" borderId="0" xfId="0" applyNumberFormat="1" applyFont="1" applyFill="1" applyBorder="1" applyAlignment="1">
      <alignment vertical="center"/>
    </xf>
    <xf numFmtId="37" fontId="41" fillId="18" borderId="0" xfId="0" applyNumberFormat="1" applyFont="1" applyFill="1"/>
    <xf numFmtId="9" fontId="60" fillId="25" borderId="0" xfId="0" applyNumberFormat="1" applyFont="1" applyFill="1" applyBorder="1" applyAlignment="1">
      <alignment horizontal="right" vertical="center"/>
    </xf>
    <xf numFmtId="164" fontId="60" fillId="0" borderId="0" xfId="0" applyNumberFormat="1" applyFont="1" applyFill="1" applyBorder="1" applyAlignment="1">
      <alignment vertical="center"/>
    </xf>
    <xf numFmtId="164" fontId="46" fillId="18" borderId="19" xfId="0" applyNumberFormat="1" applyFont="1" applyFill="1" applyBorder="1" applyAlignment="1">
      <alignment vertical="center"/>
    </xf>
    <xf numFmtId="37" fontId="102" fillId="25" borderId="0" xfId="0" applyNumberFormat="1" applyFont="1" applyFill="1" applyBorder="1" applyAlignment="1">
      <alignment vertical="center"/>
    </xf>
    <xf numFmtId="37" fontId="98" fillId="25" borderId="0" xfId="207" applyNumberFormat="1" applyFont="1" applyFill="1" applyBorder="1"/>
    <xf numFmtId="37" fontId="41" fillId="18" borderId="0" xfId="0" applyNumberFormat="1" applyFont="1" applyFill="1" applyBorder="1"/>
    <xf numFmtId="43" fontId="8" fillId="18" borderId="0" xfId="0" applyNumberFormat="1" applyFont="1" applyFill="1" applyBorder="1" applyAlignment="1">
      <alignment vertical="center"/>
    </xf>
    <xf numFmtId="37" fontId="47" fillId="25" borderId="0" xfId="0" applyNumberFormat="1" applyFont="1" applyFill="1" applyBorder="1" applyAlignment="1">
      <alignment horizontal="right" vertical="center"/>
    </xf>
    <xf numFmtId="164" fontId="0" fillId="18" borderId="0" xfId="0" applyNumberFormat="1" applyFill="1" applyBorder="1"/>
    <xf numFmtId="37" fontId="20" fillId="25" borderId="0" xfId="0" applyNumberFormat="1" applyFont="1" applyFill="1" applyBorder="1" applyAlignment="1">
      <alignment horizontal="right" vertical="center"/>
    </xf>
    <xf numFmtId="167" fontId="72" fillId="18" borderId="0" xfId="207" applyNumberFormat="1" applyFont="1" applyFill="1" applyBorder="1" applyAlignment="1">
      <alignment horizontal="right" vertical="center"/>
    </xf>
    <xf numFmtId="168" fontId="66" fillId="18" borderId="0" xfId="207" applyNumberFormat="1" applyFont="1" applyFill="1" applyBorder="1" applyAlignment="1">
      <alignment horizontal="right" vertical="center"/>
    </xf>
    <xf numFmtId="43" fontId="66" fillId="18" borderId="0" xfId="207" applyNumberFormat="1" applyFont="1" applyFill="1" applyBorder="1" applyAlignment="1">
      <alignment horizontal="right" vertical="center"/>
    </xf>
    <xf numFmtId="168" fontId="66" fillId="18" borderId="19" xfId="207" applyNumberFormat="1" applyFont="1" applyFill="1" applyBorder="1" applyAlignment="1">
      <alignment horizontal="right" vertical="center"/>
    </xf>
    <xf numFmtId="168" fontId="72" fillId="18" borderId="19" xfId="207" applyNumberFormat="1" applyFont="1" applyFill="1" applyBorder="1" applyAlignment="1">
      <alignment horizontal="right" vertical="center"/>
    </xf>
    <xf numFmtId="37" fontId="46" fillId="25" borderId="0" xfId="0" applyNumberFormat="1" applyFont="1" applyFill="1" applyBorder="1" applyAlignment="1">
      <alignment vertical="center"/>
    </xf>
    <xf numFmtId="37" fontId="60" fillId="25" borderId="0" xfId="0" applyNumberFormat="1" applyFont="1" applyFill="1" applyBorder="1" applyAlignment="1">
      <alignment vertical="center"/>
    </xf>
    <xf numFmtId="168" fontId="8" fillId="57" borderId="0" xfId="0" applyNumberFormat="1" applyFont="1" applyFill="1" applyBorder="1"/>
    <xf numFmtId="37" fontId="102" fillId="25" borderId="0" xfId="0" applyNumberFormat="1" applyFont="1" applyFill="1" applyBorder="1" applyAlignment="1">
      <alignment horizontal="right" vertical="center"/>
    </xf>
    <xf numFmtId="37" fontId="59" fillId="25" borderId="0" xfId="0" applyNumberFormat="1" applyFont="1" applyFill="1" applyBorder="1" applyAlignment="1">
      <alignment horizontal="right" vertical="center"/>
    </xf>
    <xf numFmtId="0" fontId="8" fillId="25" borderId="0" xfId="207" applyNumberFormat="1" applyFont="1" applyFill="1" applyBorder="1" applyAlignment="1">
      <alignment horizontal="left" indent="1"/>
    </xf>
    <xf numFmtId="168" fontId="107" fillId="25" borderId="0" xfId="0" applyNumberFormat="1" applyFont="1" applyFill="1" applyBorder="1" applyAlignment="1">
      <alignment vertical="center"/>
    </xf>
    <xf numFmtId="37" fontId="105" fillId="25" borderId="0" xfId="0" applyNumberFormat="1" applyFont="1" applyFill="1" applyBorder="1"/>
    <xf numFmtId="37" fontId="8" fillId="57" borderId="0" xfId="0" applyNumberFormat="1" applyFont="1" applyFill="1" applyBorder="1"/>
    <xf numFmtId="168" fontId="261" fillId="18" borderId="0" xfId="0" applyNumberFormat="1" applyFont="1" applyFill="1" applyBorder="1" applyAlignment="1">
      <alignment vertical="center"/>
    </xf>
    <xf numFmtId="37" fontId="239" fillId="25" borderId="0" xfId="0" applyNumberFormat="1" applyFont="1" applyFill="1" applyBorder="1" applyAlignment="1">
      <alignment horizontal="right" vertical="center"/>
    </xf>
    <xf numFmtId="168" fontId="239" fillId="18" borderId="0" xfId="0" applyNumberFormat="1" applyFont="1" applyFill="1" applyBorder="1" applyAlignment="1">
      <alignment horizontal="right" vertical="center"/>
    </xf>
    <xf numFmtId="37" fontId="259" fillId="25" borderId="0" xfId="0" applyNumberFormat="1" applyFont="1" applyFill="1" applyBorder="1" applyAlignment="1">
      <alignment horizontal="right" vertical="center"/>
    </xf>
    <xf numFmtId="168" fontId="115" fillId="18" borderId="0" xfId="0" applyNumberFormat="1" applyFont="1" applyFill="1" applyBorder="1" applyAlignment="1">
      <alignment horizontal="right" vertical="center"/>
    </xf>
    <xf numFmtId="37" fontId="53" fillId="25" borderId="0" xfId="0" applyNumberFormat="1" applyFont="1" applyFill="1" applyBorder="1" applyAlignment="1">
      <alignment horizontal="right" vertical="center"/>
    </xf>
    <xf numFmtId="37" fontId="56" fillId="18" borderId="0" xfId="0" applyNumberFormat="1" applyFont="1" applyFill="1" applyBorder="1" applyAlignment="1">
      <alignment vertical="center"/>
    </xf>
    <xf numFmtId="37" fontId="102" fillId="18" borderId="0" xfId="0" applyNumberFormat="1" applyFont="1" applyFill="1" applyBorder="1" applyAlignment="1">
      <alignment vertical="center"/>
    </xf>
    <xf numFmtId="0" fontId="53" fillId="0" borderId="0" xfId="0" applyFont="1" applyFill="1" applyBorder="1" applyAlignment="1">
      <alignment horizontal="center"/>
    </xf>
    <xf numFmtId="173" fontId="42" fillId="18" borderId="0" xfId="0" applyNumberFormat="1" applyFont="1" applyFill="1" applyBorder="1" applyAlignment="1">
      <alignment vertical="center"/>
    </xf>
    <xf numFmtId="0" fontId="100" fillId="0" borderId="0" xfId="0" applyFont="1" applyFill="1" applyBorder="1" applyAlignment="1">
      <alignment horizontal="right"/>
    </xf>
    <xf numFmtId="182" fontId="8" fillId="25" borderId="0" xfId="0" applyNumberFormat="1" applyFont="1" applyFill="1" applyBorder="1" applyAlignment="1">
      <alignment vertical="center"/>
    </xf>
    <xf numFmtId="182" fontId="8" fillId="57" borderId="0" xfId="0" applyNumberFormat="1" applyFont="1" applyFill="1" applyBorder="1" applyAlignment="1">
      <alignment vertical="center"/>
    </xf>
    <xf numFmtId="185" fontId="50" fillId="18" borderId="0" xfId="0" applyNumberFormat="1" applyFont="1" applyFill="1" applyBorder="1" applyAlignment="1">
      <alignment horizontal="right" vertical="center"/>
    </xf>
    <xf numFmtId="173" fontId="47" fillId="57" borderId="0" xfId="0" applyNumberFormat="1" applyFont="1" applyFill="1" applyBorder="1" applyAlignment="1">
      <alignment vertical="center"/>
    </xf>
    <xf numFmtId="37" fontId="59" fillId="18" borderId="0" xfId="0" applyNumberFormat="1" applyFont="1" applyFill="1" applyBorder="1"/>
    <xf numFmtId="9" fontId="8" fillId="57" borderId="0" xfId="240" applyFont="1" applyFill="1" applyBorder="1"/>
    <xf numFmtId="37" fontId="57" fillId="18" borderId="0" xfId="0" applyNumberFormat="1" applyFont="1" applyFill="1" applyBorder="1"/>
    <xf numFmtId="37" fontId="99" fillId="18" borderId="0" xfId="0" applyNumberFormat="1" applyFont="1" applyFill="1" applyBorder="1"/>
    <xf numFmtId="164" fontId="59" fillId="18" borderId="0" xfId="0" applyNumberFormat="1" applyFont="1" applyFill="1" applyBorder="1"/>
    <xf numFmtId="182" fontId="47" fillId="18" borderId="0" xfId="0" applyNumberFormat="1" applyFont="1" applyFill="1" applyBorder="1" applyAlignment="1">
      <alignment horizontal="right" vertical="center"/>
    </xf>
    <xf numFmtId="164" fontId="21" fillId="18" borderId="0" xfId="0" applyNumberFormat="1" applyFont="1" applyFill="1" applyBorder="1"/>
    <xf numFmtId="164" fontId="7" fillId="18" borderId="0" xfId="0" applyNumberFormat="1" applyFont="1" applyFill="1" applyBorder="1"/>
    <xf numFmtId="0" fontId="62" fillId="18" borderId="0" xfId="0" applyFont="1" applyFill="1" applyBorder="1" applyAlignment="1">
      <alignment vertical="center"/>
    </xf>
    <xf numFmtId="164" fontId="62" fillId="18" borderId="0" xfId="0" applyNumberFormat="1" applyFont="1" applyFill="1" applyBorder="1" applyAlignment="1">
      <alignment horizontal="right" vertical="center"/>
    </xf>
    <xf numFmtId="0" fontId="48" fillId="18" borderId="0" xfId="0" applyFont="1" applyFill="1" applyBorder="1" applyAlignment="1">
      <alignment vertical="center"/>
    </xf>
    <xf numFmtId="170" fontId="48" fillId="18" borderId="0" xfId="0" applyNumberFormat="1" applyFont="1" applyFill="1" applyBorder="1" applyAlignment="1">
      <alignment horizontal="right" vertical="center"/>
    </xf>
    <xf numFmtId="164" fontId="98" fillId="18" borderId="0" xfId="0" applyNumberFormat="1" applyFont="1" applyFill="1" applyBorder="1" applyAlignment="1">
      <alignment horizontal="right" vertical="center"/>
    </xf>
    <xf numFmtId="183" fontId="8" fillId="18" borderId="0" xfId="0" applyNumberFormat="1" applyFont="1" applyFill="1" applyBorder="1" applyAlignment="1">
      <alignment vertical="center"/>
    </xf>
    <xf numFmtId="185" fontId="0" fillId="18" borderId="0" xfId="0" applyNumberFormat="1" applyFill="1" applyBorder="1"/>
    <xf numFmtId="166" fontId="0" fillId="18" borderId="0" xfId="0" applyNumberFormat="1" applyFill="1" applyBorder="1"/>
    <xf numFmtId="184" fontId="8" fillId="25" borderId="0" xfId="0" applyNumberFormat="1" applyFont="1" applyFill="1" applyBorder="1" applyAlignment="1">
      <alignment horizontal="right" vertical="center"/>
    </xf>
    <xf numFmtId="168" fontId="104" fillId="25" borderId="0" xfId="207" applyNumberFormat="1" applyFont="1" applyFill="1" applyBorder="1" applyAlignment="1">
      <alignment vertical="center"/>
    </xf>
    <xf numFmtId="168" fontId="99" fillId="25" borderId="0" xfId="207" applyNumberFormat="1" applyFont="1" applyFill="1" applyBorder="1" applyAlignment="1">
      <alignment vertical="center"/>
    </xf>
    <xf numFmtId="168" fontId="134" fillId="25" borderId="0" xfId="207" applyNumberFormat="1" applyFont="1" applyFill="1" applyBorder="1" applyAlignment="1">
      <alignment horizontal="left" vertical="center"/>
    </xf>
    <xf numFmtId="0" fontId="46" fillId="25" borderId="0" xfId="0" applyFont="1" applyFill="1" applyBorder="1" applyAlignment="1">
      <alignment vertical="center"/>
    </xf>
    <xf numFmtId="164" fontId="60" fillId="25" borderId="0" xfId="0" applyNumberFormat="1" applyFont="1" applyFill="1" applyBorder="1" applyAlignment="1">
      <alignment vertical="center"/>
    </xf>
    <xf numFmtId="0" fontId="110" fillId="25" borderId="0" xfId="0" applyFont="1" applyFill="1" applyBorder="1" applyAlignment="1">
      <alignment horizontal="center" vertical="center"/>
    </xf>
    <xf numFmtId="0" fontId="20" fillId="25" borderId="0" xfId="207" applyNumberFormat="1" applyFont="1" applyFill="1" applyBorder="1"/>
    <xf numFmtId="37" fontId="99" fillId="25" borderId="0" xfId="207" applyNumberFormat="1" applyFont="1" applyFill="1" applyBorder="1"/>
    <xf numFmtId="0" fontId="17" fillId="25" borderId="0" xfId="207" applyNumberFormat="1" applyFont="1" applyFill="1" applyBorder="1"/>
    <xf numFmtId="164" fontId="17" fillId="25" borderId="0" xfId="207" applyNumberFormat="1" applyFont="1" applyFill="1" applyBorder="1"/>
    <xf numFmtId="37" fontId="56" fillId="25" borderId="0" xfId="207" applyNumberFormat="1" applyFont="1" applyFill="1" applyBorder="1"/>
    <xf numFmtId="37" fontId="231" fillId="25" borderId="0" xfId="207" applyNumberFormat="1" applyFont="1" applyFill="1" applyBorder="1"/>
    <xf numFmtId="37" fontId="53" fillId="25" borderId="0" xfId="0" applyNumberFormat="1" applyFont="1" applyFill="1" applyBorder="1" applyAlignment="1">
      <alignment vertical="center"/>
    </xf>
    <xf numFmtId="0" fontId="17" fillId="25" borderId="0" xfId="207" applyNumberFormat="1" applyFont="1" applyFill="1" applyBorder="1" applyAlignment="1">
      <alignment horizontal="left" indent="1"/>
    </xf>
    <xf numFmtId="3" fontId="0" fillId="25" borderId="0" xfId="0" applyNumberFormat="1" applyFill="1" applyBorder="1"/>
    <xf numFmtId="37" fontId="104" fillId="25" borderId="0" xfId="0" applyNumberFormat="1" applyFont="1" applyFill="1" applyBorder="1" applyAlignment="1">
      <alignment vertical="center"/>
    </xf>
    <xf numFmtId="164" fontId="47" fillId="25" borderId="0" xfId="0" applyNumberFormat="1" applyFont="1" applyFill="1" applyBorder="1" applyAlignment="1">
      <alignment vertical="center"/>
    </xf>
    <xf numFmtId="0" fontId="54" fillId="25" borderId="0" xfId="0" applyFont="1" applyFill="1" applyBorder="1" applyAlignment="1">
      <alignment vertical="center"/>
    </xf>
    <xf numFmtId="37" fontId="102" fillId="25" borderId="0" xfId="207" applyNumberFormat="1" applyFont="1" applyFill="1" applyBorder="1"/>
    <xf numFmtId="0" fontId="8" fillId="25" borderId="0" xfId="0" applyFont="1" applyFill="1" applyBorder="1" applyAlignment="1">
      <alignment horizontal="left" vertical="center"/>
    </xf>
    <xf numFmtId="164" fontId="20" fillId="26" borderId="0" xfId="0" applyNumberFormat="1" applyFont="1" applyFill="1" applyBorder="1" applyAlignment="1">
      <alignment vertical="center"/>
    </xf>
    <xf numFmtId="0" fontId="8" fillId="26" borderId="0" xfId="0" applyFont="1" applyFill="1" applyBorder="1" applyAlignment="1">
      <alignment vertical="center"/>
    </xf>
    <xf numFmtId="188" fontId="52" fillId="58" borderId="19" xfId="0" applyNumberFormat="1" applyFont="1" applyFill="1" applyBorder="1" applyAlignment="1">
      <alignment horizontal="centerContinuous" vertical="center"/>
    </xf>
    <xf numFmtId="173" fontId="8" fillId="18" borderId="19" xfId="207" applyNumberFormat="1" applyFont="1" applyFill="1" applyBorder="1" applyAlignment="1">
      <alignment horizontal="right" vertical="center"/>
    </xf>
    <xf numFmtId="173" fontId="239" fillId="18" borderId="19" xfId="0" applyNumberFormat="1" applyFont="1" applyFill="1" applyBorder="1" applyAlignment="1">
      <alignment vertical="center"/>
    </xf>
    <xf numFmtId="168" fontId="53" fillId="56" borderId="19" xfId="207" applyNumberFormat="1" applyFont="1" applyFill="1" applyBorder="1" applyAlignment="1">
      <alignment vertical="center"/>
    </xf>
    <xf numFmtId="168" fontId="8" fillId="18" borderId="19" xfId="0" applyNumberFormat="1" applyFont="1" applyFill="1" applyBorder="1" applyAlignment="1">
      <alignment horizontal="right" vertical="center"/>
    </xf>
    <xf numFmtId="168" fontId="231" fillId="18" borderId="19" xfId="0" applyNumberFormat="1" applyFont="1" applyFill="1" applyBorder="1" applyAlignment="1">
      <alignment horizontal="right" vertical="center"/>
    </xf>
    <xf numFmtId="10" fontId="20" fillId="18" borderId="19" xfId="240" applyNumberFormat="1" applyFont="1" applyFill="1" applyBorder="1" applyAlignment="1">
      <alignment horizontal="right" vertical="center"/>
    </xf>
    <xf numFmtId="9" fontId="20" fillId="18" borderId="19" xfId="240" applyNumberFormat="1" applyFont="1" applyFill="1" applyBorder="1" applyAlignment="1">
      <alignment horizontal="right" vertical="center"/>
    </xf>
    <xf numFmtId="9" fontId="8" fillId="18" borderId="19" xfId="240" applyNumberFormat="1" applyFont="1" applyFill="1" applyBorder="1" applyAlignment="1">
      <alignment horizontal="right" vertical="center"/>
    </xf>
    <xf numFmtId="173" fontId="20" fillId="18" borderId="19" xfId="0" applyNumberFormat="1" applyFont="1" applyFill="1" applyBorder="1" applyAlignment="1">
      <alignment vertical="center"/>
    </xf>
    <xf numFmtId="173" fontId="239" fillId="18" borderId="19" xfId="207" applyNumberFormat="1" applyFont="1" applyFill="1" applyBorder="1" applyAlignment="1">
      <alignment horizontal="right" vertical="center"/>
    </xf>
    <xf numFmtId="168" fontId="20" fillId="18" borderId="18" xfId="207" applyNumberFormat="1" applyFont="1" applyFill="1" applyBorder="1" applyAlignment="1">
      <alignment vertical="center"/>
    </xf>
    <xf numFmtId="168" fontId="239" fillId="88" borderId="19" xfId="207" applyNumberFormat="1" applyFont="1" applyFill="1" applyBorder="1" applyAlignment="1">
      <alignment vertical="center"/>
    </xf>
    <xf numFmtId="168" fontId="53" fillId="18" borderId="19" xfId="0" applyNumberFormat="1" applyFont="1" applyFill="1" applyBorder="1" applyAlignment="1">
      <alignment vertical="center"/>
    </xf>
    <xf numFmtId="168" fontId="231" fillId="18" borderId="19" xfId="0" applyNumberFormat="1" applyFont="1" applyFill="1" applyBorder="1" applyAlignment="1">
      <alignment vertical="center"/>
    </xf>
    <xf numFmtId="37" fontId="8" fillId="18" borderId="19" xfId="0" applyNumberFormat="1" applyFont="1" applyFill="1" applyBorder="1" applyAlignment="1">
      <alignment horizontal="right" vertical="center"/>
    </xf>
    <xf numFmtId="37" fontId="56" fillId="18" borderId="19" xfId="240" applyNumberFormat="1" applyFont="1" applyFill="1" applyBorder="1" applyAlignment="1">
      <alignment horizontal="right" vertical="center"/>
    </xf>
    <xf numFmtId="178" fontId="8" fillId="18" borderId="19" xfId="0" applyNumberFormat="1" applyFont="1" applyFill="1" applyBorder="1" applyAlignment="1">
      <alignment horizontal="right" vertical="center"/>
    </xf>
    <xf numFmtId="37" fontId="231" fillId="18" borderId="19" xfId="0" applyNumberFormat="1" applyFont="1" applyFill="1" applyBorder="1" applyAlignment="1">
      <alignment vertical="center"/>
    </xf>
    <xf numFmtId="39" fontId="8" fillId="18" borderId="19" xfId="207" applyNumberFormat="1" applyFont="1" applyFill="1" applyBorder="1" applyAlignment="1">
      <alignment vertical="center"/>
    </xf>
    <xf numFmtId="0" fontId="53" fillId="59" borderId="19" xfId="0" applyFont="1" applyFill="1" applyBorder="1" applyAlignment="1">
      <alignment vertical="center"/>
    </xf>
    <xf numFmtId="168" fontId="98" fillId="18" borderId="19" xfId="207" applyNumberFormat="1" applyFont="1" applyFill="1" applyBorder="1" applyAlignment="1">
      <alignment horizontal="right"/>
    </xf>
    <xf numFmtId="168" fontId="256" fillId="26" borderId="19" xfId="0" applyNumberFormat="1" applyFont="1" applyFill="1" applyBorder="1" applyAlignment="1">
      <alignment vertical="center"/>
    </xf>
    <xf numFmtId="168" fontId="20" fillId="25" borderId="19" xfId="0" applyNumberFormat="1" applyFont="1" applyFill="1" applyBorder="1" applyAlignment="1">
      <alignment vertical="center"/>
    </xf>
    <xf numFmtId="166" fontId="8" fillId="26" borderId="19" xfId="240" applyNumberFormat="1" applyFont="1" applyFill="1" applyBorder="1" applyAlignment="1">
      <alignment vertical="center"/>
    </xf>
    <xf numFmtId="168" fontId="20" fillId="18" borderId="19" xfId="207" applyNumberFormat="1" applyFont="1" applyFill="1" applyBorder="1" applyAlignment="1">
      <alignment vertical="center"/>
    </xf>
    <xf numFmtId="168" fontId="235" fillId="18" borderId="19" xfId="207" applyNumberFormat="1" applyFont="1" applyFill="1" applyBorder="1" applyAlignment="1">
      <alignment vertical="center"/>
    </xf>
    <xf numFmtId="37" fontId="53" fillId="18" borderId="19" xfId="0" applyNumberFormat="1" applyFont="1" applyFill="1" applyBorder="1" applyAlignment="1">
      <alignment vertical="center"/>
    </xf>
    <xf numFmtId="168" fontId="239" fillId="18" borderId="19" xfId="0" applyNumberFormat="1" applyFont="1" applyFill="1" applyBorder="1" applyAlignment="1">
      <alignment vertical="center"/>
    </xf>
    <xf numFmtId="168" fontId="98" fillId="18" borderId="19" xfId="0" applyNumberFormat="1" applyFont="1" applyFill="1" applyBorder="1" applyAlignment="1">
      <alignment vertical="center"/>
    </xf>
    <xf numFmtId="168" fontId="53" fillId="18" borderId="22" xfId="0" applyNumberFormat="1" applyFont="1" applyFill="1" applyBorder="1" applyAlignment="1">
      <alignment vertical="center"/>
    </xf>
    <xf numFmtId="168" fontId="47" fillId="18" borderId="19" xfId="0" applyNumberFormat="1" applyFont="1" applyFill="1" applyBorder="1" applyAlignment="1">
      <alignment horizontal="right" vertical="center"/>
    </xf>
    <xf numFmtId="168" fontId="20" fillId="18" borderId="19" xfId="0" applyNumberFormat="1" applyFont="1" applyFill="1" applyBorder="1" applyAlignment="1">
      <alignment horizontal="right" vertical="center"/>
    </xf>
    <xf numFmtId="168" fontId="46" fillId="18" borderId="19" xfId="0" applyNumberFormat="1" applyFont="1" applyFill="1" applyBorder="1" applyAlignment="1">
      <alignment vertical="center"/>
    </xf>
    <xf numFmtId="168" fontId="8" fillId="25" borderId="19" xfId="0" applyNumberFormat="1" applyFont="1" applyFill="1" applyBorder="1" applyAlignment="1">
      <alignment vertical="center"/>
    </xf>
    <xf numFmtId="168" fontId="106" fillId="18" borderId="19" xfId="207" applyNumberFormat="1" applyFont="1" applyFill="1" applyBorder="1" applyAlignment="1">
      <alignment horizontal="right" vertical="center"/>
    </xf>
    <xf numFmtId="168" fontId="261" fillId="18" borderId="19" xfId="0" applyNumberFormat="1" applyFont="1" applyFill="1" applyBorder="1" applyAlignment="1">
      <alignment vertical="center"/>
    </xf>
    <xf numFmtId="168" fontId="84" fillId="18" borderId="19" xfId="0" applyNumberFormat="1" applyFont="1" applyFill="1" applyBorder="1" applyAlignment="1">
      <alignment vertical="center"/>
    </xf>
    <xf numFmtId="168" fontId="53" fillId="18" borderId="19" xfId="0" applyNumberFormat="1" applyFont="1" applyFill="1" applyBorder="1" applyAlignment="1">
      <alignment horizontal="right" vertical="center"/>
    </xf>
    <xf numFmtId="0" fontId="53" fillId="28" borderId="19" xfId="0" applyFont="1" applyFill="1" applyBorder="1" applyAlignment="1">
      <alignment vertical="center"/>
    </xf>
    <xf numFmtId="37" fontId="46" fillId="18" borderId="19" xfId="0" applyNumberFormat="1" applyFont="1" applyFill="1" applyBorder="1" applyAlignment="1">
      <alignment vertical="center"/>
    </xf>
    <xf numFmtId="37" fontId="42" fillId="18" borderId="19" xfId="0" applyNumberFormat="1" applyFont="1" applyFill="1" applyBorder="1" applyAlignment="1">
      <alignment vertical="center"/>
    </xf>
    <xf numFmtId="182" fontId="8" fillId="25" borderId="19" xfId="0" applyNumberFormat="1" applyFont="1" applyFill="1" applyBorder="1" applyAlignment="1">
      <alignment vertical="center"/>
    </xf>
    <xf numFmtId="164" fontId="20" fillId="18" borderId="19" xfId="0" applyNumberFormat="1" applyFont="1" applyFill="1" applyBorder="1" applyAlignment="1">
      <alignment horizontal="right" vertical="center"/>
    </xf>
    <xf numFmtId="166" fontId="62" fillId="18" borderId="19" xfId="240" applyNumberFormat="1" applyFont="1" applyFill="1" applyBorder="1" applyAlignment="1">
      <alignment horizontal="right" vertical="center"/>
    </xf>
    <xf numFmtId="168" fontId="239" fillId="25" borderId="19" xfId="207" applyNumberFormat="1" applyFont="1" applyFill="1" applyBorder="1" applyAlignment="1">
      <alignment horizontal="left" vertical="center"/>
    </xf>
    <xf numFmtId="168" fontId="239" fillId="25" borderId="19" xfId="207" applyNumberFormat="1" applyFont="1" applyFill="1" applyBorder="1" applyAlignment="1">
      <alignment vertical="center"/>
    </xf>
    <xf numFmtId="37" fontId="8" fillId="25" borderId="19" xfId="0" applyNumberFormat="1" applyFont="1" applyFill="1" applyBorder="1" applyAlignment="1">
      <alignment vertical="center"/>
    </xf>
    <xf numFmtId="168" fontId="46" fillId="25" borderId="19" xfId="207" applyNumberFormat="1" applyFont="1" applyFill="1" applyBorder="1" applyAlignment="1">
      <alignment vertical="center"/>
    </xf>
    <xf numFmtId="168" fontId="47" fillId="25" borderId="19" xfId="207" applyNumberFormat="1" applyFont="1" applyFill="1" applyBorder="1" applyAlignment="1">
      <alignment vertical="center"/>
    </xf>
    <xf numFmtId="168" fontId="53" fillId="18" borderId="19" xfId="207" applyNumberFormat="1" applyFont="1" applyFill="1" applyBorder="1" applyAlignment="1">
      <alignment vertical="center"/>
    </xf>
    <xf numFmtId="0" fontId="20" fillId="26" borderId="19" xfId="0" applyFont="1" applyFill="1" applyBorder="1" applyAlignment="1">
      <alignment vertical="center"/>
    </xf>
    <xf numFmtId="167" fontId="8" fillId="18" borderId="19" xfId="207" applyNumberFormat="1" applyFont="1" applyFill="1" applyBorder="1"/>
    <xf numFmtId="9" fontId="234" fillId="18" borderId="19" xfId="240" applyNumberFormat="1" applyFont="1" applyFill="1" applyBorder="1" applyAlignment="1">
      <alignment vertical="center"/>
    </xf>
    <xf numFmtId="168" fontId="53" fillId="18" borderId="19" xfId="207" applyNumberFormat="1" applyFont="1" applyFill="1" applyBorder="1" applyAlignment="1">
      <alignment horizontal="right" vertical="center"/>
    </xf>
    <xf numFmtId="168" fontId="233" fillId="18" borderId="19" xfId="207" applyNumberFormat="1" applyFont="1" applyFill="1" applyBorder="1" applyAlignment="1">
      <alignment horizontal="right" vertical="center"/>
    </xf>
    <xf numFmtId="168" fontId="8" fillId="18" borderId="19" xfId="240" applyNumberFormat="1" applyFont="1" applyFill="1" applyBorder="1" applyAlignment="1">
      <alignment horizontal="right" vertical="center"/>
    </xf>
    <xf numFmtId="168" fontId="20" fillId="88" borderId="19" xfId="207" applyNumberFormat="1" applyFont="1" applyFill="1" applyBorder="1" applyAlignment="1">
      <alignment vertical="center"/>
    </xf>
    <xf numFmtId="9" fontId="8" fillId="57" borderId="19" xfId="240" applyFont="1" applyFill="1" applyBorder="1" applyAlignment="1">
      <alignment horizontal="right" vertical="center"/>
    </xf>
    <xf numFmtId="37" fontId="20" fillId="57" borderId="19" xfId="0" applyNumberFormat="1" applyFont="1" applyFill="1" applyBorder="1" applyAlignment="1">
      <alignment horizontal="right" vertical="center"/>
    </xf>
    <xf numFmtId="178" fontId="126" fillId="57" borderId="19" xfId="0" applyNumberFormat="1" applyFont="1" applyFill="1" applyBorder="1" applyAlignment="1">
      <alignment horizontal="right" vertical="center"/>
    </xf>
    <xf numFmtId="37" fontId="8" fillId="57" borderId="19" xfId="0" applyNumberFormat="1" applyFont="1" applyFill="1" applyBorder="1" applyAlignment="1">
      <alignment vertical="center"/>
    </xf>
    <xf numFmtId="9" fontId="53" fillId="59" borderId="19" xfId="240" applyFont="1" applyFill="1" applyBorder="1" applyAlignment="1">
      <alignment vertical="center"/>
    </xf>
    <xf numFmtId="168" fontId="231" fillId="57" borderId="19" xfId="0" applyNumberFormat="1" applyFont="1" applyFill="1" applyBorder="1" applyAlignment="1">
      <alignment vertical="center"/>
    </xf>
    <xf numFmtId="168" fontId="127" fillId="18" borderId="19" xfId="0" applyNumberFormat="1" applyFont="1" applyFill="1" applyBorder="1" applyAlignment="1">
      <alignment vertical="center"/>
    </xf>
    <xf numFmtId="168" fontId="8" fillId="25" borderId="19" xfId="0" applyNumberFormat="1" applyFont="1" applyFill="1" applyBorder="1"/>
    <xf numFmtId="168" fontId="85" fillId="18" borderId="19" xfId="207" applyNumberFormat="1" applyFont="1" applyFill="1" applyBorder="1" applyAlignment="1">
      <alignment horizontal="right" vertical="center"/>
    </xf>
    <xf numFmtId="168" fontId="8" fillId="57" borderId="19" xfId="0" applyNumberFormat="1" applyFont="1" applyFill="1" applyBorder="1"/>
    <xf numFmtId="168" fontId="8" fillId="57" borderId="19" xfId="207" applyNumberFormat="1" applyFont="1" applyFill="1" applyBorder="1" applyAlignment="1">
      <alignment vertical="center"/>
    </xf>
    <xf numFmtId="37" fontId="234" fillId="25" borderId="19" xfId="0" applyNumberFormat="1" applyFont="1" applyFill="1" applyBorder="1" applyAlignment="1">
      <alignment vertical="center"/>
    </xf>
    <xf numFmtId="37" fontId="234" fillId="25" borderId="19" xfId="0" applyNumberFormat="1" applyFont="1" applyFill="1" applyBorder="1" applyAlignment="1">
      <alignment horizontal="right" vertical="center"/>
    </xf>
    <xf numFmtId="168" fontId="8" fillId="57" borderId="19" xfId="0" applyNumberFormat="1" applyFont="1" applyFill="1" applyBorder="1" applyAlignment="1">
      <alignment horizontal="right" vertical="center"/>
    </xf>
    <xf numFmtId="37" fontId="259" fillId="25" borderId="19" xfId="0" applyNumberFormat="1" applyFont="1" applyFill="1" applyBorder="1" applyAlignment="1">
      <alignment horizontal="right" vertical="center"/>
    </xf>
    <xf numFmtId="173" fontId="47" fillId="57" borderId="19" xfId="0" applyNumberFormat="1" applyFont="1" applyFill="1" applyBorder="1" applyAlignment="1">
      <alignment vertical="center"/>
    </xf>
    <xf numFmtId="164" fontId="8" fillId="57" borderId="19" xfId="0" applyNumberFormat="1" applyFont="1" applyFill="1" applyBorder="1" applyAlignment="1">
      <alignment horizontal="right" vertical="center"/>
    </xf>
    <xf numFmtId="168" fontId="134" fillId="25" borderId="19" xfId="207" applyNumberFormat="1" applyFont="1" applyFill="1" applyBorder="1" applyAlignment="1">
      <alignment horizontal="left" vertical="center"/>
    </xf>
    <xf numFmtId="168" fontId="134" fillId="25" borderId="19" xfId="207" applyNumberFormat="1" applyFont="1" applyFill="1" applyBorder="1" applyAlignment="1">
      <alignment vertical="center"/>
    </xf>
    <xf numFmtId="0" fontId="123" fillId="0" borderId="0" xfId="0" applyFont="1" applyFill="1" applyBorder="1"/>
    <xf numFmtId="0" fontId="54" fillId="0" borderId="0" xfId="0" applyFont="1" applyFill="1" applyBorder="1"/>
    <xf numFmtId="166" fontId="239" fillId="18" borderId="19" xfId="240" applyNumberFormat="1" applyFont="1" applyFill="1" applyBorder="1" applyAlignment="1">
      <alignment horizontal="right" vertical="center"/>
    </xf>
    <xf numFmtId="166" fontId="231" fillId="18" borderId="19" xfId="240" applyNumberFormat="1" applyFont="1" applyFill="1" applyBorder="1" applyAlignment="1">
      <alignment horizontal="right" vertical="center"/>
    </xf>
    <xf numFmtId="9" fontId="8" fillId="26" borderId="19" xfId="0" applyNumberFormat="1" applyFont="1" applyFill="1" applyBorder="1"/>
    <xf numFmtId="9" fontId="126" fillId="18" borderId="19" xfId="0" applyNumberFormat="1" applyFont="1" applyFill="1" applyBorder="1"/>
    <xf numFmtId="37" fontId="72" fillId="18" borderId="19" xfId="0" applyNumberFormat="1" applyFont="1" applyFill="1" applyBorder="1" applyAlignment="1">
      <alignment vertical="center"/>
    </xf>
    <xf numFmtId="166" fontId="8" fillId="25" borderId="19" xfId="240" applyNumberFormat="1" applyFont="1" applyFill="1" applyBorder="1" applyAlignment="1">
      <alignment horizontal="right" vertical="center"/>
    </xf>
    <xf numFmtId="168" fontId="260" fillId="18" borderId="19" xfId="0" applyNumberFormat="1" applyFont="1" applyFill="1" applyBorder="1" applyAlignment="1">
      <alignment vertical="center"/>
    </xf>
    <xf numFmtId="173" fontId="134" fillId="18" borderId="19" xfId="0" applyNumberFormat="1" applyFont="1" applyFill="1" applyBorder="1"/>
    <xf numFmtId="164" fontId="8" fillId="18" borderId="19" xfId="0" applyNumberFormat="1" applyFont="1" applyFill="1" applyBorder="1" applyAlignment="1">
      <alignment horizontal="right" vertical="center"/>
    </xf>
    <xf numFmtId="168" fontId="231" fillId="25" borderId="19" xfId="207" applyNumberFormat="1" applyFont="1" applyFill="1" applyBorder="1" applyAlignment="1">
      <alignment vertical="center"/>
    </xf>
    <xf numFmtId="166" fontId="8" fillId="25" borderId="19" xfId="240" applyNumberFormat="1" applyFont="1" applyFill="1" applyBorder="1"/>
    <xf numFmtId="173" fontId="85" fillId="18" borderId="19" xfId="0" applyNumberFormat="1" applyFont="1" applyFill="1" applyBorder="1" applyAlignment="1">
      <alignment vertical="center"/>
    </xf>
    <xf numFmtId="168" fontId="123" fillId="18" borderId="19" xfId="0" applyNumberFormat="1" applyFont="1" applyFill="1" applyBorder="1" applyAlignment="1">
      <alignment vertical="center"/>
    </xf>
    <xf numFmtId="167" fontId="133" fillId="18" borderId="19" xfId="207" applyNumberFormat="1" applyFont="1" applyFill="1" applyBorder="1" applyAlignment="1">
      <alignment horizontal="right" vertical="center"/>
    </xf>
    <xf numFmtId="10" fontId="8" fillId="18" borderId="19" xfId="240" applyNumberFormat="1" applyFont="1" applyFill="1" applyBorder="1"/>
    <xf numFmtId="9" fontId="239" fillId="18" borderId="19" xfId="240" applyNumberFormat="1" applyFont="1" applyFill="1" applyBorder="1" applyAlignment="1">
      <alignment horizontal="right" vertical="center"/>
    </xf>
    <xf numFmtId="9" fontId="231" fillId="18" borderId="19" xfId="240" applyNumberFormat="1" applyFont="1" applyFill="1" applyBorder="1" applyAlignment="1">
      <alignment horizontal="right" vertical="center"/>
    </xf>
    <xf numFmtId="10" fontId="53" fillId="18" borderId="19" xfId="240" applyNumberFormat="1" applyFont="1" applyFill="1" applyBorder="1" applyAlignment="1">
      <alignment horizontal="right" vertical="center"/>
    </xf>
    <xf numFmtId="37" fontId="8" fillId="18" borderId="19" xfId="240" applyNumberFormat="1" applyFont="1" applyFill="1" applyBorder="1" applyAlignment="1">
      <alignment horizontal="right" vertical="center"/>
    </xf>
    <xf numFmtId="191" fontId="8" fillId="18" borderId="19" xfId="0" applyNumberFormat="1" applyFont="1" applyFill="1" applyBorder="1" applyAlignment="1">
      <alignment horizontal="right" vertical="center"/>
    </xf>
    <xf numFmtId="191" fontId="20" fillId="18" borderId="19" xfId="0" applyNumberFormat="1" applyFont="1" applyFill="1" applyBorder="1" applyAlignment="1">
      <alignment horizontal="right" vertical="center"/>
    </xf>
    <xf numFmtId="37" fontId="98" fillId="18" borderId="19" xfId="0" applyNumberFormat="1" applyFont="1" applyFill="1" applyBorder="1" applyAlignment="1">
      <alignment vertical="center"/>
    </xf>
    <xf numFmtId="39" fontId="8" fillId="18" borderId="19" xfId="0" applyNumberFormat="1" applyFont="1" applyFill="1" applyBorder="1" applyAlignment="1">
      <alignment vertical="center"/>
    </xf>
    <xf numFmtId="168" fontId="106" fillId="18" borderId="19" xfId="0" applyNumberFormat="1" applyFont="1" applyFill="1" applyBorder="1" applyAlignment="1">
      <alignment vertical="center"/>
    </xf>
    <xf numFmtId="168" fontId="231" fillId="26" borderId="19" xfId="0" applyNumberFormat="1" applyFont="1" applyFill="1" applyBorder="1" applyAlignment="1">
      <alignment vertical="center"/>
    </xf>
    <xf numFmtId="168" fontId="101" fillId="18" borderId="19" xfId="0" applyNumberFormat="1" applyFont="1" applyFill="1" applyBorder="1" applyAlignment="1">
      <alignment vertical="center"/>
    </xf>
    <xf numFmtId="168" fontId="135" fillId="18" borderId="19" xfId="207" applyNumberFormat="1" applyFont="1" applyFill="1" applyBorder="1" applyAlignment="1">
      <alignment horizontal="right" vertical="center"/>
    </xf>
    <xf numFmtId="168" fontId="258" fillId="18" borderId="19" xfId="0" applyNumberFormat="1" applyFont="1" applyFill="1" applyBorder="1"/>
    <xf numFmtId="168" fontId="47" fillId="18" borderId="19" xfId="207" applyNumberFormat="1" applyFont="1" applyFill="1" applyBorder="1" applyAlignment="1">
      <alignment vertical="center"/>
    </xf>
    <xf numFmtId="168" fontId="59" fillId="18" borderId="19" xfId="207" applyNumberFormat="1" applyFont="1" applyFill="1" applyBorder="1" applyAlignment="1">
      <alignment vertical="center"/>
    </xf>
    <xf numFmtId="0" fontId="0" fillId="18" borderId="19" xfId="0" applyFill="1" applyBorder="1"/>
    <xf numFmtId="0" fontId="53" fillId="58" borderId="19" xfId="0" applyFont="1" applyFill="1" applyBorder="1" applyAlignment="1">
      <alignment vertical="center"/>
    </xf>
    <xf numFmtId="168" fontId="98" fillId="25" borderId="19" xfId="207" applyNumberFormat="1" applyFont="1" applyFill="1" applyBorder="1" applyAlignment="1">
      <alignment vertical="center"/>
    </xf>
    <xf numFmtId="168" fontId="58" fillId="18" borderId="19" xfId="207" applyNumberFormat="1" applyFont="1" applyFill="1" applyBorder="1" applyAlignment="1">
      <alignment vertical="center"/>
    </xf>
    <xf numFmtId="173" fontId="59" fillId="18" borderId="19" xfId="0" applyNumberFormat="1" applyFont="1" applyFill="1" applyBorder="1" applyAlignment="1">
      <alignment vertical="center"/>
    </xf>
    <xf numFmtId="166" fontId="8" fillId="18" borderId="19" xfId="240" applyNumberFormat="1" applyFont="1" applyFill="1" applyBorder="1" applyAlignment="1"/>
    <xf numFmtId="170" fontId="85" fillId="18" borderId="19" xfId="0" applyNumberFormat="1" applyFont="1" applyFill="1" applyBorder="1" applyAlignment="1">
      <alignment vertical="center"/>
    </xf>
    <xf numFmtId="173" fontId="127" fillId="18" borderId="19" xfId="0" applyNumberFormat="1" applyFont="1" applyFill="1" applyBorder="1" applyAlignment="1">
      <alignment vertical="center"/>
    </xf>
    <xf numFmtId="170" fontId="58" fillId="18" borderId="19" xfId="0" applyNumberFormat="1" applyFont="1" applyFill="1" applyBorder="1" applyAlignment="1">
      <alignment vertical="center"/>
    </xf>
    <xf numFmtId="172" fontId="44" fillId="18" borderId="19" xfId="0" applyNumberFormat="1" applyFont="1" applyFill="1" applyBorder="1" applyAlignment="1">
      <alignment horizontal="right" vertical="center"/>
    </xf>
    <xf numFmtId="173" fontId="44" fillId="18" borderId="19" xfId="0" applyNumberFormat="1" applyFont="1" applyFill="1" applyBorder="1" applyAlignment="1">
      <alignment horizontal="right" vertical="center"/>
    </xf>
    <xf numFmtId="170" fontId="8" fillId="18" borderId="19" xfId="0" applyNumberFormat="1" applyFont="1" applyFill="1" applyBorder="1" applyAlignment="1">
      <alignment horizontal="right" vertical="center"/>
    </xf>
    <xf numFmtId="170" fontId="54" fillId="18" borderId="19" xfId="0" applyNumberFormat="1" applyFont="1" applyFill="1" applyBorder="1" applyAlignment="1">
      <alignment horizontal="right" vertical="center"/>
    </xf>
    <xf numFmtId="170" fontId="20" fillId="18" borderId="19" xfId="0" applyNumberFormat="1" applyFont="1" applyFill="1" applyBorder="1" applyAlignment="1">
      <alignment horizontal="right" vertical="center"/>
    </xf>
    <xf numFmtId="167" fontId="87" fillId="18" borderId="19" xfId="207" applyNumberFormat="1" applyFont="1" applyFill="1" applyBorder="1" applyAlignment="1">
      <alignment vertical="center"/>
    </xf>
    <xf numFmtId="168" fontId="231" fillId="18" borderId="19" xfId="207" applyNumberFormat="1" applyFont="1" applyFill="1" applyBorder="1"/>
    <xf numFmtId="168" fontId="56" fillId="18" borderId="19" xfId="207" applyNumberFormat="1" applyFont="1" applyFill="1" applyBorder="1"/>
    <xf numFmtId="168" fontId="84" fillId="18" borderId="19" xfId="0" applyNumberFormat="1" applyFont="1" applyFill="1" applyBorder="1"/>
    <xf numFmtId="168" fontId="135" fillId="18" borderId="19" xfId="0" applyNumberFormat="1" applyFont="1" applyFill="1" applyBorder="1"/>
    <xf numFmtId="168" fontId="84" fillId="18" borderId="19" xfId="207" applyNumberFormat="1" applyFont="1" applyFill="1" applyBorder="1" applyAlignment="1">
      <alignment vertical="center"/>
    </xf>
    <xf numFmtId="168" fontId="84" fillId="18" borderId="19" xfId="0" applyNumberFormat="1" applyFont="1" applyFill="1" applyBorder="1" applyAlignment="1">
      <alignment horizontal="right" vertical="center"/>
    </xf>
    <xf numFmtId="168" fontId="59" fillId="18" borderId="19" xfId="0" applyNumberFormat="1" applyFont="1" applyFill="1" applyBorder="1" applyAlignment="1">
      <alignment horizontal="right" vertical="center"/>
    </xf>
    <xf numFmtId="168" fontId="126" fillId="18" borderId="19" xfId="0" applyNumberFormat="1" applyFont="1" applyFill="1" applyBorder="1"/>
    <xf numFmtId="168" fontId="88" fillId="18" borderId="19" xfId="207" applyNumberFormat="1" applyFont="1" applyFill="1" applyBorder="1" applyAlignment="1">
      <alignment vertical="center"/>
    </xf>
    <xf numFmtId="173" fontId="58" fillId="18" borderId="19" xfId="0" applyNumberFormat="1" applyFont="1" applyFill="1" applyBorder="1" applyAlignment="1">
      <alignment horizontal="right" vertical="center"/>
    </xf>
    <xf numFmtId="9" fontId="8" fillId="18" borderId="19" xfId="0" applyNumberFormat="1" applyFont="1" applyFill="1" applyBorder="1" applyAlignment="1">
      <alignment vertical="center"/>
    </xf>
    <xf numFmtId="3" fontId="8" fillId="25" borderId="19" xfId="0" applyNumberFormat="1" applyFont="1" applyFill="1" applyBorder="1" applyAlignment="1"/>
    <xf numFmtId="3" fontId="8" fillId="18" borderId="19" xfId="0" applyNumberFormat="1" applyFont="1" applyFill="1" applyBorder="1" applyAlignment="1"/>
    <xf numFmtId="170" fontId="134" fillId="18" borderId="19" xfId="0" applyNumberFormat="1" applyFont="1" applyFill="1" applyBorder="1"/>
    <xf numFmtId="170" fontId="127" fillId="18" borderId="19" xfId="0" applyNumberFormat="1" applyFont="1" applyFill="1" applyBorder="1"/>
    <xf numFmtId="167" fontId="20" fillId="18" borderId="19" xfId="207" applyNumberFormat="1" applyFont="1" applyFill="1" applyBorder="1"/>
    <xf numFmtId="167" fontId="126" fillId="25" borderId="19" xfId="207" applyNumberFormat="1" applyFont="1" applyFill="1" applyBorder="1"/>
    <xf numFmtId="164" fontId="60" fillId="18" borderId="19" xfId="0" applyNumberFormat="1" applyFont="1" applyFill="1" applyBorder="1" applyAlignment="1">
      <alignment vertical="center"/>
    </xf>
    <xf numFmtId="0" fontId="20" fillId="59" borderId="19" xfId="0" applyFont="1" applyFill="1" applyBorder="1" applyAlignment="1">
      <alignment vertical="center"/>
    </xf>
    <xf numFmtId="0" fontId="0" fillId="25" borderId="19" xfId="0" applyFill="1" applyBorder="1"/>
    <xf numFmtId="0" fontId="20" fillId="28" borderId="19" xfId="0" applyFont="1" applyFill="1" applyBorder="1" applyAlignment="1">
      <alignment vertical="center"/>
    </xf>
    <xf numFmtId="37" fontId="47" fillId="18" borderId="19" xfId="0" applyNumberFormat="1" applyFont="1" applyFill="1" applyBorder="1" applyAlignment="1">
      <alignment vertical="center"/>
    </xf>
    <xf numFmtId="173" fontId="42" fillId="18" borderId="19" xfId="0" applyNumberFormat="1" applyFont="1" applyFill="1" applyBorder="1" applyAlignment="1">
      <alignment vertical="center"/>
    </xf>
    <xf numFmtId="182" fontId="50" fillId="18" borderId="19" xfId="0" applyNumberFormat="1" applyFont="1" applyFill="1" applyBorder="1" applyAlignment="1">
      <alignment horizontal="right" vertical="center"/>
    </xf>
    <xf numFmtId="170" fontId="17" fillId="18" borderId="19" xfId="0" applyNumberFormat="1" applyFont="1" applyFill="1" applyBorder="1" applyAlignment="1">
      <alignment vertical="center"/>
    </xf>
    <xf numFmtId="182" fontId="47" fillId="18" borderId="19" xfId="0" applyNumberFormat="1" applyFont="1" applyFill="1" applyBorder="1" applyAlignment="1">
      <alignment horizontal="right" vertical="center"/>
    </xf>
    <xf numFmtId="165" fontId="8" fillId="18" borderId="19" xfId="0" applyNumberFormat="1" applyFont="1" applyFill="1" applyBorder="1" applyAlignment="1">
      <alignment vertical="center"/>
    </xf>
    <xf numFmtId="168" fontId="99" fillId="25" borderId="19" xfId="207" applyNumberFormat="1" applyFont="1" applyFill="1" applyBorder="1" applyAlignment="1">
      <alignment vertical="center"/>
    </xf>
    <xf numFmtId="168" fontId="50" fillId="25" borderId="19" xfId="207" applyNumberFormat="1" applyFont="1" applyFill="1" applyBorder="1" applyAlignment="1">
      <alignment vertical="center"/>
    </xf>
    <xf numFmtId="0" fontId="7" fillId="26" borderId="19" xfId="0" applyFont="1" applyFill="1" applyBorder="1"/>
    <xf numFmtId="0" fontId="0" fillId="0" borderId="19" xfId="0" applyBorder="1"/>
    <xf numFmtId="177" fontId="8" fillId="18" borderId="19" xfId="0" applyNumberFormat="1" applyFont="1" applyFill="1" applyBorder="1" applyAlignment="1">
      <alignment vertical="center"/>
    </xf>
    <xf numFmtId="177" fontId="58" fillId="18" borderId="19" xfId="0" applyNumberFormat="1" applyFont="1" applyFill="1" applyBorder="1" applyAlignment="1">
      <alignment vertical="center"/>
    </xf>
    <xf numFmtId="177" fontId="53" fillId="18" borderId="19" xfId="0" applyNumberFormat="1" applyFont="1" applyFill="1" applyBorder="1" applyAlignment="1">
      <alignment vertical="center"/>
    </xf>
    <xf numFmtId="172" fontId="59" fillId="18" borderId="19" xfId="0" applyNumberFormat="1" applyFont="1" applyFill="1" applyBorder="1" applyAlignment="1">
      <alignment vertical="center"/>
    </xf>
    <xf numFmtId="177" fontId="20" fillId="18" borderId="19" xfId="0" applyNumberFormat="1" applyFont="1" applyFill="1" applyBorder="1" applyAlignment="1">
      <alignment vertical="center"/>
    </xf>
    <xf numFmtId="177" fontId="100" fillId="18" borderId="19" xfId="0" applyNumberFormat="1" applyFont="1" applyFill="1" applyBorder="1" applyAlignment="1">
      <alignment vertical="center"/>
    </xf>
    <xf numFmtId="164" fontId="53" fillId="18" borderId="19" xfId="0" applyNumberFormat="1" applyFont="1" applyFill="1" applyBorder="1" applyAlignment="1">
      <alignment vertical="center"/>
    </xf>
    <xf numFmtId="168" fontId="87" fillId="18" borderId="18" xfId="207" applyNumberFormat="1" applyFont="1" applyFill="1" applyBorder="1" applyAlignment="1">
      <alignment vertical="center"/>
    </xf>
    <xf numFmtId="168" fontId="98" fillId="18" borderId="19" xfId="207" applyNumberFormat="1" applyFont="1" applyFill="1" applyBorder="1"/>
    <xf numFmtId="164" fontId="98" fillId="18" borderId="19" xfId="0" applyNumberFormat="1" applyFont="1" applyFill="1" applyBorder="1" applyAlignment="1">
      <alignment vertical="center"/>
    </xf>
    <xf numFmtId="164" fontId="46" fillId="26" borderId="19" xfId="0" applyNumberFormat="1" applyFont="1" applyFill="1" applyBorder="1" applyAlignment="1">
      <alignment vertical="center"/>
    </xf>
    <xf numFmtId="185" fontId="50" fillId="18" borderId="19" xfId="0" applyNumberFormat="1" applyFont="1" applyFill="1" applyBorder="1" applyAlignment="1">
      <alignment horizontal="right" vertical="center"/>
    </xf>
    <xf numFmtId="0" fontId="7" fillId="26" borderId="62" xfId="0" applyFont="1" applyFill="1" applyBorder="1"/>
    <xf numFmtId="172" fontId="59" fillId="25" borderId="19" xfId="0" applyNumberFormat="1" applyFont="1" applyFill="1" applyBorder="1" applyAlignment="1">
      <alignment vertical="center"/>
    </xf>
    <xf numFmtId="166" fontId="59" fillId="18" borderId="19" xfId="240" applyNumberFormat="1" applyFont="1" applyFill="1" applyBorder="1" applyAlignment="1">
      <alignment vertical="center"/>
    </xf>
    <xf numFmtId="172" fontId="8" fillId="18" borderId="19" xfId="0" applyNumberFormat="1" applyFont="1" applyFill="1" applyBorder="1" applyAlignment="1">
      <alignment vertical="center"/>
    </xf>
    <xf numFmtId="167" fontId="53" fillId="56" borderId="19" xfId="207" applyNumberFormat="1" applyFont="1" applyFill="1" applyBorder="1" applyAlignment="1">
      <alignment vertical="center"/>
    </xf>
    <xf numFmtId="170" fontId="123" fillId="18" borderId="19" xfId="0" applyNumberFormat="1" applyFont="1" applyFill="1" applyBorder="1" applyAlignment="1">
      <alignment vertical="center"/>
    </xf>
    <xf numFmtId="10" fontId="8" fillId="25" borderId="19" xfId="240" applyNumberFormat="1" applyFont="1" applyFill="1" applyBorder="1" applyAlignment="1">
      <alignment horizontal="right" vertical="center"/>
    </xf>
    <xf numFmtId="9" fontId="59" fillId="18" borderId="19" xfId="240" applyFont="1" applyFill="1" applyBorder="1" applyAlignment="1">
      <alignment horizontal="right" vertical="center"/>
    </xf>
    <xf numFmtId="167" fontId="87" fillId="18" borderId="18" xfId="207" applyNumberFormat="1" applyFont="1" applyFill="1" applyBorder="1" applyAlignment="1">
      <alignment vertical="center"/>
    </xf>
    <xf numFmtId="173" fontId="55" fillId="18" borderId="19" xfId="0" applyNumberFormat="1" applyFont="1" applyFill="1" applyBorder="1" applyAlignment="1">
      <alignment horizontal="right" vertical="center"/>
    </xf>
    <xf numFmtId="168" fontId="87" fillId="88" borderId="19" xfId="207" applyNumberFormat="1" applyFont="1" applyFill="1" applyBorder="1" applyAlignment="1">
      <alignment vertical="center"/>
    </xf>
    <xf numFmtId="168" fontId="87" fillId="18" borderId="19" xfId="207" applyNumberFormat="1" applyFont="1" applyFill="1" applyBorder="1" applyAlignment="1">
      <alignment vertical="center"/>
    </xf>
    <xf numFmtId="168" fontId="58" fillId="18" borderId="19" xfId="207" applyNumberFormat="1" applyFont="1" applyFill="1" applyBorder="1" applyAlignment="1">
      <alignment horizontal="right" vertical="center"/>
    </xf>
    <xf numFmtId="180" fontId="8" fillId="18" borderId="19" xfId="0" applyNumberFormat="1" applyFont="1" applyFill="1" applyBorder="1" applyAlignment="1">
      <alignment horizontal="right" vertical="center"/>
    </xf>
    <xf numFmtId="184" fontId="8" fillId="18" borderId="19" xfId="0" applyNumberFormat="1" applyFont="1" applyFill="1" applyBorder="1" applyAlignment="1">
      <alignment horizontal="right" vertical="center"/>
    </xf>
    <xf numFmtId="189" fontId="20" fillId="18" borderId="19" xfId="0" applyNumberFormat="1" applyFont="1" applyFill="1" applyBorder="1" applyAlignment="1">
      <alignment horizontal="right" vertical="center"/>
    </xf>
    <xf numFmtId="164" fontId="17" fillId="18" borderId="19" xfId="0" applyNumberFormat="1" applyFont="1" applyFill="1" applyBorder="1" applyAlignment="1">
      <alignment vertical="center"/>
    </xf>
    <xf numFmtId="164" fontId="59" fillId="18" borderId="19" xfId="0" applyNumberFormat="1" applyFont="1" applyFill="1" applyBorder="1" applyAlignment="1">
      <alignment vertical="center"/>
    </xf>
    <xf numFmtId="164" fontId="106" fillId="18" borderId="19" xfId="0" applyNumberFormat="1" applyFont="1" applyFill="1" applyBorder="1" applyAlignment="1">
      <alignment vertical="center"/>
    </xf>
    <xf numFmtId="167" fontId="8" fillId="18" borderId="19" xfId="207" applyNumberFormat="1" applyFont="1" applyFill="1" applyBorder="1" applyAlignment="1">
      <alignment vertical="center"/>
    </xf>
    <xf numFmtId="167" fontId="20" fillId="18" borderId="19" xfId="207" applyNumberFormat="1" applyFont="1" applyFill="1" applyBorder="1" applyAlignment="1">
      <alignment horizontal="right" vertical="center"/>
    </xf>
    <xf numFmtId="167" fontId="20" fillId="18" borderId="19" xfId="207" applyNumberFormat="1" applyFont="1" applyFill="1" applyBorder="1" applyAlignment="1">
      <alignment vertical="center"/>
    </xf>
    <xf numFmtId="167" fontId="235" fillId="18" borderId="19" xfId="207" applyNumberFormat="1" applyFont="1" applyFill="1" applyBorder="1" applyAlignment="1">
      <alignment vertical="center"/>
    </xf>
    <xf numFmtId="164" fontId="42" fillId="18" borderId="19" xfId="0" applyNumberFormat="1" applyFont="1" applyFill="1" applyBorder="1" applyAlignment="1">
      <alignment vertical="center"/>
    </xf>
    <xf numFmtId="193" fontId="53" fillId="18" borderId="22" xfId="0" applyNumberFormat="1" applyFont="1" applyFill="1" applyBorder="1" applyAlignment="1">
      <alignment vertical="center"/>
    </xf>
    <xf numFmtId="210" fontId="72" fillId="18" borderId="19" xfId="0" applyNumberFormat="1" applyFont="1" applyFill="1" applyBorder="1" applyAlignment="1">
      <alignment vertical="center"/>
    </xf>
    <xf numFmtId="164" fontId="59" fillId="18" borderId="19" xfId="0" applyNumberFormat="1" applyFont="1" applyFill="1" applyBorder="1" applyAlignment="1">
      <alignment horizontal="right" vertical="center"/>
    </xf>
    <xf numFmtId="164" fontId="65" fillId="18" borderId="19" xfId="0" applyNumberFormat="1" applyFont="1" applyFill="1" applyBorder="1" applyAlignment="1">
      <alignment vertical="center"/>
    </xf>
    <xf numFmtId="164" fontId="56" fillId="18" borderId="19" xfId="0" applyNumberFormat="1" applyFont="1" applyFill="1" applyBorder="1" applyAlignment="1">
      <alignment vertical="center"/>
    </xf>
    <xf numFmtId="0" fontId="46" fillId="18" borderId="19" xfId="0" applyFont="1" applyFill="1" applyBorder="1" applyAlignment="1">
      <alignment vertical="center"/>
    </xf>
    <xf numFmtId="164" fontId="20" fillId="18" borderId="19" xfId="0" applyNumberFormat="1" applyFont="1" applyFill="1" applyBorder="1"/>
    <xf numFmtId="170" fontId="48" fillId="18" borderId="19" xfId="0" applyNumberFormat="1" applyFont="1" applyFill="1" applyBorder="1" applyAlignment="1">
      <alignment horizontal="right" vertical="center"/>
    </xf>
    <xf numFmtId="184" fontId="8" fillId="25" borderId="19" xfId="0" applyNumberFormat="1" applyFont="1" applyFill="1" applyBorder="1" applyAlignment="1">
      <alignment horizontal="right" vertical="center"/>
    </xf>
    <xf numFmtId="164" fontId="20" fillId="25" borderId="19" xfId="0" applyNumberFormat="1" applyFont="1" applyFill="1" applyBorder="1" applyAlignment="1">
      <alignment vertical="center"/>
    </xf>
    <xf numFmtId="164" fontId="8" fillId="25" borderId="19" xfId="0" applyNumberFormat="1" applyFont="1" applyFill="1" applyBorder="1" applyAlignment="1">
      <alignment vertical="center"/>
    </xf>
    <xf numFmtId="164" fontId="59" fillId="25" borderId="19" xfId="0" applyNumberFormat="1" applyFont="1" applyFill="1" applyBorder="1" applyAlignment="1">
      <alignment vertical="center"/>
    </xf>
    <xf numFmtId="164" fontId="46" fillId="25" borderId="19" xfId="0" applyNumberFormat="1" applyFont="1" applyFill="1" applyBorder="1" applyAlignment="1">
      <alignment vertical="center"/>
    </xf>
    <xf numFmtId="164" fontId="17" fillId="25" borderId="19" xfId="207" applyNumberFormat="1" applyFont="1" applyFill="1" applyBorder="1"/>
    <xf numFmtId="173" fontId="8" fillId="25" borderId="19" xfId="0" applyNumberFormat="1" applyFont="1" applyFill="1" applyBorder="1" applyAlignment="1">
      <alignment vertical="center"/>
    </xf>
    <xf numFmtId="164" fontId="53" fillId="25" borderId="19" xfId="0" applyNumberFormat="1" applyFont="1" applyFill="1" applyBorder="1" applyAlignment="1">
      <alignment vertical="center"/>
    </xf>
    <xf numFmtId="164" fontId="50" fillId="25" borderId="19" xfId="0" applyNumberFormat="1" applyFont="1" applyFill="1" applyBorder="1" applyAlignment="1">
      <alignment vertical="center"/>
    </xf>
    <xf numFmtId="164" fontId="8" fillId="25" borderId="19" xfId="0" applyNumberFormat="1" applyFont="1" applyFill="1" applyBorder="1" applyAlignment="1">
      <alignment horizontal="right" vertical="center"/>
    </xf>
    <xf numFmtId="164" fontId="47" fillId="25" borderId="19" xfId="0" applyNumberFormat="1" applyFont="1" applyFill="1" applyBorder="1" applyAlignment="1">
      <alignment vertical="center"/>
    </xf>
    <xf numFmtId="0" fontId="8" fillId="25" borderId="19" xfId="0" applyFont="1" applyFill="1" applyBorder="1" applyAlignment="1">
      <alignment vertical="center"/>
    </xf>
    <xf numFmtId="164" fontId="17" fillId="25" borderId="19" xfId="0" applyNumberFormat="1" applyFont="1" applyFill="1" applyBorder="1" applyAlignment="1">
      <alignment vertical="center"/>
    </xf>
    <xf numFmtId="164" fontId="17" fillId="25" borderId="19" xfId="0" applyNumberFormat="1" applyFont="1" applyFill="1" applyBorder="1" applyAlignment="1">
      <alignment horizontal="right" vertical="center"/>
    </xf>
    <xf numFmtId="0" fontId="17" fillId="25" borderId="19" xfId="0" applyFont="1" applyFill="1" applyBorder="1" applyAlignment="1">
      <alignment vertical="center"/>
    </xf>
    <xf numFmtId="164" fontId="57" fillId="25" borderId="19" xfId="0" applyNumberFormat="1" applyFont="1" applyFill="1" applyBorder="1" applyAlignment="1">
      <alignment vertical="center"/>
    </xf>
    <xf numFmtId="171" fontId="17" fillId="25" borderId="19" xfId="0" applyNumberFormat="1" applyFont="1" applyFill="1" applyBorder="1" applyAlignment="1">
      <alignment horizontal="right" vertical="center"/>
    </xf>
    <xf numFmtId="168" fontId="84" fillId="25" borderId="0" xfId="0" applyNumberFormat="1" applyFont="1" applyFill="1" applyBorder="1" applyAlignment="1">
      <alignment vertical="center"/>
    </xf>
    <xf numFmtId="0" fontId="20" fillId="18" borderId="0" xfId="0" applyFont="1" applyFill="1" applyBorder="1" applyAlignment="1">
      <alignment horizontal="left" vertical="center" indent="2"/>
    </xf>
    <xf numFmtId="0" fontId="8" fillId="18" borderId="0" xfId="207" applyNumberFormat="1" applyFont="1" applyFill="1" applyBorder="1" applyAlignment="1">
      <alignment horizontal="left" indent="3"/>
    </xf>
    <xf numFmtId="0" fontId="17" fillId="18" borderId="0" xfId="207" applyNumberFormat="1" applyFont="1" applyFill="1" applyBorder="1" applyAlignment="1">
      <alignment horizontal="left" indent="3"/>
    </xf>
    <xf numFmtId="0" fontId="20" fillId="18" borderId="0" xfId="207" applyNumberFormat="1" applyFont="1" applyFill="1" applyBorder="1" applyAlignment="1">
      <alignment horizontal="left" indent="3"/>
    </xf>
    <xf numFmtId="0" fontId="68" fillId="0" borderId="0" xfId="0" applyFont="1" applyFill="1" applyBorder="1" applyAlignment="1">
      <alignment vertical="center"/>
    </xf>
    <xf numFmtId="0" fontId="236" fillId="0" borderId="0" xfId="0" applyFont="1" applyFill="1" applyBorder="1"/>
    <xf numFmtId="0" fontId="46" fillId="18" borderId="0" xfId="0" applyFont="1" applyFill="1" applyAlignment="1">
      <alignment horizontal="left" vertical="center" indent="1"/>
    </xf>
    <xf numFmtId="0" fontId="68" fillId="0" borderId="0" xfId="0" applyFont="1" applyFill="1" applyAlignment="1">
      <alignment horizontal="right" vertical="center"/>
    </xf>
    <xf numFmtId="173" fontId="57" fillId="18" borderId="19" xfId="0" applyNumberFormat="1" applyFont="1" applyFill="1" applyBorder="1" applyAlignment="1">
      <alignment vertical="center"/>
    </xf>
    <xf numFmtId="173" fontId="57" fillId="18" borderId="0" xfId="0" applyNumberFormat="1" applyFont="1" applyFill="1" applyAlignment="1">
      <alignment vertical="center"/>
    </xf>
    <xf numFmtId="168" fontId="57" fillId="18" borderId="19" xfId="207" applyNumberFormat="1" applyFont="1" applyFill="1" applyBorder="1" applyAlignment="1">
      <alignment vertical="center"/>
    </xf>
    <xf numFmtId="168" fontId="57" fillId="18" borderId="0" xfId="207" applyNumberFormat="1" applyFont="1" applyFill="1" applyBorder="1" applyAlignment="1">
      <alignment vertical="center"/>
    </xf>
    <xf numFmtId="166" fontId="20" fillId="18" borderId="0" xfId="0" applyNumberFormat="1" applyFont="1" applyFill="1" applyBorder="1" applyAlignment="1">
      <alignment vertical="center"/>
    </xf>
    <xf numFmtId="166" fontId="20" fillId="18" borderId="19" xfId="0" applyNumberFormat="1" applyFont="1" applyFill="1" applyBorder="1" applyAlignment="1">
      <alignment vertical="center"/>
    </xf>
    <xf numFmtId="173" fontId="56" fillId="18" borderId="19" xfId="0" applyNumberFormat="1" applyFont="1" applyFill="1" applyBorder="1" applyAlignment="1">
      <alignment vertical="center"/>
    </xf>
    <xf numFmtId="173" fontId="56" fillId="18" borderId="0" xfId="0" applyNumberFormat="1" applyFont="1" applyFill="1" applyAlignment="1">
      <alignment vertical="center"/>
    </xf>
    <xf numFmtId="0" fontId="20" fillId="18" borderId="40" xfId="0" applyFont="1" applyFill="1" applyBorder="1" applyAlignment="1">
      <alignment horizontal="right"/>
    </xf>
    <xf numFmtId="0" fontId="20" fillId="18" borderId="41" xfId="0" applyFont="1" applyFill="1" applyBorder="1" applyAlignment="1">
      <alignment horizontal="right"/>
    </xf>
    <xf numFmtId="11" fontId="20" fillId="25" borderId="0" xfId="0" applyNumberFormat="1" applyFont="1" applyFill="1" applyBorder="1" applyAlignment="1">
      <alignment vertical="center"/>
    </xf>
    <xf numFmtId="9" fontId="20" fillId="25" borderId="0" xfId="0" applyNumberFormat="1" applyFont="1" applyFill="1" applyBorder="1" applyAlignment="1">
      <alignment vertical="center"/>
    </xf>
    <xf numFmtId="173" fontId="80" fillId="25" borderId="0" xfId="0" applyNumberFormat="1" applyFont="1" applyFill="1" applyBorder="1" applyAlignment="1">
      <alignment vertical="center"/>
    </xf>
    <xf numFmtId="9" fontId="17" fillId="25" borderId="0" xfId="0" applyNumberFormat="1" applyFont="1" applyFill="1" applyBorder="1" applyAlignment="1">
      <alignment vertical="center"/>
    </xf>
    <xf numFmtId="174" fontId="8" fillId="25" borderId="0" xfId="0" applyNumberFormat="1" applyFont="1" applyFill="1" applyBorder="1" applyAlignment="1">
      <alignment vertical="center"/>
    </xf>
    <xf numFmtId="0" fontId="48" fillId="25" borderId="0" xfId="246" applyFont="1" applyFill="1" applyBorder="1" applyAlignment="1">
      <alignment horizontal="center"/>
    </xf>
    <xf numFmtId="0" fontId="8" fillId="25" borderId="0" xfId="246" applyFont="1" applyFill="1" applyAlignment="1"/>
    <xf numFmtId="176" fontId="20" fillId="25" borderId="0" xfId="0" applyNumberFormat="1" applyFont="1" applyFill="1" applyBorder="1" applyAlignment="1">
      <alignment horizontal="right" vertical="center"/>
    </xf>
    <xf numFmtId="0" fontId="8" fillId="25" borderId="0" xfId="246" applyFont="1" applyFill="1" applyBorder="1" applyAlignment="1"/>
    <xf numFmtId="0" fontId="48" fillId="25" borderId="0" xfId="246" quotePrefix="1" applyFont="1" applyFill="1" applyBorder="1" applyAlignment="1">
      <alignment horizontal="right"/>
    </xf>
    <xf numFmtId="0" fontId="17" fillId="25" borderId="0" xfId="246" applyFont="1" applyFill="1" applyBorder="1" applyAlignment="1"/>
    <xf numFmtId="0" fontId="17" fillId="25" borderId="0" xfId="246" applyFont="1" applyFill="1" applyAlignment="1"/>
    <xf numFmtId="166" fontId="17" fillId="25" borderId="0" xfId="240" applyNumberFormat="1" applyFont="1" applyFill="1" applyBorder="1"/>
    <xf numFmtId="38" fontId="20" fillId="25" borderId="0" xfId="240" applyNumberFormat="1" applyFont="1" applyFill="1" applyBorder="1"/>
    <xf numFmtId="0" fontId="20" fillId="25" borderId="0" xfId="246" applyFont="1" applyFill="1" applyAlignment="1"/>
    <xf numFmtId="0" fontId="20" fillId="25" borderId="0" xfId="246" applyFont="1" applyFill="1" applyBorder="1" applyAlignment="1"/>
    <xf numFmtId="0" fontId="9" fillId="25" borderId="0" xfId="246" applyFont="1" applyFill="1" applyBorder="1" applyAlignment="1"/>
    <xf numFmtId="166" fontId="20" fillId="25" borderId="0" xfId="240" applyNumberFormat="1" applyFont="1" applyFill="1" applyBorder="1"/>
    <xf numFmtId="40" fontId="8" fillId="25" borderId="0" xfId="246" applyNumberFormat="1" applyFont="1" applyFill="1" applyBorder="1" applyAlignment="1"/>
    <xf numFmtId="40" fontId="17" fillId="25" borderId="0" xfId="246" applyNumberFormat="1" applyFont="1" applyFill="1" applyBorder="1" applyAlignment="1"/>
    <xf numFmtId="39" fontId="17" fillId="18" borderId="0" xfId="207" applyNumberFormat="1" applyFont="1" applyFill="1" applyBorder="1" applyAlignment="1">
      <alignment horizontal="right"/>
    </xf>
    <xf numFmtId="37" fontId="20" fillId="62" borderId="0" xfId="234" applyNumberFormat="1" applyFont="1" applyFill="1" applyBorder="1" applyAlignment="1">
      <alignment horizontal="left"/>
    </xf>
    <xf numFmtId="164" fontId="20" fillId="62" borderId="0" xfId="207" applyNumberFormat="1" applyFont="1" applyFill="1" applyBorder="1" applyAlignment="1">
      <alignment horizontal="right"/>
    </xf>
    <xf numFmtId="164" fontId="17" fillId="18" borderId="0" xfId="207" applyNumberFormat="1" applyFont="1" applyFill="1" applyBorder="1" applyAlignment="1">
      <alignment horizontal="right"/>
    </xf>
    <xf numFmtId="164" fontId="8" fillId="18" borderId="0" xfId="209" applyNumberFormat="1" applyFont="1" applyFill="1" applyBorder="1"/>
    <xf numFmtId="37" fontId="17" fillId="18" borderId="0" xfId="207" applyNumberFormat="1" applyFont="1" applyFill="1" applyBorder="1"/>
    <xf numFmtId="37" fontId="17" fillId="18" borderId="0" xfId="240" applyNumberFormat="1" applyFont="1" applyFill="1" applyBorder="1" applyAlignment="1">
      <alignment horizontal="right"/>
    </xf>
    <xf numFmtId="9" fontId="8" fillId="18" borderId="0" xfId="207" applyNumberFormat="1" applyFont="1" applyFill="1" applyBorder="1" applyAlignment="1">
      <alignment horizontal="right"/>
    </xf>
    <xf numFmtId="0" fontId="20" fillId="62" borderId="0" xfId="234" applyFont="1" applyFill="1" applyBorder="1" applyAlignment="1">
      <alignment horizontal="left"/>
    </xf>
    <xf numFmtId="37" fontId="17" fillId="18" borderId="0" xfId="234" applyNumberFormat="1" applyFont="1" applyFill="1" applyBorder="1" applyAlignment="1">
      <alignment horizontal="left" indent="1"/>
    </xf>
    <xf numFmtId="9" fontId="17" fillId="18" borderId="0" xfId="240" applyFont="1" applyFill="1" applyBorder="1" applyAlignment="1">
      <alignment horizontal="right"/>
    </xf>
    <xf numFmtId="37" fontId="8" fillId="18" borderId="0" xfId="207" applyNumberFormat="1" applyFont="1" applyFill="1" applyBorder="1"/>
    <xf numFmtId="168" fontId="17" fillId="18" borderId="0" xfId="207" applyNumberFormat="1" applyFont="1" applyFill="1" applyBorder="1" applyAlignment="1">
      <alignment horizontal="right"/>
    </xf>
    <xf numFmtId="39" fontId="17" fillId="18" borderId="0" xfId="240" applyNumberFormat="1" applyFont="1" applyFill="1" applyBorder="1" applyAlignment="1">
      <alignment horizontal="right"/>
    </xf>
    <xf numFmtId="165" fontId="20" fillId="62" borderId="0" xfId="207" applyNumberFormat="1" applyFont="1" applyFill="1" applyBorder="1" applyAlignment="1">
      <alignment horizontal="right"/>
    </xf>
    <xf numFmtId="10" fontId="20" fillId="62" borderId="0" xfId="207" applyNumberFormat="1" applyFont="1" applyFill="1" applyBorder="1" applyAlignment="1">
      <alignment horizontal="right"/>
    </xf>
    <xf numFmtId="166" fontId="20" fillId="62" borderId="0" xfId="207" applyNumberFormat="1" applyFont="1" applyFill="1" applyBorder="1" applyAlignment="1">
      <alignment horizontal="right"/>
    </xf>
    <xf numFmtId="167" fontId="20" fillId="62" borderId="0" xfId="207" applyNumberFormat="1" applyFont="1" applyFill="1" applyBorder="1" applyAlignment="1">
      <alignment horizontal="right"/>
    </xf>
    <xf numFmtId="167" fontId="17" fillId="18" borderId="0" xfId="207" applyNumberFormat="1" applyFont="1" applyFill="1" applyBorder="1"/>
    <xf numFmtId="167" fontId="17" fillId="18" borderId="0" xfId="207" applyNumberFormat="1" applyFont="1" applyFill="1" applyBorder="1" applyAlignment="1">
      <alignment horizontal="right"/>
    </xf>
    <xf numFmtId="37" fontId="17" fillId="18" borderId="0" xfId="234" applyNumberFormat="1" applyFont="1" applyFill="1" applyBorder="1"/>
    <xf numFmtId="37" fontId="17" fillId="18" borderId="0" xfId="234" applyNumberFormat="1" applyFont="1" applyFill="1" applyBorder="1" applyAlignment="1">
      <alignment horizontal="right"/>
    </xf>
    <xf numFmtId="0" fontId="67" fillId="25" borderId="0" xfId="0" applyFont="1" applyFill="1" applyAlignment="1">
      <alignment horizontal="right"/>
    </xf>
    <xf numFmtId="0" fontId="67" fillId="25" borderId="0" xfId="0" applyFont="1" applyFill="1" applyBorder="1" applyAlignment="1">
      <alignment horizontal="right"/>
    </xf>
    <xf numFmtId="0" fontId="262" fillId="54" borderId="17" xfId="207" applyNumberFormat="1" applyFont="1" applyFill="1" applyBorder="1" applyAlignment="1">
      <alignment horizontal="left"/>
    </xf>
    <xf numFmtId="167" fontId="20" fillId="61" borderId="0" xfId="207" applyNumberFormat="1" applyFont="1" applyFill="1" applyBorder="1" applyAlignment="1">
      <alignment horizontal="right"/>
    </xf>
    <xf numFmtId="169" fontId="41" fillId="0" borderId="0" xfId="0" applyNumberFormat="1" applyFont="1" applyFill="1"/>
    <xf numFmtId="169" fontId="8" fillId="18" borderId="0" xfId="0" applyNumberFormat="1" applyFont="1" applyFill="1" applyBorder="1" applyAlignment="1">
      <alignment vertical="center"/>
    </xf>
    <xf numFmtId="39" fontId="237" fillId="18" borderId="0" xfId="0" applyNumberFormat="1" applyFont="1" applyFill="1" applyBorder="1" applyAlignment="1">
      <alignment horizontal="right" vertical="center"/>
    </xf>
    <xf numFmtId="224" fontId="8" fillId="18" borderId="0" xfId="0" applyNumberFormat="1" applyFont="1" applyFill="1" applyAlignment="1">
      <alignment vertical="center"/>
    </xf>
    <xf numFmtId="37" fontId="237" fillId="25" borderId="0" xfId="207" applyNumberFormat="1" applyFont="1" applyFill="1" applyBorder="1" applyAlignment="1">
      <alignment vertical="center"/>
    </xf>
    <xf numFmtId="168" fontId="8" fillId="18" borderId="0" xfId="240" applyNumberFormat="1" applyFont="1" applyFill="1" applyAlignment="1">
      <alignment horizontal="right" vertical="center"/>
    </xf>
    <xf numFmtId="9" fontId="8" fillId="18" borderId="44" xfId="240" applyFont="1" applyFill="1" applyBorder="1" applyAlignment="1">
      <alignment horizontal="right" vertical="center"/>
    </xf>
    <xf numFmtId="37" fontId="53" fillId="18" borderId="44" xfId="0" applyNumberFormat="1" applyFont="1" applyFill="1" applyBorder="1" applyAlignment="1">
      <alignment vertical="center"/>
    </xf>
    <xf numFmtId="37" fontId="8" fillId="18" borderId="44" xfId="0" applyNumberFormat="1" applyFont="1" applyFill="1" applyBorder="1" applyAlignment="1">
      <alignment vertical="center"/>
    </xf>
    <xf numFmtId="178" fontId="8" fillId="18" borderId="44" xfId="240" applyNumberFormat="1" applyFont="1" applyFill="1" applyBorder="1" applyAlignment="1">
      <alignment horizontal="right" vertical="center"/>
    </xf>
    <xf numFmtId="166" fontId="20" fillId="18" borderId="44" xfId="240" applyNumberFormat="1" applyFont="1" applyFill="1" applyBorder="1" applyAlignment="1">
      <alignment horizontal="right" vertical="center"/>
    </xf>
    <xf numFmtId="172" fontId="8" fillId="18" borderId="44" xfId="240" applyNumberFormat="1" applyFont="1" applyFill="1" applyBorder="1" applyAlignment="1">
      <alignment horizontal="right" vertical="center"/>
    </xf>
    <xf numFmtId="166" fontId="8" fillId="18" borderId="44" xfId="240" applyNumberFormat="1" applyFont="1" applyFill="1" applyBorder="1" applyAlignment="1">
      <alignment horizontal="right" vertical="center"/>
    </xf>
    <xf numFmtId="192" fontId="53" fillId="18" borderId="44" xfId="0" applyNumberFormat="1" applyFont="1" applyFill="1" applyBorder="1" applyAlignment="1">
      <alignment vertical="center"/>
    </xf>
    <xf numFmtId="189" fontId="53" fillId="56" borderId="44" xfId="0" applyNumberFormat="1" applyFont="1" applyFill="1" applyBorder="1" applyAlignment="1">
      <alignment vertical="center"/>
    </xf>
    <xf numFmtId="37" fontId="20" fillId="18" borderId="44" xfId="0" applyNumberFormat="1" applyFont="1" applyFill="1" applyBorder="1" applyAlignment="1">
      <alignment vertical="center"/>
    </xf>
    <xf numFmtId="0" fontId="264" fillId="25" borderId="0" xfId="0" applyFont="1" applyFill="1" applyBorder="1" applyAlignment="1">
      <alignment vertical="center"/>
    </xf>
    <xf numFmtId="0" fontId="264" fillId="25" borderId="0" xfId="0" applyFont="1" applyFill="1" applyBorder="1" applyAlignment="1">
      <alignment horizontal="center" vertical="center"/>
    </xf>
    <xf numFmtId="0" fontId="264" fillId="25" borderId="0" xfId="0" quotePrefix="1" applyFont="1" applyFill="1" applyAlignment="1">
      <alignment horizontal="left" vertical="center"/>
    </xf>
    <xf numFmtId="168" fontId="264" fillId="25" borderId="0" xfId="207" applyNumberFormat="1" applyFont="1" applyFill="1" applyBorder="1" applyAlignment="1">
      <alignment horizontal="right" vertical="center"/>
    </xf>
    <xf numFmtId="168" fontId="264" fillId="25" borderId="0" xfId="0" applyNumberFormat="1" applyFont="1" applyFill="1" applyAlignment="1">
      <alignment vertical="center"/>
    </xf>
    <xf numFmtId="167" fontId="264" fillId="25" borderId="0" xfId="207" applyNumberFormat="1" applyFont="1" applyFill="1" applyBorder="1" applyAlignment="1">
      <alignment vertical="center"/>
    </xf>
    <xf numFmtId="167" fontId="264" fillId="25" borderId="19" xfId="207" applyNumberFormat="1" applyFont="1" applyFill="1" applyBorder="1" applyAlignment="1">
      <alignment horizontal="right" vertical="center"/>
    </xf>
    <xf numFmtId="167" fontId="264" fillId="25" borderId="0" xfId="207" applyNumberFormat="1" applyFont="1" applyFill="1" applyBorder="1" applyAlignment="1">
      <alignment horizontal="right" vertical="center"/>
    </xf>
    <xf numFmtId="168" fontId="264" fillId="25" borderId="19" xfId="207" applyNumberFormat="1" applyFont="1" applyFill="1" applyBorder="1" applyAlignment="1">
      <alignment horizontal="right" vertical="center"/>
    </xf>
    <xf numFmtId="0" fontId="263" fillId="25" borderId="0" xfId="0" applyFont="1" applyFill="1" applyBorder="1"/>
    <xf numFmtId="178" fontId="20" fillId="18" borderId="19" xfId="0" applyNumberFormat="1" applyFont="1" applyFill="1" applyBorder="1" applyAlignment="1">
      <alignment horizontal="right" vertical="center"/>
    </xf>
    <xf numFmtId="178" fontId="20" fillId="18" borderId="0" xfId="0" applyNumberFormat="1" applyFont="1" applyFill="1" applyBorder="1" applyAlignment="1">
      <alignment horizontal="right" vertical="center"/>
    </xf>
    <xf numFmtId="9" fontId="235" fillId="18" borderId="0" xfId="240" applyFont="1" applyFill="1" applyBorder="1" applyAlignment="1">
      <alignment vertical="center"/>
    </xf>
    <xf numFmtId="9" fontId="20" fillId="56" borderId="0" xfId="240" applyFont="1" applyFill="1" applyBorder="1" applyAlignment="1">
      <alignment horizontal="right" vertical="center"/>
    </xf>
    <xf numFmtId="9" fontId="20" fillId="88" borderId="0" xfId="240" applyFont="1" applyFill="1" applyBorder="1" applyAlignment="1">
      <alignment horizontal="right" vertical="center"/>
    </xf>
    <xf numFmtId="9" fontId="8" fillId="25" borderId="0" xfId="240" applyFont="1" applyFill="1" applyBorder="1" applyAlignment="1">
      <alignment horizontal="right" vertical="center"/>
    </xf>
    <xf numFmtId="37" fontId="231" fillId="27" borderId="0" xfId="0" applyNumberFormat="1" applyFont="1" applyFill="1" applyBorder="1" applyAlignment="1">
      <alignment vertical="center"/>
    </xf>
    <xf numFmtId="37" fontId="231" fillId="27" borderId="0" xfId="0" applyNumberFormat="1" applyFont="1" applyFill="1" applyBorder="1" applyAlignment="1">
      <alignment horizontal="right" vertical="center"/>
    </xf>
    <xf numFmtId="242" fontId="41" fillId="18" borderId="0" xfId="0" applyNumberFormat="1" applyFont="1" applyFill="1" applyBorder="1"/>
    <xf numFmtId="168" fontId="134" fillId="18" borderId="1" xfId="207" applyNumberFormat="1" applyFont="1" applyFill="1" applyBorder="1" applyAlignment="1">
      <alignment vertical="center"/>
    </xf>
    <xf numFmtId="168" fontId="239" fillId="18" borderId="0" xfId="207" applyNumberFormat="1" applyFont="1" applyFill="1" applyBorder="1"/>
    <xf numFmtId="0" fontId="8" fillId="18" borderId="0" xfId="0" applyFont="1" applyFill="1" applyBorder="1" applyAlignment="1">
      <alignment horizontal="left" vertical="center" indent="4"/>
    </xf>
    <xf numFmtId="173" fontId="239" fillId="18" borderId="19" xfId="0" applyNumberFormat="1" applyFont="1" applyFill="1" applyBorder="1" applyAlignment="1">
      <alignment horizontal="right" vertical="center"/>
    </xf>
    <xf numFmtId="173" fontId="239" fillId="18" borderId="0" xfId="0" applyNumberFormat="1" applyFont="1" applyFill="1" applyBorder="1" applyAlignment="1">
      <alignment horizontal="right" vertical="center"/>
    </xf>
    <xf numFmtId="173" fontId="8" fillId="25" borderId="0" xfId="0" applyNumberFormat="1" applyFont="1" applyFill="1"/>
    <xf numFmtId="0" fontId="8" fillId="18" borderId="0" xfId="0" applyFont="1" applyFill="1" applyAlignment="1">
      <alignment horizontal="left" indent="5"/>
    </xf>
    <xf numFmtId="173" fontId="264" fillId="18" borderId="0" xfId="0" applyNumberFormat="1" applyFont="1" applyFill="1" applyBorder="1" applyAlignment="1">
      <alignment horizontal="right" vertical="center"/>
    </xf>
    <xf numFmtId="173" fontId="231" fillId="25" borderId="0" xfId="0" applyNumberFormat="1" applyFont="1" applyFill="1" applyBorder="1"/>
    <xf numFmtId="0" fontId="231" fillId="18" borderId="0" xfId="0" applyFont="1" applyFill="1" applyBorder="1"/>
    <xf numFmtId="9" fontId="8" fillId="25" borderId="0" xfId="0" applyNumberFormat="1" applyFont="1" applyFill="1" applyAlignment="1">
      <alignment horizontal="center"/>
    </xf>
    <xf numFmtId="0" fontId="8" fillId="25" borderId="0" xfId="0" applyFont="1" applyFill="1" applyAlignment="1">
      <alignment horizontal="right"/>
    </xf>
    <xf numFmtId="0" fontId="59" fillId="25" borderId="0" xfId="0" applyFont="1" applyFill="1"/>
    <xf numFmtId="165" fontId="8" fillId="25" borderId="0" xfId="0" applyNumberFormat="1" applyFont="1" applyFill="1"/>
    <xf numFmtId="1" fontId="122" fillId="25" borderId="0" xfId="0" applyNumberFormat="1" applyFont="1" applyFill="1"/>
    <xf numFmtId="1" fontId="8" fillId="25" borderId="0" xfId="0" applyNumberFormat="1" applyFont="1" applyFill="1"/>
    <xf numFmtId="39" fontId="8" fillId="25" borderId="0" xfId="0" applyNumberFormat="1" applyFont="1" applyFill="1"/>
    <xf numFmtId="0" fontId="7" fillId="89" borderId="0" xfId="2036" applyFont="1" applyFill="1" applyAlignment="1">
      <alignment vertical="top"/>
    </xf>
    <xf numFmtId="0" fontId="7" fillId="89" borderId="0" xfId="254" applyFill="1" applyAlignment="1">
      <alignment vertical="top"/>
    </xf>
    <xf numFmtId="0" fontId="7" fillId="89" borderId="0" xfId="254" applyFill="1"/>
    <xf numFmtId="0" fontId="116" fillId="89" borderId="0" xfId="2036" applyFont="1" applyFill="1" applyAlignment="1">
      <alignment horizontal="left" vertical="top"/>
    </xf>
    <xf numFmtId="0" fontId="7" fillId="89" borderId="0" xfId="254" applyFont="1" applyFill="1" applyAlignment="1">
      <alignment vertical="top"/>
    </xf>
    <xf numFmtId="0" fontId="265" fillId="89" borderId="0" xfId="2036" applyFont="1" applyFill="1" applyAlignment="1">
      <alignment vertical="top"/>
    </xf>
    <xf numFmtId="0" fontId="0" fillId="89" borderId="0" xfId="0" applyFill="1" applyAlignment="1">
      <alignment vertical="top"/>
    </xf>
    <xf numFmtId="0" fontId="266" fillId="89" borderId="0" xfId="0" applyFont="1" applyFill="1" applyAlignment="1">
      <alignment vertical="top"/>
    </xf>
    <xf numFmtId="0" fontId="267" fillId="89" borderId="0" xfId="0" applyFont="1" applyFill="1" applyAlignment="1">
      <alignment vertical="top"/>
    </xf>
    <xf numFmtId="0" fontId="266" fillId="89" borderId="63" xfId="0" applyFont="1" applyFill="1" applyBorder="1" applyAlignment="1">
      <alignment vertical="top"/>
    </xf>
    <xf numFmtId="9" fontId="266" fillId="89" borderId="63" xfId="0" applyNumberFormat="1" applyFont="1" applyFill="1" applyBorder="1" applyAlignment="1">
      <alignment vertical="top"/>
    </xf>
    <xf numFmtId="3" fontId="266" fillId="89" borderId="63" xfId="0" applyNumberFormat="1" applyFont="1" applyFill="1" applyBorder="1" applyAlignment="1">
      <alignment vertical="top"/>
    </xf>
    <xf numFmtId="2" fontId="7" fillId="0" borderId="0" xfId="254" applyNumberFormat="1" applyAlignment="1">
      <alignment horizontal="left"/>
    </xf>
    <xf numFmtId="0" fontId="7" fillId="0" borderId="0" xfId="254" applyNumberFormat="1" applyAlignment="1">
      <alignment horizontal="left"/>
    </xf>
    <xf numFmtId="1" fontId="7" fillId="0" borderId="0" xfId="254" applyNumberFormat="1" applyAlignment="1">
      <alignment horizontal="left"/>
    </xf>
    <xf numFmtId="0" fontId="7" fillId="0" borderId="0" xfId="254" applyFont="1"/>
    <xf numFmtId="243" fontId="7" fillId="0" borderId="0" xfId="254" applyNumberFormat="1" applyAlignment="1">
      <alignment horizontal="left"/>
    </xf>
    <xf numFmtId="49" fontId="7" fillId="0" borderId="0" xfId="254" applyNumberFormat="1"/>
    <xf numFmtId="0" fontId="268" fillId="0" borderId="0" xfId="254" applyFont="1" applyAlignment="1">
      <alignment wrapText="1"/>
    </xf>
    <xf numFmtId="0" fontId="268" fillId="0" borderId="0" xfId="254" applyFont="1" applyAlignment="1">
      <alignment horizontal="left" wrapText="1" indent="3"/>
    </xf>
    <xf numFmtId="0" fontId="268" fillId="0" borderId="0" xfId="254" applyFont="1" applyAlignment="1">
      <alignment horizontal="left" wrapText="1" indent="1"/>
    </xf>
    <xf numFmtId="0" fontId="270" fillId="0" borderId="0" xfId="254" applyFont="1" applyAlignment="1">
      <alignment wrapText="1"/>
    </xf>
    <xf numFmtId="0" fontId="0" fillId="89" borderId="68" xfId="0" applyFill="1" applyBorder="1" applyAlignment="1">
      <alignment vertical="top"/>
    </xf>
    <xf numFmtId="0" fontId="266" fillId="89" borderId="0" xfId="0" applyFont="1" applyFill="1" applyAlignment="1">
      <alignment vertical="top"/>
    </xf>
    <xf numFmtId="0" fontId="266" fillId="89" borderId="64" xfId="0" applyFont="1" applyFill="1" applyBorder="1" applyAlignment="1">
      <alignment vertical="top"/>
    </xf>
    <xf numFmtId="0" fontId="266" fillId="89" borderId="65" xfId="0" applyFont="1" applyFill="1" applyBorder="1" applyAlignment="1">
      <alignment vertical="top"/>
    </xf>
    <xf numFmtId="0" fontId="266" fillId="89" borderId="66" xfId="0" applyFont="1" applyFill="1" applyBorder="1" applyAlignment="1">
      <alignment vertical="top"/>
    </xf>
    <xf numFmtId="0" fontId="267" fillId="89" borderId="0" xfId="0" applyFont="1" applyFill="1" applyAlignment="1">
      <alignment vertical="top"/>
    </xf>
    <xf numFmtId="0" fontId="0" fillId="89" borderId="0" xfId="0" applyFill="1" applyAlignment="1">
      <alignment vertical="top"/>
    </xf>
    <xf numFmtId="0" fontId="0" fillId="89" borderId="67" xfId="0" applyFill="1" applyBorder="1" applyAlignment="1">
      <alignment vertical="top"/>
    </xf>
    <xf numFmtId="0" fontId="20" fillId="0" borderId="0" xfId="0" applyFont="1" applyFill="1" applyAlignment="1">
      <alignment horizontal="center" vertical="center"/>
    </xf>
    <xf numFmtId="0" fontId="232" fillId="54" borderId="0" xfId="0" applyFont="1" applyFill="1" applyBorder="1" applyAlignment="1">
      <alignment horizontal="center" vertical="center"/>
    </xf>
    <xf numFmtId="0" fontId="45" fillId="18" borderId="0" xfId="0" applyFont="1" applyFill="1" applyBorder="1" applyAlignment="1">
      <alignment horizontal="center" vertical="center"/>
    </xf>
    <xf numFmtId="0" fontId="20" fillId="18" borderId="42" xfId="0" applyFont="1" applyFill="1" applyBorder="1" applyAlignment="1">
      <alignment horizontal="center" vertical="center"/>
    </xf>
    <xf numFmtId="0" fontId="20" fillId="18" borderId="43" xfId="0" applyFont="1" applyFill="1" applyBorder="1" applyAlignment="1">
      <alignment horizontal="center" vertical="center"/>
    </xf>
    <xf numFmtId="0" fontId="20" fillId="18" borderId="57" xfId="0" applyFont="1" applyFill="1" applyBorder="1" applyAlignment="1">
      <alignment horizontal="center" vertical="center"/>
    </xf>
  </cellXfs>
  <cellStyles count="2037">
    <cellStyle name="_x0010_" xfId="271"/>
    <cellStyle name="-" xfId="272"/>
    <cellStyle name=" 1" xfId="1"/>
    <cellStyle name=" 1 2" xfId="2"/>
    <cellStyle name=" 1 2 2" xfId="274"/>
    <cellStyle name=" 1 2 3" xfId="273"/>
    <cellStyle name=" 1 3" xfId="275"/>
    <cellStyle name=" 2" xfId="3"/>
    <cellStyle name=" 2 10" xfId="276"/>
    <cellStyle name=" 2 2" xfId="4"/>
    <cellStyle name=" 2 2 2" xfId="5"/>
    <cellStyle name=" 2 3" xfId="6"/>
    <cellStyle name=" 2 3 2" xfId="7"/>
    <cellStyle name=" 2 3 3" xfId="8"/>
    <cellStyle name=" 2 4" xfId="9"/>
    <cellStyle name=" 2 5" xfId="277"/>
    <cellStyle name=" 2 6" xfId="278"/>
    <cellStyle name=" 2 7" xfId="279"/>
    <cellStyle name=" 2 8" xfId="280"/>
    <cellStyle name=" 2 9" xfId="281"/>
    <cellStyle name=" Writer Import]_x000d__x000a_Display Dialog=No_x000d__x000a__x000d__x000a_[Horizontal Arrange]_x000d__x000a_Dimensions Interlocking=Yes_x000d__x000a_Sum Hierarchy=Yes_x000d__x000a_Generate" xfId="282"/>
    <cellStyle name="_x000a_386grabber=M" xfId="283"/>
    <cellStyle name="$ 1 decimal" xfId="284"/>
    <cellStyle name="$_AA - BenefitsBonus " xfId="10"/>
    <cellStyle name="%" xfId="285"/>
    <cellStyle name="%.00" xfId="286"/>
    <cellStyle name="%_Main" xfId="287"/>
    <cellStyle name="******************************************" xfId="288"/>
    <cellStyle name="??&amp;O龡&amp;H?_x0008_??_x0007__x0001__x0001_" xfId="289"/>
    <cellStyle name="?@疾_2332JT3_2313COP2 " xfId="11"/>
    <cellStyle name="?_GS_Cash " xfId="12"/>
    <cellStyle name="?Q\?1@" xfId="290"/>
    <cellStyle name="@_text_030811.TPH.Aigner.JA list_20060612.soufun.deferred tax reconciliation v2 " xfId="13"/>
    <cellStyle name="@_text_030811.TPH.Aigner.JA list_20060612.soufun.deferred tax reconciliation v2---0618-2210 " xfId="14"/>
    <cellStyle name="@_text_030811.TPH.Aigner.JA list_20060623.soufun.deferred tax reconciliation v2 " xfId="15"/>
    <cellStyle name="@_text_030811.TPH.Aigner.JA list_20060626.soufun.deferred tax reconciliation v1 " xfId="16"/>
    <cellStyle name="@_text_030811.TPH.Aigner.JA list_20060626.soufun.deferred tax reconciliation v12 " xfId="17"/>
    <cellStyle name="@_text_030811.TPH.Aigner.JA list_20060626.soufun.deferred tax reconciliation v7 " xfId="18"/>
    <cellStyle name="@_text_030811.TPH.Aigner.JA list_20060626.soufun.deferred tax reconciliation v8 " xfId="19"/>
    <cellStyle name="@_text_030811.TPH.Aigner.JA list_20060812.soufun.deferred tax reconciliation v14 " xfId="20"/>
    <cellStyle name="@_text_2002.Ferragamo.wp_20060612.soufun.deferred tax reconciliation v2 " xfId="21"/>
    <cellStyle name="@_text_2002.Ferragamo.wp_20060612.soufun.deferred tax reconciliation v2---0618-2210 " xfId="22"/>
    <cellStyle name="@_text_2002.Ferragamo.wp_20060623.soufun.deferred tax reconciliation v2 " xfId="23"/>
    <cellStyle name="@_text_2002.Ferragamo.wp_20060626.soufun.deferred tax reconciliation v1 " xfId="24"/>
    <cellStyle name="@_text_2002.Ferragamo.wp_20060626.soufun.deferred tax reconciliation v12 " xfId="25"/>
    <cellStyle name="@_text_2002.Ferragamo.wp_20060626.soufun.deferred tax reconciliation v7 " xfId="26"/>
    <cellStyle name="@_text_2002.Ferragamo.wp_20060626.soufun.deferred tax reconciliation v8 " xfId="27"/>
    <cellStyle name="@_text_2002.Ferragamo.wp_20060812.soufun.deferred tax reconciliation v14 " xfId="28"/>
    <cellStyle name="@_text_20060612.soufun.deferred tax reconciliation v2 " xfId="29"/>
    <cellStyle name="@_text_20060612.soufun.deferred tax reconciliation v2---0618-2210 " xfId="30"/>
    <cellStyle name="@_text_20060623.soufun.deferred tax reconciliation v2 " xfId="31"/>
    <cellStyle name="@_text_20060626.soufun.deferred tax reconciliation v1 " xfId="32"/>
    <cellStyle name="@_text_20060626.soufun.deferred tax reconciliation v12 " xfId="33"/>
    <cellStyle name="@_text_20060626.soufun.deferred tax reconciliation v7 " xfId="34"/>
    <cellStyle name="@_text_20060626.soufun.deferred tax reconciliation v8 " xfId="35"/>
    <cellStyle name="@_text_20060812.soufun.deferred tax reconciliation v14 " xfId="36"/>
    <cellStyle name="@_text_Balance sheet of ESCADA 2002_20060612.soufun.deferred tax reconciliation v2 " xfId="37"/>
    <cellStyle name="@_text_Balance sheet of ESCADA 2002_20060612.soufun.deferred tax reconciliation v2---0618-2210 " xfId="38"/>
    <cellStyle name="@_text_Balance sheet of ESCADA 2002_20060623.soufun.deferred tax reconciliation v2 " xfId="39"/>
    <cellStyle name="@_text_Balance sheet of ESCADA 2002_20060626.soufun.deferred tax reconciliation v1 " xfId="40"/>
    <cellStyle name="@_text_Balance sheet of ESCADA 2002_20060626.soufun.deferred tax reconciliation v12 " xfId="41"/>
    <cellStyle name="@_text_Balance sheet of ESCADA 2002_20060626.soufun.deferred tax reconciliation v7 " xfId="42"/>
    <cellStyle name="@_text_Balance sheet of ESCADA 2002_20060626.soufun.deferred tax reconciliation v8 " xfId="43"/>
    <cellStyle name="@_text_Balance sheet of ESCADA 2002_20060812.soufun.deferred tax reconciliation v14 " xfId="44"/>
    <cellStyle name="@_text_Balance sheet of ESCADA_20060612.soufun.deferred tax reconciliation v2 " xfId="45"/>
    <cellStyle name="@_text_Balance sheet of ESCADA_20060612.soufun.deferred tax reconciliation v2---0618-2210 " xfId="46"/>
    <cellStyle name="@_text_Balance sheet of ESCADA_20060623.soufun.deferred tax reconciliation v2 " xfId="47"/>
    <cellStyle name="@_text_Balance sheet of ESCADA_20060626.soufun.deferred tax reconciliation v1 " xfId="48"/>
    <cellStyle name="@_text_Balance sheet of ESCADA_20060626.soufun.deferred tax reconciliation v12 " xfId="49"/>
    <cellStyle name="@_text_Balance sheet of ESCADA_20060626.soufun.deferred tax reconciliation v7 " xfId="50"/>
    <cellStyle name="@_text_Balance sheet of ESCADA_20060626.soufun.deferred tax reconciliation v8 " xfId="51"/>
    <cellStyle name="@_text_Balance sheet of ESCADA_20060812.soufun.deferred tax reconciliation v14 " xfId="52"/>
    <cellStyle name="@_text_deferred tax SITL_20060612.soufun.deferred tax reconciliation v2 " xfId="53"/>
    <cellStyle name="@_text_deferred tax SITL_20060612.soufun.deferred tax reconciliation v2---0618-2210 " xfId="54"/>
    <cellStyle name="@_text_deferred tax SITL_20060623.soufun.deferred tax reconciliation v2 " xfId="55"/>
    <cellStyle name="@_text_deferred tax SITL_20060626.soufun.deferred tax reconciliation v1 " xfId="56"/>
    <cellStyle name="@_text_deferred tax SITL_20060626.soufun.deferred tax reconciliation v12 " xfId="57"/>
    <cellStyle name="@_text_deferred tax SITL_20060626.soufun.deferred tax reconciliation v7 " xfId="58"/>
    <cellStyle name="@_text_deferred tax SITL_20060626.soufun.deferred tax reconciliation v8 " xfId="59"/>
    <cellStyle name="@_text_deferred tax SITL_20060812.soufun.deferred tax reconciliation v14 " xfId="60"/>
    <cellStyle name="@_text_pre-order list_20060612.soufun.deferred tax reconciliation v2 " xfId="61"/>
    <cellStyle name="@_text_pre-order list_20060612.soufun.deferred tax reconciliation v2---0618-2210 " xfId="62"/>
    <cellStyle name="@_text_pre-order list_20060623.soufun.deferred tax reconciliation v2 " xfId="63"/>
    <cellStyle name="@_text_pre-order list_20060626.soufun.deferred tax reconciliation v1 " xfId="64"/>
    <cellStyle name="@_text_pre-order list_20060626.soufun.deferred tax reconciliation v12 " xfId="65"/>
    <cellStyle name="@_text_pre-order list_20060626.soufun.deferred tax reconciliation v7 " xfId="66"/>
    <cellStyle name="@_text_pre-order list_20060626.soufun.deferred tax reconciliation v8 " xfId="67"/>
    <cellStyle name="@_text_pre-order list_20060812.soufun.deferred tax reconciliation v14 " xfId="68"/>
    <cellStyle name="@_text_sheet_20060612.soufun.deferred tax reconciliation v2 " xfId="69"/>
    <cellStyle name="@_text_sheet_20060612.soufun.deferred tax reconciliation v2---0618-2210 " xfId="70"/>
    <cellStyle name="@_text_sheet_20060623.soufun.deferred tax reconciliation v2 " xfId="71"/>
    <cellStyle name="@_text_sheet_20060626.soufun.deferred tax reconciliation v1 " xfId="72"/>
    <cellStyle name="@_text_sheet_20060626.soufun.deferred tax reconciliation v12 " xfId="73"/>
    <cellStyle name="@_text_sheet_20060626.soufun.deferred tax reconciliation v7 " xfId="74"/>
    <cellStyle name="@_text_sheet_20060626.soufun.deferred tax reconciliation v8 " xfId="75"/>
    <cellStyle name="@_text_sheet_20060812.soufun.deferred tax reconciliation v14 " xfId="76"/>
    <cellStyle name="@_text_SITL.WP.SL_20060612.soufun.deferred tax reconciliation v2 " xfId="77"/>
    <cellStyle name="@_text_SITL.WP.SL_20060612.soufun.deferred tax reconciliation v2---0618-2210 " xfId="78"/>
    <cellStyle name="@_text_SITL.WP.SL_20060623.soufun.deferred tax reconciliation v2 " xfId="79"/>
    <cellStyle name="@_text_SITL.WP.SL_20060626.soufun.deferred tax reconciliation v1 " xfId="80"/>
    <cellStyle name="@_text_SITL.WP.SL_20060626.soufun.deferred tax reconciliation v12 " xfId="81"/>
    <cellStyle name="@_text_SITL.WP.SL_20060626.soufun.deferred tax reconciliation v7 " xfId="82"/>
    <cellStyle name="@_text_SITL.WP.SL_20060626.soufun.deferred tax reconciliation v8 " xfId="83"/>
    <cellStyle name="@_text_SITL.WP.SL_20060812.soufun.deferred tax reconciliation v14 " xfId="84"/>
    <cellStyle name="@_text_unbilled cost_20060612.soufun.deferred tax reconciliation v2 " xfId="85"/>
    <cellStyle name="@_text_unbilled cost_20060612.soufun.deferred tax reconciliation v2---0618-2210 " xfId="86"/>
    <cellStyle name="@_text_unbilled cost_20060623.soufun.deferred tax reconciliation v2 " xfId="87"/>
    <cellStyle name="@_text_unbilled cost_20060626.soufun.deferred tax reconciliation v1 " xfId="88"/>
    <cellStyle name="@_text_unbilled cost_20060626.soufun.deferred tax reconciliation v12 " xfId="89"/>
    <cellStyle name="@_text_unbilled cost_20060626.soufun.deferred tax reconciliation v7 " xfId="90"/>
    <cellStyle name="@_text_unbilled cost_20060626.soufun.deferred tax reconciliation v8 " xfId="91"/>
    <cellStyle name="@_text_unbilled cost_20060812.soufun.deferred tax reconciliation v14 " xfId="92"/>
    <cellStyle name="_060522.soufun.deferred tax working 2004(3)_20060612.soufun.deferred tax reconciliation v2 " xfId="93"/>
    <cellStyle name="_060522.soufun.deferred tax working 2004(3)_20060612.soufun.deferred tax reconciliation v2  2" xfId="291"/>
    <cellStyle name="_060522.soufun.deferred tax working 2004(3)_20060612.soufun.deferred tax reconciliation v2---0618-2210 " xfId="94"/>
    <cellStyle name="_060522.soufun.deferred tax working 2004(3)_20060612.soufun.deferred tax reconciliation v2---0618-2210  2" xfId="292"/>
    <cellStyle name="_060522.soufun.deferred tax working 2004(3)_20060623.soufun.deferred tax reconciliation v2 " xfId="95"/>
    <cellStyle name="_060522.soufun.deferred tax working 2004(3)_20060623.soufun.deferred tax reconciliation v2  2" xfId="293"/>
    <cellStyle name="_060522.soufun.deferred tax working 2004(3)_20060626.soufun.deferred tax reconciliation v1 " xfId="96"/>
    <cellStyle name="_060522.soufun.deferred tax working 2004(3)_20060626.soufun.deferred tax reconciliation v1  2" xfId="294"/>
    <cellStyle name="_060522.soufun.deferred tax working 2004(3)_20060626.soufun.deferred tax reconciliation v12 " xfId="97"/>
    <cellStyle name="_060522.soufun.deferred tax working 2004(3)_20060626.soufun.deferred tax reconciliation v12  2" xfId="295"/>
    <cellStyle name="_060522.soufun.deferred tax working 2004(3)_20060626.soufun.deferred tax reconciliation v7 " xfId="98"/>
    <cellStyle name="_060522.soufun.deferred tax working 2004(3)_20060626.soufun.deferred tax reconciliation v7  2" xfId="296"/>
    <cellStyle name="_060522.soufun.deferred tax working 2004(3)_20060626.soufun.deferred tax reconciliation v8 " xfId="99"/>
    <cellStyle name="_060522.soufun.deferred tax working 2004(3)_20060626.soufun.deferred tax reconciliation v8  2" xfId="297"/>
    <cellStyle name="_060522.soufun.deferred tax working 2004(3)_20060812.soufun.deferred tax reconciliation v14 " xfId="100"/>
    <cellStyle name="_060522.soufun.deferred tax working 2004(3)_20060812.soufun.deferred tax reconciliation v14  2" xfId="298"/>
    <cellStyle name="_AA - BenefitsBonus " xfId="101"/>
    <cellStyle name="_AA - BenefitsBonus  2" xfId="299"/>
    <cellStyle name="_AAPL_MS_Model (2)" xfId="300"/>
    <cellStyle name="_Annual" xfId="301"/>
    <cellStyle name="_applicable tax rate(2)_20060612.soufun.deferred tax reconciliation v2 " xfId="102"/>
    <cellStyle name="_applicable tax rate(2)_20060612.soufun.deferred tax reconciliation v2  2" xfId="302"/>
    <cellStyle name="_applicable tax rate(2)_20060612.soufun.deferred tax reconciliation v2---0618-2210 " xfId="103"/>
    <cellStyle name="_applicable tax rate(2)_20060612.soufun.deferred tax reconciliation v2---0618-2210  2" xfId="303"/>
    <cellStyle name="_applicable tax rate(2)_20060623.soufun.deferred tax reconciliation v2 " xfId="104"/>
    <cellStyle name="_applicable tax rate(2)_20060623.soufun.deferred tax reconciliation v2  2" xfId="304"/>
    <cellStyle name="_applicable tax rate(2)_20060626.soufun.deferred tax reconciliation v1 " xfId="105"/>
    <cellStyle name="_applicable tax rate(2)_20060626.soufun.deferred tax reconciliation v1  2" xfId="305"/>
    <cellStyle name="_applicable tax rate(2)_20060626.soufun.deferred tax reconciliation v12 " xfId="106"/>
    <cellStyle name="_applicable tax rate(2)_20060626.soufun.deferred tax reconciliation v12  2" xfId="306"/>
    <cellStyle name="_applicable tax rate(2)_20060626.soufun.deferred tax reconciliation v7 " xfId="107"/>
    <cellStyle name="_applicable tax rate(2)_20060626.soufun.deferred tax reconciliation v7  2" xfId="307"/>
    <cellStyle name="_applicable tax rate(2)_20060626.soufun.deferred tax reconciliation v8 " xfId="108"/>
    <cellStyle name="_applicable tax rate(2)_20060626.soufun.deferred tax reconciliation v8  2" xfId="308"/>
    <cellStyle name="_applicable tax rate(2)_20060812.soufun.deferred tax reconciliation v14 " xfId="109"/>
    <cellStyle name="_applicable tax rate(2)_20060812.soufun.deferred tax reconciliation v14  2" xfId="309"/>
    <cellStyle name="_China COSCO OLD " xfId="110"/>
    <cellStyle name="_China COSCO OLD  2" xfId="310"/>
    <cellStyle name="_Comma_AA - BenefitsBonus " xfId="111"/>
    <cellStyle name="_Comma_AA - BenefitsBonus  2" xfId="311"/>
    <cellStyle name="_Currency_AA - BenefitsBonus " xfId="112"/>
    <cellStyle name="_Currency_AA - BenefitsBonus  2" xfId="312"/>
    <cellStyle name="_CurrencySpace_AA - BenefitsBonus " xfId="113"/>
    <cellStyle name="_CurrencySpace_AA - BenefitsBonus  2" xfId="313"/>
    <cellStyle name="_Drivers" xfId="314"/>
    <cellStyle name="_GG2-1 AR - Bad debt provision " xfId="114"/>
    <cellStyle name="_Global Comps - Full Service - 12 Jan  2001_Telecom update may 03 New " xfId="115"/>
    <cellStyle name="_Global Comps - Full Service - 12 Jan  2001_Telecom update may 03 New  2" xfId="315"/>
    <cellStyle name="_Global Comps - Full Service - 18 June 2001_Telecom update may 03 New " xfId="116"/>
    <cellStyle name="_Global Comps - Full Service - 18 June 2001_Telecom update may 03 New  2" xfId="316"/>
    <cellStyle name="_Global Comps - Full Service - 20 June 2001_Telecom update may 03 New " xfId="117"/>
    <cellStyle name="_Global Comps - Full Service - 20 June 2001_Telecom update may 03 New  2" xfId="317"/>
    <cellStyle name="—_GS_Cash " xfId="118"/>
    <cellStyle name="—_GS_Cash _mwareDates" xfId="318"/>
    <cellStyle name="—_GS_Cash _mwareDates 2" xfId="1801"/>
    <cellStyle name="—_GS_Cash _mwareDates_1" xfId="319"/>
    <cellStyle name="—_GS_Cash _Quarterly" xfId="320"/>
    <cellStyle name="—_GS_Cash _Quarterly_mwareDates" xfId="321"/>
    <cellStyle name="—_GS_Cash _Quarterly_mwareDates 2" xfId="1802"/>
    <cellStyle name="—_GS_Cash _Sheet1" xfId="322"/>
    <cellStyle name="—_GS_Cash _Sheet1 2" xfId="1803"/>
    <cellStyle name="—_GS_Cash _Valuation" xfId="323"/>
    <cellStyle name="—_GS_Cash _Valuation 2" xfId="1804"/>
    <cellStyle name="_Main" xfId="324"/>
    <cellStyle name="_MCIT_Telecom update may 03 New " xfId="119"/>
    <cellStyle name="_MCIT_Telecom update may 03 New  2" xfId="325"/>
    <cellStyle name="_Model " xfId="326"/>
    <cellStyle name="_Multiple_AA - BenefitsBonus " xfId="120"/>
    <cellStyle name="_Multiple_AA - BenefitsBonus  2" xfId="327"/>
    <cellStyle name="_MultipleSpace_AA - BenefitsBonus " xfId="121"/>
    <cellStyle name="_MultipleSpace_AA - BenefitsBonus  2" xfId="328"/>
    <cellStyle name="_mwareDates" xfId="329"/>
    <cellStyle name="_New WCOM_Telecom update may 03 New " xfId="122"/>
    <cellStyle name="_New WCOM_Telecom update may 03 New  2" xfId="330"/>
    <cellStyle name="_Percent_AA - BenefitsBonus " xfId="123"/>
    <cellStyle name="_Percent_AA - BenefitsBonus  2" xfId="331"/>
    <cellStyle name="_PercentSpace_AA - BenefitsBonus " xfId="124"/>
    <cellStyle name="_PercentSpace_AA - BenefitsBonus  2" xfId="332"/>
    <cellStyle name="_Quarterly" xfId="333"/>
    <cellStyle name="—_Results_DCF ANALYSIS_HPI " xfId="125"/>
    <cellStyle name="—_Results_Rmb_HPI " xfId="126"/>
    <cellStyle name="—_Results_SH_HPI " xfId="127"/>
    <cellStyle name="_RRS1" xfId="334"/>
    <cellStyle name="_RRS1_Main" xfId="335"/>
    <cellStyle name="_RRS10" xfId="336"/>
    <cellStyle name="_RRS10_Games " xfId="128"/>
    <cellStyle name="_RRS10_Games  2" xfId="337"/>
    <cellStyle name="_RRS2" xfId="338"/>
    <cellStyle name="_Scenario" xfId="339"/>
    <cellStyle name="_Sheet1" xfId="340"/>
    <cellStyle name="_Sum-consumption by category" xfId="341"/>
    <cellStyle name="_SUMMARY " xfId="129"/>
    <cellStyle name="_SUMMARY  2" xfId="342"/>
    <cellStyle name="_SUMMARY _Annual" xfId="343"/>
    <cellStyle name="_SUMMARY _Main" xfId="344"/>
    <cellStyle name="_SUMMARY _mwareDates" xfId="345"/>
    <cellStyle name="_SUMMARY _mwareDates_1" xfId="346"/>
    <cellStyle name="_SUMMARY _Pop and Inc_CEIC_20140619" xfId="347"/>
    <cellStyle name="_SUMMARY _Quarterly" xfId="348"/>
    <cellStyle name="_SUMMARY _Quarterly_mwareDates" xfId="349"/>
    <cellStyle name="_SUMMARY _RRST1" xfId="350"/>
    <cellStyle name="_SUMMARY _Scenario" xfId="351"/>
    <cellStyle name="_Summary-ann cons by category" xfId="352"/>
    <cellStyle name="_Summary-ann cons by category_1" xfId="353"/>
    <cellStyle name="_t060425.soufun.tax payable.v2_20060612.soufun.deferred tax reconciliation v2 " xfId="130"/>
    <cellStyle name="_t060425.soufun.tax payable.v2_20060612.soufun.deferred tax reconciliation v2  2" xfId="354"/>
    <cellStyle name="_t060425.soufun.tax payable.v2_20060612.soufun.deferred tax reconciliation v2---0618-2210 " xfId="131"/>
    <cellStyle name="_t060425.soufun.tax payable.v2_20060612.soufun.deferred tax reconciliation v2---0618-2210  2" xfId="355"/>
    <cellStyle name="_t060425.soufun.tax payable.v2_20060623.soufun.deferred tax reconciliation v2 " xfId="132"/>
    <cellStyle name="_t060425.soufun.tax payable.v2_20060623.soufun.deferred tax reconciliation v2  2" xfId="356"/>
    <cellStyle name="_t060425.soufun.tax payable.v2_20060626.soufun.deferred tax reconciliation v1 " xfId="133"/>
    <cellStyle name="_t060425.soufun.tax payable.v2_20060626.soufun.deferred tax reconciliation v1  2" xfId="357"/>
    <cellStyle name="_t060425.soufun.tax payable.v2_20060626.soufun.deferred tax reconciliation v12 " xfId="134"/>
    <cellStyle name="_t060425.soufun.tax payable.v2_20060626.soufun.deferred tax reconciliation v12  2" xfId="358"/>
    <cellStyle name="_t060425.soufun.tax payable.v2_20060626.soufun.deferred tax reconciliation v7 " xfId="135"/>
    <cellStyle name="_t060425.soufun.tax payable.v2_20060626.soufun.deferred tax reconciliation v7  2" xfId="359"/>
    <cellStyle name="_t060425.soufun.tax payable.v2_20060626.soufun.deferred tax reconciliation v8 " xfId="136"/>
    <cellStyle name="_t060425.soufun.tax payable.v2_20060626.soufun.deferred tax reconciliation v8  2" xfId="360"/>
    <cellStyle name="_t060425.soufun.tax payable.v2_20060812.soufun.deferred tax reconciliation v14 " xfId="137"/>
    <cellStyle name="_t060425.soufun.tax payable.v2_20060812.soufun.deferred tax reconciliation v14  2" xfId="361"/>
    <cellStyle name="_Telecom update may 03 New " xfId="138"/>
    <cellStyle name="_Telecom update may 03 New  2" xfId="362"/>
    <cellStyle name="_Valuation" xfId="363"/>
    <cellStyle name="_VNTModellastestimates_Telecom update may 03 New " xfId="139"/>
    <cellStyle name="_VNTModellastestimates_Telecom update may 03 New  2" xfId="364"/>
    <cellStyle name="_VOUCH_20060612.soufun.deferred tax reconciliation v2 " xfId="140"/>
    <cellStyle name="_VOUCH_20060612.soufun.deferred tax reconciliation v2  2" xfId="365"/>
    <cellStyle name="_VOUCH_20060612.soufun.deferred tax reconciliation v2---0618-2210 " xfId="141"/>
    <cellStyle name="_VOUCH_20060612.soufun.deferred tax reconciliation v2---0618-2210  2" xfId="366"/>
    <cellStyle name="_VOUCH_20060623.soufun.deferred tax reconciliation v2 " xfId="142"/>
    <cellStyle name="_VOUCH_20060623.soufun.deferred tax reconciliation v2  2" xfId="367"/>
    <cellStyle name="_VOUCH_20060626.soufun.deferred tax reconciliation v1 " xfId="143"/>
    <cellStyle name="_VOUCH_20060626.soufun.deferred tax reconciliation v1  2" xfId="368"/>
    <cellStyle name="_VOUCH_20060626.soufun.deferred tax reconciliation v12 " xfId="144"/>
    <cellStyle name="_VOUCH_20060626.soufun.deferred tax reconciliation v12  2" xfId="369"/>
    <cellStyle name="_VOUCH_20060626.soufun.deferred tax reconciliation v7 " xfId="145"/>
    <cellStyle name="_VOUCH_20060626.soufun.deferred tax reconciliation v7  2" xfId="370"/>
    <cellStyle name="_VOUCH_20060626.soufun.deferred tax reconciliation v8 " xfId="146"/>
    <cellStyle name="_VOUCH_20060626.soufun.deferred tax reconciliation v8  2" xfId="371"/>
    <cellStyle name="_VOUCH_20060812.soufun.deferred tax reconciliation v14 " xfId="147"/>
    <cellStyle name="_VOUCH_20060812.soufun.deferred tax reconciliation v14  2" xfId="372"/>
    <cellStyle name="_Yield on TL loan book " xfId="373"/>
    <cellStyle name="_内_20060612.soufun.deferred tax reconciliation v2 " xfId="148"/>
    <cellStyle name="_内_20060612.soufun.deferred tax reconciliation v2  2" xfId="374"/>
    <cellStyle name="_内_20060612.soufun.deferred tax reconciliation v2---0618-2210 " xfId="149"/>
    <cellStyle name="_内_20060612.soufun.deferred tax reconciliation v2---0618-2210  2" xfId="375"/>
    <cellStyle name="_内_20060623.soufun.deferred tax reconciliation v2 " xfId="150"/>
    <cellStyle name="_内_20060623.soufun.deferred tax reconciliation v2  2" xfId="376"/>
    <cellStyle name="_内_20060626.soufun.deferred tax reconciliation v1 " xfId="151"/>
    <cellStyle name="_内_20060626.soufun.deferred tax reconciliation v1  2" xfId="377"/>
    <cellStyle name="_内_20060626.soufun.deferred tax reconciliation v12 " xfId="152"/>
    <cellStyle name="_内_20060626.soufun.deferred tax reconciliation v12  2" xfId="378"/>
    <cellStyle name="_内_20060626.soufun.deferred tax reconciliation v7 " xfId="153"/>
    <cellStyle name="_内_20060626.soufun.deferred tax reconciliation v7  2" xfId="379"/>
    <cellStyle name="_内_20060626.soufun.deferred tax reconciliation v8 " xfId="154"/>
    <cellStyle name="_内_20060626.soufun.deferred tax reconciliation v8  2" xfId="380"/>
    <cellStyle name="_内_20060812.soufun.deferred tax reconciliation v14 " xfId="155"/>
    <cellStyle name="_内_20060812.soufun.deferred tax reconciliation v14  2" xfId="381"/>
    <cellStyle name="_外_20060612.soufun.deferred tax reconciliation v2 " xfId="156"/>
    <cellStyle name="_外_20060612.soufun.deferred tax reconciliation v2  2" xfId="382"/>
    <cellStyle name="_外_20060612.soufun.deferred tax reconciliation v2---0618-2210 " xfId="157"/>
    <cellStyle name="_外_20060612.soufun.deferred tax reconciliation v2---0618-2210  2" xfId="383"/>
    <cellStyle name="_外_20060623.soufun.deferred tax reconciliation v2 " xfId="158"/>
    <cellStyle name="_外_20060623.soufun.deferred tax reconciliation v2  2" xfId="384"/>
    <cellStyle name="_外_20060626.soufun.deferred tax reconciliation v1 " xfId="159"/>
    <cellStyle name="_外_20060626.soufun.deferred tax reconciliation v1  2" xfId="385"/>
    <cellStyle name="_外_20060626.soufun.deferred tax reconciliation v12 " xfId="160"/>
    <cellStyle name="_外_20060626.soufun.deferred tax reconciliation v12  2" xfId="386"/>
    <cellStyle name="_外_20060626.soufun.deferred tax reconciliation v7 " xfId="161"/>
    <cellStyle name="_外_20060626.soufun.deferred tax reconciliation v7  2" xfId="387"/>
    <cellStyle name="_外_20060626.soufun.deferred tax reconciliation v8 " xfId="162"/>
    <cellStyle name="_外_20060626.soufun.deferred tax reconciliation v8  2" xfId="388"/>
    <cellStyle name="_外_20060812.soufun.deferred tax reconciliation v14 " xfId="163"/>
    <cellStyle name="_外_20060812.soufun.deferred tax reconciliation v14  2" xfId="389"/>
    <cellStyle name="’Ê‰Ý [0.00]_GE 3 MINIMUM" xfId="390"/>
    <cellStyle name="’Ê‰Ý_GE 3 MINIMUM" xfId="391"/>
    <cellStyle name="£ BP" xfId="392"/>
    <cellStyle name="¥ JY" xfId="393"/>
    <cellStyle name="=C:\WINNT\SYSTEM32\COMMAND.COM" xfId="394"/>
    <cellStyle name="=C:\WINNT\SYSTEM32\COMMAND.COM 2" xfId="395"/>
    <cellStyle name="=C:\WINNT35\SYSTEM32\COMMAND.COM" xfId="396"/>
    <cellStyle name="=C:\WINNT35\SYSTEM32\COMMAND.COM 2" xfId="397"/>
    <cellStyle name="§Q\?1@" xfId="398"/>
    <cellStyle name="•W€_Comparables" xfId="399"/>
    <cellStyle name="•W_GE 3 MINIMUM" xfId="400"/>
    <cellStyle name="0" xfId="401"/>
    <cellStyle name="0%" xfId="402"/>
    <cellStyle name="0.0" xfId="403"/>
    <cellStyle name="0.0%" xfId="404"/>
    <cellStyle name="0.0_Diageo FRS 17 and Capacity" xfId="405"/>
    <cellStyle name="0.00" xfId="406"/>
    <cellStyle name="0.00%" xfId="407"/>
    <cellStyle name="0.00_SmartChart_B1035" xfId="408"/>
    <cellStyle name="0_Capex &amp; Depreciation " xfId="164"/>
    <cellStyle name="0_Capex &amp; Depreciation  2" xfId="409"/>
    <cellStyle name="0_Capex &amp; Depreciation _Annual" xfId="410"/>
    <cellStyle name="0_Capex &amp; Depreciation _DCF" xfId="411"/>
    <cellStyle name="0_Capex &amp; Depreciation _Main" xfId="412"/>
    <cellStyle name="0_Capex &amp; Depreciation _mwareDates" xfId="413"/>
    <cellStyle name="0_Capex &amp; Depreciation _mwareDates_1" xfId="414"/>
    <cellStyle name="0_Capex &amp; Depreciation _Pop and Inc_CEIC_20140619" xfId="415"/>
    <cellStyle name="0_Capex &amp; Depreciation _Quarterly" xfId="416"/>
    <cellStyle name="0_Capex &amp; Depreciation _Quarterly_mwareDates" xfId="417"/>
    <cellStyle name="0_Capex &amp; Depreciation _RRST1" xfId="418"/>
    <cellStyle name="0_Capex &amp; Depreciation _Scenario" xfId="419"/>
    <cellStyle name="0_IPR Playthingy " xfId="165"/>
    <cellStyle name="0_SmartChart_B1035" xfId="420"/>
    <cellStyle name="0_SmartChart_B1200" xfId="421"/>
    <cellStyle name="0_SmartChart_C1035" xfId="422"/>
    <cellStyle name="0_SmartChart_O1200" xfId="423"/>
    <cellStyle name="0_Valuing BP " xfId="166"/>
    <cellStyle name="0_Valuing BP  2" xfId="424"/>
    <cellStyle name="0_Valuing BP _Annual" xfId="425"/>
    <cellStyle name="0_Valuing BP _DCF" xfId="426"/>
    <cellStyle name="0_Valuing BP _Main" xfId="427"/>
    <cellStyle name="0_Valuing BP _mwareDates" xfId="428"/>
    <cellStyle name="0_Valuing BP _mwareDates_1" xfId="429"/>
    <cellStyle name="0_Valuing BP _Pop and Inc_CEIC_20140619" xfId="430"/>
    <cellStyle name="0_Valuing BP _Quarterly" xfId="431"/>
    <cellStyle name="0_Valuing BP _Quarterly_mwareDates" xfId="432"/>
    <cellStyle name="0_Valuing BP _RRST1" xfId="433"/>
    <cellStyle name="0_Valuing BP _Scenario" xfId="434"/>
    <cellStyle name="1,comma" xfId="435"/>
    <cellStyle name="20% - Accent1" xfId="167" builtinId="30" customBuiltin="1"/>
    <cellStyle name="20% - Accent1 2" xfId="1945"/>
    <cellStyle name="20% - Accent2" xfId="168" builtinId="34" customBuiltin="1"/>
    <cellStyle name="20% - Accent2 2" xfId="1946"/>
    <cellStyle name="20% - Accent3" xfId="169" builtinId="38" customBuiltin="1"/>
    <cellStyle name="20% - Accent3 2" xfId="1947"/>
    <cellStyle name="20% - Accent4" xfId="170" builtinId="42" customBuiltin="1"/>
    <cellStyle name="20% - Accent4 2" xfId="1948"/>
    <cellStyle name="20% - Accent5" xfId="171" builtinId="46" customBuiltin="1"/>
    <cellStyle name="20% - Accent5 2" xfId="1949"/>
    <cellStyle name="20% - Accent6" xfId="172" builtinId="50" customBuiltin="1"/>
    <cellStyle name="20% - Accent6 2" xfId="1950"/>
    <cellStyle name="20% - 强调文字颜色 1" xfId="436"/>
    <cellStyle name="20% - 强调文字颜色 2" xfId="437"/>
    <cellStyle name="20% - 强调文字颜色 3" xfId="438"/>
    <cellStyle name="20% - 强调文字颜色 4" xfId="439"/>
    <cellStyle name="20% - 强调文字颜色 5" xfId="440"/>
    <cellStyle name="20% - 强调文字颜色 6" xfId="441"/>
    <cellStyle name="2002 1" xfId="442"/>
    <cellStyle name="3232" xfId="443"/>
    <cellStyle name="40% - Accent1" xfId="173" builtinId="31" customBuiltin="1"/>
    <cellStyle name="40% - Accent1 2" xfId="1951"/>
    <cellStyle name="40% - Accent2" xfId="174" builtinId="35" customBuiltin="1"/>
    <cellStyle name="40% - Accent2 2" xfId="1952"/>
    <cellStyle name="40% - Accent3" xfId="175" builtinId="39" customBuiltin="1"/>
    <cellStyle name="40% - Accent3 2" xfId="1953"/>
    <cellStyle name="40% - Accent4" xfId="176" builtinId="43" customBuiltin="1"/>
    <cellStyle name="40% - Accent4 2" xfId="1954"/>
    <cellStyle name="40% - Accent5" xfId="177" builtinId="47" customBuiltin="1"/>
    <cellStyle name="40% - Accent5 2" xfId="1955"/>
    <cellStyle name="40% - Accent6" xfId="178" builtinId="51" customBuiltin="1"/>
    <cellStyle name="40% - Accent6 2" xfId="1956"/>
    <cellStyle name="40% - 强调文字颜色 1" xfId="444"/>
    <cellStyle name="40% - 强调文字颜色 2" xfId="445"/>
    <cellStyle name="40% - 强调文字颜色 3" xfId="446"/>
    <cellStyle name="40% - 强调文字颜色 4" xfId="447"/>
    <cellStyle name="40% - 强调文字颜色 5" xfId="448"/>
    <cellStyle name="40% - 强调文字颜色 6" xfId="449"/>
    <cellStyle name="60% - Accent1" xfId="179" builtinId="32" customBuiltin="1"/>
    <cellStyle name="60% - Accent1 2" xfId="1957"/>
    <cellStyle name="60% - Accent2" xfId="180" builtinId="36" customBuiltin="1"/>
    <cellStyle name="60% - Accent2 2" xfId="1958"/>
    <cellStyle name="60% - Accent3" xfId="181" builtinId="40" customBuiltin="1"/>
    <cellStyle name="60% - Accent3 2" xfId="1959"/>
    <cellStyle name="60% - Accent4" xfId="182" builtinId="44" customBuiltin="1"/>
    <cellStyle name="60% - Accent4 2" xfId="1960"/>
    <cellStyle name="60% - Accent5" xfId="183" builtinId="48" customBuiltin="1"/>
    <cellStyle name="60% - Accent5 2" xfId="1961"/>
    <cellStyle name="60% - Accent6" xfId="184" builtinId="52" customBuiltin="1"/>
    <cellStyle name="60% - Accent6 2" xfId="1962"/>
    <cellStyle name="60% - 强调文字颜色 1" xfId="450"/>
    <cellStyle name="60% - 强调文字颜色 2" xfId="451"/>
    <cellStyle name="60% - 强调文字颜色 3" xfId="452"/>
    <cellStyle name="60% - 强调文字颜色 4" xfId="453"/>
    <cellStyle name="60% - 强调文字颜色 5" xfId="454"/>
    <cellStyle name="60% - 强调文字颜色 6" xfId="455"/>
    <cellStyle name="752131" xfId="456"/>
    <cellStyle name="9_MCEL-Disclosure-MRC2004-AP " xfId="185"/>
    <cellStyle name="9_MCEL-Disclosure-MRC2004-AR " xfId="186"/>
    <cellStyle name="9_MCEL-Disclosure-MRC2004-Inventory " xfId="187"/>
    <cellStyle name="9_MCEL-Disclosure-MRC2004-Inventory reserve " xfId="188"/>
    <cellStyle name="9_MCEL-Disclosure-MRC2004-tax " xfId="189"/>
    <cellStyle name="Accent1" xfId="190" builtinId="29" customBuiltin="1"/>
    <cellStyle name="Accent1 2" xfId="1963"/>
    <cellStyle name="Accent2" xfId="191" builtinId="33" customBuiltin="1"/>
    <cellStyle name="Accent2 2" xfId="1964"/>
    <cellStyle name="Accent3" xfId="192" builtinId="37" customBuiltin="1"/>
    <cellStyle name="Accent3 2" xfId="1965"/>
    <cellStyle name="Accent4" xfId="193" builtinId="41" customBuiltin="1"/>
    <cellStyle name="Accent4 2" xfId="1966"/>
    <cellStyle name="Accent5" xfId="194" builtinId="45" customBuiltin="1"/>
    <cellStyle name="Accent5 2" xfId="1967"/>
    <cellStyle name="Accent6" xfId="195" builtinId="49" customBuiltin="1"/>
    <cellStyle name="Accent6 2" xfId="1968"/>
    <cellStyle name="Acctg" xfId="457"/>
    <cellStyle name="ActgNumber" xfId="458"/>
    <cellStyle name="AeE­ [0]_INQUIRY ¿μ¾÷AßAø " xfId="196"/>
    <cellStyle name="AeE­_INQUIRY ¿μ¾÷AßAø " xfId="197"/>
    <cellStyle name="AFE" xfId="198"/>
    <cellStyle name="ales" xfId="459"/>
    <cellStyle name="AÞ¸¶ [0]_INQUIRY ¿?¾÷AßAø " xfId="199"/>
    <cellStyle name="AÞ¸¶_INQUIRY ¿?¾÷AßAø " xfId="200"/>
    <cellStyle name="Bad" xfId="201" builtinId="27" customBuiltin="1"/>
    <cellStyle name="Bad 2" xfId="460"/>
    <cellStyle name="Bad 3" xfId="1969"/>
    <cellStyle name="Band 2" xfId="461"/>
    <cellStyle name="blp_column_header" xfId="1970"/>
    <cellStyle name="Blue" xfId="462"/>
    <cellStyle name="Body line" xfId="463"/>
    <cellStyle name="Bold/Border" xfId="464"/>
    <cellStyle name="Bullet" xfId="465"/>
    <cellStyle name="C?AØ_¿?¾÷CoE² " xfId="202"/>
    <cellStyle name="c_HardInc " xfId="203"/>
    <cellStyle name="c_HardInc _Annual" xfId="466"/>
    <cellStyle name="c_HardInc _DCF" xfId="467"/>
    <cellStyle name="c_HardInc _Main" xfId="468"/>
    <cellStyle name="c_HardInc _mwareDates" xfId="469"/>
    <cellStyle name="c_HardInc _mwareDates_1" xfId="470"/>
    <cellStyle name="c_HardInc _Pop and Inc_CEIC_20140619" xfId="471"/>
    <cellStyle name="c_HardInc _Quarterly" xfId="472"/>
    <cellStyle name="c_HardInc _Quarterly_mwareDates" xfId="473"/>
    <cellStyle name="c_HardInc _RRST1" xfId="474"/>
    <cellStyle name="c_HardInc _Scenario" xfId="475"/>
    <cellStyle name="C￥AØ_¿μ¾÷CoE² " xfId="204"/>
    <cellStyle name="C05_Style E Text" xfId="476"/>
    <cellStyle name="Calculation" xfId="205" builtinId="22" customBuiltin="1"/>
    <cellStyle name="Calculation 2" xfId="477"/>
    <cellStyle name="Calculation 3" xfId="1971"/>
    <cellStyle name="cell" xfId="478"/>
    <cellStyle name="Cents" xfId="479"/>
    <cellStyle name="Changeable" xfId="480"/>
    <cellStyle name="Check Cell" xfId="206" builtinId="23" customBuiltin="1"/>
    <cellStyle name="Check Cell 2" xfId="481"/>
    <cellStyle name="Check Cell 3" xfId="1972"/>
    <cellStyle name="Colhead_left" xfId="482"/>
    <cellStyle name="ColumnHeadings" xfId="483"/>
    <cellStyle name="ColumnHeadings2" xfId="484"/>
    <cellStyle name="Comma" xfId="207" builtinId="3"/>
    <cellStyle name="Comma  - Style1" xfId="486"/>
    <cellStyle name="Comma  - Style2" xfId="487"/>
    <cellStyle name="Comma  - Style3" xfId="488"/>
    <cellStyle name="Comma  - Style4" xfId="489"/>
    <cellStyle name="Comma  - Style5" xfId="490"/>
    <cellStyle name="Comma  - Style6" xfId="491"/>
    <cellStyle name="Comma  - Style7" xfId="492"/>
    <cellStyle name="Comma  - Style8" xfId="493"/>
    <cellStyle name="Comma 10" xfId="494"/>
    <cellStyle name="Comma 2" xfId="208"/>
    <cellStyle name="Comma 2 2" xfId="209"/>
    <cellStyle name="Comma 20" xfId="495"/>
    <cellStyle name="Comma 25" xfId="496"/>
    <cellStyle name="Comma 3" xfId="497"/>
    <cellStyle name="Comma 30" xfId="498"/>
    <cellStyle name="Comma 4" xfId="499"/>
    <cellStyle name="Comma 5" xfId="500"/>
    <cellStyle name="Comma 6" xfId="501"/>
    <cellStyle name="Comma 7" xfId="502"/>
    <cellStyle name="Comma 8" xfId="210"/>
    <cellStyle name="Comma 8 2" xfId="503"/>
    <cellStyle name="Comma 9" xfId="485"/>
    <cellStyle name="Comment" xfId="504"/>
    <cellStyle name="CompanyName" xfId="505"/>
    <cellStyle name="Currency 2" xfId="269"/>
    <cellStyle name="d_yield_AA - BenefitsBonus " xfId="211"/>
    <cellStyle name="d_yield_AA - BenefitsBonus  2" xfId="506"/>
    <cellStyle name="Dash" xfId="507"/>
    <cellStyle name="Date" xfId="508"/>
    <cellStyle name="Date2" xfId="509"/>
    <cellStyle name="Decimal" xfId="510"/>
    <cellStyle name="decimal 1" xfId="511"/>
    <cellStyle name="Decimal_SmartChart_B1035" xfId="512"/>
    <cellStyle name="Dollar" xfId="513"/>
    <cellStyle name="Dollars" xfId="514"/>
    <cellStyle name="Explanatory Text" xfId="212" builtinId="53" customBuiltin="1"/>
    <cellStyle name="Explanatory Text 2" xfId="515"/>
    <cellStyle name="Explanatory Text 3" xfId="1973"/>
    <cellStyle name="Fail" xfId="516"/>
    <cellStyle name="FieldName" xfId="517"/>
    <cellStyle name="FiscalPeriod" xfId="518"/>
    <cellStyle name="Fixed" xfId="519"/>
    <cellStyle name="foot left" xfId="520"/>
    <cellStyle name="Footnote" xfId="521"/>
    <cellStyle name="foot-right" xfId="522"/>
    <cellStyle name="g_rate_AA - BenefitsBonus " xfId="213"/>
    <cellStyle name="g_rate_AA - BenefitsBonus  2" xfId="523"/>
    <cellStyle name="G02 Table Text" xfId="524"/>
    <cellStyle name="G04_Main head" xfId="525"/>
    <cellStyle name="G05 Tab Head Bold" xfId="526"/>
    <cellStyle name="G05 Tab Head Light" xfId="527"/>
    <cellStyle name="Good" xfId="214" builtinId="26" customBuiltin="1"/>
    <cellStyle name="Good 2" xfId="528"/>
    <cellStyle name="Good 3" xfId="1974"/>
    <cellStyle name="Green" xfId="529"/>
    <cellStyle name="Green 2" xfId="530"/>
    <cellStyle name="Green 2 2" xfId="1805"/>
    <cellStyle name="Grey" xfId="531"/>
    <cellStyle name="hard no" xfId="532"/>
    <cellStyle name="Hard Percent_2005 TDS Mgmt Summaries MASTER " xfId="215"/>
    <cellStyle name="hardno" xfId="533"/>
    <cellStyle name="Header1" xfId="534"/>
    <cellStyle name="Header2" xfId="535"/>
    <cellStyle name="Heading 1" xfId="216" builtinId="16" customBuiltin="1"/>
    <cellStyle name="Heading 1 2" xfId="536"/>
    <cellStyle name="Heading 1 3" xfId="1975"/>
    <cellStyle name="Heading 2" xfId="217" builtinId="17" customBuiltin="1"/>
    <cellStyle name="Heading 2 2" xfId="537"/>
    <cellStyle name="Heading 2 3" xfId="1976"/>
    <cellStyle name="Heading 3" xfId="218" builtinId="18" customBuiltin="1"/>
    <cellStyle name="Heading 3 2" xfId="538"/>
    <cellStyle name="Heading 3 3" xfId="1977"/>
    <cellStyle name="Heading 4" xfId="219" builtinId="19" customBuiltin="1"/>
    <cellStyle name="Heading 4 2" xfId="539"/>
    <cellStyle name="Heading 4 3" xfId="1978"/>
    <cellStyle name="Hidden" xfId="540"/>
    <cellStyle name="Hyperlink 2" xfId="542"/>
    <cellStyle name="Hyperlink 3" xfId="541"/>
    <cellStyle name="ick to audit FactSet contentL_x0014__139__FDSAUDITLINK__s_x001c_1_x0008__x000a__x0014_ⴐ_x0010_4_x0008__x000a_a⢈ÿ" xfId="543"/>
    <cellStyle name="Input" xfId="220" builtinId="20" customBuiltin="1"/>
    <cellStyle name="Input [yellow]" xfId="544"/>
    <cellStyle name="Input 10" xfId="1997"/>
    <cellStyle name="Input 11" xfId="1989"/>
    <cellStyle name="Input 12" xfId="1993"/>
    <cellStyle name="Input 13" xfId="1988"/>
    <cellStyle name="Input 14" xfId="1998"/>
    <cellStyle name="Input 15" xfId="2002"/>
    <cellStyle name="Input 16" xfId="1999"/>
    <cellStyle name="Input 17" xfId="2008"/>
    <cellStyle name="Input 18" xfId="2005"/>
    <cellStyle name="Input 19" xfId="2014"/>
    <cellStyle name="Input 2" xfId="545"/>
    <cellStyle name="Input 20" xfId="2011"/>
    <cellStyle name="Input 21" xfId="2020"/>
    <cellStyle name="Input 22" xfId="2017"/>
    <cellStyle name="Input 23" xfId="2021"/>
    <cellStyle name="Input 24" xfId="2023"/>
    <cellStyle name="Input 3" xfId="1979"/>
    <cellStyle name="Input 4" xfId="1994"/>
    <cellStyle name="Input 5" xfId="1992"/>
    <cellStyle name="Input 6" xfId="1995"/>
    <cellStyle name="Input 7" xfId="1991"/>
    <cellStyle name="Input 8" xfId="1996"/>
    <cellStyle name="Input 9" xfId="1990"/>
    <cellStyle name="InputBlueFont" xfId="546"/>
    <cellStyle name="Integer" xfId="547"/>
    <cellStyle name="it FactSet contentn˨ight-click to audit FactSet contentL_x0014__139__FDSAUDITLINK__s_x001c_1_x0008__x000a__x0014_ⴐ_x0010_4_x0008__x000a_a⢈ÿ" xfId="548"/>
    <cellStyle name="KP_Normal" xfId="549"/>
    <cellStyle name="Linked Cell" xfId="221" builtinId="24" customBuiltin="1"/>
    <cellStyle name="Linked Cell 2" xfId="550"/>
    <cellStyle name="Linked Cell 3" xfId="1980"/>
    <cellStyle name="m_AA - BenefitsBonus " xfId="222"/>
    <cellStyle name="m_AA - BenefitsBonus  2" xfId="551"/>
    <cellStyle name="m_Macros (2)_IBM18_Margaux Final Annexe Debt 131101 " xfId="552"/>
    <cellStyle name="m_Macros (2)_Margaux Final Annexe Debt 131101 " xfId="553"/>
    <cellStyle name="m_Macros (2)_SPAD4_Margaux Final Annexe Debt 131101 " xfId="554"/>
    <cellStyle name="m_Macros (3)_Ibm21_Margaux Final Annexe Debt 131101 " xfId="555"/>
    <cellStyle name="m_Macros (3)_Margaux Final Annexe Debt 131101 " xfId="556"/>
    <cellStyle name="m_Macros (3)_perry13_Margaux Final Annexe Debt 131101 " xfId="557"/>
    <cellStyle name="m_Macros (3)_SPAD4_Margaux Final Annexe Debt 131101 " xfId="558"/>
    <cellStyle name="m_Macros (3)_ZeusCF1_Margaux Final Annexe Debt 131101 " xfId="559"/>
    <cellStyle name="m_Macros_IBM18_Margaux Final Annexe Debt 131101 " xfId="560"/>
    <cellStyle name="m_Macros_Margaux Final Annexe Debt 131101 " xfId="561"/>
    <cellStyle name="m_Macros_SPAD4_Margaux Final Annexe Debt 131101 " xfId="562"/>
    <cellStyle name="m_Manager (2)_1_Ibm21_Margaux Final Annexe Debt 131101 " xfId="563"/>
    <cellStyle name="m_Manager (2)_1_Margaux Final Annexe Debt 131101 " xfId="564"/>
    <cellStyle name="m_Manager (2)_1_perry13_Margaux Final Annexe Debt 131101 " xfId="565"/>
    <cellStyle name="m_Manager (2)_1_SPAD4_Margaux Final Annexe Debt 131101 " xfId="566"/>
    <cellStyle name="m_Manager (2)_1_ZeusCF1_Margaux Final Annexe Debt 131101 " xfId="567"/>
    <cellStyle name="m_Manager (2)_IBM18_Margaux Final Annexe Debt 131101 " xfId="568"/>
    <cellStyle name="m_Manager (2)_Margaux Final Annexe Debt 131101 " xfId="569"/>
    <cellStyle name="m_Manager (2)_SPAD4_Margaux Final Annexe Debt 131101 " xfId="570"/>
    <cellStyle name="m_Manager_Margaux Final Annexe Debt 131101 " xfId="571"/>
    <cellStyle name="m_Margaux Final Annexe Debt 131101 " xfId="572"/>
    <cellStyle name="MetricLabel" xfId="573"/>
    <cellStyle name="MetricLabelBlue" xfId="574"/>
    <cellStyle name="MetricValue" xfId="575"/>
    <cellStyle name="Millares_2AV_M_M " xfId="576"/>
    <cellStyle name="Moneda [0]_2AV_M_M " xfId="577"/>
    <cellStyle name="Moneda_Temp. " xfId="578"/>
    <cellStyle name="MonthYears" xfId="579"/>
    <cellStyle name="n_Ibm21_Margaux Final Annexe Debt 131101 " xfId="580"/>
    <cellStyle name="n_Macros (3)_BPPerry2_Margaux Final Annexe Debt 131101 " xfId="581"/>
    <cellStyle name="n_Macros (3)_IBM18_Margaux Final Annexe Debt 131101 " xfId="582"/>
    <cellStyle name="n_Macros (3)_SPAD4_Margaux Final Annexe Debt 131101 " xfId="583"/>
    <cellStyle name="n_Manager (2)_BPPerry2_Margaux Final Annexe Debt 131101 " xfId="584"/>
    <cellStyle name="n_Manager (2)_IBM18_Margaux Final Annexe Debt 131101 " xfId="585"/>
    <cellStyle name="n_Manager (2)_SPAD4_Margaux Final Annexe Debt 131101 " xfId="586"/>
    <cellStyle name="n_Manager_Ibm21_Margaux Final Annexe Debt 131101 " xfId="587"/>
    <cellStyle name="n_Manager_Margaux Final Annexe Debt 131101 " xfId="588"/>
    <cellStyle name="n_Manager_SPAD4_Margaux Final Annexe Debt 131101 " xfId="589"/>
    <cellStyle name="n_Manager_ZeusCF1_Margaux Final Annexe Debt 131101 " xfId="590"/>
    <cellStyle name="n_Margaux Final Annexe Debt 131101 " xfId="591"/>
    <cellStyle name="n_perry13_Margaux Final Annexe Debt 131101 " xfId="592"/>
    <cellStyle name="n_SPAD4_Margaux Final Annexe Debt 131101 " xfId="593"/>
    <cellStyle name="n_ZeusCF1_Margaux Final Annexe Debt 131101 " xfId="594"/>
    <cellStyle name="NanStyle" xfId="595"/>
    <cellStyle name="Neutral" xfId="223" builtinId="28" customBuiltin="1"/>
    <cellStyle name="Neutral 2" xfId="596"/>
    <cellStyle name="Neutral 3" xfId="1981"/>
    <cellStyle name="no dec" xfId="597"/>
    <cellStyle name="Normal" xfId="0" builtinId="0"/>
    <cellStyle name="Normal - Style1" xfId="598"/>
    <cellStyle name="Normal 10" xfId="599"/>
    <cellStyle name="Normal 100" xfId="1932"/>
    <cellStyle name="Normal 101" xfId="1876"/>
    <cellStyle name="Normal 102" xfId="1933"/>
    <cellStyle name="Normal 103" xfId="1877"/>
    <cellStyle name="Normal 104" xfId="1878"/>
    <cellStyle name="Normal 105" xfId="1879"/>
    <cellStyle name="Normal 106" xfId="1880"/>
    <cellStyle name="Normal 107" xfId="1881"/>
    <cellStyle name="Normal 108" xfId="1882"/>
    <cellStyle name="Normal 109" xfId="1937"/>
    <cellStyle name="Normal 11" xfId="254"/>
    <cellStyle name="Normal 11 2" xfId="600"/>
    <cellStyle name="Normal 110" xfId="1883"/>
    <cellStyle name="Normal 111" xfId="1938"/>
    <cellStyle name="Normal 112" xfId="1884"/>
    <cellStyle name="Normal 113" xfId="1939"/>
    <cellStyle name="Normal 114" xfId="1885"/>
    <cellStyle name="Normal 115" xfId="1886"/>
    <cellStyle name="Normal 116" xfId="1887"/>
    <cellStyle name="Normal 117" xfId="1888"/>
    <cellStyle name="Normal 118" xfId="1889"/>
    <cellStyle name="Normal 119" xfId="1890"/>
    <cellStyle name="Normal 12" xfId="255"/>
    <cellStyle name="Normal 12 2" xfId="601"/>
    <cellStyle name="Normal 120" xfId="1891"/>
    <cellStyle name="Normal 121" xfId="1892"/>
    <cellStyle name="Normal 122" xfId="1893"/>
    <cellStyle name="Normal 123" xfId="1894"/>
    <cellStyle name="Normal 124" xfId="1895"/>
    <cellStyle name="Normal 125" xfId="1896"/>
    <cellStyle name="Normal 126" xfId="1897"/>
    <cellStyle name="Normal 127" xfId="1898"/>
    <cellStyle name="Normal 128" xfId="1899"/>
    <cellStyle name="Normal 129" xfId="1900"/>
    <cellStyle name="Normal 13" xfId="257"/>
    <cellStyle name="Normal 130" xfId="1901"/>
    <cellStyle name="Normal 131" xfId="1902"/>
    <cellStyle name="Normal 132" xfId="1903"/>
    <cellStyle name="Normal 133" xfId="1904"/>
    <cellStyle name="Normal 134" xfId="1905"/>
    <cellStyle name="Normal 135" xfId="1906"/>
    <cellStyle name="Normal 136" xfId="1907"/>
    <cellStyle name="Normal 137" xfId="1908"/>
    <cellStyle name="Normal 138" xfId="1909"/>
    <cellStyle name="Normal 139" xfId="1910"/>
    <cellStyle name="Normal 14" xfId="258"/>
    <cellStyle name="Normal 140" xfId="1911"/>
    <cellStyle name="Normal 141" xfId="1912"/>
    <cellStyle name="Normal 142" xfId="1913"/>
    <cellStyle name="Normal 143" xfId="1914"/>
    <cellStyle name="Normal 144" xfId="1915"/>
    <cellStyle name="Normal 145" xfId="1916"/>
    <cellStyle name="Normal 146" xfId="1917"/>
    <cellStyle name="Normal 147" xfId="1918"/>
    <cellStyle name="Normal 148" xfId="1919"/>
    <cellStyle name="Normal 149" xfId="1920"/>
    <cellStyle name="Normal 15" xfId="256"/>
    <cellStyle name="Normal 150" xfId="1921"/>
    <cellStyle name="Normal 151" xfId="1922"/>
    <cellStyle name="Normal 152" xfId="1923"/>
    <cellStyle name="Normal 153" xfId="1934"/>
    <cellStyle name="Normal 154" xfId="1924"/>
    <cellStyle name="Normal 155" xfId="1925"/>
    <cellStyle name="Normal 156" xfId="1944"/>
    <cellStyle name="Normal 157" xfId="1987"/>
    <cellStyle name="Normal 158" xfId="2001"/>
    <cellStyle name="Normal 159" xfId="2004"/>
    <cellStyle name="Normal 16" xfId="602"/>
    <cellStyle name="Normal 160" xfId="2007"/>
    <cellStyle name="Normal 161" xfId="2010"/>
    <cellStyle name="Normal 162" xfId="2013"/>
    <cellStyle name="Normal 163" xfId="2016"/>
    <cellStyle name="Normal 164" xfId="2019"/>
    <cellStyle name="Normal 165" xfId="2022"/>
    <cellStyle name="Normal 166" xfId="2024"/>
    <cellStyle name="Normal 167" xfId="2025"/>
    <cellStyle name="Normal 168" xfId="2026"/>
    <cellStyle name="Normal 169" xfId="2027"/>
    <cellStyle name="Normal 17" xfId="259"/>
    <cellStyle name="Normal 170" xfId="2028"/>
    <cellStyle name="Normal 171" xfId="2029"/>
    <cellStyle name="Normal 172" xfId="2030"/>
    <cellStyle name="Normal 173" xfId="2031"/>
    <cellStyle name="Normal 174" xfId="2032"/>
    <cellStyle name="Normal 175" xfId="2033"/>
    <cellStyle name="Normal 176" xfId="2034"/>
    <cellStyle name="Normal 177" xfId="2035"/>
    <cellStyle name="Normal 18" xfId="270"/>
    <cellStyle name="Normal 18 2" xfId="1800"/>
    <cellStyle name="Normal 18 2 2" xfId="1871"/>
    <cellStyle name="Normal 18 2 3" xfId="1941"/>
    <cellStyle name="Normal 18 3" xfId="1860"/>
    <cellStyle name="Normal 18 4" xfId="1926"/>
    <cellStyle name="Normal 19" xfId="261"/>
    <cellStyle name="Normal 2" xfId="224"/>
    <cellStyle name="Normal 2 2" xfId="604"/>
    <cellStyle name="Normal 2 3" xfId="605"/>
    <cellStyle name="Normal 2 4" xfId="603"/>
    <cellStyle name="Normal 2 4 2" xfId="1806"/>
    <cellStyle name="Normal 2 4 2 2" xfId="1872"/>
    <cellStyle name="Normal 2 4 2 3" xfId="1942"/>
    <cellStyle name="Normal 2 4 3" xfId="1868"/>
    <cellStyle name="Normal 2 4 4" xfId="1935"/>
    <cellStyle name="Normal 20" xfId="1796"/>
    <cellStyle name="Normal 21" xfId="262"/>
    <cellStyle name="Normal 22" xfId="225"/>
    <cellStyle name="Normal 22 2" xfId="606"/>
    <cellStyle name="Normal 23" xfId="1809"/>
    <cellStyle name="Normal 24" xfId="1810"/>
    <cellStyle name="Normal 25" xfId="260"/>
    <cellStyle name="Normal 26" xfId="263"/>
    <cellStyle name="Normal 27" xfId="264"/>
    <cellStyle name="Normal 28" xfId="265"/>
    <cellStyle name="Normal 29" xfId="266"/>
    <cellStyle name="Normal 3" xfId="226"/>
    <cellStyle name="Normal 3 2" xfId="607"/>
    <cellStyle name="Normal 30" xfId="267"/>
    <cellStyle name="Normal 31" xfId="1811"/>
    <cellStyle name="Normal 32" xfId="1812"/>
    <cellStyle name="Normal 33" xfId="1813"/>
    <cellStyle name="Normal 34" xfId="608"/>
    <cellStyle name="Normal 35" xfId="609"/>
    <cellStyle name="Normal 36" xfId="1814"/>
    <cellStyle name="Normal 37" xfId="1815"/>
    <cellStyle name="Normal 38" xfId="1797"/>
    <cellStyle name="Normal 39" xfId="1816"/>
    <cellStyle name="Normal 4" xfId="227"/>
    <cellStyle name="Normal 4 2" xfId="611"/>
    <cellStyle name="Normal 4 3" xfId="610"/>
    <cellStyle name="Normal 40" xfId="1817"/>
    <cellStyle name="Normal 41" xfId="1818"/>
    <cellStyle name="Normal 42" xfId="1798"/>
    <cellStyle name="Normal 43" xfId="1819"/>
    <cellStyle name="Normal 44" xfId="1820"/>
    <cellStyle name="Normal 45" xfId="1821"/>
    <cellStyle name="Normal 46" xfId="1822"/>
    <cellStyle name="Normal 47" xfId="1823"/>
    <cellStyle name="Normal 48" xfId="1824"/>
    <cellStyle name="Normal 49" xfId="1825"/>
    <cellStyle name="Normal 5" xfId="228"/>
    <cellStyle name="Normal 5 2" xfId="613"/>
    <cellStyle name="Normal 5 3" xfId="614"/>
    <cellStyle name="Normal 5 3 2" xfId="1807"/>
    <cellStyle name="Normal 5 3 2 2" xfId="1873"/>
    <cellStyle name="Normal 5 3 2 3" xfId="1943"/>
    <cellStyle name="Normal 5 3 3" xfId="1869"/>
    <cellStyle name="Normal 5 3 4" xfId="1936"/>
    <cellStyle name="Normal 5 4" xfId="612"/>
    <cellStyle name="Normal 50" xfId="1826"/>
    <cellStyle name="Normal 51" xfId="1827"/>
    <cellStyle name="Normal 52" xfId="1828"/>
    <cellStyle name="Normal 53" xfId="1829"/>
    <cellStyle name="Normal 54" xfId="1830"/>
    <cellStyle name="Normal 55" xfId="1831"/>
    <cellStyle name="Normal 56" xfId="1832"/>
    <cellStyle name="Normal 57" xfId="1833"/>
    <cellStyle name="Normal 58" xfId="1834"/>
    <cellStyle name="Normal 59" xfId="1835"/>
    <cellStyle name="Normal 6" xfId="229"/>
    <cellStyle name="Normal 6 2" xfId="615"/>
    <cellStyle name="Normal 60" xfId="1836"/>
    <cellStyle name="Normal 61" xfId="1837"/>
    <cellStyle name="Normal 62" xfId="1838"/>
    <cellStyle name="Normal 63" xfId="1839"/>
    <cellStyle name="Normal 64" xfId="1840"/>
    <cellStyle name="Normal 65" xfId="1841"/>
    <cellStyle name="Normal 66" xfId="1842"/>
    <cellStyle name="Normal 67" xfId="1843"/>
    <cellStyle name="Normal 68" xfId="1844"/>
    <cellStyle name="Normal 69" xfId="1845"/>
    <cellStyle name="Normal 7" xfId="230"/>
    <cellStyle name="Normal 7 2" xfId="616"/>
    <cellStyle name="Normal 70" xfId="1846"/>
    <cellStyle name="Normal 71" xfId="1847"/>
    <cellStyle name="Normal 72" xfId="1848"/>
    <cellStyle name="Normal 73" xfId="1849"/>
    <cellStyle name="Normal 74" xfId="1850"/>
    <cellStyle name="Normal 75" xfId="1851"/>
    <cellStyle name="Normal 76" xfId="1852"/>
    <cellStyle name="Normal 77" xfId="1853"/>
    <cellStyle name="Normal 78" xfId="1854"/>
    <cellStyle name="Normal 79" xfId="1870"/>
    <cellStyle name="Normal 8" xfId="231"/>
    <cellStyle name="Normal 8 2" xfId="617"/>
    <cellStyle name="Normal 80" xfId="1861"/>
    <cellStyle name="Normal 81" xfId="1862"/>
    <cellStyle name="Normal 82" xfId="1863"/>
    <cellStyle name="Normal 83" xfId="1864"/>
    <cellStyle name="Normal 84" xfId="1865"/>
    <cellStyle name="Normal 85" xfId="1866"/>
    <cellStyle name="Normal 86" xfId="1867"/>
    <cellStyle name="Normal 87" xfId="1855"/>
    <cellStyle name="Normal 88" xfId="1856"/>
    <cellStyle name="Normal 89" xfId="1857"/>
    <cellStyle name="Normal 9" xfId="232"/>
    <cellStyle name="Normal 9 2" xfId="618"/>
    <cellStyle name="Normal 90" xfId="1858"/>
    <cellStyle name="Normal 91" xfId="1859"/>
    <cellStyle name="Normal 92" xfId="1874"/>
    <cellStyle name="Normal 93" xfId="1940"/>
    <cellStyle name="Normal 94" xfId="1927"/>
    <cellStyle name="Normal 95" xfId="1928"/>
    <cellStyle name="Normal 96" xfId="1929"/>
    <cellStyle name="Normal 97" xfId="1930"/>
    <cellStyle name="Normal 98" xfId="1875"/>
    <cellStyle name="Normal 99" xfId="1931"/>
    <cellStyle name="Normal Bold" xfId="619"/>
    <cellStyle name="Normal_DisclaimerSheet Samples" xfId="2036"/>
    <cellStyle name="Normal_Main" xfId="233"/>
    <cellStyle name="Normal_Next Media model 1H04ac_Shanda Model Link" xfId="234"/>
    <cellStyle name="Normal_Tingfin" xfId="235"/>
    <cellStyle name="Note" xfId="236" builtinId="10" customBuiltin="1"/>
    <cellStyle name="Note 2" xfId="620"/>
    <cellStyle name="Note 3" xfId="1799"/>
    <cellStyle name="Note 4" xfId="1982"/>
    <cellStyle name="number" xfId="621"/>
    <cellStyle name="NumberForecastStyle" xfId="622"/>
    <cellStyle name="NumberForecastStyle 2" xfId="623"/>
    <cellStyle name="NumberStyle" xfId="624"/>
    <cellStyle name="NumberStyle 2" xfId="625"/>
    <cellStyle name="Œ…‹æØ‚è [0.00]_GE 3 MINIMUM" xfId="626"/>
    <cellStyle name="Œ…‹æØ‚è_GE 3 MINIMUM" xfId="627"/>
    <cellStyle name="Onedec_FT Valuation " xfId="237"/>
    <cellStyle name="outh America" xfId="628"/>
    <cellStyle name="Output" xfId="238" builtinId="21" customBuiltin="1"/>
    <cellStyle name="Output 2" xfId="629"/>
    <cellStyle name="Output 3" xfId="1983"/>
    <cellStyle name="p " xfId="239"/>
    <cellStyle name="Pass" xfId="630"/>
    <cellStyle name="Percent" xfId="240" builtinId="5"/>
    <cellStyle name="Percent [2]" xfId="632"/>
    <cellStyle name="Percent 10" xfId="633"/>
    <cellStyle name="Percent 11" xfId="634"/>
    <cellStyle name="Percent 12" xfId="631"/>
    <cellStyle name="Percent 2" xfId="253"/>
    <cellStyle name="Percent 2 2" xfId="635"/>
    <cellStyle name="Percent 2 3" xfId="636"/>
    <cellStyle name="Percent 3" xfId="637"/>
    <cellStyle name="Percent 36" xfId="638"/>
    <cellStyle name="Percent 4" xfId="639"/>
    <cellStyle name="Percent 5" xfId="640"/>
    <cellStyle name="Percent 6" xfId="641"/>
    <cellStyle name="Percent 7" xfId="642"/>
    <cellStyle name="Percent 8" xfId="643"/>
    <cellStyle name="Percent 9" xfId="644"/>
    <cellStyle name="ProtectedDates" xfId="645"/>
    <cellStyle name="q_AA - BenefitsBonus " xfId="241"/>
    <cellStyle name="r_Accretion " xfId="242"/>
    <cellStyle name="RankingStyle" xfId="646"/>
    <cellStyle name="RED" xfId="647"/>
    <cellStyle name="Restruct" xfId="648"/>
    <cellStyle name="Restruct 2" xfId="649"/>
    <cellStyle name="Restruct 2 2" xfId="1808"/>
    <cellStyle name="Right" xfId="650"/>
    <cellStyle name="RRSInstruction" xfId="268"/>
    <cellStyle name="RRSInstruction 2" xfId="651"/>
    <cellStyle name="s_HardInc " xfId="243"/>
    <cellStyle name="s_HardInc _Annual" xfId="652"/>
    <cellStyle name="s_HardInc _DCF" xfId="653"/>
    <cellStyle name="s_HardInc _Main" xfId="654"/>
    <cellStyle name="s_HardInc _mwareDates" xfId="655"/>
    <cellStyle name="s_HardInc _mwareDates_1" xfId="656"/>
    <cellStyle name="s_HardInc _Pop and Inc_CEIC_20140619" xfId="657"/>
    <cellStyle name="s_HardInc _Quarterly" xfId="658"/>
    <cellStyle name="s_HardInc _Quarterly_mwareDates" xfId="659"/>
    <cellStyle name="s_HardInc _RRST1" xfId="660"/>
    <cellStyle name="s_HardInc _Scenario" xfId="661"/>
    <cellStyle name="s_Valuation " xfId="244"/>
    <cellStyle name="s_Valuation _Annual" xfId="662"/>
    <cellStyle name="s_Valuation _China Consumption_from Laura_20140618" xfId="663"/>
    <cellStyle name="s_Valuation _DCF" xfId="664"/>
    <cellStyle name="s_Valuation _Main" xfId="665"/>
    <cellStyle name="s_Valuation _mwareDates" xfId="666"/>
    <cellStyle name="s_Valuation _mwareDates_1" xfId="667"/>
    <cellStyle name="s_Valuation _Pop and Inc_CEIC_20140619" xfId="668"/>
    <cellStyle name="s_Valuation _Quarterly" xfId="669"/>
    <cellStyle name="s_Valuation _Quarterly_mwareDates" xfId="670"/>
    <cellStyle name="s_Valuation _RRST1" xfId="671"/>
    <cellStyle name="s_Valuation _Scenario" xfId="672"/>
    <cellStyle name="ssp " xfId="245"/>
    <cellStyle name="Style 1" xfId="246"/>
    <cellStyle name="Style 1 2" xfId="673"/>
    <cellStyle name="Style 10" xfId="674"/>
    <cellStyle name="Style 10 2" xfId="675"/>
    <cellStyle name="Style 100" xfId="676"/>
    <cellStyle name="Style 101" xfId="677"/>
    <cellStyle name="Style 102" xfId="678"/>
    <cellStyle name="Style 103" xfId="679"/>
    <cellStyle name="Style 104" xfId="680"/>
    <cellStyle name="Style 105" xfId="681"/>
    <cellStyle name="Style 106" xfId="682"/>
    <cellStyle name="Style 106 2" xfId="683"/>
    <cellStyle name="Style 107" xfId="684"/>
    <cellStyle name="Style 107 2" xfId="685"/>
    <cellStyle name="Style 108" xfId="686"/>
    <cellStyle name="Style 108 2" xfId="687"/>
    <cellStyle name="Style 109" xfId="688"/>
    <cellStyle name="Style 109 2" xfId="689"/>
    <cellStyle name="Style 11" xfId="690"/>
    <cellStyle name="Style 11 2" xfId="691"/>
    <cellStyle name="Style 110" xfId="692"/>
    <cellStyle name="Style 110 2" xfId="693"/>
    <cellStyle name="Style 111" xfId="694"/>
    <cellStyle name="Style 111 2" xfId="695"/>
    <cellStyle name="Style 112" xfId="696"/>
    <cellStyle name="Style 112 2" xfId="697"/>
    <cellStyle name="Style 113" xfId="698"/>
    <cellStyle name="Style 113 2" xfId="699"/>
    <cellStyle name="Style 114" xfId="700"/>
    <cellStyle name="Style 114 2" xfId="701"/>
    <cellStyle name="Style 115" xfId="702"/>
    <cellStyle name="Style 115 2" xfId="703"/>
    <cellStyle name="Style 116" xfId="704"/>
    <cellStyle name="Style 117" xfId="705"/>
    <cellStyle name="Style 118" xfId="706"/>
    <cellStyle name="Style 119" xfId="707"/>
    <cellStyle name="Style 119 2" xfId="708"/>
    <cellStyle name="Style 12" xfId="709"/>
    <cellStyle name="Style 12 2" xfId="710"/>
    <cellStyle name="Style 120" xfId="711"/>
    <cellStyle name="Style 120 2" xfId="712"/>
    <cellStyle name="Style 121" xfId="713"/>
    <cellStyle name="Style 121 2" xfId="714"/>
    <cellStyle name="Style 122" xfId="715"/>
    <cellStyle name="Style 122 2" xfId="716"/>
    <cellStyle name="Style 123" xfId="717"/>
    <cellStyle name="Style 123 2" xfId="718"/>
    <cellStyle name="Style 124" xfId="719"/>
    <cellStyle name="Style 124 2" xfId="720"/>
    <cellStyle name="Style 125" xfId="721"/>
    <cellStyle name="Style 125 2" xfId="722"/>
    <cellStyle name="Style 126" xfId="723"/>
    <cellStyle name="Style 126 2" xfId="724"/>
    <cellStyle name="Style 127" xfId="725"/>
    <cellStyle name="Style 127 2" xfId="726"/>
    <cellStyle name="Style 128" xfId="727"/>
    <cellStyle name="Style 128 2" xfId="728"/>
    <cellStyle name="Style 129" xfId="729"/>
    <cellStyle name="Style 129 2" xfId="730"/>
    <cellStyle name="Style 13" xfId="731"/>
    <cellStyle name="Style 130" xfId="732"/>
    <cellStyle name="Style 131" xfId="733"/>
    <cellStyle name="Style 132" xfId="734"/>
    <cellStyle name="Style 133" xfId="735"/>
    <cellStyle name="Style 134" xfId="736"/>
    <cellStyle name="Style 135" xfId="737"/>
    <cellStyle name="Style 136" xfId="738"/>
    <cellStyle name="Style 137" xfId="739"/>
    <cellStyle name="Style 137 2" xfId="740"/>
    <cellStyle name="Style 138" xfId="741"/>
    <cellStyle name="Style 138 2" xfId="742"/>
    <cellStyle name="Style 139" xfId="743"/>
    <cellStyle name="Style 139 2" xfId="744"/>
    <cellStyle name="Style 14" xfId="745"/>
    <cellStyle name="Style 140" xfId="746"/>
    <cellStyle name="Style 140 2" xfId="747"/>
    <cellStyle name="Style 141" xfId="748"/>
    <cellStyle name="Style 141 2" xfId="749"/>
    <cellStyle name="Style 142" xfId="750"/>
    <cellStyle name="Style 142 2" xfId="751"/>
    <cellStyle name="Style 143" xfId="752"/>
    <cellStyle name="Style 143 2" xfId="753"/>
    <cellStyle name="Style 144" xfId="754"/>
    <cellStyle name="Style 144 2" xfId="755"/>
    <cellStyle name="Style 145" xfId="756"/>
    <cellStyle name="Style 145 2" xfId="757"/>
    <cellStyle name="Style 146" xfId="758"/>
    <cellStyle name="Style 146 2" xfId="759"/>
    <cellStyle name="Style 147" xfId="760"/>
    <cellStyle name="Style 147 2" xfId="761"/>
    <cellStyle name="Style 148" xfId="762"/>
    <cellStyle name="Style 148 2" xfId="763"/>
    <cellStyle name="Style 149" xfId="764"/>
    <cellStyle name="Style 15" xfId="765"/>
    <cellStyle name="Style 150" xfId="766"/>
    <cellStyle name="Style 151" xfId="767"/>
    <cellStyle name="Style 152" xfId="768"/>
    <cellStyle name="Style 153" xfId="769"/>
    <cellStyle name="Style 154" xfId="770"/>
    <cellStyle name="Style 155" xfId="771"/>
    <cellStyle name="Style 156" xfId="772"/>
    <cellStyle name="Style 157" xfId="773"/>
    <cellStyle name="Style 158" xfId="774"/>
    <cellStyle name="Style 159" xfId="775"/>
    <cellStyle name="Style 16" xfId="776"/>
    <cellStyle name="Style 160" xfId="777"/>
    <cellStyle name="Style 161" xfId="778"/>
    <cellStyle name="Style 162" xfId="779"/>
    <cellStyle name="Style 163" xfId="780"/>
    <cellStyle name="Style 164" xfId="781"/>
    <cellStyle name="Style 165" xfId="782"/>
    <cellStyle name="Style 166" xfId="783"/>
    <cellStyle name="Style 167" xfId="784"/>
    <cellStyle name="Style 168" xfId="785"/>
    <cellStyle name="Style 169" xfId="786"/>
    <cellStyle name="Style 17" xfId="787"/>
    <cellStyle name="Style 170" xfId="788"/>
    <cellStyle name="Style 171" xfId="789"/>
    <cellStyle name="Style 172" xfId="790"/>
    <cellStyle name="Style 173" xfId="791"/>
    <cellStyle name="Style 174" xfId="792"/>
    <cellStyle name="Style 175" xfId="793"/>
    <cellStyle name="Style 176" xfId="794"/>
    <cellStyle name="Style 177" xfId="795"/>
    <cellStyle name="Style 178" xfId="796"/>
    <cellStyle name="Style 179" xfId="797"/>
    <cellStyle name="Style 18" xfId="798"/>
    <cellStyle name="Style 180" xfId="799"/>
    <cellStyle name="Style 181" xfId="800"/>
    <cellStyle name="Style 182" xfId="801"/>
    <cellStyle name="Style 183" xfId="802"/>
    <cellStyle name="Style 184" xfId="803"/>
    <cellStyle name="Style 185" xfId="804"/>
    <cellStyle name="Style 186" xfId="805"/>
    <cellStyle name="Style 187" xfId="806"/>
    <cellStyle name="Style 188" xfId="807"/>
    <cellStyle name="Style 189" xfId="808"/>
    <cellStyle name="Style 19" xfId="809"/>
    <cellStyle name="Style 19 2" xfId="810"/>
    <cellStyle name="Style 190" xfId="811"/>
    <cellStyle name="Style 191" xfId="812"/>
    <cellStyle name="Style 192" xfId="813"/>
    <cellStyle name="Style 193" xfId="814"/>
    <cellStyle name="Style 194" xfId="815"/>
    <cellStyle name="Style 195" xfId="816"/>
    <cellStyle name="Style 196" xfId="817"/>
    <cellStyle name="Style 197" xfId="818"/>
    <cellStyle name="Style 198" xfId="819"/>
    <cellStyle name="Style 199" xfId="820"/>
    <cellStyle name="Style 2" xfId="821"/>
    <cellStyle name="Style 20" xfId="822"/>
    <cellStyle name="Style 20 2" xfId="823"/>
    <cellStyle name="Style 200" xfId="824"/>
    <cellStyle name="Style 201" xfId="825"/>
    <cellStyle name="Style 202" xfId="826"/>
    <cellStyle name="Style 203" xfId="827"/>
    <cellStyle name="Style 204" xfId="828"/>
    <cellStyle name="Style 205" xfId="829"/>
    <cellStyle name="Style 206" xfId="830"/>
    <cellStyle name="Style 207" xfId="831"/>
    <cellStyle name="Style 208" xfId="832"/>
    <cellStyle name="Style 209" xfId="833"/>
    <cellStyle name="Style 21" xfId="834"/>
    <cellStyle name="Style 21 2" xfId="835"/>
    <cellStyle name="Style 210" xfId="836"/>
    <cellStyle name="Style 211" xfId="837"/>
    <cellStyle name="Style 212" xfId="838"/>
    <cellStyle name="Style 213" xfId="839"/>
    <cellStyle name="Style 214" xfId="840"/>
    <cellStyle name="Style 215" xfId="841"/>
    <cellStyle name="Style 216" xfId="842"/>
    <cellStyle name="Style 217" xfId="843"/>
    <cellStyle name="Style 218" xfId="844"/>
    <cellStyle name="Style 219" xfId="845"/>
    <cellStyle name="Style 219 2" xfId="846"/>
    <cellStyle name="Style 22" xfId="847"/>
    <cellStyle name="Style 220" xfId="848"/>
    <cellStyle name="Style 220 2" xfId="849"/>
    <cellStyle name="Style 221" xfId="850"/>
    <cellStyle name="Style 221 2" xfId="851"/>
    <cellStyle name="Style 222" xfId="852"/>
    <cellStyle name="Style 222 2" xfId="853"/>
    <cellStyle name="Style 223" xfId="854"/>
    <cellStyle name="Style 223 2" xfId="855"/>
    <cellStyle name="Style 224" xfId="856"/>
    <cellStyle name="Style 224 2" xfId="857"/>
    <cellStyle name="Style 225" xfId="858"/>
    <cellStyle name="Style 225 2" xfId="859"/>
    <cellStyle name="Style 226" xfId="860"/>
    <cellStyle name="Style 226 2" xfId="861"/>
    <cellStyle name="Style 227" xfId="862"/>
    <cellStyle name="Style 227 2" xfId="863"/>
    <cellStyle name="Style 228" xfId="864"/>
    <cellStyle name="Style 228 2" xfId="865"/>
    <cellStyle name="Style 229" xfId="866"/>
    <cellStyle name="Style 229 2" xfId="867"/>
    <cellStyle name="Style 23" xfId="868"/>
    <cellStyle name="Style 230" xfId="869"/>
    <cellStyle name="Style 230 2" xfId="870"/>
    <cellStyle name="Style 231" xfId="871"/>
    <cellStyle name="Style 231 2" xfId="872"/>
    <cellStyle name="Style 232" xfId="873"/>
    <cellStyle name="Style 232 2" xfId="874"/>
    <cellStyle name="Style 233" xfId="875"/>
    <cellStyle name="Style 233 2" xfId="876"/>
    <cellStyle name="Style 234" xfId="877"/>
    <cellStyle name="Style 234 2" xfId="878"/>
    <cellStyle name="Style 235" xfId="879"/>
    <cellStyle name="Style 236" xfId="880"/>
    <cellStyle name="Style 237" xfId="881"/>
    <cellStyle name="Style 238" xfId="882"/>
    <cellStyle name="Style 239" xfId="883"/>
    <cellStyle name="Style 24" xfId="884"/>
    <cellStyle name="Style 240" xfId="885"/>
    <cellStyle name="Style 241" xfId="886"/>
    <cellStyle name="Style 242" xfId="887"/>
    <cellStyle name="Style 243" xfId="888"/>
    <cellStyle name="Style 244" xfId="889"/>
    <cellStyle name="Style 245" xfId="890"/>
    <cellStyle name="Style 245 2" xfId="891"/>
    <cellStyle name="Style 246" xfId="892"/>
    <cellStyle name="Style 246 2" xfId="893"/>
    <cellStyle name="Style 247" xfId="894"/>
    <cellStyle name="Style 247 2" xfId="895"/>
    <cellStyle name="Style 248" xfId="896"/>
    <cellStyle name="Style 248 2" xfId="897"/>
    <cellStyle name="Style 249" xfId="898"/>
    <cellStyle name="Style 249 2" xfId="899"/>
    <cellStyle name="Style 25" xfId="900"/>
    <cellStyle name="Style 250" xfId="901"/>
    <cellStyle name="Style 250 2" xfId="902"/>
    <cellStyle name="Style 251" xfId="903"/>
    <cellStyle name="Style 251 2" xfId="904"/>
    <cellStyle name="Style 252" xfId="905"/>
    <cellStyle name="Style 252 2" xfId="906"/>
    <cellStyle name="Style 253" xfId="907"/>
    <cellStyle name="Style 253 2" xfId="908"/>
    <cellStyle name="Style 254" xfId="909"/>
    <cellStyle name="Style 254 2" xfId="910"/>
    <cellStyle name="Style 255" xfId="911"/>
    <cellStyle name="Style 255 2" xfId="912"/>
    <cellStyle name="Style 256" xfId="913"/>
    <cellStyle name="Style 256 2" xfId="914"/>
    <cellStyle name="Style 257" xfId="915"/>
    <cellStyle name="Style 257 2" xfId="916"/>
    <cellStyle name="Style 258" xfId="917"/>
    <cellStyle name="Style 259" xfId="918"/>
    <cellStyle name="Style 26" xfId="919"/>
    <cellStyle name="Style 260" xfId="920"/>
    <cellStyle name="Style 261" xfId="921"/>
    <cellStyle name="Style 262" xfId="922"/>
    <cellStyle name="Style 263" xfId="923"/>
    <cellStyle name="Style 264" xfId="924"/>
    <cellStyle name="Style 265" xfId="925"/>
    <cellStyle name="Style 266" xfId="926"/>
    <cellStyle name="Style 267" xfId="927"/>
    <cellStyle name="Style 268" xfId="928"/>
    <cellStyle name="Style 269" xfId="929"/>
    <cellStyle name="Style 27" xfId="930"/>
    <cellStyle name="Style 270" xfId="931"/>
    <cellStyle name="Style 271" xfId="932"/>
    <cellStyle name="Style 272" xfId="933"/>
    <cellStyle name="Style 273" xfId="934"/>
    <cellStyle name="Style 274" xfId="935"/>
    <cellStyle name="Style 275" xfId="936"/>
    <cellStyle name="Style 275 2" xfId="937"/>
    <cellStyle name="Style 276" xfId="938"/>
    <cellStyle name="Style 276 2" xfId="939"/>
    <cellStyle name="Style 277" xfId="940"/>
    <cellStyle name="Style 277 2" xfId="941"/>
    <cellStyle name="Style 278" xfId="942"/>
    <cellStyle name="Style 278 2" xfId="943"/>
    <cellStyle name="Style 279" xfId="944"/>
    <cellStyle name="Style 28" xfId="945"/>
    <cellStyle name="Style 280" xfId="946"/>
    <cellStyle name="Style 281" xfId="947"/>
    <cellStyle name="Style 282" xfId="948"/>
    <cellStyle name="Style 283" xfId="949"/>
    <cellStyle name="Style 284" xfId="950"/>
    <cellStyle name="Style 285" xfId="951"/>
    <cellStyle name="Style 286" xfId="952"/>
    <cellStyle name="Style 287" xfId="953"/>
    <cellStyle name="Style 288" xfId="954"/>
    <cellStyle name="Style 289" xfId="955"/>
    <cellStyle name="Style 29" xfId="956"/>
    <cellStyle name="Style 290" xfId="957"/>
    <cellStyle name="Style 291" xfId="958"/>
    <cellStyle name="Style 292" xfId="959"/>
    <cellStyle name="Style 293" xfId="960"/>
    <cellStyle name="Style 294" xfId="961"/>
    <cellStyle name="Style 295" xfId="962"/>
    <cellStyle name="Style 296" xfId="963"/>
    <cellStyle name="Style 297" xfId="964"/>
    <cellStyle name="Style 298" xfId="965"/>
    <cellStyle name="Style 299" xfId="966"/>
    <cellStyle name="Style 3" xfId="967"/>
    <cellStyle name="Style 3 2" xfId="968"/>
    <cellStyle name="Style 30" xfId="969"/>
    <cellStyle name="Style 300" xfId="970"/>
    <cellStyle name="Style 301" xfId="971"/>
    <cellStyle name="Style 302" xfId="972"/>
    <cellStyle name="Style 303" xfId="973"/>
    <cellStyle name="Style 304" xfId="974"/>
    <cellStyle name="Style 305" xfId="975"/>
    <cellStyle name="Style 306" xfId="976"/>
    <cellStyle name="Style 307" xfId="977"/>
    <cellStyle name="Style 308" xfId="978"/>
    <cellStyle name="Style 309" xfId="979"/>
    <cellStyle name="Style 31" xfId="980"/>
    <cellStyle name="Style 310" xfId="981"/>
    <cellStyle name="Style 311" xfId="982"/>
    <cellStyle name="Style 312" xfId="983"/>
    <cellStyle name="Style 313" xfId="984"/>
    <cellStyle name="Style 314" xfId="985"/>
    <cellStyle name="Style 315" xfId="986"/>
    <cellStyle name="Style 316" xfId="987"/>
    <cellStyle name="Style 317" xfId="988"/>
    <cellStyle name="Style 318" xfId="989"/>
    <cellStyle name="Style 319" xfId="990"/>
    <cellStyle name="Style 32" xfId="991"/>
    <cellStyle name="Style 32 2" xfId="992"/>
    <cellStyle name="Style 320" xfId="993"/>
    <cellStyle name="Style 321" xfId="994"/>
    <cellStyle name="Style 322" xfId="995"/>
    <cellStyle name="Style 323" xfId="996"/>
    <cellStyle name="Style 324" xfId="997"/>
    <cellStyle name="Style 325" xfId="998"/>
    <cellStyle name="Style 326" xfId="999"/>
    <cellStyle name="Style 327" xfId="1000"/>
    <cellStyle name="Style 328" xfId="1001"/>
    <cellStyle name="Style 329" xfId="1002"/>
    <cellStyle name="Style 33" xfId="1003"/>
    <cellStyle name="Style 33 2" xfId="1004"/>
    <cellStyle name="Style 330" xfId="1005"/>
    <cellStyle name="Style 331" xfId="1006"/>
    <cellStyle name="Style 332" xfId="1007"/>
    <cellStyle name="Style 333" xfId="1008"/>
    <cellStyle name="Style 334" xfId="1009"/>
    <cellStyle name="Style 335" xfId="1010"/>
    <cellStyle name="Style 336" xfId="1011"/>
    <cellStyle name="Style 337" xfId="1012"/>
    <cellStyle name="Style 338" xfId="1013"/>
    <cellStyle name="Style 339" xfId="1014"/>
    <cellStyle name="Style 34" xfId="1015"/>
    <cellStyle name="Style 34 2" xfId="1016"/>
    <cellStyle name="Style 340" xfId="1017"/>
    <cellStyle name="Style 341" xfId="1018"/>
    <cellStyle name="Style 342" xfId="1019"/>
    <cellStyle name="Style 343" xfId="1020"/>
    <cellStyle name="Style 344" xfId="1021"/>
    <cellStyle name="Style 345" xfId="1022"/>
    <cellStyle name="Style 346" xfId="1023"/>
    <cellStyle name="Style 347" xfId="1024"/>
    <cellStyle name="Style 348" xfId="1025"/>
    <cellStyle name="Style 349" xfId="1026"/>
    <cellStyle name="Style 35" xfId="1027"/>
    <cellStyle name="Style 35 2" xfId="1028"/>
    <cellStyle name="Style 350" xfId="1029"/>
    <cellStyle name="Style 351" xfId="1030"/>
    <cellStyle name="Style 352" xfId="1031"/>
    <cellStyle name="Style 353" xfId="1032"/>
    <cellStyle name="Style 354" xfId="1033"/>
    <cellStyle name="Style 355" xfId="1034"/>
    <cellStyle name="Style 356" xfId="1035"/>
    <cellStyle name="Style 357" xfId="1036"/>
    <cellStyle name="Style 358" xfId="1037"/>
    <cellStyle name="Style 359" xfId="1038"/>
    <cellStyle name="Style 36" xfId="1039"/>
    <cellStyle name="Style 36 2" xfId="1040"/>
    <cellStyle name="Style 360" xfId="1041"/>
    <cellStyle name="Style 361" xfId="1042"/>
    <cellStyle name="Style 362" xfId="1043"/>
    <cellStyle name="Style 363" xfId="1044"/>
    <cellStyle name="Style 364" xfId="1045"/>
    <cellStyle name="Style 365" xfId="1046"/>
    <cellStyle name="Style 366" xfId="1047"/>
    <cellStyle name="Style 367" xfId="1048"/>
    <cellStyle name="Style 368" xfId="1049"/>
    <cellStyle name="Style 369" xfId="1050"/>
    <cellStyle name="Style 37" xfId="1051"/>
    <cellStyle name="Style 37 2" xfId="1052"/>
    <cellStyle name="Style 370" xfId="1053"/>
    <cellStyle name="Style 371" xfId="1054"/>
    <cellStyle name="Style 372" xfId="1055"/>
    <cellStyle name="Style 373" xfId="1056"/>
    <cellStyle name="Style 374" xfId="1057"/>
    <cellStyle name="Style 375" xfId="1058"/>
    <cellStyle name="Style 376" xfId="1059"/>
    <cellStyle name="Style 377" xfId="1060"/>
    <cellStyle name="Style 378" xfId="1061"/>
    <cellStyle name="Style 379" xfId="1062"/>
    <cellStyle name="Style 38" xfId="1063"/>
    <cellStyle name="Style 380" xfId="1064"/>
    <cellStyle name="Style 381" xfId="1065"/>
    <cellStyle name="Style 382" xfId="1066"/>
    <cellStyle name="Style 383" xfId="1067"/>
    <cellStyle name="Style 384" xfId="1068"/>
    <cellStyle name="Style 385" xfId="1069"/>
    <cellStyle name="Style 386" xfId="1070"/>
    <cellStyle name="Style 387" xfId="1071"/>
    <cellStyle name="Style 388" xfId="1072"/>
    <cellStyle name="Style 389" xfId="1073"/>
    <cellStyle name="Style 39" xfId="1074"/>
    <cellStyle name="Style 390" xfId="1075"/>
    <cellStyle name="Style 391" xfId="1076"/>
    <cellStyle name="Style 392" xfId="1077"/>
    <cellStyle name="Style 393" xfId="1078"/>
    <cellStyle name="Style 394" xfId="1079"/>
    <cellStyle name="Style 395" xfId="1080"/>
    <cellStyle name="Style 396" xfId="1081"/>
    <cellStyle name="Style 397" xfId="1082"/>
    <cellStyle name="Style 398" xfId="1083"/>
    <cellStyle name="Style 399" xfId="1084"/>
    <cellStyle name="Style 4" xfId="1085"/>
    <cellStyle name="Style 4 2" xfId="1086"/>
    <cellStyle name="Style 40" xfId="1087"/>
    <cellStyle name="Style 400" xfId="1088"/>
    <cellStyle name="Style 401" xfId="1089"/>
    <cellStyle name="Style 402" xfId="1090"/>
    <cellStyle name="Style 403" xfId="1091"/>
    <cellStyle name="Style 404" xfId="1092"/>
    <cellStyle name="Style 405" xfId="1093"/>
    <cellStyle name="Style 406" xfId="1094"/>
    <cellStyle name="Style 407" xfId="1095"/>
    <cellStyle name="Style 408" xfId="1096"/>
    <cellStyle name="Style 409" xfId="1097"/>
    <cellStyle name="Style 41" xfId="1098"/>
    <cellStyle name="Style 410" xfId="1099"/>
    <cellStyle name="Style 411" xfId="1100"/>
    <cellStyle name="Style 412" xfId="1101"/>
    <cellStyle name="Style 413" xfId="1102"/>
    <cellStyle name="Style 414" xfId="1103"/>
    <cellStyle name="Style 415" xfId="1104"/>
    <cellStyle name="Style 416" xfId="1105"/>
    <cellStyle name="Style 417" xfId="1106"/>
    <cellStyle name="Style 418" xfId="1107"/>
    <cellStyle name="Style 419" xfId="1108"/>
    <cellStyle name="Style 42" xfId="1109"/>
    <cellStyle name="Style 420" xfId="1110"/>
    <cellStyle name="Style 421" xfId="1111"/>
    <cellStyle name="Style 422" xfId="1112"/>
    <cellStyle name="Style 423" xfId="1113"/>
    <cellStyle name="Style 424" xfId="1114"/>
    <cellStyle name="Style 425" xfId="1115"/>
    <cellStyle name="Style 426" xfId="1116"/>
    <cellStyle name="Style 427" xfId="1117"/>
    <cellStyle name="Style 428" xfId="1118"/>
    <cellStyle name="Style 429" xfId="1119"/>
    <cellStyle name="Style 43" xfId="1120"/>
    <cellStyle name="Style 430" xfId="1121"/>
    <cellStyle name="Style 431" xfId="1122"/>
    <cellStyle name="Style 432" xfId="1123"/>
    <cellStyle name="Style 433" xfId="1124"/>
    <cellStyle name="Style 434" xfId="1125"/>
    <cellStyle name="Style 435" xfId="1126"/>
    <cellStyle name="Style 436" xfId="1127"/>
    <cellStyle name="Style 437" xfId="1128"/>
    <cellStyle name="Style 438" xfId="1129"/>
    <cellStyle name="Style 439" xfId="1130"/>
    <cellStyle name="Style 44" xfId="1131"/>
    <cellStyle name="Style 440" xfId="1132"/>
    <cellStyle name="Style 441" xfId="1133"/>
    <cellStyle name="Style 442" xfId="1134"/>
    <cellStyle name="Style 443" xfId="1135"/>
    <cellStyle name="Style 444" xfId="1136"/>
    <cellStyle name="Style 445" xfId="1137"/>
    <cellStyle name="Style 446" xfId="1138"/>
    <cellStyle name="Style 447" xfId="1139"/>
    <cellStyle name="Style 448" xfId="1140"/>
    <cellStyle name="Style 449" xfId="1141"/>
    <cellStyle name="Style 45" xfId="1142"/>
    <cellStyle name="Style 450" xfId="1143"/>
    <cellStyle name="Style 451" xfId="1144"/>
    <cellStyle name="Style 452" xfId="1145"/>
    <cellStyle name="Style 453" xfId="1146"/>
    <cellStyle name="Style 454" xfId="1147"/>
    <cellStyle name="Style 455" xfId="1148"/>
    <cellStyle name="Style 456" xfId="1149"/>
    <cellStyle name="Style 457" xfId="1150"/>
    <cellStyle name="Style 458" xfId="1151"/>
    <cellStyle name="Style 459" xfId="1152"/>
    <cellStyle name="Style 46" xfId="1153"/>
    <cellStyle name="Style 460" xfId="1154"/>
    <cellStyle name="Style 461" xfId="1155"/>
    <cellStyle name="Style 462" xfId="1156"/>
    <cellStyle name="Style 463" xfId="1157"/>
    <cellStyle name="Style 464" xfId="1158"/>
    <cellStyle name="Style 465" xfId="1159"/>
    <cellStyle name="Style 466" xfId="1160"/>
    <cellStyle name="Style 467" xfId="1161"/>
    <cellStyle name="Style 468" xfId="1162"/>
    <cellStyle name="Style 469" xfId="1163"/>
    <cellStyle name="Style 47" xfId="1164"/>
    <cellStyle name="Style 470" xfId="1165"/>
    <cellStyle name="Style 471" xfId="1166"/>
    <cellStyle name="Style 472" xfId="1167"/>
    <cellStyle name="Style 473" xfId="1168"/>
    <cellStyle name="Style 474" xfId="1169"/>
    <cellStyle name="Style 475" xfId="1170"/>
    <cellStyle name="Style 476" xfId="1171"/>
    <cellStyle name="Style 477" xfId="1172"/>
    <cellStyle name="Style 478" xfId="1173"/>
    <cellStyle name="Style 479" xfId="1174"/>
    <cellStyle name="Style 48" xfId="1175"/>
    <cellStyle name="Style 480" xfId="1176"/>
    <cellStyle name="Style 481" xfId="1177"/>
    <cellStyle name="Style 482" xfId="1178"/>
    <cellStyle name="Style 483" xfId="1179"/>
    <cellStyle name="Style 484" xfId="1180"/>
    <cellStyle name="Style 485" xfId="1181"/>
    <cellStyle name="Style 486" xfId="1182"/>
    <cellStyle name="Style 487" xfId="1183"/>
    <cellStyle name="Style 488" xfId="1184"/>
    <cellStyle name="Style 489" xfId="1185"/>
    <cellStyle name="Style 49" xfId="1186"/>
    <cellStyle name="Style 490" xfId="1187"/>
    <cellStyle name="Style 491" xfId="1188"/>
    <cellStyle name="Style 492" xfId="1189"/>
    <cellStyle name="Style 493" xfId="1190"/>
    <cellStyle name="Style 494" xfId="1191"/>
    <cellStyle name="Style 495" xfId="1192"/>
    <cellStyle name="Style 496" xfId="1193"/>
    <cellStyle name="Style 497" xfId="1194"/>
    <cellStyle name="Style 498" xfId="1195"/>
    <cellStyle name="Style 499" xfId="1196"/>
    <cellStyle name="Style 5" xfId="1197"/>
    <cellStyle name="Style 5 2" xfId="1198"/>
    <cellStyle name="Style 50" xfId="1199"/>
    <cellStyle name="Style 500" xfId="1200"/>
    <cellStyle name="Style 501" xfId="1201"/>
    <cellStyle name="Style 502" xfId="1202"/>
    <cellStyle name="Style 503" xfId="1203"/>
    <cellStyle name="Style 504" xfId="1204"/>
    <cellStyle name="Style 505" xfId="1205"/>
    <cellStyle name="Style 506" xfId="1206"/>
    <cellStyle name="Style 507" xfId="1207"/>
    <cellStyle name="Style 508" xfId="1208"/>
    <cellStyle name="Style 509" xfId="1209"/>
    <cellStyle name="Style 51" xfId="1210"/>
    <cellStyle name="Style 510" xfId="1211"/>
    <cellStyle name="Style 511" xfId="1212"/>
    <cellStyle name="Style 512" xfId="1213"/>
    <cellStyle name="Style 513" xfId="1214"/>
    <cellStyle name="Style 514" xfId="1215"/>
    <cellStyle name="Style 515" xfId="1216"/>
    <cellStyle name="Style 516" xfId="1217"/>
    <cellStyle name="Style 517" xfId="1218"/>
    <cellStyle name="Style 518" xfId="1219"/>
    <cellStyle name="Style 519" xfId="1220"/>
    <cellStyle name="Style 52" xfId="1221"/>
    <cellStyle name="Style 520" xfId="1222"/>
    <cellStyle name="Style 521" xfId="1223"/>
    <cellStyle name="Style 522" xfId="1224"/>
    <cellStyle name="Style 523" xfId="1225"/>
    <cellStyle name="Style 524" xfId="1226"/>
    <cellStyle name="Style 525" xfId="1227"/>
    <cellStyle name="Style 526" xfId="1228"/>
    <cellStyle name="Style 527" xfId="1229"/>
    <cellStyle name="Style 528" xfId="1230"/>
    <cellStyle name="Style 529" xfId="1231"/>
    <cellStyle name="Style 53" xfId="1232"/>
    <cellStyle name="Style 530" xfId="1233"/>
    <cellStyle name="Style 531" xfId="1234"/>
    <cellStyle name="Style 532" xfId="1235"/>
    <cellStyle name="Style 533" xfId="1236"/>
    <cellStyle name="Style 534" xfId="1237"/>
    <cellStyle name="Style 535" xfId="1238"/>
    <cellStyle name="Style 536" xfId="1239"/>
    <cellStyle name="Style 537" xfId="1240"/>
    <cellStyle name="Style 538" xfId="1241"/>
    <cellStyle name="Style 539" xfId="1242"/>
    <cellStyle name="Style 54" xfId="1243"/>
    <cellStyle name="Style 540" xfId="1244"/>
    <cellStyle name="Style 541" xfId="1245"/>
    <cellStyle name="Style 542" xfId="1246"/>
    <cellStyle name="Style 543" xfId="1247"/>
    <cellStyle name="Style 544" xfId="1248"/>
    <cellStyle name="Style 545" xfId="1249"/>
    <cellStyle name="Style 546" xfId="1250"/>
    <cellStyle name="Style 547" xfId="1251"/>
    <cellStyle name="Style 548" xfId="1252"/>
    <cellStyle name="Style 549" xfId="1253"/>
    <cellStyle name="Style 55" xfId="1254"/>
    <cellStyle name="Style 550" xfId="1255"/>
    <cellStyle name="Style 551" xfId="1256"/>
    <cellStyle name="Style 552" xfId="1257"/>
    <cellStyle name="Style 553" xfId="1258"/>
    <cellStyle name="Style 554" xfId="1259"/>
    <cellStyle name="Style 555" xfId="1260"/>
    <cellStyle name="Style 556" xfId="1261"/>
    <cellStyle name="Style 557" xfId="1262"/>
    <cellStyle name="Style 558" xfId="1263"/>
    <cellStyle name="Style 559" xfId="1264"/>
    <cellStyle name="Style 56" xfId="1265"/>
    <cellStyle name="Style 560" xfId="1266"/>
    <cellStyle name="Style 561" xfId="1267"/>
    <cellStyle name="Style 562" xfId="1268"/>
    <cellStyle name="Style 563" xfId="1269"/>
    <cellStyle name="Style 564" xfId="1270"/>
    <cellStyle name="Style 565" xfId="1271"/>
    <cellStyle name="Style 566" xfId="1272"/>
    <cellStyle name="Style 567" xfId="1273"/>
    <cellStyle name="Style 568" xfId="1274"/>
    <cellStyle name="Style 569" xfId="1275"/>
    <cellStyle name="Style 57" xfId="1276"/>
    <cellStyle name="Style 570" xfId="1277"/>
    <cellStyle name="Style 571" xfId="1278"/>
    <cellStyle name="Style 572" xfId="1279"/>
    <cellStyle name="Style 573" xfId="1280"/>
    <cellStyle name="Style 574" xfId="1281"/>
    <cellStyle name="Style 575" xfId="1282"/>
    <cellStyle name="Style 576" xfId="1283"/>
    <cellStyle name="Style 577" xfId="1284"/>
    <cellStyle name="Style 578" xfId="1285"/>
    <cellStyle name="Style 579" xfId="1286"/>
    <cellStyle name="Style 58" xfId="1287"/>
    <cellStyle name="Style 580" xfId="1288"/>
    <cellStyle name="Style 581" xfId="1289"/>
    <cellStyle name="Style 582" xfId="1290"/>
    <cellStyle name="Style 583" xfId="1291"/>
    <cellStyle name="Style 584" xfId="1292"/>
    <cellStyle name="Style 585" xfId="1293"/>
    <cellStyle name="Style 586" xfId="1294"/>
    <cellStyle name="Style 587" xfId="1295"/>
    <cellStyle name="Style 588" xfId="1296"/>
    <cellStyle name="Style 589" xfId="1297"/>
    <cellStyle name="Style 59" xfId="1298"/>
    <cellStyle name="Style 590" xfId="1299"/>
    <cellStyle name="Style 591" xfId="1300"/>
    <cellStyle name="Style 592" xfId="1301"/>
    <cellStyle name="Style 593" xfId="1302"/>
    <cellStyle name="Style 594" xfId="1303"/>
    <cellStyle name="Style 595" xfId="1304"/>
    <cellStyle name="Style 596" xfId="1305"/>
    <cellStyle name="Style 597" xfId="1306"/>
    <cellStyle name="Style 598" xfId="1307"/>
    <cellStyle name="Style 599" xfId="1308"/>
    <cellStyle name="Style 6" xfId="1309"/>
    <cellStyle name="Style 6 2" xfId="1310"/>
    <cellStyle name="Style 60" xfId="1311"/>
    <cellStyle name="Style 60 2" xfId="1312"/>
    <cellStyle name="Style 600" xfId="1313"/>
    <cellStyle name="Style 601" xfId="1314"/>
    <cellStyle name="Style 602" xfId="1315"/>
    <cellStyle name="Style 603" xfId="1316"/>
    <cellStyle name="Style 604" xfId="1317"/>
    <cellStyle name="Style 605" xfId="1318"/>
    <cellStyle name="Style 606" xfId="1319"/>
    <cellStyle name="Style 607" xfId="1320"/>
    <cellStyle name="Style 608" xfId="1321"/>
    <cellStyle name="Style 609" xfId="1322"/>
    <cellStyle name="Style 61" xfId="1323"/>
    <cellStyle name="Style 61 2" xfId="1324"/>
    <cellStyle name="Style 610" xfId="1325"/>
    <cellStyle name="Style 611" xfId="1326"/>
    <cellStyle name="Style 612" xfId="1327"/>
    <cellStyle name="Style 613" xfId="1328"/>
    <cellStyle name="Style 614" xfId="1329"/>
    <cellStyle name="Style 615" xfId="1330"/>
    <cellStyle name="Style 616" xfId="1331"/>
    <cellStyle name="Style 617" xfId="1332"/>
    <cellStyle name="Style 618" xfId="1333"/>
    <cellStyle name="Style 619" xfId="1334"/>
    <cellStyle name="Style 62" xfId="1335"/>
    <cellStyle name="Style 62 2" xfId="1336"/>
    <cellStyle name="Style 620" xfId="1337"/>
    <cellStyle name="Style 621" xfId="1338"/>
    <cellStyle name="Style 622" xfId="1339"/>
    <cellStyle name="Style 623" xfId="1340"/>
    <cellStyle name="Style 624" xfId="1341"/>
    <cellStyle name="Style 625" xfId="1342"/>
    <cellStyle name="Style 626" xfId="1343"/>
    <cellStyle name="Style 627" xfId="1344"/>
    <cellStyle name="Style 628" xfId="1345"/>
    <cellStyle name="Style 629" xfId="1346"/>
    <cellStyle name="Style 63" xfId="1347"/>
    <cellStyle name="Style 63 2" xfId="1348"/>
    <cellStyle name="Style 630" xfId="1349"/>
    <cellStyle name="Style 631" xfId="1350"/>
    <cellStyle name="Style 632" xfId="1351"/>
    <cellStyle name="Style 633" xfId="1352"/>
    <cellStyle name="Style 634" xfId="1353"/>
    <cellStyle name="Style 635" xfId="1354"/>
    <cellStyle name="Style 636" xfId="1355"/>
    <cellStyle name="Style 637" xfId="1356"/>
    <cellStyle name="Style 638" xfId="1357"/>
    <cellStyle name="Style 639" xfId="1358"/>
    <cellStyle name="Style 64" xfId="1359"/>
    <cellStyle name="Style 64 2" xfId="1360"/>
    <cellStyle name="Style 640" xfId="1361"/>
    <cellStyle name="Style 641" xfId="1362"/>
    <cellStyle name="Style 642" xfId="1363"/>
    <cellStyle name="Style 643" xfId="1364"/>
    <cellStyle name="Style 644" xfId="1365"/>
    <cellStyle name="Style 645" xfId="1366"/>
    <cellStyle name="Style 646" xfId="1367"/>
    <cellStyle name="Style 647" xfId="1368"/>
    <cellStyle name="Style 648" xfId="1369"/>
    <cellStyle name="Style 649" xfId="1370"/>
    <cellStyle name="Style 65" xfId="1371"/>
    <cellStyle name="Style 65 2" xfId="1372"/>
    <cellStyle name="Style 650" xfId="1373"/>
    <cellStyle name="Style 651" xfId="1374"/>
    <cellStyle name="Style 652" xfId="1375"/>
    <cellStyle name="Style 653" xfId="1376"/>
    <cellStyle name="Style 654" xfId="1377"/>
    <cellStyle name="Style 655" xfId="1378"/>
    <cellStyle name="Style 656" xfId="1379"/>
    <cellStyle name="Style 657" xfId="1380"/>
    <cellStyle name="Style 658" xfId="1381"/>
    <cellStyle name="Style 659" xfId="1382"/>
    <cellStyle name="Style 66" xfId="1383"/>
    <cellStyle name="Style 660" xfId="1384"/>
    <cellStyle name="Style 661" xfId="1385"/>
    <cellStyle name="Style 662" xfId="1386"/>
    <cellStyle name="Style 663" xfId="1387"/>
    <cellStyle name="Style 664" xfId="1388"/>
    <cellStyle name="Style 665" xfId="1389"/>
    <cellStyle name="Style 666" xfId="1390"/>
    <cellStyle name="Style 667" xfId="1391"/>
    <cellStyle name="Style 668" xfId="1392"/>
    <cellStyle name="Style 669" xfId="1393"/>
    <cellStyle name="Style 67" xfId="1394"/>
    <cellStyle name="Style 670" xfId="1395"/>
    <cellStyle name="Style 671" xfId="1396"/>
    <cellStyle name="Style 672" xfId="1397"/>
    <cellStyle name="Style 673" xfId="1398"/>
    <cellStyle name="Style 674" xfId="1399"/>
    <cellStyle name="Style 675" xfId="1400"/>
    <cellStyle name="Style 676" xfId="1401"/>
    <cellStyle name="Style 677" xfId="1402"/>
    <cellStyle name="Style 678" xfId="1403"/>
    <cellStyle name="Style 679" xfId="1404"/>
    <cellStyle name="Style 68" xfId="1405"/>
    <cellStyle name="Style 680" xfId="1406"/>
    <cellStyle name="Style 681" xfId="1407"/>
    <cellStyle name="Style 682" xfId="1408"/>
    <cellStyle name="Style 683" xfId="1409"/>
    <cellStyle name="Style 684" xfId="1410"/>
    <cellStyle name="Style 685" xfId="1411"/>
    <cellStyle name="Style 686" xfId="1412"/>
    <cellStyle name="Style 687" xfId="1413"/>
    <cellStyle name="Style 688" xfId="1414"/>
    <cellStyle name="Style 689" xfId="1415"/>
    <cellStyle name="Style 69" xfId="1416"/>
    <cellStyle name="Style 690" xfId="1417"/>
    <cellStyle name="Style 691" xfId="1418"/>
    <cellStyle name="Style 692" xfId="1419"/>
    <cellStyle name="Style 693" xfId="1420"/>
    <cellStyle name="Style 694" xfId="1421"/>
    <cellStyle name="Style 695" xfId="1422"/>
    <cellStyle name="Style 696" xfId="1423"/>
    <cellStyle name="Style 697" xfId="1424"/>
    <cellStyle name="Style 698" xfId="1425"/>
    <cellStyle name="Style 699" xfId="1426"/>
    <cellStyle name="Style 7" xfId="1427"/>
    <cellStyle name="Style 70" xfId="1428"/>
    <cellStyle name="Style 700" xfId="1429"/>
    <cellStyle name="Style 701" xfId="1430"/>
    <cellStyle name="Style 702" xfId="1431"/>
    <cellStyle name="Style 703" xfId="1432"/>
    <cellStyle name="Style 704" xfId="1433"/>
    <cellStyle name="Style 705" xfId="1434"/>
    <cellStyle name="Style 706" xfId="1435"/>
    <cellStyle name="Style 707" xfId="1436"/>
    <cellStyle name="Style 708" xfId="1437"/>
    <cellStyle name="Style 709" xfId="1438"/>
    <cellStyle name="Style 71" xfId="1439"/>
    <cellStyle name="Style 710" xfId="1440"/>
    <cellStyle name="Style 711" xfId="1441"/>
    <cellStyle name="Style 712" xfId="1442"/>
    <cellStyle name="Style 713" xfId="1443"/>
    <cellStyle name="Style 714" xfId="1444"/>
    <cellStyle name="Style 715" xfId="1445"/>
    <cellStyle name="Style 716" xfId="1446"/>
    <cellStyle name="Style 717" xfId="1447"/>
    <cellStyle name="Style 718" xfId="1448"/>
    <cellStyle name="Style 719" xfId="1449"/>
    <cellStyle name="Style 72" xfId="1450"/>
    <cellStyle name="Style 720" xfId="1451"/>
    <cellStyle name="Style 721" xfId="1452"/>
    <cellStyle name="Style 722" xfId="1453"/>
    <cellStyle name="Style 723" xfId="1454"/>
    <cellStyle name="Style 724" xfId="1455"/>
    <cellStyle name="Style 725" xfId="1456"/>
    <cellStyle name="Style 726" xfId="1457"/>
    <cellStyle name="Style 727" xfId="1458"/>
    <cellStyle name="Style 728" xfId="1459"/>
    <cellStyle name="Style 729" xfId="1460"/>
    <cellStyle name="Style 73" xfId="1461"/>
    <cellStyle name="Style 730" xfId="1462"/>
    <cellStyle name="Style 731" xfId="1463"/>
    <cellStyle name="Style 732" xfId="1464"/>
    <cellStyle name="Style 733" xfId="1465"/>
    <cellStyle name="Style 734" xfId="1466"/>
    <cellStyle name="Style 735" xfId="1467"/>
    <cellStyle name="Style 736" xfId="1468"/>
    <cellStyle name="Style 737" xfId="1469"/>
    <cellStyle name="Style 738" xfId="1470"/>
    <cellStyle name="Style 739" xfId="1471"/>
    <cellStyle name="Style 74" xfId="1472"/>
    <cellStyle name="Style 740" xfId="1473"/>
    <cellStyle name="Style 741" xfId="1474"/>
    <cellStyle name="Style 742" xfId="1475"/>
    <cellStyle name="Style 743" xfId="1476"/>
    <cellStyle name="Style 744" xfId="1477"/>
    <cellStyle name="Style 745" xfId="1478"/>
    <cellStyle name="Style 746" xfId="1479"/>
    <cellStyle name="Style 747" xfId="1480"/>
    <cellStyle name="Style 748" xfId="1481"/>
    <cellStyle name="Style 749" xfId="1482"/>
    <cellStyle name="Style 75" xfId="1483"/>
    <cellStyle name="Style 750" xfId="1484"/>
    <cellStyle name="Style 751" xfId="1485"/>
    <cellStyle name="Style 752" xfId="1486"/>
    <cellStyle name="Style 753" xfId="1487"/>
    <cellStyle name="Style 754" xfId="1488"/>
    <cellStyle name="Style 755" xfId="1489"/>
    <cellStyle name="Style 756" xfId="1490"/>
    <cellStyle name="Style 757" xfId="1491"/>
    <cellStyle name="Style 758" xfId="1492"/>
    <cellStyle name="Style 759" xfId="1493"/>
    <cellStyle name="Style 76" xfId="1494"/>
    <cellStyle name="Style 760" xfId="1495"/>
    <cellStyle name="Style 761" xfId="1496"/>
    <cellStyle name="Style 762" xfId="1497"/>
    <cellStyle name="Style 763" xfId="1498"/>
    <cellStyle name="Style 764" xfId="1499"/>
    <cellStyle name="Style 765" xfId="1500"/>
    <cellStyle name="Style 766" xfId="1501"/>
    <cellStyle name="Style 767" xfId="1502"/>
    <cellStyle name="Style 768" xfId="1503"/>
    <cellStyle name="Style 769" xfId="1504"/>
    <cellStyle name="Style 77" xfId="1505"/>
    <cellStyle name="Style 770" xfId="1506"/>
    <cellStyle name="Style 771" xfId="1507"/>
    <cellStyle name="Style 772" xfId="1508"/>
    <cellStyle name="Style 773" xfId="1509"/>
    <cellStyle name="Style 774" xfId="1510"/>
    <cellStyle name="Style 775" xfId="1511"/>
    <cellStyle name="Style 776" xfId="1512"/>
    <cellStyle name="Style 777" xfId="1513"/>
    <cellStyle name="Style 778" xfId="1514"/>
    <cellStyle name="Style 779" xfId="1515"/>
    <cellStyle name="Style 78" xfId="1516"/>
    <cellStyle name="Style 780" xfId="1517"/>
    <cellStyle name="Style 781" xfId="1518"/>
    <cellStyle name="Style 782" xfId="1519"/>
    <cellStyle name="Style 783" xfId="1520"/>
    <cellStyle name="Style 784" xfId="1521"/>
    <cellStyle name="Style 785" xfId="1522"/>
    <cellStyle name="Style 786" xfId="1523"/>
    <cellStyle name="Style 787" xfId="1524"/>
    <cellStyle name="Style 788" xfId="1525"/>
    <cellStyle name="Style 789" xfId="1526"/>
    <cellStyle name="Style 79" xfId="1527"/>
    <cellStyle name="Style 790" xfId="1528"/>
    <cellStyle name="Style 791" xfId="1529"/>
    <cellStyle name="Style 792" xfId="1530"/>
    <cellStyle name="Style 793" xfId="1531"/>
    <cellStyle name="Style 794" xfId="1532"/>
    <cellStyle name="Style 795" xfId="1533"/>
    <cellStyle name="Style 796" xfId="1534"/>
    <cellStyle name="Style 797" xfId="1535"/>
    <cellStyle name="Style 798" xfId="1536"/>
    <cellStyle name="Style 799" xfId="1537"/>
    <cellStyle name="Style 8" xfId="1538"/>
    <cellStyle name="Style 8 2" xfId="1539"/>
    <cellStyle name="Style 80" xfId="1540"/>
    <cellStyle name="Style 800" xfId="1541"/>
    <cellStyle name="Style 801" xfId="1542"/>
    <cellStyle name="Style 802" xfId="1543"/>
    <cellStyle name="Style 803" xfId="1544"/>
    <cellStyle name="Style 804" xfId="1545"/>
    <cellStyle name="Style 805" xfId="1546"/>
    <cellStyle name="Style 806" xfId="1547"/>
    <cellStyle name="Style 807" xfId="1548"/>
    <cellStyle name="Style 808" xfId="1549"/>
    <cellStyle name="Style 809" xfId="1550"/>
    <cellStyle name="Style 81" xfId="1551"/>
    <cellStyle name="Style 810" xfId="1552"/>
    <cellStyle name="Style 811" xfId="1553"/>
    <cellStyle name="Style 812" xfId="1554"/>
    <cellStyle name="Style 813" xfId="1555"/>
    <cellStyle name="Style 814" xfId="1556"/>
    <cellStyle name="Style 815" xfId="1557"/>
    <cellStyle name="Style 816" xfId="1558"/>
    <cellStyle name="Style 817" xfId="1559"/>
    <cellStyle name="Style 818" xfId="1560"/>
    <cellStyle name="Style 819" xfId="1561"/>
    <cellStyle name="Style 82" xfId="1562"/>
    <cellStyle name="Style 820" xfId="1563"/>
    <cellStyle name="Style 821" xfId="1564"/>
    <cellStyle name="Style 822" xfId="1565"/>
    <cellStyle name="Style 823" xfId="1566"/>
    <cellStyle name="Style 824" xfId="1567"/>
    <cellStyle name="Style 825" xfId="1568"/>
    <cellStyle name="Style 826" xfId="1569"/>
    <cellStyle name="Style 827" xfId="1570"/>
    <cellStyle name="Style 828" xfId="1571"/>
    <cellStyle name="Style 829" xfId="1572"/>
    <cellStyle name="Style 83" xfId="1573"/>
    <cellStyle name="Style 830" xfId="1574"/>
    <cellStyle name="Style 831" xfId="1575"/>
    <cellStyle name="Style 832" xfId="1576"/>
    <cellStyle name="Style 833" xfId="1577"/>
    <cellStyle name="Style 834" xfId="1578"/>
    <cellStyle name="Style 835" xfId="1579"/>
    <cellStyle name="Style 836" xfId="1580"/>
    <cellStyle name="Style 837" xfId="1581"/>
    <cellStyle name="Style 838" xfId="1582"/>
    <cellStyle name="Style 839" xfId="1583"/>
    <cellStyle name="Style 84" xfId="1584"/>
    <cellStyle name="Style 840" xfId="1585"/>
    <cellStyle name="Style 841" xfId="1586"/>
    <cellStyle name="Style 842" xfId="1587"/>
    <cellStyle name="Style 843" xfId="1588"/>
    <cellStyle name="Style 844" xfId="1589"/>
    <cellStyle name="Style 845" xfId="1590"/>
    <cellStyle name="Style 846" xfId="1591"/>
    <cellStyle name="Style 847" xfId="1592"/>
    <cellStyle name="Style 848" xfId="1593"/>
    <cellStyle name="Style 849" xfId="1594"/>
    <cellStyle name="Style 85" xfId="1595"/>
    <cellStyle name="Style 850" xfId="1596"/>
    <cellStyle name="Style 851" xfId="1597"/>
    <cellStyle name="Style 852" xfId="1598"/>
    <cellStyle name="Style 853" xfId="1599"/>
    <cellStyle name="Style 854" xfId="1600"/>
    <cellStyle name="Style 855" xfId="1601"/>
    <cellStyle name="Style 856" xfId="1602"/>
    <cellStyle name="Style 857" xfId="1603"/>
    <cellStyle name="Style 858" xfId="1604"/>
    <cellStyle name="Style 859" xfId="1605"/>
    <cellStyle name="Style 86" xfId="1606"/>
    <cellStyle name="Style 860" xfId="1607"/>
    <cellStyle name="Style 861" xfId="1608"/>
    <cellStyle name="Style 862" xfId="1609"/>
    <cellStyle name="Style 863" xfId="1610"/>
    <cellStyle name="Style 864" xfId="1611"/>
    <cellStyle name="Style 865" xfId="1612"/>
    <cellStyle name="Style 866" xfId="1613"/>
    <cellStyle name="Style 867" xfId="1614"/>
    <cellStyle name="Style 868" xfId="1615"/>
    <cellStyle name="Style 869" xfId="1616"/>
    <cellStyle name="Style 87" xfId="1617"/>
    <cellStyle name="Style 870" xfId="1618"/>
    <cellStyle name="Style 871" xfId="1619"/>
    <cellStyle name="Style 872" xfId="1620"/>
    <cellStyle name="Style 873" xfId="1621"/>
    <cellStyle name="Style 874" xfId="1622"/>
    <cellStyle name="Style 875" xfId="1623"/>
    <cellStyle name="Style 876" xfId="1624"/>
    <cellStyle name="Style 877" xfId="1625"/>
    <cellStyle name="Style 878" xfId="1626"/>
    <cellStyle name="Style 879" xfId="1627"/>
    <cellStyle name="Style 88" xfId="1628"/>
    <cellStyle name="Style 880" xfId="1629"/>
    <cellStyle name="Style 881" xfId="1630"/>
    <cellStyle name="Style 882" xfId="1631"/>
    <cellStyle name="Style 883" xfId="1632"/>
    <cellStyle name="Style 884" xfId="1633"/>
    <cellStyle name="Style 885" xfId="1634"/>
    <cellStyle name="Style 886" xfId="1635"/>
    <cellStyle name="Style 887" xfId="1636"/>
    <cellStyle name="Style 888" xfId="1637"/>
    <cellStyle name="Style 889" xfId="1638"/>
    <cellStyle name="Style 89" xfId="1639"/>
    <cellStyle name="Style 890" xfId="1640"/>
    <cellStyle name="Style 891" xfId="1641"/>
    <cellStyle name="Style 892" xfId="1642"/>
    <cellStyle name="Style 893" xfId="1643"/>
    <cellStyle name="Style 894" xfId="1644"/>
    <cellStyle name="Style 895" xfId="1645"/>
    <cellStyle name="Style 896" xfId="1646"/>
    <cellStyle name="Style 897" xfId="1647"/>
    <cellStyle name="Style 898" xfId="1648"/>
    <cellStyle name="Style 899" xfId="1649"/>
    <cellStyle name="Style 9" xfId="1650"/>
    <cellStyle name="Style 9 2" xfId="1651"/>
    <cellStyle name="Style 90" xfId="1652"/>
    <cellStyle name="Style 900" xfId="1653"/>
    <cellStyle name="Style 901" xfId="1654"/>
    <cellStyle name="Style 902" xfId="1655"/>
    <cellStyle name="Style 903" xfId="1656"/>
    <cellStyle name="Style 904" xfId="1657"/>
    <cellStyle name="Style 905" xfId="1658"/>
    <cellStyle name="Style 906" xfId="1659"/>
    <cellStyle name="Style 907" xfId="1660"/>
    <cellStyle name="Style 908" xfId="1661"/>
    <cellStyle name="Style 909" xfId="1662"/>
    <cellStyle name="Style 91" xfId="1663"/>
    <cellStyle name="Style 910" xfId="1664"/>
    <cellStyle name="Style 911" xfId="1665"/>
    <cellStyle name="Style 912" xfId="1666"/>
    <cellStyle name="Style 913" xfId="1667"/>
    <cellStyle name="Style 914" xfId="1668"/>
    <cellStyle name="Style 915" xfId="1669"/>
    <cellStyle name="Style 916" xfId="1670"/>
    <cellStyle name="Style 917" xfId="1671"/>
    <cellStyle name="Style 918" xfId="1672"/>
    <cellStyle name="Style 919" xfId="1673"/>
    <cellStyle name="Style 92" xfId="1674"/>
    <cellStyle name="Style 920" xfId="1675"/>
    <cellStyle name="Style 921" xfId="1676"/>
    <cellStyle name="Style 922" xfId="1677"/>
    <cellStyle name="Style 923" xfId="1678"/>
    <cellStyle name="Style 924" xfId="1679"/>
    <cellStyle name="Style 925" xfId="1680"/>
    <cellStyle name="Style 926" xfId="1681"/>
    <cellStyle name="Style 927" xfId="1682"/>
    <cellStyle name="Style 928" xfId="1683"/>
    <cellStyle name="Style 929" xfId="1684"/>
    <cellStyle name="Style 93" xfId="1685"/>
    <cellStyle name="Style 930" xfId="1686"/>
    <cellStyle name="Style 931" xfId="1687"/>
    <cellStyle name="Style 932" xfId="1688"/>
    <cellStyle name="Style 933" xfId="1689"/>
    <cellStyle name="Style 934" xfId="1690"/>
    <cellStyle name="Style 935" xfId="1691"/>
    <cellStyle name="Style 936" xfId="1692"/>
    <cellStyle name="Style 937" xfId="1693"/>
    <cellStyle name="Style 938" xfId="1694"/>
    <cellStyle name="Style 939" xfId="1695"/>
    <cellStyle name="Style 94" xfId="1696"/>
    <cellStyle name="Style 940" xfId="1697"/>
    <cellStyle name="Style 941" xfId="1698"/>
    <cellStyle name="Style 942" xfId="1699"/>
    <cellStyle name="Style 943" xfId="1700"/>
    <cellStyle name="Style 944" xfId="1701"/>
    <cellStyle name="Style 945" xfId="1702"/>
    <cellStyle name="Style 946" xfId="1703"/>
    <cellStyle name="Style 947" xfId="1704"/>
    <cellStyle name="Style 948" xfId="1705"/>
    <cellStyle name="Style 949" xfId="1706"/>
    <cellStyle name="Style 95" xfId="1707"/>
    <cellStyle name="Style 950" xfId="1708"/>
    <cellStyle name="Style 951" xfId="1709"/>
    <cellStyle name="Style 952" xfId="1710"/>
    <cellStyle name="Style 953" xfId="1711"/>
    <cellStyle name="Style 954" xfId="1712"/>
    <cellStyle name="Style 955" xfId="1713"/>
    <cellStyle name="Style 956" xfId="1714"/>
    <cellStyle name="Style 957" xfId="1715"/>
    <cellStyle name="Style 958" xfId="1716"/>
    <cellStyle name="Style 959" xfId="1717"/>
    <cellStyle name="Style 96" xfId="1718"/>
    <cellStyle name="Style 960" xfId="1719"/>
    <cellStyle name="Style 961" xfId="1720"/>
    <cellStyle name="Style 962" xfId="1721"/>
    <cellStyle name="Style 963" xfId="1722"/>
    <cellStyle name="Style 964" xfId="1723"/>
    <cellStyle name="Style 965" xfId="1724"/>
    <cellStyle name="Style 966" xfId="1725"/>
    <cellStyle name="Style 967" xfId="1726"/>
    <cellStyle name="Style 968" xfId="1727"/>
    <cellStyle name="Style 969" xfId="1728"/>
    <cellStyle name="Style 97" xfId="1729"/>
    <cellStyle name="Style 970" xfId="1730"/>
    <cellStyle name="Style 971" xfId="1731"/>
    <cellStyle name="Style 972" xfId="1732"/>
    <cellStyle name="Style 973" xfId="1733"/>
    <cellStyle name="Style 974" xfId="1734"/>
    <cellStyle name="Style 975" xfId="1735"/>
    <cellStyle name="Style 976" xfId="1736"/>
    <cellStyle name="Style 977" xfId="1737"/>
    <cellStyle name="Style 978" xfId="1738"/>
    <cellStyle name="Style 979" xfId="1739"/>
    <cellStyle name="Style 98" xfId="1740"/>
    <cellStyle name="Style 980" xfId="1741"/>
    <cellStyle name="Style 981" xfId="1742"/>
    <cellStyle name="Style 982" xfId="1743"/>
    <cellStyle name="Style 983" xfId="1744"/>
    <cellStyle name="Style 99" xfId="1745"/>
    <cellStyle name="SUb Hd" xfId="1746"/>
    <cellStyle name="Sub Hd-mil" xfId="1747"/>
    <cellStyle name="Subtotal_left" xfId="1748"/>
    <cellStyle name="textbold" xfId="1749"/>
    <cellStyle name="Title" xfId="247" builtinId="15" customBuiltin="1"/>
    <cellStyle name="Title 2" xfId="1750"/>
    <cellStyle name="Title 3" xfId="1984"/>
    <cellStyle name="title1" xfId="1751"/>
    <cellStyle name="title2" xfId="1752"/>
    <cellStyle name="Titles" xfId="1753"/>
    <cellStyle name="Top Line" xfId="1754"/>
    <cellStyle name="Total" xfId="248" builtinId="25" customBuiltin="1"/>
    <cellStyle name="Total 10" xfId="2018"/>
    <cellStyle name="total 2" xfId="1755"/>
    <cellStyle name="Total 3" xfId="1985"/>
    <cellStyle name="Total 4" xfId="2000"/>
    <cellStyle name="Total 5" xfId="2003"/>
    <cellStyle name="Total 6" xfId="2006"/>
    <cellStyle name="Total 7" xfId="2009"/>
    <cellStyle name="Total 8" xfId="2012"/>
    <cellStyle name="Total 9" xfId="2015"/>
    <cellStyle name="Totals" xfId="1756"/>
    <cellStyle name="underline 1 decimal" xfId="1757"/>
    <cellStyle name="UnProtectedCalc" xfId="1758"/>
    <cellStyle name="Upload Only" xfId="1759"/>
    <cellStyle name="V Line" xfId="1760"/>
    <cellStyle name="Warning Text" xfId="249" builtinId="11" customBuiltin="1"/>
    <cellStyle name="Warning Text 2" xfId="1761"/>
    <cellStyle name="Warning Text 3" xfId="1986"/>
    <cellStyle name="Year" xfId="1762"/>
    <cellStyle name="쬞\?1@" xfId="1763"/>
    <cellStyle name="콤마 [0]_#3이설 견적_준공내역총괄표 " xfId="250"/>
    <cellStyle name="콤마_#3이설 견적_준공내역총괄표 " xfId="251"/>
    <cellStyle name="통화 [0]_1.24분기 평가표 " xfId="1764"/>
    <cellStyle name="통화_1.24분기 평가표 " xfId="1765"/>
    <cellStyle name="표준_0N-HANDLING " xfId="252"/>
    <cellStyle name="千位[0]_laroux" xfId="1766"/>
    <cellStyle name="千位_laroux" xfId="1767"/>
    <cellStyle name="好" xfId="1768"/>
    <cellStyle name="差" xfId="1769"/>
    <cellStyle name="常规 2" xfId="1770"/>
    <cellStyle name="常规_10月31日修正后的   销售所得客单价" xfId="1771"/>
    <cellStyle name="强调文字颜色 1" xfId="1772"/>
    <cellStyle name="强调文字颜色 2" xfId="1773"/>
    <cellStyle name="强调文字颜色 3" xfId="1774"/>
    <cellStyle name="强调文字颜色 4" xfId="1775"/>
    <cellStyle name="强调文字颜色 5" xfId="1776"/>
    <cellStyle name="强调文字颜色 6" xfId="1777"/>
    <cellStyle name="普通_laroux" xfId="1778"/>
    <cellStyle name="标题" xfId="1779"/>
    <cellStyle name="标题 1" xfId="1780"/>
    <cellStyle name="标题 2" xfId="1781"/>
    <cellStyle name="标题 3" xfId="1782"/>
    <cellStyle name="标题 4" xfId="1783"/>
    <cellStyle name="标题_China Leverage" xfId="1784"/>
    <cellStyle name="检查单元格" xfId="1785"/>
    <cellStyle name="汇总" xfId="1786"/>
    <cellStyle name="注释" xfId="1787"/>
    <cellStyle name="解释性文本" xfId="1788"/>
    <cellStyle name="警告文本" xfId="1789"/>
    <cellStyle name="计算" xfId="1790"/>
    <cellStyle name="货币_10-Q1-2005 supporting " xfId="1791"/>
    <cellStyle name="输入" xfId="1792"/>
    <cellStyle name="输出" xfId="1793"/>
    <cellStyle name="适中" xfId="1794"/>
    <cellStyle name="链接单元格" xfId="179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FAF9BD"/>
      <color rgb="FFFF99FF"/>
      <color rgb="FF1F497D"/>
      <color rgb="FFFBEAE5"/>
      <color rgb="FF003366"/>
      <color rgb="FFCBE7ED"/>
      <color rgb="FFC5D9F1"/>
      <color rgb="FFB1A0C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styles.xml" Type="http://schemas.openxmlformats.org/officeDocument/2006/relationships/styles"/>
<Relationship Id="rId11" Target="sharedStrings.xml" Type="http://schemas.openxmlformats.org/officeDocument/2006/relationships/sharedStrings"/>
<Relationship Id="rId12" Target="calcChain.xml" Type="http://schemas.openxmlformats.org/officeDocument/2006/relationships/calcChain"/>
<Relationship Id="rId13" Target="../customXml/item1.xml" Type="http://schemas.openxmlformats.org/officeDocument/2006/relationships/customXml"/>
<Relationship Id="rId14" Target="../customXml/item2.xml" Type="http://schemas.openxmlformats.org/officeDocument/2006/relationships/customXml"/>
<Relationship Id="rId15"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theme/theme1.xml" Type="http://schemas.openxmlformats.org/officeDocument/2006/relationships/theme"/>
</Relationships>

</file>

<file path=xl/ctrlProps/ctrlProp1.xml><?xml version="1.0" encoding="utf-8"?>
<formControlPr xmlns="http://schemas.microsoft.com/office/spreadsheetml/2009/9/main" objectType="Drop" dropLines="4" dropStyle="combo" dx="16" fmlaLink="Scenario!$J$72" fmlaRange="Scenario!$K$73:$K$76" val="0"/>
</file>

<file path=xl/ctrlProps/ctrlProp2.xml><?xml version="1.0" encoding="utf-8"?>
<formControlPr xmlns="http://schemas.microsoft.com/office/spreadsheetml/2009/9/main" objectType="Drop" dropLines="4" dropStyle="combo" dx="16" fmlaLink="Scenario!$J$65" fmlaRange="Scenario!$K$66:$K$69" val="0"/>
</file>

<file path=xl/ctrlProps/ctrlProp3.xml><?xml version="1.0" encoding="utf-8"?>
<formControlPr xmlns="http://schemas.microsoft.com/office/spreadsheetml/2009/9/main" objectType="Drop" dropLines="4" dropStyle="combo" dx="16" fmlaLink="Scenario!$J$58" fmlaRange="Scenario!$K$59:$K$62" val="0"/>
</file>

<file path=xl/ctrlProps/ctrlProp4.xml><?xml version="1.0" encoding="utf-8"?>
<formControlPr xmlns="http://schemas.microsoft.com/office/spreadsheetml/2009/9/main" objectType="Drop" dropLines="4" dropStyle="combo" dx="16" fmlaLink="Scenario!$J$58" fmlaRange="Scenario!$K$59:$K$62" val="0"/>
</file>

<file path=xl/ctrlProps/ctrlProp5.xml><?xml version="1.0" encoding="utf-8"?>
<formControlPr xmlns="http://schemas.microsoft.com/office/spreadsheetml/2009/9/main" objectType="Drop" dropLines="4" dropStyle="combo" dx="16" fmlaLink="Scenario!$J$65" fmlaRange="Scenario!$K$66:$K$69" val="0"/>
</file>

<file path=xl/ctrlProps/ctrlProp6.xml><?xml version="1.0" encoding="utf-8"?>
<formControlPr xmlns="http://schemas.microsoft.com/office/spreadsheetml/2009/9/main" objectType="Drop" dropLines="4" dropStyle="combo" dx="16" fmlaLink="Scenario!$J$72" fmlaRange="Scenario!$K$73:$K$76" val="0"/>
</file>

<file path=xl/ctrlProps/ctrlProp7.xml><?xml version="1.0" encoding="utf-8"?>
<formControlPr xmlns="http://schemas.microsoft.com/office/spreadsheetml/2009/9/main" objectType="Drop" dropLines="4" dropStyle="combo" dx="16" fmlaLink="Scenario!$J$79" fmlaRange="Scenario!$K$80:$K$83" val="0"/>
</file>

<file path=xl/ctrlProps/ctrlProp8.xml><?xml version="1.0" encoding="utf-8"?>
<formControlPr xmlns="http://schemas.microsoft.com/office/spreadsheetml/2009/9/main" objectType="Drop" dropLines="4" dropStyle="combo" dx="16" fmlaLink="Scenario!$J$72" fmlaRange="Scenario!$K$73:$K$76" val="0"/>
</file>

<file path=xl/ctrlProps/ctrlProp9.xml><?xml version="1.0" encoding="utf-8"?>
<formControlPr xmlns="http://schemas.microsoft.com/office/spreadsheetml/2009/9/main" objectType="Drop" dropLines="4" dropStyle="combo" dx="16" fmlaLink="Scenario!$J$79" fmlaRange="Scenario!$K$80:$K$83" val="0"/>
</file>

<file path=xl/ctrlProps/ctrlProp10.xml><?xml version="1.0" encoding="utf-8"?>
<formControlPr xmlns="http://schemas.microsoft.com/office/spreadsheetml/2009/9/main" objectType="Drop" dropLines="4" dropStyle="combo" dx="16" fmlaLink="Scenario!$J$65" fmlaRange="Scenario!$K$66:$K$69" val="0"/>
</file>

<file path=xl/ctrlProps/ctrlProp11.xml><?xml version="1.0" encoding="utf-8"?>
<formControlPr xmlns="http://schemas.microsoft.com/office/spreadsheetml/2009/9/main" objectType="Drop" dropLines="4" dropStyle="combo" dx="16" fmlaLink="Scenario!$J$58" fmlaRange="Scenario!$K$59:$K$62" val="0"/>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182</xdr:row>
      <xdr:rowOff>0</xdr:rowOff>
    </xdr:from>
    <xdr:to>
      <xdr:col>7</xdr:col>
      <xdr:colOff>390525</xdr:colOff>
      <xdr:row>205</xdr:row>
      <xdr:rowOff>104775</xdr:rowOff>
    </xdr:to>
    <xdr:pic>
      <xdr:nvPicPr>
        <xdr:cNvPr id="1159169" name="Picture 1" descr="C:\Users\zhangela\AppData\Local\Temp\MercuryPriceRatingHistoryChart\JD.O_2018_04_23_07_31_14.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9368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114300</xdr:colOff>
      <xdr:row>54</xdr:row>
      <xdr:rowOff>19050</xdr:rowOff>
    </xdr:from>
    <xdr:to>
      <xdr:col>21</xdr:col>
      <xdr:colOff>152400</xdr:colOff>
      <xdr:row>84</xdr:row>
      <xdr:rowOff>114300</xdr:rowOff>
    </xdr:to>
    <xdr:grpSp>
      <xdr:nvGrpSpPr>
        <xdr:cNvPr id="25608" name="Group 14"/>
        <xdr:cNvGrpSpPr>
          <a:grpSpLocks/>
        </xdr:cNvGrpSpPr>
      </xdr:nvGrpSpPr>
      <xdr:grpSpPr bwMode="auto">
        <a:xfrm>
          <a:off x="333375" y="7867650"/>
          <a:ext cx="2305050" cy="4914900"/>
          <a:chOff x="36" y="925"/>
          <a:chExt cx="146" cy="516"/>
        </a:xfrm>
      </xdr:grpSpPr>
      <xdr:sp macro="" textlink="">
        <xdr:nvSpPr>
          <xdr:cNvPr id="25609" name="Rectangle 12"/>
          <xdr:cNvSpPr>
            <a:spLocks noChangeArrowheads="1"/>
          </xdr:cNvSpPr>
        </xdr:nvSpPr>
        <xdr:spPr bwMode="auto">
          <a:xfrm>
            <a:off x="36" y="925"/>
            <a:ext cx="146" cy="516"/>
          </a:xfrm>
          <a:prstGeom prst="rect">
            <a:avLst/>
          </a:prstGeom>
          <a:noFill/>
          <a:ln w="38100">
            <a:solidFill>
              <a:srgbClr val="FF0000"/>
            </a:solidFill>
            <a:miter lim="800000"/>
            <a:headEnd/>
            <a:tailEnd/>
          </a:ln>
        </xdr:spPr>
      </xdr:sp>
      <xdr:sp macro="" textlink="">
        <xdr:nvSpPr>
          <xdr:cNvPr id="25613" name="Text Box 13"/>
          <xdr:cNvSpPr txBox="1">
            <a:spLocks noChangeArrowheads="1"/>
          </xdr:cNvSpPr>
        </xdr:nvSpPr>
        <xdr:spPr bwMode="auto">
          <a:xfrm>
            <a:off x="49" y="938"/>
            <a:ext cx="64" cy="19"/>
          </a:xfrm>
          <a:prstGeom prst="rect">
            <a:avLst/>
          </a:prstGeom>
          <a:noFill/>
          <a:ln>
            <a:noFill/>
          </a:ln>
          <a:extLst/>
        </xdr:spPr>
        <xdr:txBody>
          <a:bodyPr wrap="none" lIns="18288" tIns="22860" rIns="0" bIns="0" anchor="t" upright="1">
            <a:spAutoFit/>
          </a:bodyPr>
          <a:lstStyle/>
          <a:p>
            <a:pPr algn="l" rtl="0">
              <a:defRPr sz="1000"/>
            </a:pPr>
            <a:r>
              <a:rPr lang="en-US" sz="1000" b="1" i="0" u="none" strike="noStrike" baseline="0">
                <a:solidFill>
                  <a:srgbClr val="FF0000"/>
                </a:solidFill>
                <a:latin typeface="Arial"/>
                <a:cs typeface="Arial"/>
              </a:rPr>
              <a:t>DO NOT DELETE</a:t>
            </a:r>
          </a:p>
        </xdr:txBody>
      </xdr:sp>
    </xdr:grpSp>
    <xdr:clientData/>
  </xdr:twoCellAnchor>
  <mc:AlternateContent xmlns:mc="http://schemas.openxmlformats.org/markup-compatibility/2006">
    <mc:Choice xmlns:a14="http://schemas.microsoft.com/office/drawing/2010/main" Requires="a14">
      <xdr:twoCellAnchor editAs="oneCell">
        <xdr:from>
          <xdr:col>10</xdr:col>
          <xdr:colOff>19050</xdr:colOff>
          <xdr:row>4</xdr:row>
          <xdr:rowOff>0</xdr:rowOff>
        </xdr:from>
        <xdr:to>
          <xdr:col>21</xdr:col>
          <xdr:colOff>257175</xdr:colOff>
          <xdr:row>5</xdr:row>
          <xdr:rowOff>9525</xdr:rowOff>
        </xdr:to>
        <xdr:sp macro="" textlink="">
          <xdr:nvSpPr>
            <xdr:cNvPr id="25603" name="Drop Down 3" hidden="1">
              <a:extLst>
                <a:ext uri="{63B3BB69-23CF-44E3-9099-C40C66FF867C}">
                  <a14:compatExt spid="_x0000_s2560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0</xdr:rowOff>
        </xdr:from>
        <xdr:to>
          <xdr:col>21</xdr:col>
          <xdr:colOff>257175</xdr:colOff>
          <xdr:row>4</xdr:row>
          <xdr:rowOff>9525</xdr:rowOff>
        </xdr:to>
        <xdr:sp macro="" textlink="">
          <xdr:nvSpPr>
            <xdr:cNvPr id="25606" name="Drop Down 6" hidden="1">
              <a:extLst>
                <a:ext uri="{63B3BB69-23CF-44E3-9099-C40C66FF867C}">
                  <a14:compatExt spid="_x0000_s2560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xdr:row>
          <xdr:rowOff>123825</xdr:rowOff>
        </xdr:from>
        <xdr:to>
          <xdr:col>21</xdr:col>
          <xdr:colOff>257175</xdr:colOff>
          <xdr:row>2</xdr:row>
          <xdr:rowOff>142875</xdr:rowOff>
        </xdr:to>
        <xdr:sp macro="" textlink="">
          <xdr:nvSpPr>
            <xdr:cNvPr id="25607" name="Drop Down 7" hidden="1">
              <a:extLst>
                <a:ext uri="{63B3BB69-23CF-44E3-9099-C40C66FF867C}">
                  <a14:compatExt spid="_x0000_s25607"/>
                </a:ext>
              </a:extLst>
            </xdr:cNvPr>
            <xdr:cNvSpPr/>
          </xdr:nvSpPr>
          <xdr:spPr>
            <a:xfrm>
              <a:off x="0" y="0"/>
              <a:ext cx="0" cy="0"/>
            </a:xfrm>
            <a:prstGeom prst="rect">
              <a:avLst/>
            </a:prstGeom>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12</xdr:col>
          <xdr:colOff>485775</xdr:colOff>
          <xdr:row>6</xdr:row>
          <xdr:rowOff>161925</xdr:rowOff>
        </xdr:to>
        <xdr:sp macro="" textlink="">
          <xdr:nvSpPr>
            <xdr:cNvPr id="28587" name="Drop Down 4011" hidden="1">
              <a:extLst>
                <a:ext uri="{63B3BB69-23CF-44E3-9099-C40C66FF867C}">
                  <a14:compatExt spid="_x0000_s2858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12</xdr:col>
          <xdr:colOff>485775</xdr:colOff>
          <xdr:row>6</xdr:row>
          <xdr:rowOff>161925</xdr:rowOff>
        </xdr:to>
        <xdr:sp macro="" textlink="">
          <xdr:nvSpPr>
            <xdr:cNvPr id="28588" name="Drop Down 4012" hidden="1">
              <a:extLst>
                <a:ext uri="{63B3BB69-23CF-44E3-9099-C40C66FF867C}">
                  <a14:compatExt spid="_x0000_s2858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12</xdr:col>
          <xdr:colOff>485775</xdr:colOff>
          <xdr:row>6</xdr:row>
          <xdr:rowOff>161925</xdr:rowOff>
        </xdr:to>
        <xdr:sp macro="" textlink="">
          <xdr:nvSpPr>
            <xdr:cNvPr id="28589" name="Drop Down 4013" hidden="1">
              <a:extLst>
                <a:ext uri="{63B3BB69-23CF-44E3-9099-C40C66FF867C}">
                  <a14:compatExt spid="_x0000_s2858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12</xdr:col>
          <xdr:colOff>485775</xdr:colOff>
          <xdr:row>6</xdr:row>
          <xdr:rowOff>161925</xdr:rowOff>
        </xdr:to>
        <xdr:sp macro="" textlink="">
          <xdr:nvSpPr>
            <xdr:cNvPr id="28590" name="Drop Down 4014" hidden="1">
              <a:extLst>
                <a:ext uri="{63B3BB69-23CF-44E3-9099-C40C66FF867C}">
                  <a14:compatExt spid="_x0000_s28590"/>
                </a:ext>
              </a:extLst>
            </xdr:cNvPr>
            <xdr:cNvSpPr/>
          </xdr:nvSpPr>
          <xdr:spPr>
            <a:xfrm>
              <a:off x="0" y="0"/>
              <a:ext cx="0" cy="0"/>
            </a:xfrm>
            <a:prstGeom prst="rect">
              <a:avLst/>
            </a:prstGeom>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1304925</xdr:colOff>
          <xdr:row>3</xdr:row>
          <xdr:rowOff>76200</xdr:rowOff>
        </xdr:from>
        <xdr:to>
          <xdr:col>8</xdr:col>
          <xdr:colOff>2190750</xdr:colOff>
          <xdr:row>4</xdr:row>
          <xdr:rowOff>85725</xdr:rowOff>
        </xdr:to>
        <xdr:sp macro="" textlink="">
          <xdr:nvSpPr>
            <xdr:cNvPr id="15504" name="Drop Down 144" hidden="1">
              <a:extLst>
                <a:ext uri="{63B3BB69-23CF-44E3-9099-C40C66FF867C}">
                  <a14:compatExt spid="_x0000_s1550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1285875</xdr:colOff>
          <xdr:row>4</xdr:row>
          <xdr:rowOff>95250</xdr:rowOff>
        </xdr:from>
        <xdr:to>
          <xdr:col>8</xdr:col>
          <xdr:colOff>2171700</xdr:colOff>
          <xdr:row>5</xdr:row>
          <xdr:rowOff>104775</xdr:rowOff>
        </xdr:to>
        <xdr:sp macro="" textlink="">
          <xdr:nvSpPr>
            <xdr:cNvPr id="15505" name="Drop Down 145" hidden="1">
              <a:extLst>
                <a:ext uri="{63B3BB69-23CF-44E3-9099-C40C66FF867C}">
                  <a14:compatExt spid="_x0000_s1550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1323975</xdr:colOff>
          <xdr:row>2</xdr:row>
          <xdr:rowOff>47625</xdr:rowOff>
        </xdr:from>
        <xdr:to>
          <xdr:col>8</xdr:col>
          <xdr:colOff>2209800</xdr:colOff>
          <xdr:row>3</xdr:row>
          <xdr:rowOff>66675</xdr:rowOff>
        </xdr:to>
        <xdr:sp macro="" textlink="">
          <xdr:nvSpPr>
            <xdr:cNvPr id="15506" name="Drop Down 146" hidden="1">
              <a:extLst>
                <a:ext uri="{63B3BB69-23CF-44E3-9099-C40C66FF867C}">
                  <a14:compatExt spid="_x0000_s1550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1343025</xdr:colOff>
          <xdr:row>1</xdr:row>
          <xdr:rowOff>9525</xdr:rowOff>
        </xdr:from>
        <xdr:to>
          <xdr:col>8</xdr:col>
          <xdr:colOff>2228850</xdr:colOff>
          <xdr:row>2</xdr:row>
          <xdr:rowOff>28575</xdr:rowOff>
        </xdr:to>
        <xdr:sp macro="" textlink="">
          <xdr:nvSpPr>
            <xdr:cNvPr id="15507" name="Drop Down 147" hidden="1">
              <a:extLst>
                <a:ext uri="{63B3BB69-23CF-44E3-9099-C40C66FF867C}">
                  <a14:compatExt spid="_x0000_s15507"/>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XP Theme Colors">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quity">
      <a:fillStyleLst>
        <a:solidFill>
          <a:schemeClr val="phClr"/>
        </a:solidFill>
        <a:blipFill>
          <a:blip xmlns:r="http://schemas.openxmlformats.org/officeDocument/2006/relationships">
            <a:duotone>
              <a:schemeClr val="phClr">
                <a:tint val="30000"/>
                <a:satMod val="300000"/>
              </a:schemeClr>
              <a:schemeClr val="phClr">
                <a:tint val="40000"/>
                <a:satMod val="200000"/>
              </a:schemeClr>
            </a:duotone>
          </a:blip>
          <a:tile tx="0" ty="0" sx="70000" sy="70000" flip="none" algn="ctr"/>
        </a:blipFill>
        <a:blipFill>
          <a:blip xmlns:r="http://schemas.openxmlformats.org/officeDocument/2006/relationships">
            <a:duotone>
              <a:schemeClr val="phClr">
                <a:shade val="22000"/>
                <a:satMod val="160000"/>
              </a:schemeClr>
              <a:schemeClr val="phClr">
                <a:shade val="45000"/>
                <a:satMod val="100000"/>
              </a:schemeClr>
            </a:duotone>
          </a:blip>
          <a:tile tx="0" ty="0" sx="65000" sy="65000" flip="none" algn="ctr"/>
        </a:blipFill>
      </a:fillStyleLst>
      <a:lnStyleLst>
        <a:ln w="9525" cap="flat" cmpd="sng" algn="ctr">
          <a:solidFill>
            <a:schemeClr val="phClr">
              <a:shade val="60000"/>
              <a:satMod val="110000"/>
            </a:schemeClr>
          </a:solidFill>
          <a:prstDash val="solid"/>
        </a:ln>
        <a:ln w="12700" cap="flat" cmpd="sng" algn="ctr">
          <a:solidFill>
            <a:schemeClr val="phClr"/>
          </a:solidFill>
          <a:prstDash val="solid"/>
        </a:ln>
        <a:ln w="38100" cap="flat" cmpd="sng" algn="ctr">
          <a:solidFill>
            <a:schemeClr val="phClr"/>
          </a:solidFill>
          <a:prstDash val="solid"/>
        </a:ln>
      </a:lnStyleLst>
      <a:effectStyleLst>
        <a:effectStyle>
          <a:effectLst>
            <a:outerShdw blurRad="38100" dist="25400" dir="5400000" algn="t" rotWithShape="0">
              <a:srgbClr val="000000">
                <a:alpha val="50000"/>
              </a:srgbClr>
            </a:outerShdw>
          </a:effectLst>
        </a:effectStyle>
        <a:effectStyle>
          <a:effectLst>
            <a:outerShdw blurRad="38100" dist="25400" dir="5400000" algn="t" rotWithShape="0">
              <a:srgbClr val="000000">
                <a:alpha val="50000"/>
              </a:srgbClr>
            </a:outerShdw>
          </a:effectLst>
        </a:effectStyle>
        <a:effectStyle>
          <a:effectLst>
            <a:outerShdw blurRad="50800" dist="50800" dir="5400000" algn="t" rotWithShape="0">
              <a:srgbClr val="000000">
                <a:alpha val="60000"/>
              </a:srgbClr>
            </a:outerShdw>
          </a:effectLst>
          <a:scene3d>
            <a:camera prst="isometricBottomUp" fov="0">
              <a:rot lat="0" lon="0" rev="0"/>
            </a:camera>
            <a:lightRig rig="soft" dir="b">
              <a:rot lat="0" lon="0" rev="9000000"/>
            </a:lightRig>
          </a:scene3d>
          <a:sp3d contourW="35000" prstMaterial="matte">
            <a:bevelT w="45000" h="38100" prst="convex"/>
            <a:contourClr>
              <a:schemeClr val="phClr">
                <a:tint val="10000"/>
                <a:satMod val="130000"/>
              </a:schemeClr>
            </a:contourClr>
          </a:sp3d>
        </a:effectStyle>
      </a:effectStyleLst>
      <a:bgFillStyleLst>
        <a:solidFill>
          <a:schemeClr val="phClr"/>
        </a:solidFill>
        <a:gradFill rotWithShape="1">
          <a:gsLst>
            <a:gs pos="0">
              <a:schemeClr val="phClr">
                <a:shade val="40000"/>
                <a:satMod val="165000"/>
              </a:schemeClr>
            </a:gs>
            <a:gs pos="50000">
              <a:schemeClr val="phClr">
                <a:shade val="80000"/>
                <a:satMod val="155000"/>
              </a:schemeClr>
            </a:gs>
            <a:gs pos="100000">
              <a:schemeClr val="phClr">
                <a:tint val="95000"/>
                <a:satMod val="200000"/>
              </a:schemeClr>
            </a:gs>
          </a:gsLst>
          <a:lin ang="16200000" scaled="1"/>
        </a:gradFill>
        <a:blipFill>
          <a:blip xmlns:r="http://schemas.openxmlformats.org/officeDocument/2006/relationships">
            <a:duotone>
              <a:schemeClr val="phClr">
                <a:tint val="95000"/>
                <a:satMod val="200000"/>
              </a:schemeClr>
              <a:schemeClr val="phClr">
                <a:shade val="80000"/>
                <a:satMod val="100000"/>
              </a:schemeClr>
            </a:duotone>
          </a:blip>
          <a:tile tx="0" ty="0" sx="55000" sy="55000" flip="none" algn="tl"/>
        </a:blip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trlProps/ctrlProp3.xml" Type="http://schemas.openxmlformats.org/officeDocument/2006/relationships/ctrlProp"/>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3.xml" Type="http://schemas.openxmlformats.org/officeDocument/2006/relationships/drawing"/>
<Relationship Id="rId3" Target="../drawings/vmlDrawing2.vml" Type="http://schemas.openxmlformats.org/officeDocument/2006/relationships/vmlDrawing"/>
<Relationship Id="rId4" Target="../ctrlProps/ctrlProp4.xml" Type="http://schemas.openxmlformats.org/officeDocument/2006/relationships/ctrlProp"/>
<Relationship Id="rId5" Target="../ctrlProps/ctrlProp5.xml" Type="http://schemas.openxmlformats.org/officeDocument/2006/relationships/ctrlProp"/>
<Relationship Id="rId6" Target="../ctrlProps/ctrlProp6.xml" Type="http://schemas.openxmlformats.org/officeDocument/2006/relationships/ctrlProp"/>
<Relationship Id="rId7" Target="../ctrlProps/ctrlProp7.xml" Type="http://schemas.openxmlformats.org/officeDocument/2006/relationships/ctrlProp"/>
<Relationship Id="rId8"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ctrlProps/ctrlProp8.xml" Type="http://schemas.openxmlformats.org/officeDocument/2006/relationships/ctrlProp"/>
<Relationship Id="rId5" Target="../ctrlProps/ctrlProp9.xml" Type="http://schemas.openxmlformats.org/officeDocument/2006/relationships/ctrlProp"/>
<Relationship Id="rId6" Target="../ctrlProps/ctrlProp10.xml" Type="http://schemas.openxmlformats.org/officeDocument/2006/relationships/ctrlProp"/>
<Relationship Id="rId7" Target="../ctrlProps/ctrlProp11.xml" Type="http://schemas.openxmlformats.org/officeDocument/2006/relationships/ctrlProp"/>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402"/>
  <sheetViews>
    <sheetView showGridLines="0" topLeftCell="A55" workbookViewId="0">
      <selection activeCell="B29" sqref="B29"/>
    </sheetView>
  </sheetViews>
  <sheetFormatPr defaultRowHeight="12.75"/>
  <cols>
    <col min="1" max="1" width="25.7109375" style="1935" customWidth="1"/>
    <col min="2" max="5" width="9.140625" style="1935"/>
    <col min="6" max="6" width="18.7109375" style="1935" customWidth="1"/>
    <col min="7" max="256" width="9.140625" style="1935"/>
    <col min="257" max="257" width="100.7109375" style="1935" customWidth="1"/>
    <col min="258" max="512" width="9.140625" style="1935"/>
    <col min="513" max="513" width="100.7109375" style="1935" customWidth="1"/>
    <col min="514" max="768" width="9.140625" style="1935"/>
    <col min="769" max="769" width="100.7109375" style="1935" customWidth="1"/>
    <col min="770" max="1024" width="9.140625" style="1935"/>
    <col min="1025" max="1025" width="100.7109375" style="1935" customWidth="1"/>
    <col min="1026" max="1280" width="9.140625" style="1935"/>
    <col min="1281" max="1281" width="100.7109375" style="1935" customWidth="1"/>
    <col min="1282" max="1536" width="9.140625" style="1935"/>
    <col min="1537" max="1537" width="100.7109375" style="1935" customWidth="1"/>
    <col min="1538" max="1792" width="9.140625" style="1935"/>
    <col min="1793" max="1793" width="100.7109375" style="1935" customWidth="1"/>
    <col min="1794" max="2048" width="9.140625" style="1935"/>
    <col min="2049" max="2049" width="100.7109375" style="1935" customWidth="1"/>
    <col min="2050" max="2304" width="9.140625" style="1935"/>
    <col min="2305" max="2305" width="100.7109375" style="1935" customWidth="1"/>
    <col min="2306" max="2560" width="9.140625" style="1935"/>
    <col min="2561" max="2561" width="100.7109375" style="1935" customWidth="1"/>
    <col min="2562" max="2816" width="9.140625" style="1935"/>
    <col min="2817" max="2817" width="100.7109375" style="1935" customWidth="1"/>
    <col min="2818" max="3072" width="9.140625" style="1935"/>
    <col min="3073" max="3073" width="100.7109375" style="1935" customWidth="1"/>
    <col min="3074" max="3328" width="9.140625" style="1935"/>
    <col min="3329" max="3329" width="100.7109375" style="1935" customWidth="1"/>
    <col min="3330" max="3584" width="9.140625" style="1935"/>
    <col min="3585" max="3585" width="100.7109375" style="1935" customWidth="1"/>
    <col min="3586" max="3840" width="9.140625" style="1935"/>
    <col min="3841" max="3841" width="100.7109375" style="1935" customWidth="1"/>
    <col min="3842" max="4096" width="9.140625" style="1935"/>
    <col min="4097" max="4097" width="100.7109375" style="1935" customWidth="1"/>
    <col min="4098" max="4352" width="9.140625" style="1935"/>
    <col min="4353" max="4353" width="100.7109375" style="1935" customWidth="1"/>
    <col min="4354" max="4608" width="9.140625" style="1935"/>
    <col min="4609" max="4609" width="100.7109375" style="1935" customWidth="1"/>
    <col min="4610" max="4864" width="9.140625" style="1935"/>
    <col min="4865" max="4865" width="100.7109375" style="1935" customWidth="1"/>
    <col min="4866" max="5120" width="9.140625" style="1935"/>
    <col min="5121" max="5121" width="100.7109375" style="1935" customWidth="1"/>
    <col min="5122" max="5376" width="9.140625" style="1935"/>
    <col min="5377" max="5377" width="100.7109375" style="1935" customWidth="1"/>
    <col min="5378" max="5632" width="9.140625" style="1935"/>
    <col min="5633" max="5633" width="100.7109375" style="1935" customWidth="1"/>
    <col min="5634" max="5888" width="9.140625" style="1935"/>
    <col min="5889" max="5889" width="100.7109375" style="1935" customWidth="1"/>
    <col min="5890" max="6144" width="9.140625" style="1935"/>
    <col min="6145" max="6145" width="100.7109375" style="1935" customWidth="1"/>
    <col min="6146" max="6400" width="9.140625" style="1935"/>
    <col min="6401" max="6401" width="100.7109375" style="1935" customWidth="1"/>
    <col min="6402" max="6656" width="9.140625" style="1935"/>
    <col min="6657" max="6657" width="100.7109375" style="1935" customWidth="1"/>
    <col min="6658" max="6912" width="9.140625" style="1935"/>
    <col min="6913" max="6913" width="100.7109375" style="1935" customWidth="1"/>
    <col min="6914" max="7168" width="9.140625" style="1935"/>
    <col min="7169" max="7169" width="100.7109375" style="1935" customWidth="1"/>
    <col min="7170" max="7424" width="9.140625" style="1935"/>
    <col min="7425" max="7425" width="100.7109375" style="1935" customWidth="1"/>
    <col min="7426" max="7680" width="9.140625" style="1935"/>
    <col min="7681" max="7681" width="100.7109375" style="1935" customWidth="1"/>
    <col min="7682" max="7936" width="9.140625" style="1935"/>
    <col min="7937" max="7937" width="100.7109375" style="1935" customWidth="1"/>
    <col min="7938" max="8192" width="9.140625" style="1935"/>
    <col min="8193" max="8193" width="100.7109375" style="1935" customWidth="1"/>
    <col min="8194" max="8448" width="9.140625" style="1935"/>
    <col min="8449" max="8449" width="100.7109375" style="1935" customWidth="1"/>
    <col min="8450" max="8704" width="9.140625" style="1935"/>
    <col min="8705" max="8705" width="100.7109375" style="1935" customWidth="1"/>
    <col min="8706" max="8960" width="9.140625" style="1935"/>
    <col min="8961" max="8961" width="100.7109375" style="1935" customWidth="1"/>
    <col min="8962" max="9216" width="9.140625" style="1935"/>
    <col min="9217" max="9217" width="100.7109375" style="1935" customWidth="1"/>
    <col min="9218" max="9472" width="9.140625" style="1935"/>
    <col min="9473" max="9473" width="100.7109375" style="1935" customWidth="1"/>
    <col min="9474" max="9728" width="9.140625" style="1935"/>
    <col min="9729" max="9729" width="100.7109375" style="1935" customWidth="1"/>
    <col min="9730" max="9984" width="9.140625" style="1935"/>
    <col min="9985" max="9985" width="100.7109375" style="1935" customWidth="1"/>
    <col min="9986" max="10240" width="9.140625" style="1935"/>
    <col min="10241" max="10241" width="100.7109375" style="1935" customWidth="1"/>
    <col min="10242" max="10496" width="9.140625" style="1935"/>
    <col min="10497" max="10497" width="100.7109375" style="1935" customWidth="1"/>
    <col min="10498" max="10752" width="9.140625" style="1935"/>
    <col min="10753" max="10753" width="100.7109375" style="1935" customWidth="1"/>
    <col min="10754" max="11008" width="9.140625" style="1935"/>
    <col min="11009" max="11009" width="100.7109375" style="1935" customWidth="1"/>
    <col min="11010" max="11264" width="9.140625" style="1935"/>
    <col min="11265" max="11265" width="100.7109375" style="1935" customWidth="1"/>
    <col min="11266" max="11520" width="9.140625" style="1935"/>
    <col min="11521" max="11521" width="100.7109375" style="1935" customWidth="1"/>
    <col min="11522" max="11776" width="9.140625" style="1935"/>
    <col min="11777" max="11777" width="100.7109375" style="1935" customWidth="1"/>
    <col min="11778" max="12032" width="9.140625" style="1935"/>
    <col min="12033" max="12033" width="100.7109375" style="1935" customWidth="1"/>
    <col min="12034" max="12288" width="9.140625" style="1935"/>
    <col min="12289" max="12289" width="100.7109375" style="1935" customWidth="1"/>
    <col min="12290" max="12544" width="9.140625" style="1935"/>
    <col min="12545" max="12545" width="100.7109375" style="1935" customWidth="1"/>
    <col min="12546" max="12800" width="9.140625" style="1935"/>
    <col min="12801" max="12801" width="100.7109375" style="1935" customWidth="1"/>
    <col min="12802" max="13056" width="9.140625" style="1935"/>
    <col min="13057" max="13057" width="100.7109375" style="1935" customWidth="1"/>
    <col min="13058" max="13312" width="9.140625" style="1935"/>
    <col min="13313" max="13313" width="100.7109375" style="1935" customWidth="1"/>
    <col min="13314" max="13568" width="9.140625" style="1935"/>
    <col min="13569" max="13569" width="100.7109375" style="1935" customWidth="1"/>
    <col min="13570" max="13824" width="9.140625" style="1935"/>
    <col min="13825" max="13825" width="100.7109375" style="1935" customWidth="1"/>
    <col min="13826" max="14080" width="9.140625" style="1935"/>
    <col min="14081" max="14081" width="100.7109375" style="1935" customWidth="1"/>
    <col min="14082" max="14336" width="9.140625" style="1935"/>
    <col min="14337" max="14337" width="100.7109375" style="1935" customWidth="1"/>
    <col min="14338" max="14592" width="9.140625" style="1935"/>
    <col min="14593" max="14593" width="100.7109375" style="1935" customWidth="1"/>
    <col min="14594" max="14848" width="9.140625" style="1935"/>
    <col min="14849" max="14849" width="100.7109375" style="1935" customWidth="1"/>
    <col min="14850" max="15104" width="9.140625" style="1935"/>
    <col min="15105" max="15105" width="100.7109375" style="1935" customWidth="1"/>
    <col min="15106" max="15360" width="9.140625" style="1935"/>
    <col min="15361" max="15361" width="100.7109375" style="1935" customWidth="1"/>
    <col min="15362" max="15616" width="9.140625" style="1935"/>
    <col min="15617" max="15617" width="100.7109375" style="1935" customWidth="1"/>
    <col min="15618" max="15872" width="9.140625" style="1935"/>
    <col min="15873" max="15873" width="100.7109375" style="1935" customWidth="1"/>
    <col min="15874" max="16128" width="9.140625" style="1935"/>
    <col min="16129" max="16129" width="100.7109375" style="1935" customWidth="1"/>
    <col min="16130" max="16384" width="9.140625" style="1935"/>
  </cols>
  <sheetData>
    <row r="1" spans="1:8" ht="30" customHeight="1">
      <c r="A1" s="1933"/>
      <c r="B1" s="1934"/>
      <c r="C1" s="1934"/>
      <c r="D1" s="1934"/>
      <c r="E1" s="1934"/>
      <c r="F1" s="1934"/>
      <c r="G1" s="1934"/>
      <c r="H1" s="1934"/>
    </row>
    <row r="2" spans="1:8" ht="14.25">
      <c r="A2" s="1936" t="s">
        <v>712</v>
      </c>
      <c r="B2" s="1934"/>
      <c r="C2" s="1934"/>
      <c r="D2" s="1934"/>
      <c r="E2" s="1934"/>
      <c r="F2" s="1934"/>
      <c r="G2" s="1934"/>
      <c r="H2" s="1934"/>
    </row>
    <row r="3" spans="1:8" ht="14.25">
      <c r="A3" s="1936" t="s">
        <v>713</v>
      </c>
      <c r="B3" s="1934"/>
      <c r="C3" s="1934"/>
      <c r="D3" s="1934"/>
      <c r="E3" s="1934"/>
      <c r="F3" s="1934"/>
      <c r="G3" s="1934"/>
      <c r="H3" s="1934"/>
    </row>
    <row r="4" spans="1:8" ht="14.25">
      <c r="A4" s="1936" t="s">
        <v>714</v>
      </c>
      <c r="B4" s="1934"/>
      <c r="C4" s="1934"/>
      <c r="D4" s="1934"/>
      <c r="E4" s="1934"/>
      <c r="F4" s="1934"/>
      <c r="G4" s="1934"/>
      <c r="H4" s="1934"/>
    </row>
    <row r="5" spans="1:8" ht="14.25">
      <c r="A5" s="1936" t="s">
        <v>715</v>
      </c>
      <c r="B5" s="1934"/>
      <c r="C5" s="1934"/>
      <c r="D5" s="1934"/>
      <c r="E5" s="1934"/>
      <c r="F5" s="1934"/>
      <c r="G5" s="1934"/>
      <c r="H5" s="1934"/>
    </row>
    <row r="6" spans="1:8" ht="14.25">
      <c r="A6" s="1936"/>
      <c r="B6" s="1934"/>
      <c r="C6" s="1934"/>
      <c r="D6" s="1934"/>
      <c r="E6" s="1934"/>
      <c r="F6" s="1934"/>
      <c r="G6" s="1934"/>
      <c r="H6" s="1934"/>
    </row>
    <row r="7" spans="1:8">
      <c r="A7" s="1933" t="s">
        <v>716</v>
      </c>
      <c r="B7" s="1934"/>
      <c r="C7" s="1934"/>
      <c r="D7" s="1934"/>
      <c r="E7" s="1934"/>
      <c r="F7" s="1934"/>
      <c r="G7" s="1934"/>
      <c r="H7" s="1934"/>
    </row>
    <row r="8" spans="1:8">
      <c r="A8" s="1933" t="s">
        <v>717</v>
      </c>
      <c r="B8" s="1934"/>
      <c r="C8" s="1934"/>
      <c r="D8" s="1934"/>
      <c r="E8" s="1934"/>
      <c r="F8" s="1934"/>
      <c r="G8" s="1934"/>
      <c r="H8" s="1934"/>
    </row>
    <row r="9" spans="1:8">
      <c r="A9" s="1933"/>
      <c r="B9" s="1934"/>
      <c r="C9" s="1934"/>
      <c r="D9" s="1934"/>
      <c r="E9" s="1934"/>
      <c r="F9" s="1934"/>
      <c r="G9" s="1934"/>
      <c r="H9" s="1934"/>
    </row>
    <row r="10" spans="1:8">
      <c r="A10" s="1937" t="s">
        <v>718</v>
      </c>
      <c r="B10" s="1934"/>
      <c r="C10" s="1934"/>
      <c r="D10" s="1934"/>
      <c r="E10" s="1934"/>
      <c r="F10" s="1934"/>
      <c r="G10" s="1934"/>
      <c r="H10" s="1934"/>
    </row>
    <row r="11" spans="1:8">
      <c r="A11" s="1937" t="s">
        <v>1092</v>
      </c>
      <c r="B11" s="1934"/>
      <c r="C11" s="1934"/>
      <c r="D11" s="1934"/>
      <c r="E11" s="1934"/>
      <c r="F11" s="1934"/>
      <c r="G11" s="1934"/>
      <c r="H11" s="1934"/>
    </row>
    <row r="12" spans="1:8">
      <c r="A12" s="1937" t="s">
        <v>719</v>
      </c>
      <c r="B12" s="1934"/>
      <c r="C12" s="1934"/>
      <c r="D12" s="1934"/>
      <c r="E12" s="1934"/>
      <c r="F12" s="1934"/>
      <c r="G12" s="1934"/>
      <c r="H12" s="1934"/>
    </row>
    <row r="13" spans="1:8">
      <c r="A13" s="1937" t="s">
        <v>720</v>
      </c>
      <c r="B13" s="1934"/>
      <c r="C13" s="1934"/>
      <c r="D13" s="1934"/>
      <c r="E13" s="1934"/>
      <c r="F13" s="1934"/>
      <c r="G13" s="1934"/>
      <c r="H13" s="1934"/>
    </row>
    <row r="14" spans="1:8">
      <c r="A14" s="1937" t="s">
        <v>721</v>
      </c>
      <c r="B14" s="1934"/>
      <c r="C14" s="1934"/>
      <c r="D14" s="1934"/>
      <c r="E14" s="1934"/>
      <c r="F14" s="1934"/>
      <c r="G14" s="1934"/>
      <c r="H14" s="1934"/>
    </row>
    <row r="15" spans="1:8">
      <c r="A15" s="1937" t="s">
        <v>722</v>
      </c>
      <c r="B15" s="1934"/>
      <c r="C15" s="1934"/>
      <c r="D15" s="1934"/>
      <c r="E15" s="1934"/>
      <c r="F15" s="1934"/>
      <c r="G15" s="1934"/>
      <c r="H15" s="1934"/>
    </row>
    <row r="16" spans="1:8">
      <c r="A16" s="1937"/>
      <c r="B16" s="1934"/>
      <c r="C16" s="1934"/>
      <c r="D16" s="1934"/>
      <c r="E16" s="1934"/>
      <c r="F16" s="1934"/>
      <c r="G16" s="1934"/>
      <c r="H16" s="1934"/>
    </row>
    <row r="17" spans="1:8">
      <c r="A17" s="1937" t="s">
        <v>709</v>
      </c>
      <c r="B17" s="1934"/>
      <c r="C17" s="1934"/>
      <c r="D17" s="1934"/>
      <c r="E17" s="1934"/>
      <c r="F17" s="1934"/>
      <c r="G17" s="1934"/>
      <c r="H17" s="1934"/>
    </row>
    <row r="18" spans="1:8">
      <c r="A18" s="1937"/>
      <c r="B18" s="1934"/>
      <c r="C18" s="1934"/>
      <c r="D18" s="1934"/>
      <c r="E18" s="1934"/>
      <c r="F18" s="1934"/>
      <c r="G18" s="1934"/>
      <c r="H18" s="1934"/>
    </row>
    <row r="19" spans="1:8">
      <c r="A19" s="1937" t="s">
        <v>710</v>
      </c>
      <c r="B19" s="1934"/>
      <c r="C19" s="1934"/>
      <c r="D19" s="1934"/>
      <c r="E19" s="1934"/>
      <c r="F19" s="1934"/>
      <c r="G19" s="1934"/>
      <c r="H19" s="1934"/>
    </row>
    <row r="20" spans="1:8">
      <c r="A20" s="1933"/>
      <c r="B20" s="1934"/>
      <c r="C20" s="1934"/>
      <c r="D20" s="1934"/>
      <c r="E20" s="1934"/>
      <c r="F20" s="1934"/>
      <c r="G20" s="1934"/>
      <c r="H20" s="1934"/>
    </row>
    <row r="21" spans="1:8">
      <c r="A21" s="1938" t="s">
        <v>711</v>
      </c>
      <c r="B21" s="1934"/>
      <c r="C21" s="1934"/>
      <c r="D21" s="1934"/>
      <c r="E21" s="1934"/>
      <c r="F21" s="1934"/>
      <c r="G21" s="1934"/>
      <c r="H21" s="1934"/>
    </row>
    <row r="22" spans="1:8">
      <c r="A22" s="1939"/>
      <c r="B22" s="1939"/>
      <c r="C22" s="1939"/>
      <c r="D22" s="1939"/>
      <c r="E22" s="1939"/>
      <c r="F22" s="1939"/>
      <c r="G22" s="1939"/>
      <c r="H22" s="1939"/>
    </row>
    <row r="23" spans="1:8">
      <c r="A23" s="1940" t="s">
        <v>1012</v>
      </c>
      <c r="B23" s="1939"/>
      <c r="C23" s="1939"/>
      <c r="D23" s="1939"/>
      <c r="E23" s="1939"/>
      <c r="F23" s="1939"/>
      <c r="G23" s="1939"/>
      <c r="H23" s="1939"/>
    </row>
    <row r="24" spans="1:8">
      <c r="A24" s="1940" t="s">
        <v>1013</v>
      </c>
      <c r="B24" s="1939"/>
      <c r="C24" s="1939"/>
      <c r="D24" s="1939"/>
      <c r="E24" s="1939"/>
      <c r="F24" s="1939"/>
      <c r="G24" s="1939"/>
      <c r="H24" s="1939"/>
    </row>
    <row r="25" spans="1:8">
      <c r="A25" s="1940" t="s">
        <v>1014</v>
      </c>
      <c r="B25" s="1939"/>
      <c r="C25" s="1939"/>
      <c r="D25" s="1939"/>
      <c r="E25" s="1939"/>
      <c r="F25" s="1939"/>
      <c r="G25" s="1939"/>
      <c r="H25" s="1939"/>
    </row>
    <row r="26" spans="1:8">
      <c r="A26" s="1940" t="s">
        <v>1015</v>
      </c>
      <c r="B26" s="1939"/>
      <c r="C26" s="1939"/>
      <c r="D26" s="1939"/>
      <c r="E26" s="1939"/>
      <c r="F26" s="1939"/>
      <c r="G26" s="1939"/>
      <c r="H26" s="1939"/>
    </row>
    <row r="27" spans="1:8">
      <c r="A27" s="1939"/>
      <c r="B27" s="1939"/>
      <c r="C27" s="1939"/>
      <c r="D27" s="1939"/>
      <c r="E27" s="1939"/>
      <c r="F27" s="1939"/>
      <c r="G27" s="1939"/>
      <c r="H27" s="1939"/>
    </row>
    <row r="28" spans="1:8">
      <c r="A28" s="1939"/>
      <c r="B28" s="1939"/>
      <c r="C28" s="1939"/>
      <c r="D28" s="1939"/>
      <c r="E28" s="1939"/>
      <c r="F28" s="1939"/>
      <c r="G28" s="1939"/>
      <c r="H28" s="1939"/>
    </row>
    <row r="29" spans="1:8">
      <c r="A29" s="1940" t="s">
        <v>995</v>
      </c>
      <c r="B29" s="1939"/>
      <c r="C29" s="1939"/>
      <c r="D29" s="1939"/>
      <c r="E29" s="1939"/>
      <c r="F29" s="1939"/>
      <c r="G29" s="1939"/>
      <c r="H29" s="1939"/>
    </row>
    <row r="30" spans="1:8">
      <c r="A30" s="1940" t="s">
        <v>996</v>
      </c>
      <c r="B30" s="1939"/>
      <c r="C30" s="1939"/>
      <c r="D30" s="1939"/>
      <c r="E30" s="1939"/>
      <c r="F30" s="1939"/>
      <c r="G30" s="1939"/>
      <c r="H30" s="1939"/>
    </row>
    <row r="31" spans="1:8">
      <c r="A31" s="1940" t="s">
        <v>997</v>
      </c>
      <c r="B31" s="1939"/>
      <c r="C31" s="1939"/>
      <c r="D31" s="1939"/>
      <c r="E31" s="1939"/>
      <c r="F31" s="1939"/>
      <c r="G31" s="1939"/>
      <c r="H31" s="1939"/>
    </row>
    <row r="32" spans="1:8">
      <c r="A32" s="1940" t="s">
        <v>998</v>
      </c>
      <c r="B32" s="1939"/>
      <c r="C32" s="1939"/>
      <c r="D32" s="1939"/>
      <c r="E32" s="1939"/>
      <c r="F32" s="1939"/>
      <c r="G32" s="1939"/>
      <c r="H32" s="1939"/>
    </row>
    <row r="33" spans="1:8">
      <c r="A33" s="1940" t="s">
        <v>999</v>
      </c>
      <c r="B33" s="1939"/>
      <c r="C33" s="1939"/>
      <c r="D33" s="1939"/>
      <c r="E33" s="1939"/>
      <c r="F33" s="1939"/>
      <c r="G33" s="1939"/>
      <c r="H33" s="1939"/>
    </row>
    <row r="34" spans="1:8">
      <c r="A34" s="1940" t="s">
        <v>1000</v>
      </c>
      <c r="B34" s="1939"/>
      <c r="C34" s="1939"/>
      <c r="D34" s="1939"/>
      <c r="E34" s="1939"/>
      <c r="F34" s="1939"/>
      <c r="G34" s="1939"/>
      <c r="H34" s="1939"/>
    </row>
    <row r="35" spans="1:8">
      <c r="A35" s="1940" t="s">
        <v>1001</v>
      </c>
      <c r="B35" s="1939"/>
      <c r="C35" s="1939"/>
      <c r="D35" s="1939"/>
      <c r="E35" s="1939"/>
      <c r="F35" s="1939"/>
      <c r="G35" s="1939"/>
      <c r="H35" s="1939"/>
    </row>
    <row r="36" spans="1:8">
      <c r="A36" s="1940" t="s">
        <v>1002</v>
      </c>
      <c r="B36" s="1939"/>
      <c r="C36" s="1939"/>
      <c r="D36" s="1939"/>
      <c r="E36" s="1939"/>
      <c r="F36" s="1939"/>
      <c r="G36" s="1939"/>
      <c r="H36" s="1939"/>
    </row>
    <row r="37" spans="1:8">
      <c r="A37" s="1940" t="s">
        <v>1003</v>
      </c>
      <c r="B37" s="1939"/>
      <c r="C37" s="1939"/>
      <c r="D37" s="1939"/>
      <c r="E37" s="1939"/>
      <c r="F37" s="1939"/>
      <c r="G37" s="1939"/>
      <c r="H37" s="1939"/>
    </row>
    <row r="38" spans="1:8">
      <c r="A38" s="1940" t="s">
        <v>1004</v>
      </c>
      <c r="B38" s="1939"/>
      <c r="C38" s="1939"/>
      <c r="D38" s="1939"/>
      <c r="E38" s="1939"/>
      <c r="F38" s="1939"/>
      <c r="G38" s="1939"/>
      <c r="H38" s="1939"/>
    </row>
    <row r="39" spans="1:8">
      <c r="A39" s="1940" t="s">
        <v>1005</v>
      </c>
      <c r="B39" s="1939"/>
      <c r="C39" s="1939"/>
      <c r="D39" s="1939"/>
      <c r="E39" s="1939"/>
      <c r="F39" s="1939"/>
      <c r="G39" s="1939"/>
      <c r="H39" s="1939"/>
    </row>
    <row r="40" spans="1:8">
      <c r="A40" s="1940" t="s">
        <v>1006</v>
      </c>
      <c r="B40" s="1939"/>
      <c r="C40" s="1939"/>
      <c r="D40" s="1939"/>
      <c r="E40" s="1939"/>
      <c r="F40" s="1939"/>
      <c r="G40" s="1939"/>
      <c r="H40" s="1939"/>
    </row>
    <row r="41" spans="1:8">
      <c r="A41" s="1940" t="s">
        <v>1007</v>
      </c>
      <c r="B41" s="1939"/>
      <c r="C41" s="1939"/>
      <c r="D41" s="1939"/>
      <c r="E41" s="1939"/>
      <c r="F41" s="1939"/>
      <c r="G41" s="1939"/>
      <c r="H41" s="1939"/>
    </row>
    <row r="42" spans="1:8">
      <c r="A42" s="1940" t="s">
        <v>1008</v>
      </c>
      <c r="B42" s="1939"/>
      <c r="C42" s="1939"/>
      <c r="D42" s="1939"/>
      <c r="E42" s="1939"/>
      <c r="F42" s="1939"/>
      <c r="G42" s="1939"/>
      <c r="H42" s="1939"/>
    </row>
    <row r="43" spans="1:8">
      <c r="A43" s="1940" t="s">
        <v>1009</v>
      </c>
      <c r="B43" s="1939"/>
      <c r="C43" s="1939"/>
      <c r="D43" s="1939"/>
      <c r="E43" s="1939"/>
      <c r="F43" s="1939"/>
      <c r="G43" s="1939"/>
      <c r="H43" s="1939"/>
    </row>
    <row r="44" spans="1:8">
      <c r="A44" s="1940" t="s">
        <v>1010</v>
      </c>
      <c r="B44" s="1939"/>
      <c r="C44" s="1939"/>
      <c r="D44" s="1939"/>
      <c r="E44" s="1939"/>
      <c r="F44" s="1939"/>
      <c r="G44" s="1939"/>
      <c r="H44" s="1939"/>
    </row>
    <row r="45" spans="1:8">
      <c r="A45" s="1940" t="s">
        <v>1011</v>
      </c>
      <c r="B45" s="1939"/>
      <c r="C45" s="1939"/>
      <c r="D45" s="1939"/>
      <c r="E45" s="1939"/>
      <c r="F45" s="1939"/>
      <c r="G45" s="1939"/>
      <c r="H45" s="1939"/>
    </row>
    <row r="46" spans="1:8">
      <c r="A46" s="1939"/>
      <c r="B46" s="1939"/>
      <c r="C46" s="1939"/>
      <c r="D46" s="1939"/>
      <c r="E46" s="1939"/>
      <c r="F46" s="1939"/>
      <c r="G46" s="1939"/>
      <c r="H46" s="1939"/>
    </row>
    <row r="47" spans="1:8">
      <c r="A47" s="1940" t="s">
        <v>991</v>
      </c>
      <c r="B47" s="1939"/>
      <c r="C47" s="1939"/>
      <c r="D47" s="1939"/>
      <c r="E47" s="1939"/>
      <c r="F47" s="1939"/>
      <c r="G47" s="1939"/>
      <c r="H47" s="1939"/>
    </row>
    <row r="48" spans="1:8">
      <c r="A48" s="1940" t="s">
        <v>992</v>
      </c>
      <c r="B48" s="1939"/>
      <c r="C48" s="1939"/>
      <c r="D48" s="1939"/>
      <c r="E48" s="1939"/>
      <c r="F48" s="1939"/>
      <c r="G48" s="1939"/>
      <c r="H48" s="1939"/>
    </row>
    <row r="49" spans="1:8">
      <c r="A49" s="1940" t="s">
        <v>993</v>
      </c>
      <c r="B49" s="1939"/>
      <c r="C49" s="1939"/>
      <c r="D49" s="1939"/>
      <c r="E49" s="1939"/>
      <c r="F49" s="1939"/>
      <c r="G49" s="1939"/>
      <c r="H49" s="1939"/>
    </row>
    <row r="50" spans="1:8">
      <c r="A50" s="1940" t="s">
        <v>994</v>
      </c>
      <c r="B50" s="1939"/>
      <c r="C50" s="1939"/>
      <c r="D50" s="1939"/>
      <c r="E50" s="1939"/>
      <c r="F50" s="1939"/>
      <c r="G50" s="1939"/>
      <c r="H50" s="1939"/>
    </row>
    <row r="51" spans="1:8">
      <c r="A51" s="1939"/>
      <c r="B51" s="1939"/>
      <c r="C51" s="1939"/>
      <c r="D51" s="1939"/>
      <c r="E51" s="1939"/>
      <c r="F51" s="1939"/>
      <c r="G51" s="1939"/>
      <c r="H51" s="1939"/>
    </row>
    <row r="52" spans="1:8">
      <c r="A52" s="1940" t="s">
        <v>985</v>
      </c>
      <c r="B52" s="1939"/>
      <c r="C52" s="1939"/>
      <c r="D52" s="1939"/>
      <c r="E52" s="1939"/>
      <c r="F52" s="1939"/>
      <c r="G52" s="1939"/>
      <c r="H52" s="1939"/>
    </row>
    <row r="53" spans="1:8">
      <c r="A53" s="1940" t="s">
        <v>986</v>
      </c>
      <c r="B53" s="1939"/>
      <c r="C53" s="1939"/>
      <c r="D53" s="1939"/>
      <c r="E53" s="1939"/>
      <c r="F53" s="1939"/>
      <c r="G53" s="1939"/>
      <c r="H53" s="1939"/>
    </row>
    <row r="54" spans="1:8">
      <c r="A54" s="1940" t="s">
        <v>987</v>
      </c>
      <c r="B54" s="1939"/>
      <c r="C54" s="1939"/>
      <c r="D54" s="1939"/>
      <c r="E54" s="1939"/>
      <c r="F54" s="1939"/>
      <c r="G54" s="1939"/>
      <c r="H54" s="1939"/>
    </row>
    <row r="55" spans="1:8">
      <c r="A55" s="1940" t="s">
        <v>988</v>
      </c>
      <c r="B55" s="1939"/>
      <c r="C55" s="1939"/>
      <c r="D55" s="1939"/>
      <c r="E55" s="1939"/>
      <c r="F55" s="1939"/>
      <c r="G55" s="1939"/>
      <c r="H55" s="1939"/>
    </row>
    <row r="56" spans="1:8">
      <c r="A56" s="1940" t="s">
        <v>989</v>
      </c>
      <c r="B56" s="1939"/>
      <c r="C56" s="1939"/>
      <c r="D56" s="1939"/>
      <c r="E56" s="1939"/>
      <c r="F56" s="1939"/>
      <c r="G56" s="1939"/>
      <c r="H56" s="1939"/>
    </row>
    <row r="57" spans="1:8">
      <c r="A57" s="1940" t="s">
        <v>990</v>
      </c>
      <c r="B57" s="1939"/>
      <c r="C57" s="1939"/>
      <c r="D57" s="1939"/>
      <c r="E57" s="1939"/>
      <c r="F57" s="1939"/>
      <c r="G57" s="1939"/>
      <c r="H57" s="1939"/>
    </row>
    <row r="58" spans="1:8">
      <c r="A58" s="1939"/>
      <c r="B58" s="1939"/>
      <c r="C58" s="1939"/>
      <c r="D58" s="1939"/>
      <c r="E58" s="1939"/>
      <c r="F58" s="1939"/>
      <c r="G58" s="1939"/>
      <c r="H58" s="1939"/>
    </row>
    <row r="59" spans="1:8" ht="15.75">
      <c r="A59" s="1941" t="s">
        <v>723</v>
      </c>
      <c r="B59" s="1939"/>
      <c r="C59" s="1939"/>
      <c r="D59" s="1939"/>
      <c r="E59" s="1939"/>
      <c r="F59" s="1939"/>
      <c r="G59" s="1939"/>
      <c r="H59" s="1939"/>
    </row>
    <row r="60" spans="1:8">
      <c r="A60" s="1939"/>
      <c r="B60" s="1939"/>
      <c r="C60" s="1939"/>
      <c r="D60" s="1939"/>
      <c r="E60" s="1939"/>
      <c r="F60" s="1939"/>
      <c r="G60" s="1939"/>
      <c r="H60" s="1939"/>
    </row>
    <row r="61" spans="1:8">
      <c r="A61" s="1940" t="s">
        <v>981</v>
      </c>
      <c r="B61" s="1939"/>
      <c r="C61" s="1939"/>
      <c r="D61" s="1939"/>
      <c r="E61" s="1939"/>
      <c r="F61" s="1939"/>
      <c r="G61" s="1939"/>
      <c r="H61" s="1939"/>
    </row>
    <row r="62" spans="1:8">
      <c r="A62" s="1940" t="s">
        <v>982</v>
      </c>
      <c r="B62" s="1939"/>
      <c r="C62" s="1939"/>
      <c r="D62" s="1939"/>
      <c r="E62" s="1939"/>
      <c r="F62" s="1939"/>
      <c r="G62" s="1939"/>
      <c r="H62" s="1939"/>
    </row>
    <row r="63" spans="1:8">
      <c r="A63" s="1940" t="s">
        <v>983</v>
      </c>
      <c r="B63" s="1939"/>
      <c r="C63" s="1939"/>
      <c r="D63" s="1939"/>
      <c r="E63" s="1939"/>
      <c r="F63" s="1939"/>
      <c r="G63" s="1939"/>
      <c r="H63" s="1939"/>
    </row>
    <row r="64" spans="1:8">
      <c r="A64" s="1940" t="s">
        <v>984</v>
      </c>
      <c r="B64" s="1939"/>
      <c r="C64" s="1939"/>
      <c r="D64" s="1939"/>
      <c r="E64" s="1939"/>
      <c r="F64" s="1939"/>
      <c r="G64" s="1939"/>
      <c r="H64" s="1939"/>
    </row>
    <row r="65" spans="1:8">
      <c r="A65" s="1939"/>
      <c r="B65" s="1939"/>
      <c r="C65" s="1939"/>
      <c r="D65" s="1939"/>
      <c r="E65" s="1939"/>
      <c r="F65" s="1939"/>
      <c r="G65" s="1939"/>
      <c r="H65" s="1939"/>
    </row>
    <row r="66" spans="1:8">
      <c r="A66" s="1940" t="s">
        <v>724</v>
      </c>
      <c r="B66" s="1939"/>
      <c r="C66" s="1939"/>
      <c r="D66" s="1939"/>
      <c r="E66" s="1939"/>
      <c r="F66" s="1939"/>
      <c r="G66" s="1939"/>
      <c r="H66" s="1939"/>
    </row>
    <row r="67" spans="1:8">
      <c r="A67" s="1939"/>
      <c r="B67" s="1939"/>
      <c r="C67" s="1939"/>
      <c r="D67" s="1939"/>
      <c r="E67" s="1939"/>
      <c r="F67" s="1939"/>
      <c r="G67" s="1939"/>
      <c r="H67" s="1939"/>
    </row>
    <row r="68" spans="1:8" ht="15.75">
      <c r="A68" s="1941" t="s">
        <v>725</v>
      </c>
      <c r="B68" s="1939"/>
      <c r="C68" s="1939"/>
      <c r="D68" s="1939"/>
      <c r="E68" s="1939"/>
      <c r="F68" s="1939"/>
      <c r="G68" s="1939"/>
      <c r="H68" s="1939"/>
    </row>
    <row r="69" spans="1:8">
      <c r="A69" s="1939"/>
      <c r="B69" s="1939"/>
      <c r="C69" s="1939"/>
      <c r="D69" s="1939"/>
      <c r="E69" s="1939"/>
      <c r="F69" s="1939"/>
      <c r="G69" s="1939"/>
      <c r="H69" s="1939"/>
    </row>
    <row r="70" spans="1:8">
      <c r="A70" s="1940" t="s">
        <v>979</v>
      </c>
      <c r="B70" s="1939"/>
      <c r="C70" s="1939"/>
      <c r="D70" s="1939"/>
      <c r="E70" s="1939"/>
      <c r="F70" s="1939"/>
      <c r="G70" s="1939"/>
      <c r="H70" s="1939"/>
    </row>
    <row r="71" spans="1:8">
      <c r="A71" s="1940" t="s">
        <v>980</v>
      </c>
      <c r="B71" s="1939"/>
      <c r="C71" s="1939"/>
      <c r="D71" s="1939"/>
      <c r="E71" s="1939"/>
      <c r="F71" s="1939"/>
      <c r="G71" s="1939"/>
      <c r="H71" s="1939"/>
    </row>
    <row r="72" spans="1:8">
      <c r="A72" s="1939"/>
      <c r="B72" s="1939"/>
      <c r="C72" s="1939"/>
      <c r="D72" s="1939"/>
      <c r="E72" s="1939"/>
      <c r="F72" s="1939"/>
      <c r="G72" s="1939"/>
      <c r="H72" s="1939"/>
    </row>
    <row r="73" spans="1:8" ht="15.75">
      <c r="A73" s="1941" t="s">
        <v>726</v>
      </c>
      <c r="B73" s="1939"/>
      <c r="C73" s="1939"/>
      <c r="D73" s="1939"/>
      <c r="E73" s="1939"/>
      <c r="F73" s="1939"/>
      <c r="G73" s="1939"/>
      <c r="H73" s="1939"/>
    </row>
    <row r="74" spans="1:8">
      <c r="A74" s="1939"/>
      <c r="B74" s="1939"/>
      <c r="C74" s="1939"/>
      <c r="D74" s="1939"/>
      <c r="E74" s="1939"/>
      <c r="F74" s="1939"/>
      <c r="G74" s="1939"/>
      <c r="H74" s="1939"/>
    </row>
    <row r="75" spans="1:8">
      <c r="A75" s="1940" t="s">
        <v>977</v>
      </c>
      <c r="B75" s="1939"/>
      <c r="C75" s="1939"/>
      <c r="D75" s="1939"/>
      <c r="E75" s="1939"/>
      <c r="F75" s="1939"/>
      <c r="G75" s="1939"/>
      <c r="H75" s="1939"/>
    </row>
    <row r="76" spans="1:8">
      <c r="A76" s="1940" t="s">
        <v>978</v>
      </c>
      <c r="B76" s="1939"/>
      <c r="C76" s="1939"/>
      <c r="D76" s="1939"/>
      <c r="E76" s="1939"/>
      <c r="F76" s="1939"/>
      <c r="G76" s="1939"/>
      <c r="H76" s="1939"/>
    </row>
    <row r="77" spans="1:8">
      <c r="A77" s="1939"/>
      <c r="B77" s="1939"/>
      <c r="C77" s="1939"/>
      <c r="D77" s="1939"/>
      <c r="E77" s="1939"/>
      <c r="F77" s="1939"/>
      <c r="G77" s="1939"/>
      <c r="H77" s="1939"/>
    </row>
    <row r="78" spans="1:8">
      <c r="A78" s="1940" t="s">
        <v>975</v>
      </c>
      <c r="B78" s="1939"/>
      <c r="C78" s="1939"/>
      <c r="D78" s="1939"/>
      <c r="E78" s="1939"/>
      <c r="F78" s="1939"/>
      <c r="G78" s="1939"/>
      <c r="H78" s="1939"/>
    </row>
    <row r="79" spans="1:8">
      <c r="A79" s="1940" t="s">
        <v>976</v>
      </c>
      <c r="B79" s="1939"/>
      <c r="C79" s="1939"/>
      <c r="D79" s="1939"/>
      <c r="E79" s="1939"/>
      <c r="F79" s="1939"/>
      <c r="G79" s="1939"/>
      <c r="H79" s="1939"/>
    </row>
    <row r="80" spans="1:8">
      <c r="A80" s="1939"/>
      <c r="B80" s="1939"/>
      <c r="C80" s="1939"/>
      <c r="D80" s="1939"/>
      <c r="E80" s="1939"/>
      <c r="F80" s="1939"/>
      <c r="G80" s="1939"/>
      <c r="H80" s="1939"/>
    </row>
    <row r="81" spans="1:8">
      <c r="A81" s="1940" t="s">
        <v>973</v>
      </c>
      <c r="B81" s="1939"/>
      <c r="C81" s="1939"/>
      <c r="D81" s="1939"/>
      <c r="E81" s="1939"/>
      <c r="F81" s="1939"/>
      <c r="G81" s="1939"/>
      <c r="H81" s="1939"/>
    </row>
    <row r="82" spans="1:8">
      <c r="A82" s="1940" t="s">
        <v>974</v>
      </c>
      <c r="B82" s="1939"/>
      <c r="C82" s="1939"/>
      <c r="D82" s="1939"/>
      <c r="E82" s="1939"/>
      <c r="F82" s="1939"/>
      <c r="G82" s="1939"/>
      <c r="H82" s="1939"/>
    </row>
    <row r="83" spans="1:8">
      <c r="A83" s="1939"/>
      <c r="B83" s="1939"/>
      <c r="C83" s="1939"/>
      <c r="D83" s="1939"/>
      <c r="E83" s="1939"/>
      <c r="F83" s="1939"/>
      <c r="G83" s="1939"/>
      <c r="H83" s="1939"/>
    </row>
    <row r="84" spans="1:8">
      <c r="A84" s="1940" t="s">
        <v>727</v>
      </c>
      <c r="B84" s="1939"/>
      <c r="C84" s="1939"/>
      <c r="D84" s="1939"/>
      <c r="E84" s="1939"/>
      <c r="F84" s="1939"/>
      <c r="G84" s="1939"/>
      <c r="H84" s="1939"/>
    </row>
    <row r="85" spans="1:8">
      <c r="A85" s="1939"/>
      <c r="B85" s="1939"/>
      <c r="C85" s="1939"/>
      <c r="D85" s="1939"/>
      <c r="E85" s="1939"/>
      <c r="F85" s="1939"/>
      <c r="G85" s="1939"/>
      <c r="H85" s="1939"/>
    </row>
    <row r="86" spans="1:8">
      <c r="A86" s="1940" t="s">
        <v>968</v>
      </c>
      <c r="B86" s="1939"/>
      <c r="C86" s="1939"/>
      <c r="D86" s="1939"/>
      <c r="E86" s="1939"/>
      <c r="F86" s="1939"/>
      <c r="G86" s="1939"/>
      <c r="H86" s="1939"/>
    </row>
    <row r="87" spans="1:8">
      <c r="A87" s="1940" t="s">
        <v>969</v>
      </c>
      <c r="B87" s="1939"/>
      <c r="C87" s="1939"/>
      <c r="D87" s="1939"/>
      <c r="E87" s="1939"/>
      <c r="F87" s="1939"/>
      <c r="G87" s="1939"/>
      <c r="H87" s="1939"/>
    </row>
    <row r="88" spans="1:8">
      <c r="A88" s="1940" t="s">
        <v>970</v>
      </c>
      <c r="B88" s="1939"/>
      <c r="C88" s="1939"/>
      <c r="D88" s="1939"/>
      <c r="E88" s="1939"/>
      <c r="F88" s="1939"/>
      <c r="G88" s="1939"/>
      <c r="H88" s="1939"/>
    </row>
    <row r="89" spans="1:8">
      <c r="A89" s="1940" t="s">
        <v>971</v>
      </c>
      <c r="B89" s="1939"/>
      <c r="C89" s="1939"/>
      <c r="D89" s="1939"/>
      <c r="E89" s="1939"/>
      <c r="F89" s="1939"/>
      <c r="G89" s="1939"/>
      <c r="H89" s="1939"/>
    </row>
    <row r="90" spans="1:8">
      <c r="A90" s="1940" t="s">
        <v>972</v>
      </c>
      <c r="B90" s="1939"/>
      <c r="C90" s="1939"/>
      <c r="D90" s="1939"/>
      <c r="E90" s="1939"/>
      <c r="F90" s="1939"/>
      <c r="G90" s="1939"/>
      <c r="H90" s="1939"/>
    </row>
    <row r="91" spans="1:8">
      <c r="A91" s="1940" t="s">
        <v>855</v>
      </c>
      <c r="B91" s="1939"/>
      <c r="C91" s="1939"/>
      <c r="D91" s="1939"/>
      <c r="E91" s="1939"/>
      <c r="F91" s="1939"/>
      <c r="G91" s="1939"/>
      <c r="H91" s="1939"/>
    </row>
    <row r="92" spans="1:8">
      <c r="A92" s="1939"/>
      <c r="B92" s="1939"/>
      <c r="C92" s="1939"/>
      <c r="D92" s="1939"/>
      <c r="E92" s="1939"/>
      <c r="F92" s="1939"/>
      <c r="G92" s="1939"/>
      <c r="H92" s="1939"/>
    </row>
    <row r="93" spans="1:8">
      <c r="A93" s="1940" t="s">
        <v>961</v>
      </c>
      <c r="B93" s="1939"/>
      <c r="C93" s="1939"/>
      <c r="D93" s="1939"/>
      <c r="E93" s="1939"/>
      <c r="F93" s="1939"/>
      <c r="G93" s="1939"/>
      <c r="H93" s="1939"/>
    </row>
    <row r="94" spans="1:8">
      <c r="A94" s="1940" t="s">
        <v>962</v>
      </c>
      <c r="B94" s="1939"/>
      <c r="C94" s="1939"/>
      <c r="D94" s="1939"/>
      <c r="E94" s="1939"/>
      <c r="F94" s="1939"/>
      <c r="G94" s="1939"/>
      <c r="H94" s="1939"/>
    </row>
    <row r="95" spans="1:8">
      <c r="A95" s="1940" t="s">
        <v>963</v>
      </c>
      <c r="B95" s="1939"/>
      <c r="C95" s="1939"/>
      <c r="D95" s="1939"/>
      <c r="E95" s="1939"/>
      <c r="F95" s="1939"/>
      <c r="G95" s="1939"/>
      <c r="H95" s="1939"/>
    </row>
    <row r="96" spans="1:8">
      <c r="A96" s="1940" t="s">
        <v>964</v>
      </c>
      <c r="B96" s="1939"/>
      <c r="C96" s="1939"/>
      <c r="D96" s="1939"/>
      <c r="E96" s="1939"/>
      <c r="F96" s="1939"/>
      <c r="G96" s="1939"/>
      <c r="H96" s="1939"/>
    </row>
    <row r="97" spans="1:8">
      <c r="A97" s="1940" t="s">
        <v>965</v>
      </c>
      <c r="B97" s="1939"/>
      <c r="C97" s="1939"/>
      <c r="D97" s="1939"/>
      <c r="E97" s="1939"/>
      <c r="F97" s="1939"/>
      <c r="G97" s="1939"/>
      <c r="H97" s="1939"/>
    </row>
    <row r="98" spans="1:8">
      <c r="A98" s="1940" t="s">
        <v>966</v>
      </c>
      <c r="B98" s="1939"/>
      <c r="C98" s="1939"/>
      <c r="D98" s="1939"/>
      <c r="E98" s="1939"/>
      <c r="F98" s="1939"/>
      <c r="G98" s="1939"/>
      <c r="H98" s="1939"/>
    </row>
    <row r="99" spans="1:8">
      <c r="A99" s="1940" t="s">
        <v>967</v>
      </c>
      <c r="B99" s="1939"/>
      <c r="C99" s="1939"/>
      <c r="D99" s="1939"/>
      <c r="E99" s="1939"/>
      <c r="F99" s="1939"/>
      <c r="G99" s="1939"/>
      <c r="H99" s="1939"/>
    </row>
    <row r="100" spans="1:8">
      <c r="A100" s="1939"/>
      <c r="B100" s="1939"/>
      <c r="C100" s="1939"/>
      <c r="D100" s="1939"/>
      <c r="E100" s="1939"/>
      <c r="F100" s="1939"/>
      <c r="G100" s="1939"/>
      <c r="H100" s="1939"/>
    </row>
    <row r="101" spans="1:8">
      <c r="A101" s="1940" t="s">
        <v>959</v>
      </c>
      <c r="B101" s="1939"/>
      <c r="C101" s="1939"/>
      <c r="D101" s="1939"/>
      <c r="E101" s="1939"/>
      <c r="F101" s="1939"/>
      <c r="G101" s="1939"/>
      <c r="H101" s="1939"/>
    </row>
    <row r="102" spans="1:8">
      <c r="A102" s="1940" t="s">
        <v>960</v>
      </c>
      <c r="B102" s="1939"/>
      <c r="C102" s="1939"/>
      <c r="D102" s="1939"/>
      <c r="E102" s="1939"/>
      <c r="F102" s="1939"/>
      <c r="G102" s="1939"/>
      <c r="H102" s="1939"/>
    </row>
    <row r="103" spans="1:8">
      <c r="A103" s="1939"/>
      <c r="B103" s="1939"/>
      <c r="C103" s="1939"/>
      <c r="D103" s="1939"/>
      <c r="E103" s="1939"/>
      <c r="F103" s="1939"/>
      <c r="G103" s="1939"/>
      <c r="H103" s="1939"/>
    </row>
    <row r="104" spans="1:8" ht="15.75">
      <c r="A104" s="1941" t="s">
        <v>728</v>
      </c>
      <c r="B104" s="1939"/>
      <c r="C104" s="1939"/>
      <c r="D104" s="1939"/>
      <c r="E104" s="1939"/>
      <c r="F104" s="1939"/>
      <c r="G104" s="1939"/>
      <c r="H104" s="1939"/>
    </row>
    <row r="105" spans="1:8">
      <c r="A105" s="1939"/>
      <c r="B105" s="1939"/>
      <c r="C105" s="1939"/>
      <c r="D105" s="1939"/>
      <c r="E105" s="1939"/>
      <c r="F105" s="1939"/>
      <c r="G105" s="1939"/>
      <c r="H105" s="1939"/>
    </row>
    <row r="106" spans="1:8">
      <c r="A106" s="1940" t="s">
        <v>950</v>
      </c>
      <c r="B106" s="1939"/>
      <c r="C106" s="1939"/>
      <c r="D106" s="1939"/>
      <c r="E106" s="1939"/>
      <c r="F106" s="1939"/>
      <c r="G106" s="1939"/>
      <c r="H106" s="1939"/>
    </row>
    <row r="107" spans="1:8">
      <c r="A107" s="1940" t="s">
        <v>951</v>
      </c>
      <c r="B107" s="1939"/>
      <c r="C107" s="1939"/>
      <c r="D107" s="1939"/>
      <c r="E107" s="1939"/>
      <c r="F107" s="1939"/>
      <c r="G107" s="1939"/>
      <c r="H107" s="1939"/>
    </row>
    <row r="108" spans="1:8">
      <c r="A108" s="1940" t="s">
        <v>952</v>
      </c>
      <c r="B108" s="1939"/>
      <c r="C108" s="1939"/>
      <c r="D108" s="1939"/>
      <c r="E108" s="1939"/>
      <c r="F108" s="1939"/>
      <c r="G108" s="1939"/>
      <c r="H108" s="1939"/>
    </row>
    <row r="109" spans="1:8">
      <c r="A109" s="1940" t="s">
        <v>953</v>
      </c>
      <c r="B109" s="1939"/>
      <c r="C109" s="1939"/>
      <c r="D109" s="1939"/>
      <c r="E109" s="1939"/>
      <c r="F109" s="1939"/>
      <c r="G109" s="1939"/>
      <c r="H109" s="1939"/>
    </row>
    <row r="110" spans="1:8">
      <c r="A110" s="1940" t="s">
        <v>954</v>
      </c>
      <c r="B110" s="1939"/>
      <c r="C110" s="1939"/>
      <c r="D110" s="1939"/>
      <c r="E110" s="1939"/>
      <c r="F110" s="1939"/>
      <c r="G110" s="1939"/>
      <c r="H110" s="1939"/>
    </row>
    <row r="111" spans="1:8">
      <c r="A111" s="1940" t="s">
        <v>955</v>
      </c>
      <c r="B111" s="1939"/>
      <c r="C111" s="1939"/>
      <c r="D111" s="1939"/>
      <c r="E111" s="1939"/>
      <c r="F111" s="1939"/>
      <c r="G111" s="1939"/>
      <c r="H111" s="1939"/>
    </row>
    <row r="112" spans="1:8">
      <c r="A112" s="1940" t="s">
        <v>956</v>
      </c>
      <c r="B112" s="1939"/>
      <c r="C112" s="1939"/>
      <c r="D112" s="1939"/>
      <c r="E112" s="1939"/>
      <c r="F112" s="1939"/>
      <c r="G112" s="1939"/>
      <c r="H112" s="1939"/>
    </row>
    <row r="113" spans="1:8">
      <c r="A113" s="1940" t="s">
        <v>957</v>
      </c>
      <c r="B113" s="1939"/>
      <c r="C113" s="1939"/>
      <c r="D113" s="1939"/>
      <c r="E113" s="1939"/>
      <c r="F113" s="1939"/>
      <c r="G113" s="1939"/>
      <c r="H113" s="1939"/>
    </row>
    <row r="114" spans="1:8">
      <c r="A114" s="1940" t="s">
        <v>958</v>
      </c>
      <c r="B114" s="1939"/>
      <c r="C114" s="1939"/>
      <c r="D114" s="1939"/>
      <c r="E114" s="1939"/>
      <c r="F114" s="1939"/>
      <c r="G114" s="1939"/>
      <c r="H114" s="1939"/>
    </row>
    <row r="115" spans="1:8">
      <c r="A115" s="1939"/>
      <c r="B115" s="1939"/>
      <c r="C115" s="1939"/>
      <c r="D115" s="1939"/>
      <c r="E115" s="1939"/>
      <c r="F115" s="1939"/>
      <c r="G115" s="1939"/>
      <c r="H115" s="1939"/>
    </row>
    <row r="116" spans="1:8" ht="15.75">
      <c r="A116" s="1960" t="s">
        <v>729</v>
      </c>
      <c r="B116" s="1960"/>
      <c r="C116" s="1960"/>
      <c r="D116" s="1960"/>
      <c r="E116" s="1960"/>
      <c r="F116" s="1960"/>
      <c r="G116" s="1960"/>
      <c r="H116" s="1960"/>
    </row>
    <row r="117" spans="1:8">
      <c r="A117" s="1956" t="s">
        <v>730</v>
      </c>
      <c r="B117" s="1956"/>
      <c r="C117" s="1956"/>
      <c r="D117" s="1956"/>
      <c r="E117" s="1956"/>
      <c r="F117" s="1956"/>
      <c r="G117" s="1956"/>
      <c r="H117" s="1956"/>
    </row>
    <row r="118" spans="1:8">
      <c r="A118" s="1961"/>
      <c r="B118" s="1961"/>
      <c r="C118" s="1961"/>
      <c r="D118" s="1961"/>
      <c r="E118" s="1961"/>
      <c r="F118" s="1961"/>
      <c r="G118" s="1961"/>
      <c r="H118" s="1961"/>
    </row>
    <row r="119" spans="1:8">
      <c r="A119" s="1956" t="s">
        <v>948</v>
      </c>
      <c r="B119" s="1956"/>
      <c r="C119" s="1956"/>
      <c r="D119" s="1956"/>
      <c r="E119" s="1956"/>
      <c r="F119" s="1956"/>
      <c r="G119" s="1956"/>
      <c r="H119" s="1956"/>
    </row>
    <row r="120" spans="1:8">
      <c r="A120" s="1940" t="s">
        <v>949</v>
      </c>
      <c r="B120" s="1940"/>
      <c r="C120" s="1940"/>
      <c r="D120" s="1940"/>
      <c r="E120" s="1940"/>
      <c r="F120" s="1940"/>
      <c r="G120" s="1940"/>
      <c r="H120" s="1940"/>
    </row>
    <row r="121" spans="1:8">
      <c r="A121" s="1961"/>
      <c r="B121" s="1961"/>
      <c r="C121" s="1961"/>
      <c r="D121" s="1961"/>
      <c r="E121" s="1961"/>
      <c r="F121" s="1961"/>
      <c r="G121" s="1961"/>
      <c r="H121" s="1961"/>
    </row>
    <row r="122" spans="1:8">
      <c r="A122" s="1956" t="s">
        <v>941</v>
      </c>
      <c r="B122" s="1956"/>
      <c r="C122" s="1956"/>
      <c r="D122" s="1956"/>
      <c r="E122" s="1956"/>
      <c r="F122" s="1956"/>
      <c r="G122" s="1956"/>
      <c r="H122" s="1956"/>
    </row>
    <row r="123" spans="1:8">
      <c r="A123" s="1940" t="s">
        <v>942</v>
      </c>
      <c r="B123" s="1940"/>
      <c r="C123" s="1940"/>
      <c r="D123" s="1940"/>
      <c r="E123" s="1940"/>
      <c r="F123" s="1940"/>
      <c r="G123" s="1940"/>
      <c r="H123" s="1940"/>
    </row>
    <row r="124" spans="1:8">
      <c r="A124" s="1940" t="s">
        <v>943</v>
      </c>
      <c r="B124" s="1940"/>
      <c r="C124" s="1940"/>
      <c r="D124" s="1940"/>
      <c r="E124" s="1940"/>
      <c r="F124" s="1940"/>
      <c r="G124" s="1940"/>
      <c r="H124" s="1940"/>
    </row>
    <row r="125" spans="1:8">
      <c r="A125" s="1940" t="s">
        <v>944</v>
      </c>
      <c r="B125" s="1940"/>
      <c r="C125" s="1940"/>
      <c r="D125" s="1940"/>
      <c r="E125" s="1940"/>
      <c r="F125" s="1940"/>
      <c r="G125" s="1940"/>
      <c r="H125" s="1940"/>
    </row>
    <row r="126" spans="1:8">
      <c r="A126" s="1940" t="s">
        <v>945</v>
      </c>
      <c r="B126" s="1940"/>
      <c r="C126" s="1940"/>
      <c r="D126" s="1940"/>
      <c r="E126" s="1940"/>
      <c r="F126" s="1940"/>
      <c r="G126" s="1940"/>
      <c r="H126" s="1940"/>
    </row>
    <row r="127" spans="1:8">
      <c r="A127" s="1940" t="s">
        <v>946</v>
      </c>
      <c r="B127" s="1940"/>
      <c r="C127" s="1940"/>
      <c r="D127" s="1940"/>
      <c r="E127" s="1940"/>
      <c r="F127" s="1940"/>
      <c r="G127" s="1940"/>
      <c r="H127" s="1940"/>
    </row>
    <row r="128" spans="1:8">
      <c r="A128" s="1940" t="s">
        <v>947</v>
      </c>
      <c r="B128" s="1940"/>
      <c r="C128" s="1940"/>
      <c r="D128" s="1940"/>
      <c r="E128" s="1940"/>
      <c r="F128" s="1940"/>
      <c r="G128" s="1940"/>
      <c r="H128" s="1940"/>
    </row>
    <row r="129" spans="1:8">
      <c r="A129" s="1962"/>
      <c r="B129" s="1962"/>
      <c r="C129" s="1962"/>
      <c r="D129" s="1962"/>
      <c r="E129" s="1962"/>
      <c r="F129" s="1962"/>
      <c r="G129" s="1962"/>
      <c r="H129" s="1962"/>
    </row>
    <row r="130" spans="1:8">
      <c r="A130" s="1942"/>
      <c r="B130" s="1957" t="s">
        <v>731</v>
      </c>
      <c r="C130" s="1958"/>
      <c r="D130" s="1957" t="s">
        <v>732</v>
      </c>
      <c r="E130" s="1959"/>
      <c r="F130" s="1958"/>
      <c r="G130" s="1957" t="s">
        <v>733</v>
      </c>
      <c r="H130" s="1958"/>
    </row>
    <row r="131" spans="1:8">
      <c r="A131" s="1942" t="s">
        <v>734</v>
      </c>
      <c r="B131" s="1942" t="s">
        <v>451</v>
      </c>
      <c r="C131" s="1942" t="s">
        <v>735</v>
      </c>
      <c r="D131" s="1942" t="s">
        <v>451</v>
      </c>
      <c r="E131" s="1942" t="s">
        <v>736</v>
      </c>
      <c r="F131" s="1942" t="s">
        <v>737</v>
      </c>
      <c r="G131" s="1942" t="s">
        <v>451</v>
      </c>
      <c r="H131" s="1942" t="s">
        <v>738</v>
      </c>
    </row>
    <row r="132" spans="1:8">
      <c r="A132" s="1942" t="s">
        <v>739</v>
      </c>
      <c r="B132" s="1942">
        <v>1189</v>
      </c>
      <c r="C132" s="1943">
        <v>0.38</v>
      </c>
      <c r="D132" s="1942">
        <v>315</v>
      </c>
      <c r="E132" s="1943">
        <v>0.41</v>
      </c>
      <c r="F132" s="1943">
        <v>0.26</v>
      </c>
      <c r="G132" s="1942">
        <v>555</v>
      </c>
      <c r="H132" s="1943">
        <v>0.39</v>
      </c>
    </row>
    <row r="133" spans="1:8">
      <c r="A133" s="1942" t="s">
        <v>740</v>
      </c>
      <c r="B133" s="1942">
        <v>1355</v>
      </c>
      <c r="C133" s="1943">
        <v>0.43</v>
      </c>
      <c r="D133" s="1942">
        <v>364</v>
      </c>
      <c r="E133" s="1943">
        <v>0.47</v>
      </c>
      <c r="F133" s="1943">
        <v>0.27</v>
      </c>
      <c r="G133" s="1942">
        <v>644</v>
      </c>
      <c r="H133" s="1943">
        <v>0.45</v>
      </c>
    </row>
    <row r="134" spans="1:8">
      <c r="A134" s="1942" t="s">
        <v>741</v>
      </c>
      <c r="B134" s="1942">
        <v>53</v>
      </c>
      <c r="C134" s="1943">
        <v>0.02</v>
      </c>
      <c r="D134" s="1942">
        <v>4</v>
      </c>
      <c r="E134" s="1943">
        <v>0.01</v>
      </c>
      <c r="F134" s="1943">
        <v>0.08</v>
      </c>
      <c r="G134" s="1942">
        <v>7</v>
      </c>
      <c r="H134" s="1943">
        <v>0</v>
      </c>
    </row>
    <row r="135" spans="1:8">
      <c r="A135" s="1942" t="s">
        <v>742</v>
      </c>
      <c r="B135" s="1942">
        <v>545</v>
      </c>
      <c r="C135" s="1943">
        <v>0.17</v>
      </c>
      <c r="D135" s="1942">
        <v>84</v>
      </c>
      <c r="E135" s="1943">
        <v>0.11</v>
      </c>
      <c r="F135" s="1943">
        <v>0.15</v>
      </c>
      <c r="G135" s="1942">
        <v>214</v>
      </c>
      <c r="H135" s="1943">
        <v>0.15</v>
      </c>
    </row>
    <row r="136" spans="1:8">
      <c r="A136" s="1942" t="s">
        <v>252</v>
      </c>
      <c r="B136" s="1944">
        <v>3142</v>
      </c>
      <c r="C136" s="1942"/>
      <c r="D136" s="1942">
        <v>767</v>
      </c>
      <c r="E136" s="1942"/>
      <c r="F136" s="1942"/>
      <c r="G136" s="1942">
        <v>1420</v>
      </c>
      <c r="H136" s="1942"/>
    </row>
    <row r="137" spans="1:8">
      <c r="A137" s="1955"/>
      <c r="B137" s="1955"/>
      <c r="C137" s="1955"/>
      <c r="D137" s="1955"/>
      <c r="E137" s="1955"/>
      <c r="F137" s="1955"/>
      <c r="G137" s="1955"/>
      <c r="H137" s="1955"/>
    </row>
    <row r="138" spans="1:8">
      <c r="A138" s="1956" t="s">
        <v>937</v>
      </c>
      <c r="B138" s="1956"/>
      <c r="C138" s="1956"/>
      <c r="D138" s="1956"/>
      <c r="E138" s="1956"/>
      <c r="F138" s="1956"/>
      <c r="G138" s="1956"/>
      <c r="H138" s="1956"/>
    </row>
    <row r="139" spans="1:8">
      <c r="A139" s="1940" t="s">
        <v>938</v>
      </c>
      <c r="B139" s="1940"/>
      <c r="C139" s="1940"/>
      <c r="D139" s="1940"/>
      <c r="E139" s="1940"/>
      <c r="F139" s="1940"/>
      <c r="G139" s="1940"/>
      <c r="H139" s="1940"/>
    </row>
    <row r="140" spans="1:8">
      <c r="A140" s="1940" t="s">
        <v>939</v>
      </c>
      <c r="B140" s="1940"/>
      <c r="C140" s="1940"/>
      <c r="D140" s="1940"/>
      <c r="E140" s="1940"/>
      <c r="F140" s="1940"/>
      <c r="G140" s="1940"/>
      <c r="H140" s="1940"/>
    </row>
    <row r="141" spans="1:8">
      <c r="A141" s="1940" t="s">
        <v>940</v>
      </c>
      <c r="B141" s="1940"/>
      <c r="C141" s="1940"/>
      <c r="D141" s="1940"/>
      <c r="E141" s="1940"/>
      <c r="F141" s="1940"/>
      <c r="G141" s="1940"/>
      <c r="H141" s="1940"/>
    </row>
    <row r="142" spans="1:8">
      <c r="A142" s="1939"/>
      <c r="B142" s="1939"/>
      <c r="C142" s="1939"/>
      <c r="D142" s="1939"/>
      <c r="E142" s="1939"/>
      <c r="F142" s="1939"/>
      <c r="G142" s="1939"/>
      <c r="H142" s="1939"/>
    </row>
    <row r="143" spans="1:8" ht="15.75">
      <c r="A143" s="1941" t="s">
        <v>743</v>
      </c>
      <c r="B143" s="1939"/>
      <c r="C143" s="1939"/>
      <c r="D143" s="1939"/>
      <c r="E143" s="1939"/>
      <c r="F143" s="1939"/>
      <c r="G143" s="1939"/>
      <c r="H143" s="1939"/>
    </row>
    <row r="144" spans="1:8">
      <c r="A144" s="1939"/>
      <c r="B144" s="1939"/>
      <c r="C144" s="1939"/>
      <c r="D144" s="1939"/>
      <c r="E144" s="1939"/>
      <c r="F144" s="1939"/>
      <c r="G144" s="1939"/>
      <c r="H144" s="1939"/>
    </row>
    <row r="145" spans="1:8">
      <c r="A145" s="1940" t="s">
        <v>935</v>
      </c>
      <c r="B145" s="1939"/>
      <c r="C145" s="1939"/>
      <c r="D145" s="1939"/>
      <c r="E145" s="1939"/>
      <c r="F145" s="1939"/>
      <c r="G145" s="1939"/>
      <c r="H145" s="1939"/>
    </row>
    <row r="146" spans="1:8">
      <c r="A146" s="1940" t="s">
        <v>936</v>
      </c>
      <c r="B146" s="1939"/>
      <c r="C146" s="1939"/>
      <c r="D146" s="1939"/>
      <c r="E146" s="1939"/>
      <c r="F146" s="1939"/>
      <c r="G146" s="1939"/>
      <c r="H146" s="1939"/>
    </row>
    <row r="147" spans="1:8">
      <c r="A147" s="1939"/>
      <c r="B147" s="1939"/>
      <c r="C147" s="1939"/>
      <c r="D147" s="1939"/>
      <c r="E147" s="1939"/>
      <c r="F147" s="1939"/>
      <c r="G147" s="1939"/>
      <c r="H147" s="1939"/>
    </row>
    <row r="148" spans="1:8">
      <c r="A148" s="1940" t="s">
        <v>932</v>
      </c>
      <c r="B148" s="1939"/>
      <c r="C148" s="1939"/>
      <c r="D148" s="1939"/>
      <c r="E148" s="1939"/>
      <c r="F148" s="1939"/>
      <c r="G148" s="1939"/>
      <c r="H148" s="1939"/>
    </row>
    <row r="149" spans="1:8">
      <c r="A149" s="1940" t="s">
        <v>933</v>
      </c>
      <c r="B149" s="1939"/>
      <c r="C149" s="1939"/>
      <c r="D149" s="1939"/>
      <c r="E149" s="1939"/>
      <c r="F149" s="1939"/>
      <c r="G149" s="1939"/>
      <c r="H149" s="1939"/>
    </row>
    <row r="150" spans="1:8">
      <c r="A150" s="1940" t="s">
        <v>934</v>
      </c>
      <c r="B150" s="1939"/>
      <c r="C150" s="1939"/>
      <c r="D150" s="1939"/>
      <c r="E150" s="1939"/>
      <c r="F150" s="1939"/>
      <c r="G150" s="1939"/>
      <c r="H150" s="1939"/>
    </row>
    <row r="151" spans="1:8">
      <c r="A151" s="1939"/>
      <c r="B151" s="1939"/>
      <c r="C151" s="1939"/>
      <c r="D151" s="1939"/>
      <c r="E151" s="1939"/>
      <c r="F151" s="1939"/>
      <c r="G151" s="1939"/>
      <c r="H151" s="1939"/>
    </row>
    <row r="152" spans="1:8">
      <c r="A152" s="1940" t="s">
        <v>929</v>
      </c>
      <c r="B152" s="1939"/>
      <c r="C152" s="1939"/>
      <c r="D152" s="1939"/>
      <c r="E152" s="1939"/>
      <c r="F152" s="1939"/>
      <c r="G152" s="1939"/>
      <c r="H152" s="1939"/>
    </row>
    <row r="153" spans="1:8">
      <c r="A153" s="1940" t="s">
        <v>930</v>
      </c>
      <c r="B153" s="1939"/>
      <c r="C153" s="1939"/>
      <c r="D153" s="1939"/>
      <c r="E153" s="1939"/>
      <c r="F153" s="1939"/>
      <c r="G153" s="1939"/>
      <c r="H153" s="1939"/>
    </row>
    <row r="154" spans="1:8">
      <c r="A154" s="1940" t="s">
        <v>931</v>
      </c>
      <c r="B154" s="1939"/>
      <c r="C154" s="1939"/>
      <c r="D154" s="1939"/>
      <c r="E154" s="1939"/>
      <c r="F154" s="1939"/>
      <c r="G154" s="1939"/>
      <c r="H154" s="1939"/>
    </row>
    <row r="155" spans="1:8">
      <c r="A155" s="1939"/>
      <c r="B155" s="1939"/>
      <c r="C155" s="1939"/>
      <c r="D155" s="1939"/>
      <c r="E155" s="1939"/>
      <c r="F155" s="1939"/>
      <c r="G155" s="1939"/>
      <c r="H155" s="1939"/>
    </row>
    <row r="156" spans="1:8">
      <c r="A156" s="1940" t="s">
        <v>926</v>
      </c>
      <c r="B156" s="1939"/>
      <c r="C156" s="1939"/>
      <c r="D156" s="1939"/>
      <c r="E156" s="1939"/>
      <c r="F156" s="1939"/>
      <c r="G156" s="1939"/>
      <c r="H156" s="1939"/>
    </row>
    <row r="157" spans="1:8">
      <c r="A157" s="1940" t="s">
        <v>927</v>
      </c>
      <c r="B157" s="1939"/>
      <c r="C157" s="1939"/>
      <c r="D157" s="1939"/>
      <c r="E157" s="1939"/>
      <c r="F157" s="1939"/>
      <c r="G157" s="1939"/>
      <c r="H157" s="1939"/>
    </row>
    <row r="158" spans="1:8">
      <c r="A158" s="1940" t="s">
        <v>928</v>
      </c>
      <c r="B158" s="1939"/>
      <c r="C158" s="1939"/>
      <c r="D158" s="1939"/>
      <c r="E158" s="1939"/>
      <c r="F158" s="1939"/>
      <c r="G158" s="1939"/>
      <c r="H158" s="1939"/>
    </row>
    <row r="159" spans="1:8">
      <c r="A159" s="1939"/>
      <c r="B159" s="1939"/>
      <c r="C159" s="1939"/>
      <c r="D159" s="1939"/>
      <c r="E159" s="1939"/>
      <c r="F159" s="1939"/>
      <c r="G159" s="1939"/>
      <c r="H159" s="1939"/>
    </row>
    <row r="160" spans="1:8">
      <c r="A160" s="1940" t="s">
        <v>924</v>
      </c>
      <c r="B160" s="1939"/>
      <c r="C160" s="1939"/>
      <c r="D160" s="1939"/>
      <c r="E160" s="1939"/>
      <c r="F160" s="1939"/>
      <c r="G160" s="1939"/>
      <c r="H160" s="1939"/>
    </row>
    <row r="161" spans="1:8">
      <c r="A161" s="1940" t="s">
        <v>925</v>
      </c>
      <c r="B161" s="1939"/>
      <c r="C161" s="1939"/>
      <c r="D161" s="1939"/>
      <c r="E161" s="1939"/>
      <c r="F161" s="1939"/>
      <c r="G161" s="1939"/>
      <c r="H161" s="1939"/>
    </row>
    <row r="162" spans="1:8">
      <c r="A162" s="1939"/>
      <c r="B162" s="1939"/>
      <c r="C162" s="1939"/>
      <c r="D162" s="1939"/>
      <c r="E162" s="1939"/>
      <c r="F162" s="1939"/>
      <c r="G162" s="1939"/>
      <c r="H162" s="1939"/>
    </row>
    <row r="163" spans="1:8" ht="15.75">
      <c r="A163" s="1941" t="s">
        <v>744</v>
      </c>
      <c r="B163" s="1939"/>
      <c r="C163" s="1939"/>
      <c r="D163" s="1939"/>
      <c r="E163" s="1939"/>
      <c r="F163" s="1939"/>
      <c r="G163" s="1939"/>
      <c r="H163" s="1939"/>
    </row>
    <row r="164" spans="1:8">
      <c r="A164" s="1939"/>
      <c r="B164" s="1939"/>
      <c r="C164" s="1939"/>
      <c r="D164" s="1939"/>
      <c r="E164" s="1939"/>
      <c r="F164" s="1939"/>
      <c r="G164" s="1939"/>
      <c r="H164" s="1939"/>
    </row>
    <row r="165" spans="1:8">
      <c r="A165" s="1940" t="s">
        <v>922</v>
      </c>
      <c r="B165" s="1939"/>
      <c r="C165" s="1939"/>
      <c r="D165" s="1939"/>
      <c r="E165" s="1939"/>
      <c r="F165" s="1939"/>
      <c r="G165" s="1939"/>
      <c r="H165" s="1939"/>
    </row>
    <row r="166" spans="1:8">
      <c r="A166" s="1940" t="s">
        <v>923</v>
      </c>
      <c r="B166" s="1939"/>
      <c r="C166" s="1939"/>
      <c r="D166" s="1939"/>
      <c r="E166" s="1939"/>
      <c r="F166" s="1939"/>
      <c r="G166" s="1939"/>
      <c r="H166" s="1939"/>
    </row>
    <row r="167" spans="1:8">
      <c r="A167" s="1939"/>
      <c r="B167" s="1939"/>
      <c r="C167" s="1939"/>
      <c r="D167" s="1939"/>
      <c r="E167" s="1939"/>
      <c r="F167" s="1939"/>
      <c r="G167" s="1939"/>
      <c r="H167" s="1939"/>
    </row>
    <row r="168" spans="1:8">
      <c r="A168" s="1940" t="s">
        <v>920</v>
      </c>
      <c r="B168" s="1939"/>
      <c r="C168" s="1939"/>
      <c r="D168" s="1939"/>
      <c r="E168" s="1939"/>
      <c r="F168" s="1939"/>
      <c r="G168" s="1939"/>
      <c r="H168" s="1939"/>
    </row>
    <row r="169" spans="1:8">
      <c r="A169" s="1940" t="s">
        <v>921</v>
      </c>
      <c r="B169" s="1939"/>
      <c r="C169" s="1939"/>
      <c r="D169" s="1939"/>
      <c r="E169" s="1939"/>
      <c r="F169" s="1939"/>
      <c r="G169" s="1939"/>
      <c r="H169" s="1939"/>
    </row>
    <row r="170" spans="1:8">
      <c r="A170" s="1939"/>
      <c r="B170" s="1939"/>
      <c r="C170" s="1939"/>
      <c r="D170" s="1939"/>
      <c r="E170" s="1939"/>
      <c r="F170" s="1939"/>
      <c r="G170" s="1939"/>
      <c r="H170" s="1939"/>
    </row>
    <row r="171" spans="1:8">
      <c r="A171" s="1940" t="s">
        <v>918</v>
      </c>
      <c r="B171" s="1939"/>
      <c r="C171" s="1939"/>
      <c r="D171" s="1939"/>
      <c r="E171" s="1939"/>
      <c r="F171" s="1939"/>
      <c r="G171" s="1939"/>
      <c r="H171" s="1939"/>
    </row>
    <row r="172" spans="1:8">
      <c r="A172" s="1940" t="s">
        <v>919</v>
      </c>
      <c r="B172" s="1939"/>
      <c r="C172" s="1939"/>
      <c r="D172" s="1939"/>
      <c r="E172" s="1939"/>
      <c r="F172" s="1939"/>
      <c r="G172" s="1939"/>
      <c r="H172" s="1939"/>
    </row>
    <row r="173" spans="1:8">
      <c r="A173" s="1939"/>
      <c r="B173" s="1939"/>
      <c r="C173" s="1939"/>
      <c r="D173" s="1939"/>
      <c r="E173" s="1939"/>
      <c r="F173" s="1939"/>
      <c r="G173" s="1939"/>
      <c r="H173" s="1939"/>
    </row>
    <row r="174" spans="1:8">
      <c r="A174" s="1940" t="s">
        <v>915</v>
      </c>
      <c r="B174" s="1939"/>
      <c r="C174" s="1939"/>
      <c r="D174" s="1939"/>
      <c r="E174" s="1939"/>
      <c r="F174" s="1939"/>
      <c r="G174" s="1939"/>
      <c r="H174" s="1939"/>
    </row>
    <row r="175" spans="1:8">
      <c r="A175" s="1940" t="s">
        <v>916</v>
      </c>
      <c r="B175" s="1939"/>
      <c r="C175" s="1939"/>
      <c r="D175" s="1939"/>
      <c r="E175" s="1939"/>
      <c r="F175" s="1939"/>
      <c r="G175" s="1939"/>
      <c r="H175" s="1939"/>
    </row>
    <row r="176" spans="1:8">
      <c r="A176" s="1940" t="s">
        <v>917</v>
      </c>
      <c r="B176" s="1939"/>
      <c r="C176" s="1939"/>
      <c r="D176" s="1939"/>
      <c r="E176" s="1939"/>
      <c r="F176" s="1939"/>
      <c r="G176" s="1939"/>
      <c r="H176" s="1939"/>
    </row>
    <row r="177" spans="1:8">
      <c r="A177" s="1939"/>
      <c r="B177" s="1939"/>
      <c r="C177" s="1939"/>
      <c r="D177" s="1939"/>
      <c r="E177" s="1939"/>
      <c r="F177" s="1939"/>
      <c r="G177" s="1939"/>
      <c r="H177" s="1939"/>
    </row>
    <row r="178" spans="1:8">
      <c r="A178" s="1939"/>
      <c r="B178" s="1939"/>
      <c r="C178" s="1939"/>
      <c r="D178" s="1939"/>
      <c r="E178" s="1939"/>
      <c r="F178" s="1939"/>
      <c r="G178" s="1939"/>
      <c r="H178" s="1939"/>
    </row>
    <row r="179" spans="1:8">
      <c r="A179" s="1940" t="s">
        <v>745</v>
      </c>
      <c r="B179" s="1939"/>
      <c r="C179" s="1939"/>
      <c r="D179" s="1939"/>
      <c r="E179" s="1939"/>
      <c r="F179" s="1939"/>
      <c r="G179" s="1939"/>
      <c r="H179" s="1939"/>
    </row>
    <row r="180" spans="1:8">
      <c r="A180" s="1939"/>
      <c r="B180" s="1939"/>
      <c r="C180" s="1939"/>
      <c r="D180" s="1939"/>
      <c r="E180" s="1939"/>
      <c r="F180" s="1939"/>
      <c r="G180" s="1939"/>
      <c r="H180" s="1939"/>
    </row>
    <row r="181" spans="1:8" ht="15.75">
      <c r="A181" s="1941" t="s">
        <v>746</v>
      </c>
      <c r="B181" s="1939"/>
      <c r="C181" s="1939"/>
      <c r="D181" s="1939"/>
      <c r="E181" s="1939"/>
      <c r="F181" s="1939"/>
      <c r="G181" s="1939"/>
      <c r="H181" s="1939"/>
    </row>
    <row r="182" spans="1:8">
      <c r="A182" s="1939"/>
      <c r="B182" s="1939"/>
      <c r="C182" s="1939"/>
      <c r="D182" s="1939"/>
      <c r="E182" s="1939"/>
      <c r="F182" s="1939"/>
      <c r="G182" s="1939"/>
      <c r="H182" s="1939"/>
    </row>
    <row r="183" spans="1:8">
      <c r="A183" s="1939"/>
      <c r="B183" s="1939"/>
      <c r="C183" s="1939"/>
      <c r="D183" s="1939"/>
      <c r="E183" s="1939"/>
      <c r="F183" s="1939"/>
      <c r="G183" s="1939"/>
      <c r="H183" s="1939"/>
    </row>
    <row r="184" spans="1:8">
      <c r="A184" s="1939"/>
      <c r="B184" s="1939"/>
      <c r="C184" s="1939"/>
      <c r="D184" s="1939"/>
      <c r="E184" s="1939"/>
      <c r="F184" s="1939"/>
      <c r="G184" s="1939"/>
      <c r="H184" s="1939"/>
    </row>
    <row r="185" spans="1:8">
      <c r="A185" s="1939"/>
      <c r="B185" s="1939"/>
      <c r="C185" s="1939"/>
      <c r="D185" s="1939"/>
      <c r="E185" s="1939"/>
      <c r="F185" s="1939"/>
      <c r="G185" s="1939"/>
      <c r="H185" s="1939"/>
    </row>
    <row r="186" spans="1:8">
      <c r="A186" s="1939"/>
      <c r="B186" s="1939"/>
      <c r="C186" s="1939"/>
      <c r="D186" s="1939"/>
      <c r="E186" s="1939"/>
      <c r="F186" s="1939"/>
      <c r="G186" s="1939"/>
      <c r="H186" s="1939"/>
    </row>
    <row r="187" spans="1:8">
      <c r="A187" s="1939"/>
      <c r="B187" s="1939"/>
      <c r="C187" s="1939"/>
      <c r="D187" s="1939"/>
      <c r="E187" s="1939"/>
      <c r="F187" s="1939"/>
      <c r="G187" s="1939"/>
      <c r="H187" s="1939"/>
    </row>
    <row r="188" spans="1:8">
      <c r="A188" s="1939"/>
      <c r="B188" s="1939"/>
      <c r="C188" s="1939"/>
      <c r="D188" s="1939"/>
      <c r="E188" s="1939"/>
      <c r="F188" s="1939"/>
      <c r="G188" s="1939"/>
      <c r="H188" s="1939"/>
    </row>
    <row r="189" spans="1:8">
      <c r="A189" s="1939"/>
      <c r="B189" s="1939"/>
      <c r="C189" s="1939"/>
      <c r="D189" s="1939"/>
      <c r="E189" s="1939"/>
      <c r="F189" s="1939"/>
      <c r="G189" s="1939"/>
      <c r="H189" s="1939"/>
    </row>
    <row r="190" spans="1:8">
      <c r="A190" s="1939"/>
      <c r="B190" s="1939"/>
      <c r="C190" s="1939"/>
      <c r="D190" s="1939"/>
      <c r="E190" s="1939"/>
      <c r="F190" s="1939"/>
      <c r="G190" s="1939"/>
      <c r="H190" s="1939"/>
    </row>
    <row r="191" spans="1:8">
      <c r="A191" s="1939"/>
      <c r="B191" s="1939"/>
      <c r="C191" s="1939"/>
      <c r="D191" s="1939"/>
      <c r="E191" s="1939"/>
      <c r="F191" s="1939"/>
      <c r="G191" s="1939"/>
      <c r="H191" s="1939"/>
    </row>
    <row r="192" spans="1:8">
      <c r="A192" s="1939"/>
      <c r="B192" s="1939"/>
      <c r="C192" s="1939"/>
      <c r="D192" s="1939"/>
      <c r="E192" s="1939"/>
      <c r="F192" s="1939"/>
      <c r="G192" s="1939"/>
      <c r="H192" s="1939"/>
    </row>
    <row r="193" spans="1:8">
      <c r="A193" s="1939"/>
      <c r="B193" s="1939"/>
      <c r="C193" s="1939"/>
      <c r="D193" s="1939"/>
      <c r="E193" s="1939"/>
      <c r="F193" s="1939"/>
      <c r="G193" s="1939"/>
      <c r="H193" s="1939"/>
    </row>
    <row r="194" spans="1:8">
      <c r="A194" s="1939"/>
      <c r="B194" s="1939"/>
      <c r="C194" s="1939"/>
      <c r="D194" s="1939"/>
      <c r="E194" s="1939"/>
      <c r="F194" s="1939"/>
      <c r="G194" s="1939"/>
      <c r="H194" s="1939"/>
    </row>
    <row r="195" spans="1:8">
      <c r="A195" s="1939"/>
      <c r="B195" s="1939"/>
      <c r="C195" s="1939"/>
      <c r="D195" s="1939"/>
      <c r="E195" s="1939"/>
      <c r="F195" s="1939"/>
      <c r="G195" s="1939"/>
      <c r="H195" s="1939"/>
    </row>
    <row r="196" spans="1:8">
      <c r="A196" s="1939"/>
      <c r="B196" s="1939"/>
      <c r="C196" s="1939"/>
      <c r="D196" s="1939"/>
      <c r="E196" s="1939"/>
      <c r="F196" s="1939"/>
      <c r="G196" s="1939"/>
      <c r="H196" s="1939"/>
    </row>
    <row r="197" spans="1:8">
      <c r="A197" s="1939"/>
      <c r="B197" s="1939"/>
      <c r="C197" s="1939"/>
      <c r="D197" s="1939"/>
      <c r="E197" s="1939"/>
      <c r="F197" s="1939"/>
      <c r="G197" s="1939"/>
      <c r="H197" s="1939"/>
    </row>
    <row r="198" spans="1:8">
      <c r="A198" s="1939"/>
      <c r="B198" s="1939"/>
      <c r="C198" s="1939"/>
      <c r="D198" s="1939"/>
      <c r="E198" s="1939"/>
      <c r="F198" s="1939"/>
      <c r="G198" s="1939"/>
      <c r="H198" s="1939"/>
    </row>
    <row r="199" spans="1:8">
      <c r="A199" s="1939"/>
      <c r="B199" s="1939"/>
      <c r="C199" s="1939"/>
      <c r="D199" s="1939"/>
      <c r="E199" s="1939"/>
      <c r="F199" s="1939"/>
      <c r="G199" s="1939"/>
      <c r="H199" s="1939"/>
    </row>
    <row r="200" spans="1:8">
      <c r="A200" s="1939"/>
      <c r="B200" s="1939"/>
      <c r="C200" s="1939"/>
      <c r="D200" s="1939"/>
      <c r="E200" s="1939"/>
      <c r="F200" s="1939"/>
      <c r="G200" s="1939"/>
      <c r="H200" s="1939"/>
    </row>
    <row r="201" spans="1:8">
      <c r="A201" s="1939"/>
      <c r="B201" s="1939"/>
      <c r="C201" s="1939"/>
      <c r="D201" s="1939"/>
      <c r="E201" s="1939"/>
      <c r="F201" s="1939"/>
      <c r="G201" s="1939"/>
      <c r="H201" s="1939"/>
    </row>
    <row r="202" spans="1:8">
      <c r="A202" s="1939"/>
      <c r="B202" s="1939"/>
      <c r="C202" s="1939"/>
      <c r="D202" s="1939"/>
      <c r="E202" s="1939"/>
      <c r="F202" s="1939"/>
      <c r="G202" s="1939"/>
      <c r="H202" s="1939"/>
    </row>
    <row r="203" spans="1:8">
      <c r="A203" s="1939"/>
      <c r="B203" s="1939"/>
      <c r="C203" s="1939"/>
      <c r="D203" s="1939"/>
      <c r="E203" s="1939"/>
      <c r="F203" s="1939"/>
      <c r="G203" s="1939"/>
      <c r="H203" s="1939"/>
    </row>
    <row r="204" spans="1:8">
      <c r="A204" s="1939"/>
      <c r="B204" s="1939"/>
      <c r="C204" s="1939"/>
      <c r="D204" s="1939"/>
      <c r="E204" s="1939"/>
      <c r="F204" s="1939"/>
      <c r="G204" s="1939"/>
      <c r="H204" s="1939"/>
    </row>
    <row r="205" spans="1:8">
      <c r="A205" s="1939"/>
      <c r="B205" s="1939"/>
      <c r="C205" s="1939"/>
      <c r="D205" s="1939"/>
      <c r="E205" s="1939"/>
      <c r="F205" s="1939"/>
      <c r="G205" s="1939"/>
      <c r="H205" s="1939"/>
    </row>
    <row r="206" spans="1:8">
      <c r="A206" s="1939"/>
      <c r="B206" s="1939"/>
      <c r="C206" s="1939"/>
      <c r="D206" s="1939"/>
      <c r="E206" s="1939"/>
      <c r="F206" s="1939"/>
      <c r="G206" s="1939"/>
      <c r="H206" s="1939"/>
    </row>
    <row r="207" spans="1:8">
      <c r="A207" s="1939"/>
      <c r="B207" s="1939"/>
      <c r="C207" s="1939"/>
      <c r="D207" s="1939"/>
      <c r="E207" s="1939"/>
      <c r="F207" s="1939"/>
      <c r="G207" s="1939"/>
      <c r="H207" s="1939"/>
    </row>
    <row r="208" spans="1:8" ht="15.75">
      <c r="A208" s="1941" t="s">
        <v>747</v>
      </c>
      <c r="B208" s="1939"/>
      <c r="C208" s="1939"/>
      <c r="D208" s="1939"/>
      <c r="E208" s="1939"/>
      <c r="F208" s="1939"/>
      <c r="G208" s="1939"/>
      <c r="H208" s="1939"/>
    </row>
    <row r="209" spans="1:8">
      <c r="A209" s="1939"/>
      <c r="B209" s="1939"/>
      <c r="C209" s="1939"/>
      <c r="D209" s="1939"/>
      <c r="E209" s="1939"/>
      <c r="F209" s="1939"/>
      <c r="G209" s="1939"/>
      <c r="H209" s="1939"/>
    </row>
    <row r="210" spans="1:8">
      <c r="A210" s="1940" t="s">
        <v>910</v>
      </c>
      <c r="B210" s="1939"/>
      <c r="C210" s="1939"/>
      <c r="D210" s="1939"/>
      <c r="E210" s="1939"/>
      <c r="F210" s="1939"/>
      <c r="G210" s="1939"/>
      <c r="H210" s="1939"/>
    </row>
    <row r="211" spans="1:8">
      <c r="A211" s="1940" t="s">
        <v>911</v>
      </c>
      <c r="B211" s="1939"/>
      <c r="C211" s="1939"/>
      <c r="D211" s="1939"/>
      <c r="E211" s="1939"/>
      <c r="F211" s="1939"/>
      <c r="G211" s="1939"/>
      <c r="H211" s="1939"/>
    </row>
    <row r="212" spans="1:8">
      <c r="A212" s="1940" t="s">
        <v>912</v>
      </c>
      <c r="B212" s="1939"/>
      <c r="C212" s="1939"/>
      <c r="D212" s="1939"/>
      <c r="E212" s="1939"/>
      <c r="F212" s="1939"/>
      <c r="G212" s="1939"/>
      <c r="H212" s="1939"/>
    </row>
    <row r="213" spans="1:8">
      <c r="A213" s="1940" t="s">
        <v>913</v>
      </c>
      <c r="B213" s="1939"/>
      <c r="C213" s="1939"/>
      <c r="D213" s="1939"/>
      <c r="E213" s="1939"/>
      <c r="F213" s="1939"/>
      <c r="G213" s="1939"/>
      <c r="H213" s="1939"/>
    </row>
    <row r="214" spans="1:8">
      <c r="A214" s="1940" t="s">
        <v>914</v>
      </c>
      <c r="B214" s="1939"/>
      <c r="C214" s="1939"/>
      <c r="D214" s="1939"/>
      <c r="E214" s="1939"/>
      <c r="F214" s="1939"/>
      <c r="G214" s="1939"/>
      <c r="H214" s="1939"/>
    </row>
    <row r="215" spans="1:8">
      <c r="A215" s="1939"/>
      <c r="B215" s="1939"/>
      <c r="C215" s="1939"/>
      <c r="D215" s="1939"/>
      <c r="E215" s="1939"/>
      <c r="F215" s="1939"/>
      <c r="G215" s="1939"/>
      <c r="H215" s="1939"/>
    </row>
    <row r="216" spans="1:8">
      <c r="A216" s="1940" t="s">
        <v>907</v>
      </c>
      <c r="B216" s="1939"/>
      <c r="C216" s="1939"/>
      <c r="D216" s="1939"/>
      <c r="E216" s="1939"/>
      <c r="F216" s="1939"/>
      <c r="G216" s="1939"/>
      <c r="H216" s="1939"/>
    </row>
    <row r="217" spans="1:8">
      <c r="A217" s="1940" t="s">
        <v>908</v>
      </c>
      <c r="B217" s="1939"/>
      <c r="C217" s="1939"/>
      <c r="D217" s="1939"/>
      <c r="E217" s="1939"/>
      <c r="F217" s="1939"/>
      <c r="G217" s="1939"/>
      <c r="H217" s="1939"/>
    </row>
    <row r="218" spans="1:8">
      <c r="A218" s="1940" t="s">
        <v>909</v>
      </c>
      <c r="B218" s="1939"/>
      <c r="C218" s="1939"/>
      <c r="D218" s="1939"/>
      <c r="E218" s="1939"/>
      <c r="F218" s="1939"/>
      <c r="G218" s="1939"/>
      <c r="H218" s="1939"/>
    </row>
    <row r="219" spans="1:8" ht="15.75">
      <c r="A219" s="1941" t="s">
        <v>748</v>
      </c>
      <c r="B219" s="1939"/>
      <c r="C219" s="1939"/>
      <c r="D219" s="1939"/>
      <c r="E219" s="1939"/>
      <c r="F219" s="1939"/>
      <c r="G219" s="1939"/>
      <c r="H219" s="1939"/>
    </row>
    <row r="220" spans="1:8">
      <c r="A220" s="1939"/>
      <c r="B220" s="1939"/>
      <c r="C220" s="1939"/>
      <c r="D220" s="1939"/>
      <c r="E220" s="1939"/>
      <c r="F220" s="1939"/>
      <c r="G220" s="1939"/>
      <c r="H220" s="1939"/>
    </row>
    <row r="221" spans="1:8">
      <c r="A221" s="1940" t="s">
        <v>905</v>
      </c>
      <c r="B221" s="1939"/>
      <c r="C221" s="1939"/>
      <c r="D221" s="1939"/>
      <c r="E221" s="1939"/>
      <c r="F221" s="1939"/>
      <c r="G221" s="1939"/>
      <c r="H221" s="1939"/>
    </row>
    <row r="222" spans="1:8">
      <c r="A222" s="1940" t="s">
        <v>906</v>
      </c>
      <c r="B222" s="1939"/>
      <c r="C222" s="1939"/>
      <c r="D222" s="1939"/>
      <c r="E222" s="1939"/>
      <c r="F222" s="1939"/>
      <c r="G222" s="1939"/>
      <c r="H222" s="1939"/>
    </row>
    <row r="223" spans="1:8">
      <c r="A223" s="1939"/>
      <c r="B223" s="1939"/>
      <c r="C223" s="1939"/>
      <c r="D223" s="1939"/>
      <c r="E223" s="1939"/>
      <c r="F223" s="1939"/>
      <c r="G223" s="1939"/>
      <c r="H223" s="1939"/>
    </row>
    <row r="224" spans="1:8">
      <c r="A224" s="1940" t="s">
        <v>898</v>
      </c>
      <c r="B224" s="1939"/>
      <c r="C224" s="1939"/>
      <c r="D224" s="1939"/>
      <c r="E224" s="1939"/>
      <c r="F224" s="1939"/>
      <c r="G224" s="1939"/>
      <c r="H224" s="1939"/>
    </row>
    <row r="225" spans="1:8">
      <c r="A225" s="1940" t="s">
        <v>899</v>
      </c>
      <c r="B225" s="1939"/>
      <c r="C225" s="1939"/>
      <c r="D225" s="1939"/>
      <c r="E225" s="1939"/>
      <c r="F225" s="1939"/>
      <c r="G225" s="1939"/>
      <c r="H225" s="1939"/>
    </row>
    <row r="226" spans="1:8">
      <c r="A226" s="1940" t="s">
        <v>900</v>
      </c>
      <c r="B226" s="1939"/>
      <c r="C226" s="1939"/>
      <c r="D226" s="1939"/>
      <c r="E226" s="1939"/>
      <c r="F226" s="1939"/>
      <c r="G226" s="1939"/>
      <c r="H226" s="1939"/>
    </row>
    <row r="227" spans="1:8">
      <c r="A227" s="1940" t="s">
        <v>901</v>
      </c>
      <c r="B227" s="1939"/>
      <c r="C227" s="1939"/>
      <c r="D227" s="1939"/>
      <c r="E227" s="1939"/>
      <c r="F227" s="1939"/>
      <c r="G227" s="1939"/>
      <c r="H227" s="1939"/>
    </row>
    <row r="228" spans="1:8">
      <c r="A228" s="1940" t="s">
        <v>902</v>
      </c>
      <c r="B228" s="1939"/>
      <c r="C228" s="1939"/>
      <c r="D228" s="1939"/>
      <c r="E228" s="1939"/>
      <c r="F228" s="1939"/>
      <c r="G228" s="1939"/>
      <c r="H228" s="1939"/>
    </row>
    <row r="229" spans="1:8">
      <c r="A229" s="1940" t="s">
        <v>903</v>
      </c>
      <c r="B229" s="1939"/>
      <c r="C229" s="1939"/>
      <c r="D229" s="1939"/>
      <c r="E229" s="1939"/>
      <c r="F229" s="1939"/>
      <c r="G229" s="1939"/>
      <c r="H229" s="1939"/>
    </row>
    <row r="230" spans="1:8">
      <c r="A230" s="1940" t="s">
        <v>904</v>
      </c>
      <c r="B230" s="1939"/>
      <c r="C230" s="1939"/>
      <c r="D230" s="1939"/>
      <c r="E230" s="1939"/>
      <c r="F230" s="1939"/>
      <c r="G230" s="1939"/>
      <c r="H230" s="1939"/>
    </row>
    <row r="231" spans="1:8">
      <c r="A231" s="1939"/>
      <c r="B231" s="1939"/>
      <c r="C231" s="1939"/>
      <c r="D231" s="1939"/>
      <c r="E231" s="1939"/>
      <c r="F231" s="1939"/>
      <c r="G231" s="1939"/>
      <c r="H231" s="1939"/>
    </row>
    <row r="232" spans="1:8">
      <c r="A232" s="1940" t="s">
        <v>895</v>
      </c>
      <c r="B232" s="1939"/>
      <c r="C232" s="1939"/>
      <c r="D232" s="1939"/>
      <c r="E232" s="1939"/>
      <c r="F232" s="1939"/>
      <c r="G232" s="1939"/>
      <c r="H232" s="1939"/>
    </row>
    <row r="233" spans="1:8">
      <c r="A233" s="1940" t="s">
        <v>896</v>
      </c>
      <c r="B233" s="1939"/>
      <c r="C233" s="1939"/>
      <c r="D233" s="1939"/>
      <c r="E233" s="1939"/>
      <c r="F233" s="1939"/>
      <c r="G233" s="1939"/>
      <c r="H233" s="1939"/>
    </row>
    <row r="234" spans="1:8">
      <c r="A234" s="1940" t="s">
        <v>897</v>
      </c>
      <c r="B234" s="1939"/>
      <c r="C234" s="1939"/>
      <c r="D234" s="1939"/>
      <c r="E234" s="1939"/>
      <c r="F234" s="1939"/>
      <c r="G234" s="1939"/>
      <c r="H234" s="1939"/>
    </row>
    <row r="235" spans="1:8">
      <c r="A235" s="1939"/>
      <c r="B235" s="1939"/>
      <c r="C235" s="1939"/>
      <c r="D235" s="1939"/>
      <c r="E235" s="1939"/>
      <c r="F235" s="1939"/>
      <c r="G235" s="1939"/>
      <c r="H235" s="1939"/>
    </row>
    <row r="236" spans="1:8">
      <c r="A236" s="1940" t="s">
        <v>890</v>
      </c>
      <c r="B236" s="1939"/>
      <c r="C236" s="1939"/>
      <c r="D236" s="1939"/>
      <c r="E236" s="1939"/>
      <c r="F236" s="1939"/>
      <c r="G236" s="1939"/>
      <c r="H236" s="1939"/>
    </row>
    <row r="237" spans="1:8">
      <c r="A237" s="1940" t="s">
        <v>891</v>
      </c>
      <c r="B237" s="1939"/>
      <c r="C237" s="1939"/>
      <c r="D237" s="1939"/>
      <c r="E237" s="1939"/>
      <c r="F237" s="1939"/>
      <c r="G237" s="1939"/>
      <c r="H237" s="1939"/>
    </row>
    <row r="238" spans="1:8">
      <c r="A238" s="1940" t="s">
        <v>892</v>
      </c>
      <c r="B238" s="1939"/>
      <c r="C238" s="1939"/>
      <c r="D238" s="1939"/>
      <c r="E238" s="1939"/>
      <c r="F238" s="1939"/>
      <c r="G238" s="1939"/>
      <c r="H238" s="1939"/>
    </row>
    <row r="239" spans="1:8">
      <c r="A239" s="1940" t="s">
        <v>893</v>
      </c>
      <c r="B239" s="1939"/>
      <c r="C239" s="1939"/>
      <c r="D239" s="1939"/>
      <c r="E239" s="1939"/>
      <c r="F239" s="1939"/>
      <c r="G239" s="1939"/>
      <c r="H239" s="1939"/>
    </row>
    <row r="240" spans="1:8">
      <c r="A240" s="1940" t="s">
        <v>894</v>
      </c>
      <c r="B240" s="1939"/>
      <c r="C240" s="1939"/>
      <c r="D240" s="1939"/>
      <c r="E240" s="1939"/>
      <c r="F240" s="1939"/>
      <c r="G240" s="1939"/>
      <c r="H240" s="1939"/>
    </row>
    <row r="241" spans="1:8">
      <c r="A241" s="1939"/>
      <c r="B241" s="1939"/>
      <c r="C241" s="1939"/>
      <c r="D241" s="1939"/>
      <c r="E241" s="1939"/>
      <c r="F241" s="1939"/>
      <c r="G241" s="1939"/>
      <c r="H241" s="1939"/>
    </row>
    <row r="242" spans="1:8">
      <c r="A242" s="1940" t="s">
        <v>884</v>
      </c>
      <c r="B242" s="1939"/>
      <c r="C242" s="1939"/>
      <c r="D242" s="1939"/>
      <c r="E242" s="1939"/>
      <c r="F242" s="1939"/>
      <c r="G242" s="1939"/>
      <c r="H242" s="1939"/>
    </row>
    <row r="243" spans="1:8">
      <c r="A243" s="1940" t="s">
        <v>885</v>
      </c>
      <c r="B243" s="1939"/>
      <c r="C243" s="1939"/>
      <c r="D243" s="1939"/>
      <c r="E243" s="1939"/>
      <c r="F243" s="1939"/>
      <c r="G243" s="1939"/>
      <c r="H243" s="1939"/>
    </row>
    <row r="244" spans="1:8">
      <c r="A244" s="1940" t="s">
        <v>886</v>
      </c>
      <c r="B244" s="1939"/>
      <c r="C244" s="1939"/>
      <c r="D244" s="1939"/>
      <c r="E244" s="1939"/>
      <c r="F244" s="1939"/>
      <c r="G244" s="1939"/>
      <c r="H244" s="1939"/>
    </row>
    <row r="245" spans="1:8">
      <c r="A245" s="1940" t="s">
        <v>887</v>
      </c>
      <c r="B245" s="1939"/>
      <c r="C245" s="1939"/>
      <c r="D245" s="1939"/>
      <c r="E245" s="1939"/>
      <c r="F245" s="1939"/>
      <c r="G245" s="1939"/>
      <c r="H245" s="1939"/>
    </row>
    <row r="246" spans="1:8">
      <c r="A246" s="1940" t="s">
        <v>888</v>
      </c>
      <c r="B246" s="1939"/>
      <c r="C246" s="1939"/>
      <c r="D246" s="1939"/>
      <c r="E246" s="1939"/>
      <c r="F246" s="1939"/>
      <c r="G246" s="1939"/>
      <c r="H246" s="1939"/>
    </row>
    <row r="247" spans="1:8">
      <c r="A247" s="1940" t="s">
        <v>889</v>
      </c>
      <c r="B247" s="1939"/>
      <c r="C247" s="1939"/>
      <c r="D247" s="1939"/>
      <c r="E247" s="1939"/>
      <c r="F247" s="1939"/>
      <c r="G247" s="1939"/>
      <c r="H247" s="1939"/>
    </row>
    <row r="248" spans="1:8">
      <c r="A248" s="1939"/>
      <c r="B248" s="1939"/>
      <c r="C248" s="1939"/>
      <c r="D248" s="1939"/>
      <c r="E248" s="1939"/>
      <c r="F248" s="1939"/>
      <c r="G248" s="1939"/>
      <c r="H248" s="1939"/>
    </row>
    <row r="249" spans="1:8">
      <c r="A249" s="1940" t="s">
        <v>874</v>
      </c>
      <c r="B249" s="1939"/>
      <c r="C249" s="1939"/>
      <c r="D249" s="1939"/>
      <c r="E249" s="1939"/>
      <c r="F249" s="1939"/>
      <c r="G249" s="1939"/>
      <c r="H249" s="1939"/>
    </row>
    <row r="250" spans="1:8">
      <c r="A250" s="1940" t="s">
        <v>875</v>
      </c>
      <c r="B250" s="1939"/>
      <c r="C250" s="1939"/>
      <c r="D250" s="1939"/>
      <c r="E250" s="1939"/>
      <c r="F250" s="1939"/>
      <c r="G250" s="1939"/>
      <c r="H250" s="1939"/>
    </row>
    <row r="251" spans="1:8">
      <c r="A251" s="1940" t="s">
        <v>876</v>
      </c>
      <c r="B251" s="1939"/>
      <c r="C251" s="1939"/>
      <c r="D251" s="1939"/>
      <c r="E251" s="1939"/>
      <c r="F251" s="1939"/>
      <c r="G251" s="1939"/>
      <c r="H251" s="1939"/>
    </row>
    <row r="252" spans="1:8">
      <c r="A252" s="1940" t="s">
        <v>877</v>
      </c>
      <c r="B252" s="1939"/>
      <c r="C252" s="1939"/>
      <c r="D252" s="1939"/>
      <c r="E252" s="1939"/>
      <c r="F252" s="1939"/>
      <c r="G252" s="1939"/>
      <c r="H252" s="1939"/>
    </row>
    <row r="253" spans="1:8">
      <c r="A253" s="1940" t="s">
        <v>878</v>
      </c>
      <c r="B253" s="1939"/>
      <c r="C253" s="1939"/>
      <c r="D253" s="1939"/>
      <c r="E253" s="1939"/>
      <c r="F253" s="1939"/>
      <c r="G253" s="1939"/>
      <c r="H253" s="1939"/>
    </row>
    <row r="254" spans="1:8">
      <c r="A254" s="1940" t="s">
        <v>879</v>
      </c>
      <c r="B254" s="1939"/>
      <c r="C254" s="1939"/>
      <c r="D254" s="1939"/>
      <c r="E254" s="1939"/>
      <c r="F254" s="1939"/>
      <c r="G254" s="1939"/>
      <c r="H254" s="1939"/>
    </row>
    <row r="255" spans="1:8">
      <c r="A255" s="1940" t="s">
        <v>880</v>
      </c>
      <c r="B255" s="1939"/>
      <c r="C255" s="1939"/>
      <c r="D255" s="1939"/>
      <c r="E255" s="1939"/>
      <c r="F255" s="1939"/>
      <c r="G255" s="1939"/>
      <c r="H255" s="1939"/>
    </row>
    <row r="256" spans="1:8">
      <c r="A256" s="1940" t="s">
        <v>881</v>
      </c>
      <c r="B256" s="1939"/>
      <c r="C256" s="1939"/>
      <c r="D256" s="1939"/>
      <c r="E256" s="1939"/>
      <c r="F256" s="1939"/>
      <c r="G256" s="1939"/>
      <c r="H256" s="1939"/>
    </row>
    <row r="257" spans="1:8">
      <c r="A257" s="1940" t="s">
        <v>882</v>
      </c>
      <c r="B257" s="1939"/>
      <c r="C257" s="1939"/>
      <c r="D257" s="1939"/>
      <c r="E257" s="1939"/>
      <c r="F257" s="1939"/>
      <c r="G257" s="1939"/>
      <c r="H257" s="1939"/>
    </row>
    <row r="258" spans="1:8">
      <c r="A258" s="1940" t="s">
        <v>883</v>
      </c>
      <c r="B258" s="1939"/>
      <c r="C258" s="1939"/>
      <c r="D258" s="1939"/>
      <c r="E258" s="1939"/>
      <c r="F258" s="1939"/>
      <c r="G258" s="1939"/>
      <c r="H258" s="1939"/>
    </row>
    <row r="259" spans="1:8">
      <c r="A259" s="1939"/>
      <c r="B259" s="1939"/>
      <c r="C259" s="1939"/>
      <c r="D259" s="1939"/>
      <c r="E259" s="1939"/>
      <c r="F259" s="1939"/>
      <c r="G259" s="1939"/>
      <c r="H259" s="1939"/>
    </row>
    <row r="260" spans="1:8">
      <c r="A260" s="1940" t="s">
        <v>872</v>
      </c>
      <c r="B260" s="1939"/>
      <c r="C260" s="1939"/>
      <c r="D260" s="1939"/>
      <c r="E260" s="1939"/>
      <c r="F260" s="1939"/>
      <c r="G260" s="1939"/>
      <c r="H260" s="1939"/>
    </row>
    <row r="261" spans="1:8">
      <c r="A261" s="1940" t="s">
        <v>873</v>
      </c>
      <c r="B261" s="1939"/>
      <c r="C261" s="1939"/>
      <c r="D261" s="1939"/>
      <c r="E261" s="1939"/>
      <c r="F261" s="1939"/>
      <c r="G261" s="1939"/>
      <c r="H261" s="1939"/>
    </row>
    <row r="262" spans="1:8">
      <c r="A262" s="1939"/>
      <c r="B262" s="1939"/>
      <c r="C262" s="1939"/>
      <c r="D262" s="1939"/>
      <c r="E262" s="1939"/>
      <c r="F262" s="1939"/>
      <c r="G262" s="1939"/>
      <c r="H262" s="1939"/>
    </row>
    <row r="263" spans="1:8">
      <c r="A263" s="1940" t="s">
        <v>856</v>
      </c>
      <c r="B263" s="1939"/>
      <c r="C263" s="1939"/>
      <c r="D263" s="1939"/>
      <c r="E263" s="1939"/>
      <c r="F263" s="1939"/>
      <c r="G263" s="1939"/>
      <c r="H263" s="1939"/>
    </row>
    <row r="264" spans="1:8">
      <c r="A264" s="1940" t="s">
        <v>857</v>
      </c>
      <c r="B264" s="1939"/>
      <c r="C264" s="1939"/>
      <c r="D264" s="1939"/>
      <c r="E264" s="1939"/>
      <c r="F264" s="1939"/>
      <c r="G264" s="1939"/>
      <c r="H264" s="1939"/>
    </row>
    <row r="265" spans="1:8">
      <c r="A265" s="1940" t="s">
        <v>858</v>
      </c>
      <c r="B265" s="1939"/>
      <c r="C265" s="1939"/>
      <c r="D265" s="1939"/>
      <c r="E265" s="1939"/>
      <c r="F265" s="1939"/>
      <c r="G265" s="1939"/>
      <c r="H265" s="1939"/>
    </row>
    <row r="266" spans="1:8">
      <c r="A266" s="1940" t="s">
        <v>859</v>
      </c>
      <c r="B266" s="1939"/>
      <c r="C266" s="1939"/>
      <c r="D266" s="1939"/>
      <c r="E266" s="1939"/>
      <c r="F266" s="1939"/>
      <c r="G266" s="1939"/>
      <c r="H266" s="1939"/>
    </row>
    <row r="267" spans="1:8">
      <c r="A267" s="1940" t="s">
        <v>860</v>
      </c>
      <c r="B267" s="1939"/>
      <c r="C267" s="1939"/>
      <c r="D267" s="1939"/>
      <c r="E267" s="1939"/>
      <c r="F267" s="1939"/>
      <c r="G267" s="1939"/>
      <c r="H267" s="1939"/>
    </row>
    <row r="268" spans="1:8">
      <c r="A268" s="1940" t="s">
        <v>861</v>
      </c>
      <c r="B268" s="1939"/>
      <c r="C268" s="1939"/>
      <c r="D268" s="1939"/>
      <c r="E268" s="1939"/>
      <c r="F268" s="1939"/>
      <c r="G268" s="1939"/>
      <c r="H268" s="1939"/>
    </row>
    <row r="269" spans="1:8">
      <c r="A269" s="1940" t="s">
        <v>862</v>
      </c>
      <c r="B269" s="1939"/>
      <c r="C269" s="1939"/>
      <c r="D269" s="1939"/>
      <c r="E269" s="1939"/>
      <c r="F269" s="1939"/>
      <c r="G269" s="1939"/>
      <c r="H269" s="1939"/>
    </row>
    <row r="270" spans="1:8">
      <c r="A270" s="1940" t="s">
        <v>863</v>
      </c>
      <c r="B270" s="1939"/>
      <c r="C270" s="1939"/>
      <c r="D270" s="1939"/>
      <c r="E270" s="1939"/>
      <c r="F270" s="1939"/>
      <c r="G270" s="1939"/>
      <c r="H270" s="1939"/>
    </row>
    <row r="271" spans="1:8">
      <c r="A271" s="1940" t="s">
        <v>864</v>
      </c>
      <c r="B271" s="1939"/>
      <c r="C271" s="1939"/>
      <c r="D271" s="1939"/>
      <c r="E271" s="1939"/>
      <c r="F271" s="1939"/>
      <c r="G271" s="1939"/>
      <c r="H271" s="1939"/>
    </row>
    <row r="272" spans="1:8">
      <c r="A272" s="1940" t="s">
        <v>865</v>
      </c>
      <c r="B272" s="1939"/>
      <c r="C272" s="1939"/>
      <c r="D272" s="1939"/>
      <c r="E272" s="1939"/>
      <c r="F272" s="1939"/>
      <c r="G272" s="1939"/>
      <c r="H272" s="1939"/>
    </row>
    <row r="273" spans="1:8">
      <c r="A273" s="1940" t="s">
        <v>866</v>
      </c>
      <c r="B273" s="1939"/>
      <c r="C273" s="1939"/>
      <c r="D273" s="1939"/>
      <c r="E273" s="1939"/>
      <c r="F273" s="1939"/>
      <c r="G273" s="1939"/>
      <c r="H273" s="1939"/>
    </row>
    <row r="274" spans="1:8">
      <c r="A274" s="1940" t="s">
        <v>867</v>
      </c>
      <c r="B274" s="1939"/>
      <c r="C274" s="1939"/>
      <c r="D274" s="1939"/>
      <c r="E274" s="1939"/>
      <c r="F274" s="1939"/>
      <c r="G274" s="1939"/>
      <c r="H274" s="1939"/>
    </row>
    <row r="275" spans="1:8">
      <c r="A275" s="1940" t="s">
        <v>868</v>
      </c>
      <c r="B275" s="1939"/>
      <c r="C275" s="1939"/>
      <c r="D275" s="1939"/>
      <c r="E275" s="1939"/>
      <c r="F275" s="1939"/>
      <c r="G275" s="1939"/>
      <c r="H275" s="1939"/>
    </row>
    <row r="276" spans="1:8">
      <c r="A276" s="1940" t="s">
        <v>869</v>
      </c>
      <c r="B276" s="1939"/>
      <c r="C276" s="1939"/>
      <c r="D276" s="1939"/>
      <c r="E276" s="1939"/>
      <c r="F276" s="1939"/>
      <c r="G276" s="1939"/>
      <c r="H276" s="1939"/>
    </row>
    <row r="277" spans="1:8">
      <c r="A277" s="1940" t="s">
        <v>870</v>
      </c>
      <c r="B277" s="1939"/>
      <c r="C277" s="1939"/>
      <c r="D277" s="1939"/>
      <c r="E277" s="1939"/>
      <c r="F277" s="1939"/>
      <c r="G277" s="1939"/>
      <c r="H277" s="1939"/>
    </row>
    <row r="278" spans="1:8">
      <c r="A278" s="1940" t="s">
        <v>871</v>
      </c>
      <c r="B278" s="1939"/>
      <c r="C278" s="1939"/>
      <c r="D278" s="1939"/>
      <c r="E278" s="1939"/>
      <c r="F278" s="1939"/>
      <c r="G278" s="1939"/>
      <c r="H278" s="1939"/>
    </row>
    <row r="279" spans="1:8">
      <c r="A279" s="1939"/>
      <c r="B279" s="1939"/>
      <c r="C279" s="1939"/>
      <c r="D279" s="1939"/>
      <c r="E279" s="1939"/>
      <c r="F279" s="1939"/>
      <c r="G279" s="1939"/>
      <c r="H279" s="1939"/>
    </row>
    <row r="280" spans="1:8">
      <c r="A280" s="1940" t="s">
        <v>849</v>
      </c>
      <c r="B280" s="1939"/>
      <c r="C280" s="1939"/>
      <c r="D280" s="1939"/>
      <c r="E280" s="1939"/>
      <c r="F280" s="1939"/>
      <c r="G280" s="1939"/>
      <c r="H280" s="1939"/>
    </row>
    <row r="281" spans="1:8">
      <c r="A281" s="1940" t="s">
        <v>850</v>
      </c>
      <c r="B281" s="1939"/>
      <c r="C281" s="1939"/>
      <c r="D281" s="1939"/>
      <c r="E281" s="1939"/>
      <c r="F281" s="1939"/>
      <c r="G281" s="1939"/>
      <c r="H281" s="1939"/>
    </row>
    <row r="282" spans="1:8">
      <c r="A282" s="1940" t="s">
        <v>851</v>
      </c>
      <c r="B282" s="1939"/>
      <c r="C282" s="1939"/>
      <c r="D282" s="1939"/>
      <c r="E282" s="1939"/>
      <c r="F282" s="1939"/>
      <c r="G282" s="1939"/>
      <c r="H282" s="1939"/>
    </row>
    <row r="283" spans="1:8">
      <c r="A283" s="1940" t="s">
        <v>852</v>
      </c>
      <c r="B283" s="1939"/>
      <c r="C283" s="1939"/>
      <c r="D283" s="1939"/>
      <c r="E283" s="1939"/>
      <c r="F283" s="1939"/>
      <c r="G283" s="1939"/>
      <c r="H283" s="1939"/>
    </row>
    <row r="284" spans="1:8">
      <c r="A284" s="1940" t="s">
        <v>853</v>
      </c>
      <c r="B284" s="1939"/>
      <c r="C284" s="1939"/>
      <c r="D284" s="1939"/>
      <c r="E284" s="1939"/>
      <c r="F284" s="1939"/>
      <c r="G284" s="1939"/>
      <c r="H284" s="1939"/>
    </row>
    <row r="285" spans="1:8">
      <c r="A285" s="1940" t="s">
        <v>854</v>
      </c>
      <c r="B285" s="1939"/>
      <c r="C285" s="1939"/>
      <c r="D285" s="1939"/>
      <c r="E285" s="1939"/>
      <c r="F285" s="1939"/>
      <c r="G285" s="1939"/>
      <c r="H285" s="1939"/>
    </row>
    <row r="286" spans="1:8">
      <c r="A286" s="1940" t="s">
        <v>855</v>
      </c>
      <c r="B286" s="1939"/>
      <c r="C286" s="1939"/>
      <c r="D286" s="1939"/>
      <c r="E286" s="1939"/>
      <c r="F286" s="1939"/>
      <c r="G286" s="1939"/>
      <c r="H286" s="1939"/>
    </row>
    <row r="287" spans="1:8">
      <c r="A287" s="1939"/>
      <c r="B287" s="1939"/>
      <c r="C287" s="1939"/>
      <c r="D287" s="1939"/>
      <c r="E287" s="1939"/>
      <c r="F287" s="1939"/>
      <c r="G287" s="1939"/>
      <c r="H287" s="1939"/>
    </row>
    <row r="288" spans="1:8">
      <c r="A288" s="1940" t="s">
        <v>840</v>
      </c>
      <c r="B288" s="1939"/>
      <c r="C288" s="1939"/>
      <c r="D288" s="1939"/>
      <c r="E288" s="1939"/>
      <c r="F288" s="1939"/>
      <c r="G288" s="1939"/>
      <c r="H288" s="1939"/>
    </row>
    <row r="289" spans="1:8">
      <c r="A289" s="1940" t="s">
        <v>841</v>
      </c>
      <c r="B289" s="1939"/>
      <c r="C289" s="1939"/>
      <c r="D289" s="1939"/>
      <c r="E289" s="1939"/>
      <c r="F289" s="1939"/>
      <c r="G289" s="1939"/>
      <c r="H289" s="1939"/>
    </row>
    <row r="290" spans="1:8">
      <c r="A290" s="1940" t="s">
        <v>842</v>
      </c>
      <c r="B290" s="1939"/>
      <c r="C290" s="1939"/>
      <c r="D290" s="1939"/>
      <c r="E290" s="1939"/>
      <c r="F290" s="1939"/>
      <c r="G290" s="1939"/>
      <c r="H290" s="1939"/>
    </row>
    <row r="291" spans="1:8">
      <c r="A291" s="1940" t="s">
        <v>843</v>
      </c>
      <c r="B291" s="1939"/>
      <c r="C291" s="1939"/>
      <c r="D291" s="1939"/>
      <c r="E291" s="1939"/>
      <c r="F291" s="1939"/>
      <c r="G291" s="1939"/>
      <c r="H291" s="1939"/>
    </row>
    <row r="292" spans="1:8">
      <c r="A292" s="1940" t="s">
        <v>844</v>
      </c>
      <c r="B292" s="1939"/>
      <c r="C292" s="1939"/>
      <c r="D292" s="1939"/>
      <c r="E292" s="1939"/>
      <c r="F292" s="1939"/>
      <c r="G292" s="1939"/>
      <c r="H292" s="1939"/>
    </row>
    <row r="293" spans="1:8">
      <c r="A293" s="1940" t="s">
        <v>845</v>
      </c>
      <c r="B293" s="1939"/>
      <c r="C293" s="1939"/>
      <c r="D293" s="1939"/>
      <c r="E293" s="1939"/>
      <c r="F293" s="1939"/>
      <c r="G293" s="1939"/>
      <c r="H293" s="1939"/>
    </row>
    <row r="294" spans="1:8">
      <c r="A294" s="1940" t="s">
        <v>846</v>
      </c>
      <c r="B294" s="1939"/>
      <c r="C294" s="1939"/>
      <c r="D294" s="1939"/>
      <c r="E294" s="1939"/>
      <c r="F294" s="1939"/>
      <c r="G294" s="1939"/>
      <c r="H294" s="1939"/>
    </row>
    <row r="295" spans="1:8">
      <c r="A295" s="1940" t="s">
        <v>847</v>
      </c>
      <c r="B295" s="1939"/>
      <c r="C295" s="1939"/>
      <c r="D295" s="1939"/>
      <c r="E295" s="1939"/>
      <c r="F295" s="1939"/>
      <c r="G295" s="1939"/>
      <c r="H295" s="1939"/>
    </row>
    <row r="296" spans="1:8">
      <c r="A296" s="1940" t="s">
        <v>848</v>
      </c>
      <c r="B296" s="1939"/>
      <c r="C296" s="1939"/>
      <c r="D296" s="1939"/>
      <c r="E296" s="1939"/>
      <c r="F296" s="1939"/>
      <c r="G296" s="1939"/>
      <c r="H296" s="1939"/>
    </row>
    <row r="297" spans="1:8">
      <c r="A297" s="1939"/>
      <c r="B297" s="1939"/>
      <c r="C297" s="1939"/>
      <c r="D297" s="1939"/>
      <c r="E297" s="1939"/>
      <c r="F297" s="1939"/>
      <c r="G297" s="1939"/>
      <c r="H297" s="1939"/>
    </row>
    <row r="298" spans="1:8">
      <c r="A298" s="1940" t="s">
        <v>833</v>
      </c>
      <c r="B298" s="1939"/>
      <c r="C298" s="1939"/>
      <c r="D298" s="1939"/>
      <c r="E298" s="1939"/>
      <c r="F298" s="1939"/>
      <c r="G298" s="1939"/>
      <c r="H298" s="1939"/>
    </row>
    <row r="299" spans="1:8">
      <c r="A299" s="1940" t="s">
        <v>834</v>
      </c>
      <c r="B299" s="1939"/>
      <c r="C299" s="1939"/>
      <c r="D299" s="1939"/>
      <c r="E299" s="1939"/>
      <c r="F299" s="1939"/>
      <c r="G299" s="1939"/>
      <c r="H299" s="1939"/>
    </row>
    <row r="300" spans="1:8">
      <c r="A300" s="1940" t="s">
        <v>835</v>
      </c>
      <c r="B300" s="1939"/>
      <c r="C300" s="1939"/>
      <c r="D300" s="1939"/>
      <c r="E300" s="1939"/>
      <c r="F300" s="1939"/>
      <c r="G300" s="1939"/>
      <c r="H300" s="1939"/>
    </row>
    <row r="301" spans="1:8">
      <c r="A301" s="1940" t="s">
        <v>836</v>
      </c>
      <c r="B301" s="1939"/>
      <c r="C301" s="1939"/>
      <c r="D301" s="1939"/>
      <c r="E301" s="1939"/>
      <c r="F301" s="1939"/>
      <c r="G301" s="1939"/>
      <c r="H301" s="1939"/>
    </row>
    <row r="302" spans="1:8">
      <c r="A302" s="1940" t="s">
        <v>837</v>
      </c>
      <c r="B302" s="1939"/>
      <c r="C302" s="1939"/>
      <c r="D302" s="1939"/>
      <c r="E302" s="1939"/>
      <c r="F302" s="1939"/>
      <c r="G302" s="1939"/>
      <c r="H302" s="1939"/>
    </row>
    <row r="303" spans="1:8">
      <c r="A303" s="1940" t="s">
        <v>838</v>
      </c>
      <c r="B303" s="1939"/>
      <c r="C303" s="1939"/>
      <c r="D303" s="1939"/>
      <c r="E303" s="1939"/>
      <c r="F303" s="1939"/>
      <c r="G303" s="1939"/>
      <c r="H303" s="1939"/>
    </row>
    <row r="304" spans="1:8">
      <c r="A304" s="1940" t="s">
        <v>839</v>
      </c>
      <c r="B304" s="1939"/>
      <c r="C304" s="1939"/>
      <c r="D304" s="1939"/>
      <c r="E304" s="1939"/>
      <c r="F304" s="1939"/>
      <c r="G304" s="1939"/>
      <c r="H304" s="1939"/>
    </row>
    <row r="305" spans="1:8">
      <c r="A305" s="1939"/>
      <c r="B305" s="1939"/>
      <c r="C305" s="1939"/>
      <c r="D305" s="1939"/>
      <c r="E305" s="1939"/>
      <c r="F305" s="1939"/>
      <c r="G305" s="1939"/>
      <c r="H305" s="1939"/>
    </row>
    <row r="306" spans="1:8">
      <c r="A306" s="1940" t="s">
        <v>830</v>
      </c>
      <c r="B306" s="1939"/>
      <c r="C306" s="1939"/>
      <c r="D306" s="1939"/>
      <c r="E306" s="1939"/>
      <c r="F306" s="1939"/>
      <c r="G306" s="1939"/>
      <c r="H306" s="1939"/>
    </row>
    <row r="307" spans="1:8">
      <c r="A307" s="1940" t="s">
        <v>831</v>
      </c>
      <c r="B307" s="1939"/>
      <c r="C307" s="1939"/>
      <c r="D307" s="1939"/>
      <c r="E307" s="1939"/>
      <c r="F307" s="1939"/>
      <c r="G307" s="1939"/>
      <c r="H307" s="1939"/>
    </row>
    <row r="308" spans="1:8">
      <c r="A308" s="1940" t="s">
        <v>832</v>
      </c>
      <c r="B308" s="1939"/>
      <c r="C308" s="1939"/>
      <c r="D308" s="1939"/>
      <c r="E308" s="1939"/>
      <c r="F308" s="1939"/>
      <c r="G308" s="1939"/>
      <c r="H308" s="1939"/>
    </row>
    <row r="309" spans="1:8">
      <c r="A309" s="1939"/>
      <c r="B309" s="1939"/>
      <c r="C309" s="1939"/>
      <c r="D309" s="1939"/>
      <c r="E309" s="1939"/>
      <c r="F309" s="1939"/>
      <c r="G309" s="1939"/>
      <c r="H309" s="1939"/>
    </row>
    <row r="310" spans="1:8">
      <c r="A310" s="1940" t="s">
        <v>828</v>
      </c>
      <c r="B310" s="1939"/>
      <c r="C310" s="1939"/>
      <c r="D310" s="1939"/>
      <c r="E310" s="1939"/>
      <c r="F310" s="1939"/>
      <c r="G310" s="1939"/>
      <c r="H310" s="1939"/>
    </row>
    <row r="311" spans="1:8">
      <c r="A311" s="1940" t="s">
        <v>829</v>
      </c>
      <c r="B311" s="1939"/>
      <c r="C311" s="1939"/>
      <c r="D311" s="1939"/>
      <c r="E311" s="1939"/>
      <c r="F311" s="1939"/>
      <c r="G311" s="1939"/>
      <c r="H311" s="1939"/>
    </row>
    <row r="312" spans="1:8">
      <c r="A312" s="1939"/>
      <c r="B312" s="1939"/>
      <c r="C312" s="1939"/>
      <c r="D312" s="1939"/>
      <c r="E312" s="1939"/>
      <c r="F312" s="1939"/>
      <c r="G312" s="1939"/>
      <c r="H312" s="1939"/>
    </row>
    <row r="313" spans="1:8">
      <c r="A313" s="1940" t="s">
        <v>815</v>
      </c>
      <c r="B313" s="1939"/>
      <c r="C313" s="1939"/>
      <c r="D313" s="1939"/>
      <c r="E313" s="1939"/>
      <c r="F313" s="1939"/>
      <c r="G313" s="1939"/>
      <c r="H313" s="1939"/>
    </row>
    <row r="314" spans="1:8">
      <c r="A314" s="1940" t="s">
        <v>816</v>
      </c>
      <c r="B314" s="1939"/>
      <c r="C314" s="1939"/>
      <c r="D314" s="1939"/>
      <c r="E314" s="1939"/>
      <c r="F314" s="1939"/>
      <c r="G314" s="1939"/>
      <c r="H314" s="1939"/>
    </row>
    <row r="315" spans="1:8">
      <c r="A315" s="1940" t="s">
        <v>817</v>
      </c>
      <c r="B315" s="1939"/>
      <c r="C315" s="1939"/>
      <c r="D315" s="1939"/>
      <c r="E315" s="1939"/>
      <c r="F315" s="1939"/>
      <c r="G315" s="1939"/>
      <c r="H315" s="1939"/>
    </row>
    <row r="316" spans="1:8">
      <c r="A316" s="1940" t="s">
        <v>818</v>
      </c>
      <c r="B316" s="1939"/>
      <c r="C316" s="1939"/>
      <c r="D316" s="1939"/>
      <c r="E316" s="1939"/>
      <c r="F316" s="1939"/>
      <c r="G316" s="1939"/>
      <c r="H316" s="1939"/>
    </row>
    <row r="317" spans="1:8">
      <c r="A317" s="1940" t="s">
        <v>819</v>
      </c>
      <c r="B317" s="1939"/>
      <c r="C317" s="1939"/>
      <c r="D317" s="1939"/>
      <c r="E317" s="1939"/>
      <c r="F317" s="1939"/>
      <c r="G317" s="1939"/>
      <c r="H317" s="1939"/>
    </row>
    <row r="318" spans="1:8">
      <c r="A318" s="1940" t="s">
        <v>820</v>
      </c>
      <c r="B318" s="1939"/>
      <c r="C318" s="1939"/>
      <c r="D318" s="1939"/>
      <c r="E318" s="1939"/>
      <c r="F318" s="1939"/>
      <c r="G318" s="1939"/>
      <c r="H318" s="1939"/>
    </row>
    <row r="319" spans="1:8">
      <c r="A319" s="1940" t="s">
        <v>821</v>
      </c>
      <c r="B319" s="1939"/>
      <c r="C319" s="1939"/>
      <c r="D319" s="1939"/>
      <c r="E319" s="1939"/>
      <c r="F319" s="1939"/>
      <c r="G319" s="1939"/>
      <c r="H319" s="1939"/>
    </row>
    <row r="320" spans="1:8">
      <c r="A320" s="1940" t="s">
        <v>822</v>
      </c>
      <c r="B320" s="1939"/>
      <c r="C320" s="1939"/>
      <c r="D320" s="1939"/>
      <c r="E320" s="1939"/>
      <c r="F320" s="1939"/>
      <c r="G320" s="1939"/>
      <c r="H320" s="1939"/>
    </row>
    <row r="321" spans="1:8">
      <c r="A321" s="1940" t="s">
        <v>823</v>
      </c>
      <c r="B321" s="1939"/>
      <c r="C321" s="1939"/>
      <c r="D321" s="1939"/>
      <c r="E321" s="1939"/>
      <c r="F321" s="1939"/>
      <c r="G321" s="1939"/>
      <c r="H321" s="1939"/>
    </row>
    <row r="322" spans="1:8">
      <c r="A322" s="1940" t="s">
        <v>824</v>
      </c>
      <c r="B322" s="1939"/>
      <c r="C322" s="1939"/>
      <c r="D322" s="1939"/>
      <c r="E322" s="1939"/>
      <c r="F322" s="1939"/>
      <c r="G322" s="1939"/>
      <c r="H322" s="1939"/>
    </row>
    <row r="323" spans="1:8">
      <c r="A323" s="1940" t="s">
        <v>825</v>
      </c>
      <c r="B323" s="1939"/>
      <c r="C323" s="1939"/>
      <c r="D323" s="1939"/>
      <c r="E323" s="1939"/>
      <c r="F323" s="1939"/>
      <c r="G323" s="1939"/>
      <c r="H323" s="1939"/>
    </row>
    <row r="324" spans="1:8">
      <c r="A324" s="1940" t="s">
        <v>826</v>
      </c>
      <c r="B324" s="1939"/>
      <c r="C324" s="1939"/>
      <c r="D324" s="1939"/>
      <c r="E324" s="1939"/>
      <c r="F324" s="1939"/>
      <c r="G324" s="1939"/>
      <c r="H324" s="1939"/>
    </row>
    <row r="325" spans="1:8">
      <c r="A325" s="1940" t="s">
        <v>827</v>
      </c>
      <c r="B325" s="1939"/>
      <c r="C325" s="1939"/>
      <c r="D325" s="1939"/>
      <c r="E325" s="1939"/>
      <c r="F325" s="1939"/>
      <c r="G325" s="1939"/>
      <c r="H325" s="1939"/>
    </row>
    <row r="326" spans="1:8">
      <c r="A326" s="1939"/>
      <c r="B326" s="1939"/>
      <c r="C326" s="1939"/>
      <c r="D326" s="1939"/>
      <c r="E326" s="1939"/>
      <c r="F326" s="1939"/>
      <c r="G326" s="1939"/>
      <c r="H326" s="1939"/>
    </row>
    <row r="327" spans="1:8">
      <c r="A327" s="1940" t="s">
        <v>813</v>
      </c>
      <c r="B327" s="1939"/>
      <c r="C327" s="1939"/>
      <c r="D327" s="1939"/>
      <c r="E327" s="1939"/>
      <c r="F327" s="1939"/>
      <c r="G327" s="1939"/>
      <c r="H327" s="1939"/>
    </row>
    <row r="328" spans="1:8">
      <c r="A328" s="1940" t="s">
        <v>814</v>
      </c>
      <c r="B328" s="1939"/>
      <c r="C328" s="1939"/>
      <c r="D328" s="1939"/>
      <c r="E328" s="1939"/>
      <c r="F328" s="1939"/>
      <c r="G328" s="1939"/>
      <c r="H328" s="1939"/>
    </row>
    <row r="329" spans="1:8">
      <c r="A329" s="1939"/>
      <c r="B329" s="1939"/>
      <c r="C329" s="1939"/>
      <c r="D329" s="1939"/>
      <c r="E329" s="1939"/>
      <c r="F329" s="1939"/>
      <c r="G329" s="1939"/>
      <c r="H329" s="1939"/>
    </row>
    <row r="330" spans="1:8">
      <c r="A330" s="1940" t="s">
        <v>805</v>
      </c>
      <c r="B330" s="1939"/>
      <c r="C330" s="1939"/>
      <c r="D330" s="1939"/>
      <c r="E330" s="1939"/>
      <c r="F330" s="1939"/>
      <c r="G330" s="1939"/>
      <c r="H330" s="1939"/>
    </row>
    <row r="331" spans="1:8">
      <c r="A331" s="1940" t="s">
        <v>806</v>
      </c>
      <c r="B331" s="1939"/>
      <c r="C331" s="1939"/>
      <c r="D331" s="1939"/>
      <c r="E331" s="1939"/>
      <c r="F331" s="1939"/>
      <c r="G331" s="1939"/>
      <c r="H331" s="1939"/>
    </row>
    <row r="332" spans="1:8">
      <c r="A332" s="1940" t="s">
        <v>807</v>
      </c>
      <c r="B332" s="1939"/>
      <c r="C332" s="1939"/>
      <c r="D332" s="1939"/>
      <c r="E332" s="1939"/>
      <c r="F332" s="1939"/>
      <c r="G332" s="1939"/>
      <c r="H332" s="1939"/>
    </row>
    <row r="333" spans="1:8">
      <c r="A333" s="1940" t="s">
        <v>808</v>
      </c>
      <c r="B333" s="1939"/>
      <c r="C333" s="1939"/>
      <c r="D333" s="1939"/>
      <c r="E333" s="1939"/>
      <c r="F333" s="1939"/>
      <c r="G333" s="1939"/>
      <c r="H333" s="1939"/>
    </row>
    <row r="334" spans="1:8">
      <c r="A334" s="1940" t="s">
        <v>809</v>
      </c>
      <c r="B334" s="1939"/>
      <c r="C334" s="1939"/>
      <c r="D334" s="1939"/>
      <c r="E334" s="1939"/>
      <c r="F334" s="1939"/>
      <c r="G334" s="1939"/>
      <c r="H334" s="1939"/>
    </row>
    <row r="335" spans="1:8">
      <c r="A335" s="1940" t="s">
        <v>810</v>
      </c>
      <c r="B335" s="1939"/>
      <c r="C335" s="1939"/>
      <c r="D335" s="1939"/>
      <c r="E335" s="1939"/>
      <c r="F335" s="1939"/>
      <c r="G335" s="1939"/>
      <c r="H335" s="1939"/>
    </row>
    <row r="336" spans="1:8">
      <c r="A336" s="1940" t="s">
        <v>811</v>
      </c>
      <c r="B336" s="1939"/>
      <c r="C336" s="1939"/>
      <c r="D336" s="1939"/>
      <c r="E336" s="1939"/>
      <c r="F336" s="1939"/>
      <c r="G336" s="1939"/>
      <c r="H336" s="1939"/>
    </row>
    <row r="337" spans="1:8">
      <c r="A337" s="1940" t="s">
        <v>812</v>
      </c>
      <c r="B337" s="1939"/>
      <c r="C337" s="1939"/>
      <c r="D337" s="1939"/>
      <c r="E337" s="1939"/>
      <c r="F337" s="1939"/>
      <c r="G337" s="1939"/>
      <c r="H337" s="1939"/>
    </row>
    <row r="338" spans="1:8">
      <c r="A338" s="1939"/>
      <c r="B338" s="1939"/>
      <c r="C338" s="1939"/>
      <c r="D338" s="1939"/>
      <c r="E338" s="1939"/>
      <c r="F338" s="1939"/>
      <c r="G338" s="1939"/>
      <c r="H338" s="1939"/>
    </row>
    <row r="339" spans="1:8">
      <c r="A339" s="1940" t="s">
        <v>770</v>
      </c>
      <c r="B339" s="1939"/>
      <c r="C339" s="1939"/>
      <c r="D339" s="1939"/>
      <c r="E339" s="1939"/>
      <c r="F339" s="1939"/>
      <c r="G339" s="1939"/>
      <c r="H339" s="1939"/>
    </row>
    <row r="340" spans="1:8">
      <c r="A340" s="1940" t="s">
        <v>771</v>
      </c>
      <c r="B340" s="1939"/>
      <c r="C340" s="1939"/>
      <c r="D340" s="1939"/>
      <c r="E340" s="1939"/>
      <c r="F340" s="1939"/>
      <c r="G340" s="1939"/>
      <c r="H340" s="1939"/>
    </row>
    <row r="341" spans="1:8">
      <c r="A341" s="1940" t="s">
        <v>772</v>
      </c>
      <c r="B341" s="1939"/>
      <c r="C341" s="1939"/>
      <c r="D341" s="1939"/>
      <c r="E341" s="1939"/>
      <c r="F341" s="1939"/>
      <c r="G341" s="1939"/>
      <c r="H341" s="1939"/>
    </row>
    <row r="342" spans="1:8">
      <c r="A342" s="1940" t="s">
        <v>773</v>
      </c>
      <c r="B342" s="1939"/>
      <c r="C342" s="1939"/>
      <c r="D342" s="1939"/>
      <c r="E342" s="1939"/>
      <c r="F342" s="1939"/>
      <c r="G342" s="1939"/>
      <c r="H342" s="1939"/>
    </row>
    <row r="343" spans="1:8">
      <c r="A343" s="1940" t="s">
        <v>774</v>
      </c>
      <c r="B343" s="1939"/>
      <c r="C343" s="1939"/>
      <c r="D343" s="1939"/>
      <c r="E343" s="1939"/>
      <c r="F343" s="1939"/>
      <c r="G343" s="1939"/>
      <c r="H343" s="1939"/>
    </row>
    <row r="344" spans="1:8">
      <c r="A344" s="1940" t="s">
        <v>775</v>
      </c>
      <c r="B344" s="1939"/>
      <c r="C344" s="1939"/>
      <c r="D344" s="1939"/>
      <c r="E344" s="1939"/>
      <c r="F344" s="1939"/>
      <c r="G344" s="1939"/>
      <c r="H344" s="1939"/>
    </row>
    <row r="345" spans="1:8">
      <c r="A345" s="1940" t="s">
        <v>776</v>
      </c>
      <c r="B345" s="1939"/>
      <c r="C345" s="1939"/>
      <c r="D345" s="1939"/>
      <c r="E345" s="1939"/>
      <c r="F345" s="1939"/>
      <c r="G345" s="1939"/>
      <c r="H345" s="1939"/>
    </row>
    <row r="346" spans="1:8">
      <c r="A346" s="1940" t="s">
        <v>777</v>
      </c>
      <c r="B346" s="1939"/>
      <c r="C346" s="1939"/>
      <c r="D346" s="1939"/>
      <c r="E346" s="1939"/>
      <c r="F346" s="1939"/>
      <c r="G346" s="1939"/>
      <c r="H346" s="1939"/>
    </row>
    <row r="347" spans="1:8">
      <c r="A347" s="1940" t="s">
        <v>778</v>
      </c>
      <c r="B347" s="1939"/>
      <c r="C347" s="1939"/>
      <c r="D347" s="1939"/>
      <c r="E347" s="1939"/>
      <c r="F347" s="1939"/>
      <c r="G347" s="1939"/>
      <c r="H347" s="1939"/>
    </row>
    <row r="348" spans="1:8">
      <c r="A348" s="1940" t="s">
        <v>779</v>
      </c>
      <c r="B348" s="1939"/>
      <c r="C348" s="1939"/>
      <c r="D348" s="1939"/>
      <c r="E348" s="1939"/>
      <c r="F348" s="1939"/>
      <c r="G348" s="1939"/>
      <c r="H348" s="1939"/>
    </row>
    <row r="349" spans="1:8">
      <c r="A349" s="1940" t="s">
        <v>780</v>
      </c>
      <c r="B349" s="1939"/>
      <c r="C349" s="1939"/>
      <c r="D349" s="1939"/>
      <c r="E349" s="1939"/>
      <c r="F349" s="1939"/>
      <c r="G349" s="1939"/>
      <c r="H349" s="1939"/>
    </row>
    <row r="350" spans="1:8">
      <c r="A350" s="1940" t="s">
        <v>781</v>
      </c>
      <c r="B350" s="1939"/>
      <c r="C350" s="1939"/>
      <c r="D350" s="1939"/>
      <c r="E350" s="1939"/>
      <c r="F350" s="1939"/>
      <c r="G350" s="1939"/>
      <c r="H350" s="1939"/>
    </row>
    <row r="351" spans="1:8">
      <c r="A351" s="1940" t="s">
        <v>782</v>
      </c>
      <c r="B351" s="1939"/>
      <c r="C351" s="1939"/>
      <c r="D351" s="1939"/>
      <c r="E351" s="1939"/>
      <c r="F351" s="1939"/>
      <c r="G351" s="1939"/>
      <c r="H351" s="1939"/>
    </row>
    <row r="352" spans="1:8">
      <c r="A352" s="1940" t="s">
        <v>783</v>
      </c>
      <c r="B352" s="1939"/>
      <c r="C352" s="1939"/>
      <c r="D352" s="1939"/>
      <c r="E352" s="1939"/>
      <c r="F352" s="1939"/>
      <c r="G352" s="1939"/>
      <c r="H352" s="1939"/>
    </row>
    <row r="353" spans="1:8">
      <c r="A353" s="1940" t="s">
        <v>784</v>
      </c>
      <c r="B353" s="1939"/>
      <c r="C353" s="1939"/>
      <c r="D353" s="1939"/>
      <c r="E353" s="1939"/>
      <c r="F353" s="1939"/>
      <c r="G353" s="1939"/>
      <c r="H353" s="1939"/>
    </row>
    <row r="354" spans="1:8">
      <c r="A354" s="1940" t="s">
        <v>785</v>
      </c>
      <c r="B354" s="1939"/>
      <c r="C354" s="1939"/>
      <c r="D354" s="1939"/>
      <c r="E354" s="1939"/>
      <c r="F354" s="1939"/>
      <c r="G354" s="1939"/>
      <c r="H354" s="1939"/>
    </row>
    <row r="355" spans="1:8">
      <c r="A355" s="1940" t="s">
        <v>786</v>
      </c>
      <c r="B355" s="1939"/>
      <c r="C355" s="1939"/>
      <c r="D355" s="1939"/>
      <c r="E355" s="1939"/>
      <c r="F355" s="1939"/>
      <c r="G355" s="1939"/>
      <c r="H355" s="1939"/>
    </row>
    <row r="356" spans="1:8">
      <c r="A356" s="1940" t="s">
        <v>787</v>
      </c>
      <c r="B356" s="1939"/>
      <c r="C356" s="1939"/>
      <c r="D356" s="1939"/>
      <c r="E356" s="1939"/>
      <c r="F356" s="1939"/>
      <c r="G356" s="1939"/>
      <c r="H356" s="1939"/>
    </row>
    <row r="357" spans="1:8">
      <c r="A357" s="1940" t="s">
        <v>788</v>
      </c>
      <c r="B357" s="1939"/>
      <c r="C357" s="1939"/>
      <c r="D357" s="1939"/>
      <c r="E357" s="1939"/>
      <c r="F357" s="1939"/>
      <c r="G357" s="1939"/>
      <c r="H357" s="1939"/>
    </row>
    <row r="358" spans="1:8">
      <c r="A358" s="1940" t="s">
        <v>789</v>
      </c>
      <c r="B358" s="1939"/>
      <c r="C358" s="1939"/>
      <c r="D358" s="1939"/>
      <c r="E358" s="1939"/>
      <c r="F358" s="1939"/>
      <c r="G358" s="1939"/>
      <c r="H358" s="1939"/>
    </row>
    <row r="359" spans="1:8">
      <c r="A359" s="1940" t="s">
        <v>790</v>
      </c>
      <c r="B359" s="1939"/>
      <c r="C359" s="1939"/>
      <c r="D359" s="1939"/>
      <c r="E359" s="1939"/>
      <c r="F359" s="1939"/>
      <c r="G359" s="1939"/>
      <c r="H359" s="1939"/>
    </row>
    <row r="360" spans="1:8">
      <c r="A360" s="1940" t="s">
        <v>791</v>
      </c>
      <c r="B360" s="1939"/>
      <c r="C360" s="1939"/>
      <c r="D360" s="1939"/>
      <c r="E360" s="1939"/>
      <c r="F360" s="1939"/>
      <c r="G360" s="1939"/>
      <c r="H360" s="1939"/>
    </row>
    <row r="361" spans="1:8">
      <c r="A361" s="1940" t="s">
        <v>792</v>
      </c>
      <c r="B361" s="1939"/>
      <c r="C361" s="1939"/>
      <c r="D361" s="1939"/>
      <c r="E361" s="1939"/>
      <c r="F361" s="1939"/>
      <c r="G361" s="1939"/>
      <c r="H361" s="1939"/>
    </row>
    <row r="362" spans="1:8">
      <c r="A362" s="1940" t="s">
        <v>793</v>
      </c>
      <c r="B362" s="1939"/>
      <c r="C362" s="1939"/>
      <c r="D362" s="1939"/>
      <c r="E362" s="1939"/>
      <c r="F362" s="1939"/>
      <c r="G362" s="1939"/>
      <c r="H362" s="1939"/>
    </row>
    <row r="363" spans="1:8">
      <c r="A363" s="1940" t="s">
        <v>794</v>
      </c>
      <c r="B363" s="1939"/>
      <c r="C363" s="1939"/>
      <c r="D363" s="1939"/>
      <c r="E363" s="1939"/>
      <c r="F363" s="1939"/>
      <c r="G363" s="1939"/>
      <c r="H363" s="1939"/>
    </row>
    <row r="364" spans="1:8">
      <c r="A364" s="1940" t="s">
        <v>795</v>
      </c>
      <c r="B364" s="1939"/>
      <c r="C364" s="1939"/>
      <c r="D364" s="1939"/>
      <c r="E364" s="1939"/>
      <c r="F364" s="1939"/>
      <c r="G364" s="1939"/>
      <c r="H364" s="1939"/>
    </row>
    <row r="365" spans="1:8">
      <c r="A365" s="1940" t="s">
        <v>796</v>
      </c>
      <c r="B365" s="1939"/>
      <c r="C365" s="1939"/>
      <c r="D365" s="1939"/>
      <c r="E365" s="1939"/>
      <c r="F365" s="1939"/>
      <c r="G365" s="1939"/>
      <c r="H365" s="1939"/>
    </row>
    <row r="366" spans="1:8">
      <c r="A366" s="1940" t="s">
        <v>797</v>
      </c>
      <c r="B366" s="1939"/>
      <c r="C366" s="1939"/>
      <c r="D366" s="1939"/>
      <c r="E366" s="1939"/>
      <c r="F366" s="1939"/>
      <c r="G366" s="1939"/>
      <c r="H366" s="1939"/>
    </row>
    <row r="367" spans="1:8">
      <c r="A367" s="1940" t="s">
        <v>798</v>
      </c>
      <c r="B367" s="1939"/>
      <c r="C367" s="1939"/>
      <c r="D367" s="1939"/>
      <c r="E367" s="1939"/>
      <c r="F367" s="1939"/>
      <c r="G367" s="1939"/>
      <c r="H367" s="1939"/>
    </row>
    <row r="368" spans="1:8">
      <c r="A368" s="1940" t="s">
        <v>799</v>
      </c>
      <c r="B368" s="1939"/>
      <c r="C368" s="1939"/>
      <c r="D368" s="1939"/>
      <c r="E368" s="1939"/>
      <c r="F368" s="1939"/>
      <c r="G368" s="1939"/>
      <c r="H368" s="1939"/>
    </row>
    <row r="369" spans="1:8">
      <c r="A369" s="1940" t="s">
        <v>800</v>
      </c>
      <c r="B369" s="1939"/>
      <c r="C369" s="1939"/>
      <c r="D369" s="1939"/>
      <c r="E369" s="1939"/>
      <c r="F369" s="1939"/>
      <c r="G369" s="1939"/>
      <c r="H369" s="1939"/>
    </row>
    <row r="370" spans="1:8">
      <c r="A370" s="1940" t="s">
        <v>801</v>
      </c>
      <c r="B370" s="1939"/>
      <c r="C370" s="1939"/>
      <c r="D370" s="1939"/>
      <c r="E370" s="1939"/>
      <c r="F370" s="1939"/>
      <c r="G370" s="1939"/>
      <c r="H370" s="1939"/>
    </row>
    <row r="371" spans="1:8">
      <c r="A371" s="1940" t="s">
        <v>802</v>
      </c>
      <c r="B371" s="1939"/>
      <c r="C371" s="1939"/>
      <c r="D371" s="1939"/>
      <c r="E371" s="1939"/>
      <c r="F371" s="1939"/>
      <c r="G371" s="1939"/>
      <c r="H371" s="1939"/>
    </row>
    <row r="372" spans="1:8">
      <c r="A372" s="1940" t="s">
        <v>803</v>
      </c>
      <c r="B372" s="1939"/>
      <c r="C372" s="1939"/>
      <c r="D372" s="1939"/>
      <c r="E372" s="1939"/>
      <c r="F372" s="1939"/>
      <c r="G372" s="1939"/>
      <c r="H372" s="1939"/>
    </row>
    <row r="373" spans="1:8">
      <c r="A373" s="1940" t="s">
        <v>804</v>
      </c>
      <c r="B373" s="1939"/>
      <c r="C373" s="1939"/>
      <c r="D373" s="1939"/>
      <c r="E373" s="1939"/>
      <c r="F373" s="1939"/>
      <c r="G373" s="1939"/>
      <c r="H373" s="1939"/>
    </row>
    <row r="374" spans="1:8">
      <c r="A374" s="1939"/>
      <c r="B374" s="1939"/>
      <c r="C374" s="1939"/>
      <c r="D374" s="1939"/>
      <c r="E374" s="1939"/>
      <c r="F374" s="1939"/>
      <c r="G374" s="1939"/>
      <c r="H374" s="1939"/>
    </row>
    <row r="375" spans="1:8">
      <c r="A375" s="1940" t="s">
        <v>762</v>
      </c>
      <c r="B375" s="1939"/>
      <c r="C375" s="1939"/>
      <c r="D375" s="1939"/>
      <c r="E375" s="1939"/>
      <c r="F375" s="1939"/>
      <c r="G375" s="1939"/>
      <c r="H375" s="1939"/>
    </row>
    <row r="376" spans="1:8">
      <c r="A376" s="1940" t="s">
        <v>766</v>
      </c>
      <c r="B376" s="1939"/>
      <c r="C376" s="1939"/>
      <c r="D376" s="1939"/>
      <c r="E376" s="1939"/>
      <c r="F376" s="1939"/>
      <c r="G376" s="1939"/>
      <c r="H376" s="1939"/>
    </row>
    <row r="377" spans="1:8">
      <c r="A377" s="1940" t="s">
        <v>767</v>
      </c>
      <c r="B377" s="1939"/>
      <c r="C377" s="1939"/>
      <c r="D377" s="1939"/>
      <c r="E377" s="1939"/>
      <c r="F377" s="1939"/>
      <c r="G377" s="1939"/>
      <c r="H377" s="1939"/>
    </row>
    <row r="378" spans="1:8">
      <c r="A378" s="1940" t="s">
        <v>768</v>
      </c>
      <c r="B378" s="1939"/>
      <c r="C378" s="1939"/>
      <c r="D378" s="1939"/>
      <c r="E378" s="1939"/>
      <c r="F378" s="1939"/>
      <c r="G378" s="1939"/>
      <c r="H378" s="1939"/>
    </row>
    <row r="379" spans="1:8">
      <c r="A379" s="1940" t="s">
        <v>769</v>
      </c>
      <c r="B379" s="1939"/>
      <c r="C379" s="1939"/>
      <c r="D379" s="1939"/>
      <c r="E379" s="1939"/>
      <c r="F379" s="1939"/>
      <c r="G379" s="1939"/>
      <c r="H379" s="1939"/>
    </row>
    <row r="380" spans="1:8">
      <c r="A380" s="1939"/>
      <c r="B380" s="1939"/>
      <c r="C380" s="1939"/>
      <c r="D380" s="1939"/>
      <c r="E380" s="1939"/>
      <c r="F380" s="1939"/>
      <c r="G380" s="1939"/>
      <c r="H380" s="1939"/>
    </row>
    <row r="381" spans="1:8">
      <c r="A381" s="1940" t="s">
        <v>762</v>
      </c>
      <c r="B381" s="1939"/>
      <c r="C381" s="1939"/>
      <c r="D381" s="1939"/>
      <c r="E381" s="1939"/>
      <c r="F381" s="1939"/>
      <c r="G381" s="1939"/>
      <c r="H381" s="1939"/>
    </row>
    <row r="382" spans="1:8">
      <c r="A382" s="1940" t="s">
        <v>763</v>
      </c>
      <c r="B382" s="1939"/>
      <c r="C382" s="1939"/>
      <c r="D382" s="1939"/>
      <c r="E382" s="1939"/>
      <c r="F382" s="1939"/>
      <c r="G382" s="1939"/>
      <c r="H382" s="1939"/>
    </row>
    <row r="383" spans="1:8">
      <c r="A383" s="1940" t="s">
        <v>764</v>
      </c>
      <c r="B383" s="1939"/>
      <c r="C383" s="1939"/>
      <c r="D383" s="1939"/>
      <c r="E383" s="1939"/>
      <c r="F383" s="1939"/>
      <c r="G383" s="1939"/>
      <c r="H383" s="1939"/>
    </row>
    <row r="384" spans="1:8">
      <c r="A384" s="1940" t="s">
        <v>765</v>
      </c>
      <c r="B384" s="1939"/>
      <c r="C384" s="1939"/>
      <c r="D384" s="1939"/>
      <c r="E384" s="1939"/>
      <c r="F384" s="1939"/>
      <c r="G384" s="1939"/>
      <c r="H384" s="1939"/>
    </row>
    <row r="385" spans="1:8">
      <c r="A385" s="1939"/>
      <c r="B385" s="1939"/>
      <c r="C385" s="1939"/>
      <c r="D385" s="1939"/>
      <c r="E385" s="1939"/>
      <c r="F385" s="1939"/>
      <c r="G385" s="1939"/>
      <c r="H385" s="1939"/>
    </row>
    <row r="386" spans="1:8">
      <c r="A386" s="1940" t="s">
        <v>756</v>
      </c>
      <c r="B386" s="1939"/>
      <c r="C386" s="1939"/>
      <c r="D386" s="1939"/>
      <c r="E386" s="1939"/>
      <c r="F386" s="1939"/>
      <c r="G386" s="1939"/>
      <c r="H386" s="1939"/>
    </row>
    <row r="387" spans="1:8">
      <c r="A387" s="1940" t="s">
        <v>757</v>
      </c>
      <c r="B387" s="1939"/>
      <c r="C387" s="1939"/>
      <c r="D387" s="1939"/>
      <c r="E387" s="1939"/>
      <c r="F387" s="1939"/>
      <c r="G387" s="1939"/>
      <c r="H387" s="1939"/>
    </row>
    <row r="388" spans="1:8">
      <c r="A388" s="1940" t="s">
        <v>758</v>
      </c>
      <c r="B388" s="1939"/>
      <c r="C388" s="1939"/>
      <c r="D388" s="1939"/>
      <c r="E388" s="1939"/>
      <c r="F388" s="1939"/>
      <c r="G388" s="1939"/>
      <c r="H388" s="1939"/>
    </row>
    <row r="389" spans="1:8">
      <c r="A389" s="1940" t="s">
        <v>759</v>
      </c>
      <c r="B389" s="1939"/>
      <c r="C389" s="1939"/>
      <c r="D389" s="1939"/>
      <c r="E389" s="1939"/>
      <c r="F389" s="1939"/>
      <c r="G389" s="1939"/>
      <c r="H389" s="1939"/>
    </row>
    <row r="390" spans="1:8">
      <c r="A390" s="1940" t="s">
        <v>760</v>
      </c>
      <c r="B390" s="1939"/>
      <c r="C390" s="1939"/>
      <c r="D390" s="1939"/>
      <c r="E390" s="1939"/>
      <c r="F390" s="1939"/>
      <c r="G390" s="1939"/>
      <c r="H390" s="1939"/>
    </row>
    <row r="391" spans="1:8">
      <c r="A391" s="1940" t="s">
        <v>761</v>
      </c>
      <c r="B391" s="1939"/>
      <c r="C391" s="1939"/>
      <c r="D391" s="1939"/>
      <c r="E391" s="1939"/>
      <c r="F391" s="1939"/>
      <c r="G391" s="1939"/>
      <c r="H391" s="1939"/>
    </row>
    <row r="392" spans="1:8">
      <c r="A392" s="1939"/>
      <c r="B392" s="1939"/>
      <c r="C392" s="1939"/>
      <c r="D392" s="1939"/>
      <c r="E392" s="1939"/>
      <c r="F392" s="1939"/>
      <c r="G392" s="1939"/>
      <c r="H392" s="1939"/>
    </row>
    <row r="393" spans="1:8">
      <c r="A393" s="1940" t="s">
        <v>751</v>
      </c>
      <c r="B393" s="1939"/>
      <c r="C393" s="1939"/>
      <c r="D393" s="1939"/>
      <c r="E393" s="1939"/>
      <c r="F393" s="1939"/>
      <c r="G393" s="1939"/>
      <c r="H393" s="1939"/>
    </row>
    <row r="394" spans="1:8">
      <c r="A394" s="1940" t="s">
        <v>752</v>
      </c>
      <c r="B394" s="1939"/>
      <c r="C394" s="1939"/>
      <c r="D394" s="1939"/>
      <c r="E394" s="1939"/>
      <c r="F394" s="1939"/>
      <c r="G394" s="1939"/>
      <c r="H394" s="1939"/>
    </row>
    <row r="395" spans="1:8">
      <c r="A395" s="1940" t="s">
        <v>753</v>
      </c>
      <c r="B395" s="1939"/>
      <c r="C395" s="1939"/>
      <c r="D395" s="1939"/>
      <c r="E395" s="1939"/>
      <c r="F395" s="1939"/>
      <c r="G395" s="1939"/>
      <c r="H395" s="1939"/>
    </row>
    <row r="396" spans="1:8">
      <c r="A396" s="1940" t="s">
        <v>754</v>
      </c>
      <c r="B396" s="1939"/>
      <c r="C396" s="1939"/>
      <c r="D396" s="1939"/>
      <c r="E396" s="1939"/>
      <c r="F396" s="1939"/>
      <c r="G396" s="1939"/>
      <c r="H396" s="1939"/>
    </row>
    <row r="397" spans="1:8">
      <c r="A397" s="1940" t="s">
        <v>755</v>
      </c>
      <c r="B397" s="1939"/>
      <c r="C397" s="1939"/>
      <c r="D397" s="1939"/>
      <c r="E397" s="1939"/>
      <c r="F397" s="1939"/>
      <c r="G397" s="1939"/>
      <c r="H397" s="1939"/>
    </row>
    <row r="398" spans="1:8">
      <c r="A398" s="1939"/>
      <c r="B398" s="1939"/>
      <c r="C398" s="1939"/>
      <c r="D398" s="1939"/>
      <c r="E398" s="1939"/>
      <c r="F398" s="1939"/>
      <c r="G398" s="1939"/>
      <c r="H398" s="1939"/>
    </row>
    <row r="399" spans="1:8">
      <c r="A399" s="1940" t="s">
        <v>749</v>
      </c>
      <c r="B399" s="1939"/>
      <c r="C399" s="1939"/>
      <c r="D399" s="1939"/>
      <c r="E399" s="1939"/>
      <c r="F399" s="1939"/>
      <c r="G399" s="1939"/>
      <c r="H399" s="1939"/>
    </row>
    <row r="400" spans="1:8">
      <c r="A400" s="1940" t="s">
        <v>750</v>
      </c>
      <c r="B400" s="1939"/>
      <c r="C400" s="1939"/>
      <c r="D400" s="1939"/>
      <c r="E400" s="1939"/>
      <c r="F400" s="1939"/>
      <c r="G400" s="1939"/>
      <c r="H400" s="1939"/>
    </row>
    <row r="402" spans="1:1">
      <c r="A402" s="1935" t="s">
        <v>1016</v>
      </c>
    </row>
  </sheetData>
  <mergeCells count="12">
    <mergeCell ref="A122:H122"/>
    <mergeCell ref="A129:H129"/>
    <mergeCell ref="A116:H116"/>
    <mergeCell ref="A117:H117"/>
    <mergeCell ref="A118:H118"/>
    <mergeCell ref="A119:H119"/>
    <mergeCell ref="A121:H121"/>
    <mergeCell ref="A137:H137"/>
    <mergeCell ref="A138:H138"/>
    <mergeCell ref="B130:C130"/>
    <mergeCell ref="D130:F130"/>
    <mergeCell ref="G130:H130"/>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B11"/>
  <sheetViews>
    <sheetView showGridLines="0" showRowColHeaders="0" workbookViewId="0">
      <selection activeCell="N1" sqref="N1"/>
    </sheetView>
  </sheetViews>
  <sheetFormatPr defaultRowHeight="12.75"/>
  <cols>
    <col min="1" max="1" width="9.140625" style="1"/>
    <col min="2" max="2" width="88.28515625" style="1" customWidth="1"/>
    <col min="3" max="257" width="9.140625" style="1"/>
    <col min="258" max="258" width="88.28515625" style="1" customWidth="1"/>
    <col min="259" max="513" width="9.140625" style="1"/>
    <col min="514" max="514" width="88.28515625" style="1" customWidth="1"/>
    <col min="515" max="769" width="9.140625" style="1"/>
    <col min="770" max="770" width="88.28515625" style="1" customWidth="1"/>
    <col min="771" max="1025" width="9.140625" style="1"/>
    <col min="1026" max="1026" width="88.28515625" style="1" customWidth="1"/>
    <col min="1027" max="1281" width="9.140625" style="1"/>
    <col min="1282" max="1282" width="88.28515625" style="1" customWidth="1"/>
    <col min="1283" max="1537" width="9.140625" style="1"/>
    <col min="1538" max="1538" width="88.28515625" style="1" customWidth="1"/>
    <col min="1539" max="1793" width="9.140625" style="1"/>
    <col min="1794" max="1794" width="88.28515625" style="1" customWidth="1"/>
    <col min="1795" max="2049" width="9.140625" style="1"/>
    <col min="2050" max="2050" width="88.28515625" style="1" customWidth="1"/>
    <col min="2051" max="2305" width="9.140625" style="1"/>
    <col min="2306" max="2306" width="88.28515625" style="1" customWidth="1"/>
    <col min="2307" max="2561" width="9.140625" style="1"/>
    <col min="2562" max="2562" width="88.28515625" style="1" customWidth="1"/>
    <col min="2563" max="2817" width="9.140625" style="1"/>
    <col min="2818" max="2818" width="88.28515625" style="1" customWidth="1"/>
    <col min="2819" max="3073" width="9.140625" style="1"/>
    <col min="3074" max="3074" width="88.28515625" style="1" customWidth="1"/>
    <col min="3075" max="3329" width="9.140625" style="1"/>
    <col min="3330" max="3330" width="88.28515625" style="1" customWidth="1"/>
    <col min="3331" max="3585" width="9.140625" style="1"/>
    <col min="3586" max="3586" width="88.28515625" style="1" customWidth="1"/>
    <col min="3587" max="3841" width="9.140625" style="1"/>
    <col min="3842" max="3842" width="88.28515625" style="1" customWidth="1"/>
    <col min="3843" max="4097" width="9.140625" style="1"/>
    <col min="4098" max="4098" width="88.28515625" style="1" customWidth="1"/>
    <col min="4099" max="4353" width="9.140625" style="1"/>
    <col min="4354" max="4354" width="88.28515625" style="1" customWidth="1"/>
    <col min="4355" max="4609" width="9.140625" style="1"/>
    <col min="4610" max="4610" width="88.28515625" style="1" customWidth="1"/>
    <col min="4611" max="4865" width="9.140625" style="1"/>
    <col min="4866" max="4866" width="88.28515625" style="1" customWidth="1"/>
    <col min="4867" max="5121" width="9.140625" style="1"/>
    <col min="5122" max="5122" width="88.28515625" style="1" customWidth="1"/>
    <col min="5123" max="5377" width="9.140625" style="1"/>
    <col min="5378" max="5378" width="88.28515625" style="1" customWidth="1"/>
    <col min="5379" max="5633" width="9.140625" style="1"/>
    <col min="5634" max="5634" width="88.28515625" style="1" customWidth="1"/>
    <col min="5635" max="5889" width="9.140625" style="1"/>
    <col min="5890" max="5890" width="88.28515625" style="1" customWidth="1"/>
    <col min="5891" max="6145" width="9.140625" style="1"/>
    <col min="6146" max="6146" width="88.28515625" style="1" customWidth="1"/>
    <col min="6147" max="6401" width="9.140625" style="1"/>
    <col min="6402" max="6402" width="88.28515625" style="1" customWidth="1"/>
    <col min="6403" max="6657" width="9.140625" style="1"/>
    <col min="6658" max="6658" width="88.28515625" style="1" customWidth="1"/>
    <col min="6659" max="6913" width="9.140625" style="1"/>
    <col min="6914" max="6914" width="88.28515625" style="1" customWidth="1"/>
    <col min="6915" max="7169" width="9.140625" style="1"/>
    <col min="7170" max="7170" width="88.28515625" style="1" customWidth="1"/>
    <col min="7171" max="7425" width="9.140625" style="1"/>
    <col min="7426" max="7426" width="88.28515625" style="1" customWidth="1"/>
    <col min="7427" max="7681" width="9.140625" style="1"/>
    <col min="7682" max="7682" width="88.28515625" style="1" customWidth="1"/>
    <col min="7683" max="7937" width="9.140625" style="1"/>
    <col min="7938" max="7938" width="88.28515625" style="1" customWidth="1"/>
    <col min="7939" max="8193" width="9.140625" style="1"/>
    <col min="8194" max="8194" width="88.28515625" style="1" customWidth="1"/>
    <col min="8195" max="8449" width="9.140625" style="1"/>
    <col min="8450" max="8450" width="88.28515625" style="1" customWidth="1"/>
    <col min="8451" max="8705" width="9.140625" style="1"/>
    <col min="8706" max="8706" width="88.28515625" style="1" customWidth="1"/>
    <col min="8707" max="8961" width="9.140625" style="1"/>
    <col min="8962" max="8962" width="88.28515625" style="1" customWidth="1"/>
    <col min="8963" max="9217" width="9.140625" style="1"/>
    <col min="9218" max="9218" width="88.28515625" style="1" customWidth="1"/>
    <col min="9219" max="9473" width="9.140625" style="1"/>
    <col min="9474" max="9474" width="88.28515625" style="1" customWidth="1"/>
    <col min="9475" max="9729" width="9.140625" style="1"/>
    <col min="9730" max="9730" width="88.28515625" style="1" customWidth="1"/>
    <col min="9731" max="9985" width="9.140625" style="1"/>
    <col min="9986" max="9986" width="88.28515625" style="1" customWidth="1"/>
    <col min="9987" max="10241" width="9.140625" style="1"/>
    <col min="10242" max="10242" width="88.28515625" style="1" customWidth="1"/>
    <col min="10243" max="10497" width="9.140625" style="1"/>
    <col min="10498" max="10498" width="88.28515625" style="1" customWidth="1"/>
    <col min="10499" max="10753" width="9.140625" style="1"/>
    <col min="10754" max="10754" width="88.28515625" style="1" customWidth="1"/>
    <col min="10755" max="11009" width="9.140625" style="1"/>
    <col min="11010" max="11010" width="88.28515625" style="1" customWidth="1"/>
    <col min="11011" max="11265" width="9.140625" style="1"/>
    <col min="11266" max="11266" width="88.28515625" style="1" customWidth="1"/>
    <col min="11267" max="11521" width="9.140625" style="1"/>
    <col min="11522" max="11522" width="88.28515625" style="1" customWidth="1"/>
    <col min="11523" max="11777" width="9.140625" style="1"/>
    <col min="11778" max="11778" width="88.28515625" style="1" customWidth="1"/>
    <col min="11779" max="12033" width="9.140625" style="1"/>
    <col min="12034" max="12034" width="88.28515625" style="1" customWidth="1"/>
    <col min="12035" max="12289" width="9.140625" style="1"/>
    <col min="12290" max="12290" width="88.28515625" style="1" customWidth="1"/>
    <col min="12291" max="12545" width="9.140625" style="1"/>
    <col min="12546" max="12546" width="88.28515625" style="1" customWidth="1"/>
    <col min="12547" max="12801" width="9.140625" style="1"/>
    <col min="12802" max="12802" width="88.28515625" style="1" customWidth="1"/>
    <col min="12803" max="13057" width="9.140625" style="1"/>
    <col min="13058" max="13058" width="88.28515625" style="1" customWidth="1"/>
    <col min="13059" max="13313" width="9.140625" style="1"/>
    <col min="13314" max="13314" width="88.28515625" style="1" customWidth="1"/>
    <col min="13315" max="13569" width="9.140625" style="1"/>
    <col min="13570" max="13570" width="88.28515625" style="1" customWidth="1"/>
    <col min="13571" max="13825" width="9.140625" style="1"/>
    <col min="13826" max="13826" width="88.28515625" style="1" customWidth="1"/>
    <col min="13827" max="14081" width="9.140625" style="1"/>
    <col min="14082" max="14082" width="88.28515625" style="1" customWidth="1"/>
    <col min="14083" max="14337" width="9.140625" style="1"/>
    <col min="14338" max="14338" width="88.28515625" style="1" customWidth="1"/>
    <col min="14339" max="14593" width="9.140625" style="1"/>
    <col min="14594" max="14594" width="88.28515625" style="1" customWidth="1"/>
    <col min="14595" max="14849" width="9.140625" style="1"/>
    <col min="14850" max="14850" width="88.28515625" style="1" customWidth="1"/>
    <col min="14851" max="15105" width="9.140625" style="1"/>
    <col min="15106" max="15106" width="88.28515625" style="1" customWidth="1"/>
    <col min="15107" max="15361" width="9.140625" style="1"/>
    <col min="15362" max="15362" width="88.28515625" style="1" customWidth="1"/>
    <col min="15363" max="15617" width="9.140625" style="1"/>
    <col min="15618" max="15618" width="88.28515625" style="1" customWidth="1"/>
    <col min="15619" max="15873" width="9.140625" style="1"/>
    <col min="15874" max="15874" width="88.28515625" style="1" customWidth="1"/>
    <col min="15875" max="16129" width="9.140625" style="1"/>
    <col min="16130" max="16130" width="88.28515625" style="1" customWidth="1"/>
    <col min="16131" max="16384" width="9.140625" style="1"/>
  </cols>
  <sheetData>
    <row r="1" spans="2:2" ht="32.25" customHeight="1"/>
    <row r="2" spans="2:2" ht="72" hidden="1">
      <c r="B2" s="1951" t="s">
        <v>1085</v>
      </c>
    </row>
    <row r="3" spans="2:2" ht="72">
      <c r="B3" s="1951" t="s">
        <v>1086</v>
      </c>
    </row>
    <row r="4" spans="2:2" ht="18" hidden="1">
      <c r="B4" s="1951"/>
    </row>
    <row r="5" spans="2:2" ht="54" hidden="1">
      <c r="B5" s="1951" t="s">
        <v>1087</v>
      </c>
    </row>
    <row r="6" spans="2:2" ht="7.5" customHeight="1">
      <c r="B6" s="1951"/>
    </row>
    <row r="7" spans="2:2" ht="18">
      <c r="B7" s="1952" t="s">
        <v>1088</v>
      </c>
    </row>
    <row r="8" spans="2:2" ht="18">
      <c r="B8" s="1952" t="s">
        <v>1090</v>
      </c>
    </row>
    <row r="9" spans="2:2" ht="18">
      <c r="B9" s="1952" t="s">
        <v>1091</v>
      </c>
    </row>
    <row r="10" spans="2:2" ht="18">
      <c r="B10" s="1953"/>
    </row>
    <row r="11" spans="2:2" ht="54">
      <c r="B11" s="1954" t="s">
        <v>1089</v>
      </c>
    </row>
  </sheetData>
  <dataConsolidate/>
  <pageMargins left="0.75" right="0.75" top="1" bottom="1" header="0.5" footer="0.5"/>
  <pageSetup orientation="portrait" horizontalDpi="3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tabColor indexed="56"/>
  </sheetPr>
  <dimension ref="A1:AJ83"/>
  <sheetViews>
    <sheetView topLeftCell="H64" zoomScaleNormal="100" workbookViewId="0">
      <selection activeCell="W1" sqref="W1:AD6"/>
    </sheetView>
  </sheetViews>
  <sheetFormatPr defaultColWidth="9.140625" defaultRowHeight="12.75" outlineLevelCol="1"/>
  <cols>
    <col min="1" max="7" width="9.140625" style="42" hidden="1" customWidth="1" outlineLevel="1"/>
    <col min="8" max="8" width="3.28515625" style="42" customWidth="1" collapsed="1"/>
    <col min="9" max="9" width="3.28515625" style="42" customWidth="1"/>
    <col min="10" max="10" width="21.85546875" customWidth="1"/>
    <col min="11" max="12" width="4.42578125" customWidth="1"/>
    <col min="13" max="13" width="4.42578125" hidden="1" customWidth="1"/>
    <col min="14" max="21" width="9.140625" hidden="1" customWidth="1" outlineLevel="1"/>
    <col min="22" max="22" width="8.85546875" collapsed="1"/>
    <col min="23" max="23" width="9.5703125" customWidth="1"/>
    <col min="24" max="25" width="8.85546875"/>
    <col min="26" max="26" width="9.28515625" customWidth="1"/>
    <col min="27" max="30" width="8.85546875"/>
    <col min="31" max="32" width="8.42578125" style="42" customWidth="1"/>
    <col min="33" max="36" width="1.42578125" style="42" customWidth="1"/>
    <col min="37" max="16384" width="9.140625" style="42"/>
  </cols>
  <sheetData>
    <row r="1" spans="1:36" s="290" customFormat="1" ht="11.25">
      <c r="J1" s="63"/>
      <c r="K1" s="63"/>
      <c r="L1" s="63"/>
      <c r="M1" s="63"/>
      <c r="N1" s="63"/>
      <c r="O1" s="63"/>
      <c r="P1" s="63"/>
      <c r="Q1" s="63"/>
      <c r="R1" s="63"/>
      <c r="S1" s="63"/>
      <c r="T1" s="63"/>
      <c r="U1" s="63"/>
      <c r="V1" s="63"/>
      <c r="W1" s="500"/>
      <c r="X1" s="500"/>
      <c r="Y1" s="1098"/>
      <c r="Z1" s="1098"/>
      <c r="AA1" s="500"/>
      <c r="AB1" s="500"/>
      <c r="AC1" s="500"/>
      <c r="AD1" s="500"/>
    </row>
    <row r="2" spans="1:36" s="290" customFormat="1" ht="11.25">
      <c r="J2" s="419" t="s">
        <v>45</v>
      </c>
      <c r="K2" s="63"/>
      <c r="L2" s="63"/>
      <c r="M2" s="63"/>
      <c r="N2" s="63"/>
      <c r="O2" s="63"/>
      <c r="P2" s="63"/>
      <c r="Q2" s="4" t="s">
        <v>46</v>
      </c>
      <c r="R2" s="63"/>
      <c r="S2" s="63"/>
      <c r="T2" s="280" t="s">
        <v>48</v>
      </c>
      <c r="U2" s="280" t="s">
        <v>49</v>
      </c>
      <c r="V2" s="63"/>
      <c r="W2" s="500"/>
      <c r="X2" s="500"/>
      <c r="Y2" s="1926"/>
      <c r="Z2" s="1926"/>
      <c r="AA2" s="500"/>
      <c r="AB2" s="1927"/>
      <c r="AC2" s="1927"/>
      <c r="AD2" s="1927"/>
    </row>
    <row r="3" spans="1:36" s="290" customFormat="1" ht="12" customHeight="1">
      <c r="J3" s="404" t="s">
        <v>123</v>
      </c>
      <c r="K3" s="63"/>
      <c r="L3" s="63"/>
      <c r="M3" s="63"/>
      <c r="N3" s="11"/>
      <c r="O3" s="63"/>
      <c r="P3" s="63"/>
      <c r="Q3" s="63" t="s">
        <v>47</v>
      </c>
      <c r="R3" s="63"/>
      <c r="S3" s="63"/>
      <c r="T3" s="276">
        <f>AE10</f>
        <v>0</v>
      </c>
      <c r="U3" s="276">
        <f>AF10</f>
        <v>0</v>
      </c>
      <c r="V3" s="63"/>
      <c r="W3" s="500"/>
      <c r="X3" s="1928"/>
      <c r="Y3" s="500"/>
      <c r="Z3" s="500"/>
      <c r="AA3" s="500"/>
      <c r="AB3" s="1929"/>
      <c r="AC3" s="1929"/>
      <c r="AD3" s="1929"/>
    </row>
    <row r="4" spans="1:36" s="290" customFormat="1" ht="12" customHeight="1">
      <c r="J4" s="404" t="s">
        <v>408</v>
      </c>
      <c r="K4" s="63"/>
      <c r="L4" s="63"/>
      <c r="M4" s="63"/>
      <c r="N4" s="63"/>
      <c r="O4" s="63"/>
      <c r="P4" s="63"/>
      <c r="Q4" s="63" t="s">
        <v>50</v>
      </c>
      <c r="R4" s="63"/>
      <c r="S4" s="63"/>
      <c r="T4" s="276">
        <f>AE11</f>
        <v>0</v>
      </c>
      <c r="U4" s="276">
        <f>AF11</f>
        <v>0</v>
      </c>
      <c r="V4" s="63"/>
      <c r="W4" s="500"/>
      <c r="X4" s="1930"/>
      <c r="Y4" s="500"/>
      <c r="Z4" s="500"/>
      <c r="AA4" s="1927"/>
      <c r="AB4" s="511"/>
      <c r="AC4" s="511"/>
      <c r="AD4" s="511"/>
    </row>
    <row r="5" spans="1:36" s="290" customFormat="1" ht="12" customHeight="1">
      <c r="J5" s="404" t="s">
        <v>117</v>
      </c>
      <c r="K5" s="63"/>
      <c r="L5" s="63"/>
      <c r="M5" s="63"/>
      <c r="N5" s="63"/>
      <c r="O5" s="63"/>
      <c r="P5" s="63"/>
      <c r="Q5" s="63" t="s">
        <v>53</v>
      </c>
      <c r="R5" s="63"/>
      <c r="S5" s="63"/>
      <c r="T5" s="276"/>
      <c r="U5" s="276"/>
      <c r="V5" s="63"/>
      <c r="W5" s="500"/>
      <c r="X5" s="1931"/>
      <c r="Y5" s="500"/>
      <c r="Z5" s="1932"/>
      <c r="AA5" s="1927"/>
      <c r="AB5" s="511"/>
      <c r="AC5" s="511"/>
      <c r="AD5" s="511"/>
    </row>
    <row r="6" spans="1:36" s="290" customFormat="1" ht="12" customHeight="1">
      <c r="J6" s="404"/>
      <c r="K6" s="63"/>
      <c r="L6" s="63"/>
      <c r="M6" s="63"/>
      <c r="N6" s="63"/>
      <c r="O6" s="63"/>
      <c r="P6" s="63"/>
      <c r="Q6" s="63"/>
      <c r="R6" s="63"/>
      <c r="S6" s="63"/>
      <c r="T6" s="276"/>
      <c r="U6" s="276"/>
      <c r="V6" s="63"/>
      <c r="W6" s="500"/>
      <c r="X6" s="1931"/>
      <c r="Y6" s="500"/>
      <c r="Z6" s="1932"/>
      <c r="AA6" s="1927"/>
      <c r="AB6" s="511"/>
      <c r="AC6" s="511"/>
      <c r="AD6" s="511"/>
    </row>
    <row r="7" spans="1:36" s="290" customFormat="1" ht="15.75" customHeight="1">
      <c r="J7" s="63"/>
      <c r="K7" s="63"/>
      <c r="L7" s="63"/>
      <c r="M7" s="63"/>
      <c r="N7" s="63"/>
      <c r="O7" s="63"/>
      <c r="P7" s="63"/>
      <c r="Q7" s="63"/>
      <c r="R7" s="63"/>
      <c r="S7" s="63"/>
      <c r="T7" s="63"/>
      <c r="U7" s="63"/>
      <c r="V7" s="278">
        <v>910009.32</v>
      </c>
      <c r="W7" s="278">
        <v>1169680.4794619998</v>
      </c>
      <c r="X7" s="278">
        <v>1421629.6547381147</v>
      </c>
      <c r="Y7" s="278">
        <v>1698563.1114810994</v>
      </c>
      <c r="Z7" s="278">
        <v>1976957.6054528514</v>
      </c>
      <c r="AA7" s="278">
        <v>2239892.9669780806</v>
      </c>
      <c r="AB7" s="278">
        <v>2457050.5901266057</v>
      </c>
      <c r="AC7" s="278">
        <v>2657300.2132219239</v>
      </c>
      <c r="AD7" s="278">
        <v>2846499.988403325</v>
      </c>
    </row>
    <row r="8" spans="1:36" s="290" customFormat="1" ht="13.5">
      <c r="A8" s="289"/>
      <c r="B8" s="289"/>
      <c r="C8" s="289"/>
      <c r="D8" s="289"/>
      <c r="E8" s="289"/>
      <c r="F8" s="289"/>
      <c r="G8" s="289"/>
      <c r="H8" s="555"/>
      <c r="I8" s="555"/>
      <c r="J8" s="845" t="s">
        <v>255</v>
      </c>
      <c r="K8" s="845"/>
      <c r="L8" s="846"/>
      <c r="M8" s="845"/>
      <c r="N8" s="1964" t="s">
        <v>9</v>
      </c>
      <c r="O8" s="1964"/>
      <c r="P8" s="1964"/>
      <c r="Q8" s="1964"/>
      <c r="R8" s="1964"/>
      <c r="S8" s="1964"/>
      <c r="T8" s="1964"/>
      <c r="U8" s="1964"/>
      <c r="V8" s="1964" t="s">
        <v>10</v>
      </c>
      <c r="W8" s="1964"/>
      <c r="X8" s="1964"/>
      <c r="Y8" s="1964"/>
      <c r="Z8" s="1964"/>
      <c r="AA8" s="1964"/>
      <c r="AB8" s="1964"/>
      <c r="AC8" s="1964"/>
      <c r="AD8" s="1964"/>
      <c r="AE8" s="1963"/>
      <c r="AF8" s="1963"/>
      <c r="AG8" s="289"/>
      <c r="AH8" s="289"/>
      <c r="AI8" s="289"/>
      <c r="AJ8" s="558"/>
    </row>
    <row r="9" spans="1:36" s="290" customFormat="1" ht="12" thickBot="1">
      <c r="A9" s="289"/>
      <c r="B9" s="289"/>
      <c r="C9" s="289"/>
      <c r="D9" s="289"/>
      <c r="E9" s="289"/>
      <c r="F9" s="289"/>
      <c r="G9" s="289"/>
      <c r="H9" s="555"/>
      <c r="I9" s="555"/>
      <c r="J9" s="14" t="s">
        <v>315</v>
      </c>
      <c r="K9" s="173"/>
      <c r="L9" s="173"/>
      <c r="M9" s="173"/>
      <c r="N9" s="15">
        <v>40178</v>
      </c>
      <c r="O9" s="15">
        <v>40543</v>
      </c>
      <c r="P9" s="15">
        <v>40908</v>
      </c>
      <c r="Q9" s="15">
        <v>41274</v>
      </c>
      <c r="R9" s="15">
        <v>41639</v>
      </c>
      <c r="S9" s="15">
        <v>42004</v>
      </c>
      <c r="T9" s="15">
        <v>42369</v>
      </c>
      <c r="U9" s="15">
        <v>42735</v>
      </c>
      <c r="V9" s="16">
        <v>43100</v>
      </c>
      <c r="W9" s="16">
        <v>43465</v>
      </c>
      <c r="X9" s="16">
        <v>43830</v>
      </c>
      <c r="Y9" s="16">
        <v>44196</v>
      </c>
      <c r="Z9" s="16">
        <v>44561</v>
      </c>
      <c r="AA9" s="16">
        <v>44926</v>
      </c>
      <c r="AB9" s="16">
        <v>45291</v>
      </c>
      <c r="AC9" s="16">
        <v>45657</v>
      </c>
      <c r="AD9" s="16">
        <v>46022</v>
      </c>
      <c r="AE9" s="559"/>
      <c r="AF9" s="559"/>
      <c r="AG9" s="289"/>
      <c r="AH9" s="289"/>
      <c r="AI9" s="289"/>
      <c r="AJ9" s="558"/>
    </row>
    <row r="10" spans="1:36" s="290" customFormat="1" ht="11.25">
      <c r="H10" s="556"/>
      <c r="I10" s="556"/>
      <c r="J10" s="63" t="s">
        <v>295</v>
      </c>
      <c r="K10" s="11"/>
      <c r="L10" s="11"/>
      <c r="M10" s="11"/>
      <c r="N10" s="278"/>
      <c r="O10" s="278"/>
      <c r="P10" s="278">
        <f>Model!P75</f>
        <v>32700</v>
      </c>
      <c r="Q10" s="278">
        <f>Model!Q75</f>
        <v>73300</v>
      </c>
      <c r="R10" s="278">
        <f>Model!R75</f>
        <v>125500</v>
      </c>
      <c r="S10" s="278">
        <f>Model!S75</f>
        <v>260200</v>
      </c>
      <c r="T10" s="278">
        <f>Model!T75</f>
        <v>462700</v>
      </c>
      <c r="U10" s="278">
        <f>Model!U75</f>
        <v>658200</v>
      </c>
      <c r="V10" s="278">
        <f>Model!V75</f>
        <v>906080</v>
      </c>
      <c r="W10" s="278">
        <f>Model!W75</f>
        <v>1188301.2679999997</v>
      </c>
      <c r="X10" s="278">
        <f>Model!X75</f>
        <v>1482019.6339178996</v>
      </c>
      <c r="Y10" s="278">
        <f>Model!Y75</f>
        <v>1779312.7724818301</v>
      </c>
      <c r="Z10" s="278">
        <f>Model!Z75</f>
        <v>2025747.5914705636</v>
      </c>
      <c r="AA10" s="278">
        <f>Model!AA75</f>
        <v>2180514.7074589147</v>
      </c>
      <c r="AB10" s="278">
        <f>Model!AB75</f>
        <v>2347106.0311087756</v>
      </c>
      <c r="AC10" s="278">
        <f>Model!AC75</f>
        <v>2526424.931885486</v>
      </c>
      <c r="AD10" s="278">
        <f>Model!AD75</f>
        <v>2719443.7966815373</v>
      </c>
      <c r="AE10" s="380"/>
      <c r="AF10" s="380"/>
      <c r="AG10" s="292"/>
      <c r="AH10" s="292"/>
      <c r="AI10" s="292"/>
      <c r="AJ10" s="292"/>
    </row>
    <row r="11" spans="1:36" s="290" customFormat="1" ht="11.25">
      <c r="H11" s="556"/>
      <c r="I11" s="556"/>
      <c r="J11" s="63" t="s">
        <v>51</v>
      </c>
      <c r="K11" s="11"/>
      <c r="L11" s="11"/>
      <c r="M11" s="11"/>
      <c r="N11" s="278"/>
      <c r="O11" s="278"/>
      <c r="P11" s="278">
        <f>Model!P47</f>
        <v>12500</v>
      </c>
      <c r="Q11" s="278">
        <f>Model!Q47</f>
        <v>29300</v>
      </c>
      <c r="R11" s="278">
        <f>Model!R47</f>
        <v>47400</v>
      </c>
      <c r="S11" s="278">
        <f>Model!S47</f>
        <v>96600</v>
      </c>
      <c r="T11" s="278">
        <f>Model!T47</f>
        <v>155000</v>
      </c>
      <c r="U11" s="278">
        <f>Model!U47</f>
        <v>226600</v>
      </c>
      <c r="V11" s="278">
        <f>Model!V47</f>
        <v>292500</v>
      </c>
      <c r="W11" s="278">
        <f>Model!W47</f>
        <v>367087.49999999994</v>
      </c>
      <c r="X11" s="278">
        <f>Model!X47</f>
        <v>442340.43749999994</v>
      </c>
      <c r="Y11" s="278">
        <f>Model!Y47</f>
        <v>513114.90749999991</v>
      </c>
      <c r="Z11" s="278">
        <f>Model!Z47</f>
        <v>564426.39824999997</v>
      </c>
      <c r="AA11" s="278">
        <f>Model!AA47</f>
        <v>587003.45418</v>
      </c>
      <c r="AB11" s="278">
        <f>Model!AB47</f>
        <v>610483.59234720003</v>
      </c>
      <c r="AC11" s="278">
        <f>Model!AC47</f>
        <v>634902.93604108808</v>
      </c>
      <c r="AD11" s="278">
        <f>Model!AD47</f>
        <v>660299.05348273157</v>
      </c>
      <c r="AE11" s="380"/>
      <c r="AF11" s="380"/>
      <c r="AG11" s="292"/>
      <c r="AH11" s="292"/>
      <c r="AI11" s="292"/>
      <c r="AJ11" s="292"/>
    </row>
    <row r="12" spans="1:36" s="290" customFormat="1" ht="11.25">
      <c r="H12" s="556"/>
      <c r="I12" s="556"/>
      <c r="J12" s="63" t="s">
        <v>116</v>
      </c>
      <c r="K12" s="11"/>
      <c r="L12" s="11"/>
      <c r="M12" s="11"/>
      <c r="N12" s="273"/>
      <c r="O12" s="273"/>
      <c r="P12" s="273"/>
      <c r="Q12" s="273"/>
      <c r="R12" s="273"/>
      <c r="S12" s="273"/>
      <c r="T12" s="273"/>
      <c r="U12" s="273"/>
      <c r="V12" s="273"/>
      <c r="W12" s="273"/>
      <c r="X12" s="273"/>
      <c r="Y12" s="273"/>
      <c r="Z12" s="273"/>
      <c r="AA12" s="273"/>
      <c r="AB12" s="273"/>
      <c r="AC12" s="273"/>
      <c r="AD12" s="273"/>
      <c r="AE12" s="380"/>
      <c r="AF12" s="380"/>
      <c r="AG12" s="292"/>
      <c r="AH12" s="292"/>
      <c r="AI12" s="292"/>
      <c r="AJ12" s="292"/>
    </row>
    <row r="13" spans="1:36" s="290" customFormat="1" ht="11.25">
      <c r="H13" s="556"/>
      <c r="I13" s="556"/>
      <c r="J13" s="63" t="s">
        <v>52</v>
      </c>
      <c r="K13" s="11"/>
      <c r="L13" s="11"/>
      <c r="M13" s="11"/>
      <c r="N13" s="278"/>
      <c r="O13" s="278"/>
      <c r="P13" s="278">
        <f>Model!P48</f>
        <v>2616</v>
      </c>
      <c r="Q13" s="278">
        <f>Model!Q48</f>
        <v>2501.7064846416383</v>
      </c>
      <c r="R13" s="278">
        <f>Model!R48</f>
        <v>2647.6793248945146</v>
      </c>
      <c r="S13" s="278">
        <f>Model!S48</f>
        <v>2693.5817805383022</v>
      </c>
      <c r="T13" s="278">
        <f>Model!T48</f>
        <v>2985.1612903225805</v>
      </c>
      <c r="U13" s="278">
        <f>Model!U48</f>
        <v>2904.6778464254194</v>
      </c>
      <c r="V13" s="278">
        <f>Model!V48</f>
        <v>3097.7094017094018</v>
      </c>
      <c r="W13" s="278">
        <f>Model!W48</f>
        <v>3237.1063247863249</v>
      </c>
      <c r="X13" s="278">
        <f>Model!X48</f>
        <v>3350.4050461538459</v>
      </c>
      <c r="Y13" s="278">
        <f>Model!Y48</f>
        <v>3467.6692227692301</v>
      </c>
      <c r="Z13" s="278">
        <f>Model!Z48</f>
        <v>3589.0376455661531</v>
      </c>
      <c r="AA13" s="278">
        <f>Model!AA48</f>
        <v>3714.653963160968</v>
      </c>
      <c r="AB13" s="278">
        <f>Model!AB48</f>
        <v>3844.6668518716015</v>
      </c>
      <c r="AC13" s="278">
        <f>Model!AC48</f>
        <v>3979.2301916871074</v>
      </c>
      <c r="AD13" s="278">
        <f>Model!AD48</f>
        <v>4118.5032483961559</v>
      </c>
      <c r="AE13" s="380"/>
      <c r="AF13" s="380"/>
      <c r="AG13" s="292"/>
      <c r="AH13" s="292"/>
      <c r="AI13" s="292"/>
      <c r="AJ13" s="292"/>
    </row>
    <row r="14" spans="1:36" s="290" customFormat="1" ht="11.25">
      <c r="H14" s="556"/>
      <c r="I14" s="556"/>
      <c r="J14" s="63"/>
      <c r="K14" s="11"/>
      <c r="L14" s="11"/>
      <c r="M14" s="11"/>
      <c r="N14" s="63"/>
      <c r="O14" s="63"/>
      <c r="P14" s="63"/>
      <c r="Q14" s="63"/>
      <c r="R14" s="174"/>
      <c r="S14" s="63"/>
      <c r="T14" s="63"/>
      <c r="U14" s="63"/>
      <c r="V14" s="47">
        <f>V10/V7-1</f>
        <v>-4.317889843150069E-3</v>
      </c>
      <c r="W14" s="47">
        <f t="shared" ref="W14:AD14" si="0">W10/W7-1</f>
        <v>1.5919551420200406E-2</v>
      </c>
      <c r="X14" s="47">
        <f t="shared" si="0"/>
        <v>4.2479403112134495E-2</v>
      </c>
      <c r="Y14" s="47">
        <f t="shared" si="0"/>
        <v>4.7539982738892261E-2</v>
      </c>
      <c r="Z14" s="47">
        <f t="shared" si="0"/>
        <v>2.4679328420164071E-2</v>
      </c>
      <c r="AA14" s="47">
        <f t="shared" si="0"/>
        <v>-2.650941825996056E-2</v>
      </c>
      <c r="AB14" s="47">
        <f t="shared" si="0"/>
        <v>-4.4746558927044711E-2</v>
      </c>
      <c r="AC14" s="47">
        <f t="shared" si="0"/>
        <v>-4.9251221478567642E-2</v>
      </c>
      <c r="AD14" s="47">
        <f t="shared" si="0"/>
        <v>-4.4635936145939303E-2</v>
      </c>
      <c r="AJ14" s="560"/>
    </row>
    <row r="15" spans="1:36" s="290" customFormat="1" ht="11.25">
      <c r="H15" s="556"/>
      <c r="I15" s="556"/>
      <c r="J15" s="983" t="s">
        <v>119</v>
      </c>
      <c r="K15" s="984"/>
      <c r="L15" s="984"/>
      <c r="M15" s="984"/>
      <c r="N15" s="985"/>
      <c r="O15" s="985"/>
      <c r="P15" s="985"/>
      <c r="Q15" s="985"/>
      <c r="R15" s="986"/>
      <c r="S15" s="985"/>
      <c r="T15" s="985"/>
      <c r="U15" s="985"/>
      <c r="V15" s="1292">
        <f>V10/V7-1</f>
        <v>-4.317889843150069E-3</v>
      </c>
      <c r="W15" s="1292">
        <f t="shared" ref="W15:AD15" si="1">W10/W7-1</f>
        <v>1.5919551420200406E-2</v>
      </c>
      <c r="X15" s="1292">
        <f t="shared" si="1"/>
        <v>4.2479403112134495E-2</v>
      </c>
      <c r="Y15" s="1292">
        <f t="shared" si="1"/>
        <v>4.7539982738892261E-2</v>
      </c>
      <c r="Z15" s="1292">
        <f t="shared" si="1"/>
        <v>2.4679328420164071E-2</v>
      </c>
      <c r="AA15" s="1292">
        <f t="shared" si="1"/>
        <v>-2.650941825996056E-2</v>
      </c>
      <c r="AB15" s="1292">
        <f t="shared" si="1"/>
        <v>-4.4746558927044711E-2</v>
      </c>
      <c r="AC15" s="1292">
        <f t="shared" si="1"/>
        <v>-4.9251221478567642E-2</v>
      </c>
      <c r="AD15" s="1292">
        <f t="shared" si="1"/>
        <v>-4.4635936145939303E-2</v>
      </c>
      <c r="AJ15" s="560"/>
    </row>
    <row r="16" spans="1:36" s="290" customFormat="1" ht="11.25">
      <c r="H16" s="557"/>
      <c r="I16" s="557"/>
      <c r="J16" s="63" t="s">
        <v>123</v>
      </c>
      <c r="K16" s="63"/>
      <c r="L16" s="63"/>
      <c r="M16" s="63"/>
      <c r="N16" s="288"/>
      <c r="O16" s="288"/>
      <c r="P16" s="288"/>
      <c r="Q16" s="48">
        <f>Model!Q68</f>
        <v>1.3439999999999999</v>
      </c>
      <c r="R16" s="48">
        <f>Model!R68</f>
        <v>0.61774744027303763</v>
      </c>
      <c r="S16" s="48">
        <f>Model!S61</f>
        <v>1.037974683544304</v>
      </c>
      <c r="T16" s="48">
        <f>Model!T61</f>
        <v>0.6045548654244306</v>
      </c>
      <c r="U16" s="48">
        <f>Model!U61</f>
        <v>0.46193548387096772</v>
      </c>
      <c r="V16" s="48">
        <f>Model!V61</f>
        <v>0.32</v>
      </c>
      <c r="W16" s="48">
        <f>Model!W61</f>
        <v>0.255</v>
      </c>
      <c r="X16" s="48">
        <f>Model!X61</f>
        <v>0.20499999999999999</v>
      </c>
      <c r="Y16" s="48">
        <f>Model!Y61</f>
        <v>0.16</v>
      </c>
      <c r="Z16" s="48">
        <f>Model!Z61</f>
        <v>0.13</v>
      </c>
      <c r="AA16" s="48">
        <f>Model!AA61</f>
        <v>0.1</v>
      </c>
      <c r="AB16" s="48">
        <f>Model!AB61</f>
        <v>6.5000000000000002E-2</v>
      </c>
      <c r="AC16" s="48">
        <f>Model!AC61</f>
        <v>0.05</v>
      </c>
      <c r="AD16" s="48">
        <f>Model!AD61</f>
        <v>0.04</v>
      </c>
      <c r="AJ16" s="560"/>
    </row>
    <row r="17" spans="8:36" s="290" customFormat="1" ht="11.25">
      <c r="H17" s="557"/>
      <c r="I17" s="557"/>
      <c r="J17" s="63" t="s">
        <v>314</v>
      </c>
      <c r="K17" s="63"/>
      <c r="L17" s="63"/>
      <c r="M17" s="63"/>
      <c r="N17" s="63"/>
      <c r="O17" s="48"/>
      <c r="P17" s="48"/>
      <c r="Q17" s="48">
        <f>Model!Q62</f>
        <v>-4.3690181711911968E-2</v>
      </c>
      <c r="R17" s="48">
        <f>Model!R62</f>
        <v>5.8349307222500313E-2</v>
      </c>
      <c r="S17" s="48">
        <f>Model!S62</f>
        <v>1.7336863725223361E-2</v>
      </c>
      <c r="T17" s="48">
        <f>Model!T62</f>
        <v>0.10824973345565447</v>
      </c>
      <c r="U17" s="48">
        <f>Model!U62</f>
        <v>-2.6961170961875891E-2</v>
      </c>
      <c r="V17" s="48">
        <f>Model!V62</f>
        <v>7.0000000000000007E-2</v>
      </c>
      <c r="W17" s="48">
        <f>Model!W62</f>
        <v>4.4999999999999998E-2</v>
      </c>
      <c r="X17" s="48">
        <f>Model!X62</f>
        <v>3.5000000000000003E-2</v>
      </c>
      <c r="Y17" s="48">
        <f>Model!Y62</f>
        <v>3.5000000000000003E-2</v>
      </c>
      <c r="Z17" s="48">
        <f>Model!Z62</f>
        <v>3.5000000000000003E-2</v>
      </c>
      <c r="AA17" s="48">
        <f>Model!AA62</f>
        <v>3.5000000000000003E-2</v>
      </c>
      <c r="AB17" s="48">
        <f>Model!AB62</f>
        <v>3.5000000000000003E-2</v>
      </c>
      <c r="AC17" s="48">
        <f>Model!AC62</f>
        <v>3.5000000000000003E-2</v>
      </c>
      <c r="AD17" s="48">
        <f>Model!AD62</f>
        <v>3.5000000000000003E-2</v>
      </c>
      <c r="AE17" s="380"/>
      <c r="AF17" s="380"/>
      <c r="AG17" s="380"/>
      <c r="AH17" s="380"/>
      <c r="AI17" s="380"/>
      <c r="AJ17" s="380"/>
    </row>
    <row r="18" spans="8:36" s="290" customFormat="1" ht="11.25">
      <c r="H18" s="557"/>
      <c r="I18" s="557"/>
      <c r="J18" s="63" t="s">
        <v>117</v>
      </c>
      <c r="K18" s="63"/>
      <c r="L18" s="63"/>
      <c r="M18" s="63"/>
      <c r="N18" s="274"/>
      <c r="O18" s="340">
        <f>Model!O178</f>
        <v>4.6346019145458793E-2</v>
      </c>
      <c r="P18" s="340">
        <f>Model!P178</f>
        <v>4.3636658368286008E-2</v>
      </c>
      <c r="Q18" s="340">
        <f>Model!Q178</f>
        <v>6.0398936881682332E-2</v>
      </c>
      <c r="R18" s="340">
        <f>Model!R178</f>
        <v>6.7474409860037596E-2</v>
      </c>
      <c r="S18" s="340">
        <f>Model!S178</f>
        <v>6.3731586656717243E-2</v>
      </c>
      <c r="T18" s="340">
        <f>Model!T178</f>
        <v>6.3873933496699883E-2</v>
      </c>
      <c r="U18" s="340">
        <f>Model!U178</f>
        <v>7.2474748977522527E-2</v>
      </c>
      <c r="V18" s="340">
        <f>Model!V178</f>
        <v>7.5444865554044005E-2</v>
      </c>
      <c r="W18" s="340">
        <f>Model!W178</f>
        <v>8.144486555404401E-2</v>
      </c>
      <c r="X18" s="340">
        <f>Model!X178</f>
        <v>8.3444865554044012E-2</v>
      </c>
      <c r="Y18" s="340">
        <f>Model!Y178</f>
        <v>8.5444865554044014E-2</v>
      </c>
      <c r="Z18" s="340">
        <f>Model!Z178</f>
        <v>8.7444865554044016E-2</v>
      </c>
      <c r="AA18" s="340">
        <f>Model!AA178</f>
        <v>8.9444865554044017E-2</v>
      </c>
      <c r="AB18" s="340">
        <f>Model!AB178</f>
        <v>9.1444865554044019E-2</v>
      </c>
      <c r="AC18" s="340">
        <f>Model!AC178</f>
        <v>9.3444865554044021E-2</v>
      </c>
      <c r="AD18" s="340">
        <f>Model!AD178</f>
        <v>9.5444865554044023E-2</v>
      </c>
      <c r="AJ18" s="560"/>
    </row>
    <row r="19" spans="8:36" s="290" customFormat="1" ht="11.25">
      <c r="H19" s="557"/>
      <c r="I19" s="557"/>
      <c r="J19" s="63" t="s">
        <v>118</v>
      </c>
      <c r="K19" s="63"/>
      <c r="L19" s="63"/>
      <c r="M19" s="63"/>
      <c r="N19" s="274"/>
      <c r="O19" s="340">
        <f>Model!O132</f>
        <v>0</v>
      </c>
      <c r="P19" s="340">
        <f>Model!P132</f>
        <v>8.3085517241379317E-2</v>
      </c>
      <c r="Q19" s="340">
        <f>Model!Q132</f>
        <v>6.3010240963855421E-2</v>
      </c>
      <c r="R19" s="340">
        <f>Model!R132</f>
        <v>7.2950842418235878E-2</v>
      </c>
      <c r="S19" s="340">
        <f>Model!S132</f>
        <v>6.395441030723488E-2</v>
      </c>
      <c r="T19" s="340">
        <f>Model!T132</f>
        <v>6.5504587155963301E-2</v>
      </c>
      <c r="U19" s="340">
        <f>Model!U132</f>
        <v>7.1165844700944378E-2</v>
      </c>
      <c r="V19" s="340">
        <f>Model!V132</f>
        <v>8.0549263370810448E-2</v>
      </c>
      <c r="W19" s="340">
        <f>Model!W132</f>
        <v>8.6349263370810447E-2</v>
      </c>
      <c r="X19" s="340">
        <f>Model!X132</f>
        <v>8.934926337081045E-2</v>
      </c>
      <c r="Y19" s="340">
        <f>Model!Y132</f>
        <v>9.4349263370810454E-2</v>
      </c>
      <c r="Z19" s="340">
        <f>Model!Z132</f>
        <v>9.8349263370810458E-2</v>
      </c>
      <c r="AA19" s="340">
        <f>Model!AA132</f>
        <v>0.10234926337081046</v>
      </c>
      <c r="AB19" s="340">
        <f>Model!AB132</f>
        <v>0.10634926337081047</v>
      </c>
      <c r="AC19" s="340">
        <f>Model!AC132</f>
        <v>0.11034926337081047</v>
      </c>
      <c r="AD19" s="340">
        <f>Model!AD132</f>
        <v>0.11434926337081047</v>
      </c>
      <c r="AJ19" s="560"/>
    </row>
    <row r="20" spans="8:36" s="290" customFormat="1" ht="11.25">
      <c r="H20" s="557"/>
      <c r="I20" s="557"/>
      <c r="J20" s="63"/>
      <c r="K20" s="63"/>
      <c r="L20" s="63"/>
      <c r="M20" s="63"/>
      <c r="N20" s="63"/>
      <c r="O20" s="63"/>
      <c r="P20" s="63"/>
      <c r="Q20" s="63"/>
      <c r="R20" s="174"/>
      <c r="S20" s="63"/>
      <c r="T20" s="63"/>
      <c r="U20" s="63"/>
      <c r="V20" s="63"/>
      <c r="W20" s="63"/>
      <c r="X20" s="63"/>
      <c r="Y20" s="63"/>
      <c r="Z20" s="63"/>
      <c r="AA20" s="63"/>
      <c r="AB20" s="63"/>
      <c r="AC20" s="63"/>
      <c r="AD20" s="63"/>
      <c r="AJ20" s="560"/>
    </row>
    <row r="21" spans="8:36" s="290" customFormat="1" ht="11.25">
      <c r="H21" s="557"/>
      <c r="I21" s="557"/>
      <c r="J21" s="987" t="s">
        <v>120</v>
      </c>
      <c r="K21" s="988"/>
      <c r="L21" s="988"/>
      <c r="M21" s="988"/>
      <c r="N21" s="988"/>
      <c r="O21" s="988"/>
      <c r="P21" s="988"/>
      <c r="Q21" s="988"/>
      <c r="R21" s="989"/>
      <c r="S21" s="988"/>
      <c r="T21" s="988"/>
      <c r="U21" s="988"/>
      <c r="V21" s="988"/>
      <c r="W21" s="988"/>
      <c r="X21" s="988"/>
      <c r="Y21" s="988"/>
      <c r="Z21" s="988"/>
      <c r="AA21" s="988"/>
      <c r="AB21" s="988"/>
      <c r="AC21" s="988"/>
      <c r="AD21" s="988"/>
      <c r="AJ21" s="560"/>
    </row>
    <row r="22" spans="8:36" s="290" customFormat="1" ht="11.25">
      <c r="H22" s="557"/>
      <c r="I22" s="557"/>
      <c r="J22" s="63" t="s">
        <v>123</v>
      </c>
      <c r="K22" s="63"/>
      <c r="L22" s="63"/>
      <c r="M22" s="63"/>
      <c r="N22" s="45"/>
      <c r="O22" s="337"/>
      <c r="P22" s="337"/>
      <c r="Q22" s="274"/>
      <c r="R22" s="274"/>
      <c r="S22" s="847"/>
      <c r="T22" s="847"/>
      <c r="U22" s="847"/>
      <c r="V22" s="921">
        <f t="shared" ref="V22:AD22" si="2">V16+V27</f>
        <v>0.35</v>
      </c>
      <c r="W22" s="921">
        <f t="shared" si="2"/>
        <v>0.28500000000000003</v>
      </c>
      <c r="X22" s="921">
        <f t="shared" si="2"/>
        <v>0.23499999999999999</v>
      </c>
      <c r="Y22" s="921">
        <f t="shared" si="2"/>
        <v>0.19</v>
      </c>
      <c r="Z22" s="921">
        <f t="shared" si="2"/>
        <v>0.16</v>
      </c>
      <c r="AA22" s="921">
        <f t="shared" si="2"/>
        <v>0.13</v>
      </c>
      <c r="AB22" s="921">
        <f t="shared" si="2"/>
        <v>9.5000000000000001E-2</v>
      </c>
      <c r="AC22" s="921">
        <f t="shared" si="2"/>
        <v>0.08</v>
      </c>
      <c r="AD22" s="921">
        <f t="shared" si="2"/>
        <v>7.0000000000000007E-2</v>
      </c>
      <c r="AJ22" s="560"/>
    </row>
    <row r="23" spans="8:36" s="290" customFormat="1" ht="11.25">
      <c r="H23" s="557"/>
      <c r="I23" s="557"/>
      <c r="J23" s="63" t="s">
        <v>314</v>
      </c>
      <c r="K23" s="63"/>
      <c r="L23" s="63"/>
      <c r="M23" s="63"/>
      <c r="N23" s="63"/>
      <c r="O23" s="274"/>
      <c r="P23" s="274"/>
      <c r="Q23" s="274"/>
      <c r="R23" s="274"/>
      <c r="S23" s="847"/>
      <c r="T23" s="847"/>
      <c r="U23" s="847"/>
      <c r="V23" s="921">
        <f t="shared" ref="V23:AD23" si="3">V17+V28</f>
        <v>9.0000000000000011E-2</v>
      </c>
      <c r="W23" s="921">
        <f t="shared" si="3"/>
        <v>6.5000000000000002E-2</v>
      </c>
      <c r="X23" s="921">
        <f t="shared" si="3"/>
        <v>5.5000000000000007E-2</v>
      </c>
      <c r="Y23" s="921">
        <f t="shared" si="3"/>
        <v>5.5000000000000007E-2</v>
      </c>
      <c r="Z23" s="921">
        <f t="shared" si="3"/>
        <v>5.5000000000000007E-2</v>
      </c>
      <c r="AA23" s="921">
        <f t="shared" si="3"/>
        <v>5.5000000000000007E-2</v>
      </c>
      <c r="AB23" s="921">
        <f t="shared" si="3"/>
        <v>5.5000000000000007E-2</v>
      </c>
      <c r="AC23" s="921">
        <f t="shared" si="3"/>
        <v>5.5000000000000007E-2</v>
      </c>
      <c r="AD23" s="921">
        <f t="shared" si="3"/>
        <v>5.5000000000000007E-2</v>
      </c>
      <c r="AJ23" s="560"/>
    </row>
    <row r="24" spans="8:36" s="290" customFormat="1" ht="11.25">
      <c r="H24" s="557"/>
      <c r="I24" s="557"/>
      <c r="J24" s="63" t="s">
        <v>117</v>
      </c>
      <c r="K24" s="63"/>
      <c r="L24" s="63"/>
      <c r="M24" s="63"/>
      <c r="N24" s="63"/>
      <c r="O24" s="340"/>
      <c r="P24" s="340"/>
      <c r="Q24" s="340"/>
      <c r="R24" s="340"/>
      <c r="S24" s="848"/>
      <c r="T24" s="848"/>
      <c r="U24" s="848"/>
      <c r="V24" s="922">
        <f t="shared" ref="V24:AD24" si="4">V18+V29</f>
        <v>7.6444865554044006E-2</v>
      </c>
      <c r="W24" s="922">
        <f t="shared" si="4"/>
        <v>8.2444865554044011E-2</v>
      </c>
      <c r="X24" s="922">
        <f t="shared" si="4"/>
        <v>8.4444865554044013E-2</v>
      </c>
      <c r="Y24" s="922">
        <f t="shared" si="4"/>
        <v>8.6444865554044015E-2</v>
      </c>
      <c r="Z24" s="922">
        <f t="shared" si="4"/>
        <v>8.8444865554044017E-2</v>
      </c>
      <c r="AA24" s="922">
        <f t="shared" si="4"/>
        <v>9.0444865554044018E-2</v>
      </c>
      <c r="AB24" s="922">
        <f t="shared" si="4"/>
        <v>9.244486555404402E-2</v>
      </c>
      <c r="AC24" s="922">
        <f t="shared" si="4"/>
        <v>9.4444865554044022E-2</v>
      </c>
      <c r="AD24" s="922">
        <f t="shared" si="4"/>
        <v>9.6444865554044024E-2</v>
      </c>
      <c r="AJ24" s="560"/>
    </row>
    <row r="25" spans="8:36" s="290" customFormat="1" ht="11.25">
      <c r="H25" s="557"/>
      <c r="I25" s="557"/>
      <c r="J25" s="63" t="s">
        <v>118</v>
      </c>
      <c r="K25" s="63"/>
      <c r="L25" s="63"/>
      <c r="M25" s="63"/>
      <c r="N25" s="63"/>
      <c r="O25" s="340"/>
      <c r="P25" s="340"/>
      <c r="Q25" s="340"/>
      <c r="R25" s="340"/>
      <c r="S25" s="848"/>
      <c r="T25" s="848"/>
      <c r="U25" s="848"/>
      <c r="V25" s="922">
        <f t="shared" ref="V25:AD25" si="5">V19+V30</f>
        <v>8.1549263370810449E-2</v>
      </c>
      <c r="W25" s="922">
        <f t="shared" si="5"/>
        <v>8.7349263370810448E-2</v>
      </c>
      <c r="X25" s="922">
        <f t="shared" si="5"/>
        <v>9.0349263370810451E-2</v>
      </c>
      <c r="Y25" s="922">
        <f t="shared" si="5"/>
        <v>9.5349263370810455E-2</v>
      </c>
      <c r="Z25" s="922">
        <f t="shared" si="5"/>
        <v>9.9349263370810459E-2</v>
      </c>
      <c r="AA25" s="922">
        <f t="shared" si="5"/>
        <v>0.10334926337081046</v>
      </c>
      <c r="AB25" s="922">
        <f t="shared" si="5"/>
        <v>0.10734926337081047</v>
      </c>
      <c r="AC25" s="922">
        <f t="shared" si="5"/>
        <v>0.11134926337081047</v>
      </c>
      <c r="AD25" s="922">
        <f t="shared" si="5"/>
        <v>0.11534926337081047</v>
      </c>
      <c r="AJ25" s="560"/>
    </row>
    <row r="26" spans="8:36" s="290" customFormat="1" ht="11.25">
      <c r="H26" s="557"/>
      <c r="I26" s="557"/>
      <c r="J26" s="63"/>
      <c r="K26" s="63"/>
      <c r="L26" s="63"/>
      <c r="M26" s="63"/>
      <c r="N26" s="63"/>
      <c r="O26" s="63"/>
      <c r="P26" s="63"/>
      <c r="Q26" s="63"/>
      <c r="R26" s="174"/>
      <c r="S26" s="849"/>
      <c r="T26" s="500"/>
      <c r="U26" s="500"/>
      <c r="V26" s="63"/>
      <c r="W26" s="63"/>
      <c r="X26" s="63"/>
      <c r="Y26" s="63"/>
      <c r="Z26" s="63"/>
      <c r="AA26" s="63"/>
      <c r="AB26" s="63"/>
      <c r="AC26" s="63"/>
      <c r="AD26" s="63"/>
      <c r="AJ26" s="560"/>
    </row>
    <row r="27" spans="8:36" s="290" customFormat="1" ht="11.25">
      <c r="H27" s="557"/>
      <c r="I27" s="557"/>
      <c r="J27" s="63" t="s">
        <v>123</v>
      </c>
      <c r="K27" s="63"/>
      <c r="L27" s="63"/>
      <c r="M27" s="63"/>
      <c r="N27" s="63"/>
      <c r="O27" s="63"/>
      <c r="P27" s="275"/>
      <c r="Q27" s="275"/>
      <c r="R27" s="275"/>
      <c r="S27" s="850"/>
      <c r="T27" s="850"/>
      <c r="U27" s="850"/>
      <c r="V27" s="978">
        <v>0.03</v>
      </c>
      <c r="W27" s="978">
        <f>V27</f>
        <v>0.03</v>
      </c>
      <c r="X27" s="978">
        <f t="shared" ref="X27:AD27" si="6">W27</f>
        <v>0.03</v>
      </c>
      <c r="Y27" s="978">
        <f t="shared" si="6"/>
        <v>0.03</v>
      </c>
      <c r="Z27" s="978">
        <f t="shared" si="6"/>
        <v>0.03</v>
      </c>
      <c r="AA27" s="978">
        <f t="shared" si="6"/>
        <v>0.03</v>
      </c>
      <c r="AB27" s="978">
        <f t="shared" si="6"/>
        <v>0.03</v>
      </c>
      <c r="AC27" s="978">
        <f t="shared" si="6"/>
        <v>0.03</v>
      </c>
      <c r="AD27" s="978">
        <f t="shared" si="6"/>
        <v>0.03</v>
      </c>
      <c r="AJ27" s="560"/>
    </row>
    <row r="28" spans="8:36" s="290" customFormat="1" ht="11.25">
      <c r="H28" s="557"/>
      <c r="I28" s="557"/>
      <c r="J28" s="63" t="s">
        <v>314</v>
      </c>
      <c r="K28" s="63"/>
      <c r="L28" s="63"/>
      <c r="M28" s="63"/>
      <c r="N28" s="63"/>
      <c r="O28" s="63"/>
      <c r="P28" s="63"/>
      <c r="Q28" s="63"/>
      <c r="R28" s="174"/>
      <c r="S28" s="850"/>
      <c r="T28" s="850"/>
      <c r="U28" s="850"/>
      <c r="V28" s="978">
        <v>0.02</v>
      </c>
      <c r="W28" s="978">
        <f>V28</f>
        <v>0.02</v>
      </c>
      <c r="X28" s="978">
        <f t="shared" ref="X28:AD28" si="7">W28</f>
        <v>0.02</v>
      </c>
      <c r="Y28" s="978">
        <f t="shared" si="7"/>
        <v>0.02</v>
      </c>
      <c r="Z28" s="978">
        <f t="shared" si="7"/>
        <v>0.02</v>
      </c>
      <c r="AA28" s="978">
        <f t="shared" si="7"/>
        <v>0.02</v>
      </c>
      <c r="AB28" s="978">
        <f t="shared" si="7"/>
        <v>0.02</v>
      </c>
      <c r="AC28" s="978">
        <f t="shared" si="7"/>
        <v>0.02</v>
      </c>
      <c r="AD28" s="978">
        <f t="shared" si="7"/>
        <v>0.02</v>
      </c>
      <c r="AJ28" s="560"/>
    </row>
    <row r="29" spans="8:36" s="290" customFormat="1" ht="11.25">
      <c r="H29" s="557"/>
      <c r="I29" s="557"/>
      <c r="J29" s="63" t="s">
        <v>117</v>
      </c>
      <c r="K29" s="63"/>
      <c r="L29" s="63"/>
      <c r="M29" s="63"/>
      <c r="N29" s="63"/>
      <c r="O29" s="340"/>
      <c r="P29" s="340"/>
      <c r="Q29" s="340"/>
      <c r="R29" s="341"/>
      <c r="S29" s="851"/>
      <c r="T29" s="851"/>
      <c r="U29" s="851"/>
      <c r="V29" s="979">
        <v>1E-3</v>
      </c>
      <c r="W29" s="979">
        <f>V29</f>
        <v>1E-3</v>
      </c>
      <c r="X29" s="979">
        <f t="shared" ref="X29:AD30" si="8">W29</f>
        <v>1E-3</v>
      </c>
      <c r="Y29" s="979">
        <f t="shared" si="8"/>
        <v>1E-3</v>
      </c>
      <c r="Z29" s="979">
        <f t="shared" si="8"/>
        <v>1E-3</v>
      </c>
      <c r="AA29" s="979">
        <f t="shared" si="8"/>
        <v>1E-3</v>
      </c>
      <c r="AB29" s="979">
        <f t="shared" si="8"/>
        <v>1E-3</v>
      </c>
      <c r="AC29" s="979">
        <f t="shared" si="8"/>
        <v>1E-3</v>
      </c>
      <c r="AD29" s="979">
        <f t="shared" si="8"/>
        <v>1E-3</v>
      </c>
      <c r="AJ29" s="560"/>
    </row>
    <row r="30" spans="8:36" s="290" customFormat="1" ht="11.25">
      <c r="H30" s="557"/>
      <c r="I30" s="557"/>
      <c r="J30" s="63" t="s">
        <v>118</v>
      </c>
      <c r="K30" s="63"/>
      <c r="L30" s="63"/>
      <c r="M30" s="63"/>
      <c r="N30" s="63"/>
      <c r="O30" s="340"/>
      <c r="P30" s="340"/>
      <c r="Q30" s="340"/>
      <c r="R30" s="341"/>
      <c r="S30" s="851"/>
      <c r="T30" s="851"/>
      <c r="U30" s="851"/>
      <c r="V30" s="979">
        <v>1E-3</v>
      </c>
      <c r="W30" s="979">
        <f>V30</f>
        <v>1E-3</v>
      </c>
      <c r="X30" s="979">
        <f t="shared" si="8"/>
        <v>1E-3</v>
      </c>
      <c r="Y30" s="979">
        <f t="shared" si="8"/>
        <v>1E-3</v>
      </c>
      <c r="Z30" s="979">
        <f t="shared" si="8"/>
        <v>1E-3</v>
      </c>
      <c r="AA30" s="979">
        <f t="shared" si="8"/>
        <v>1E-3</v>
      </c>
      <c r="AB30" s="979">
        <f t="shared" si="8"/>
        <v>1E-3</v>
      </c>
      <c r="AC30" s="979">
        <f t="shared" si="8"/>
        <v>1E-3</v>
      </c>
      <c r="AD30" s="979">
        <f t="shared" si="8"/>
        <v>1E-3</v>
      </c>
      <c r="AJ30" s="560"/>
    </row>
    <row r="31" spans="8:36" s="290" customFormat="1" ht="11.25">
      <c r="H31" s="557"/>
      <c r="I31" s="557"/>
      <c r="J31" s="63"/>
      <c r="K31" s="63"/>
      <c r="L31" s="63"/>
      <c r="M31" s="63"/>
      <c r="N31" s="63"/>
      <c r="O31" s="63"/>
      <c r="P31" s="63"/>
      <c r="Q31" s="63"/>
      <c r="R31" s="174"/>
      <c r="S31" s="63"/>
      <c r="T31" s="63"/>
      <c r="U31" s="63"/>
      <c r="V31" s="63"/>
      <c r="W31" s="63"/>
      <c r="X31" s="63"/>
      <c r="Y31" s="63"/>
      <c r="Z31" s="63"/>
      <c r="AA31" s="63"/>
      <c r="AB31" s="63"/>
      <c r="AC31" s="63"/>
      <c r="AD31" s="63"/>
      <c r="AJ31" s="560"/>
    </row>
    <row r="32" spans="8:36" s="290" customFormat="1" ht="11.25">
      <c r="H32" s="557"/>
      <c r="I32" s="557"/>
      <c r="J32" s="987" t="s">
        <v>121</v>
      </c>
      <c r="K32" s="988"/>
      <c r="L32" s="988"/>
      <c r="M32" s="988"/>
      <c r="N32" s="988"/>
      <c r="O32" s="988"/>
      <c r="P32" s="988"/>
      <c r="Q32" s="988"/>
      <c r="R32" s="989"/>
      <c r="S32" s="988"/>
      <c r="T32" s="988"/>
      <c r="U32" s="988"/>
      <c r="V32" s="988"/>
      <c r="W32" s="988"/>
      <c r="X32" s="988"/>
      <c r="Y32" s="988"/>
      <c r="Z32" s="988"/>
      <c r="AA32" s="988"/>
      <c r="AB32" s="988"/>
      <c r="AC32" s="988"/>
      <c r="AD32" s="988"/>
      <c r="AJ32" s="560"/>
    </row>
    <row r="33" spans="8:36" s="290" customFormat="1" ht="11.25">
      <c r="H33" s="557"/>
      <c r="I33" s="557"/>
      <c r="J33" s="63" t="s">
        <v>123</v>
      </c>
      <c r="K33" s="63"/>
      <c r="L33" s="63"/>
      <c r="M33" s="63"/>
      <c r="N33" s="63"/>
      <c r="O33" s="338"/>
      <c r="P33" s="338"/>
      <c r="Q33" s="300"/>
      <c r="R33" s="300"/>
      <c r="S33" s="852"/>
      <c r="T33" s="852"/>
      <c r="U33" s="852"/>
      <c r="V33" s="923">
        <f t="shared" ref="V33:AD33" si="9">V16+V38</f>
        <v>0.22</v>
      </c>
      <c r="W33" s="923">
        <f t="shared" si="9"/>
        <v>0.155</v>
      </c>
      <c r="X33" s="923">
        <f t="shared" si="9"/>
        <v>0.10499999999999998</v>
      </c>
      <c r="Y33" s="923">
        <f t="shared" si="9"/>
        <v>0.11</v>
      </c>
      <c r="Z33" s="923">
        <f t="shared" si="9"/>
        <v>0.08</v>
      </c>
      <c r="AA33" s="923">
        <f t="shared" si="9"/>
        <v>0.05</v>
      </c>
      <c r="AB33" s="923">
        <f t="shared" si="9"/>
        <v>5.5E-2</v>
      </c>
      <c r="AC33" s="923">
        <f t="shared" si="9"/>
        <v>0.04</v>
      </c>
      <c r="AD33" s="923">
        <f t="shared" si="9"/>
        <v>0.03</v>
      </c>
      <c r="AJ33" s="560"/>
    </row>
    <row r="34" spans="8:36" s="290" customFormat="1" ht="11.25">
      <c r="H34" s="557"/>
      <c r="I34" s="557"/>
      <c r="J34" s="63" t="s">
        <v>314</v>
      </c>
      <c r="K34" s="63"/>
      <c r="L34" s="63"/>
      <c r="M34" s="63"/>
      <c r="N34" s="63"/>
      <c r="O34" s="300"/>
      <c r="P34" s="300"/>
      <c r="Q34" s="300"/>
      <c r="R34" s="300"/>
      <c r="S34" s="852"/>
      <c r="T34" s="852"/>
      <c r="U34" s="852"/>
      <c r="V34" s="923">
        <f t="shared" ref="V34:AD34" si="10">V17+V39</f>
        <v>3.0000000000000006E-2</v>
      </c>
      <c r="W34" s="923">
        <f t="shared" si="10"/>
        <v>4.9999999999999975E-3</v>
      </c>
      <c r="X34" s="923">
        <f t="shared" si="10"/>
        <v>-4.9999999999999975E-3</v>
      </c>
      <c r="Y34" s="923">
        <f t="shared" si="10"/>
        <v>1.5000000000000003E-2</v>
      </c>
      <c r="Z34" s="923">
        <f t="shared" si="10"/>
        <v>1.5000000000000003E-2</v>
      </c>
      <c r="AA34" s="923">
        <f t="shared" si="10"/>
        <v>1.5000000000000003E-2</v>
      </c>
      <c r="AB34" s="923">
        <f t="shared" si="10"/>
        <v>1.5000000000000003E-2</v>
      </c>
      <c r="AC34" s="923">
        <f t="shared" si="10"/>
        <v>1.5000000000000003E-2</v>
      </c>
      <c r="AD34" s="923">
        <f t="shared" si="10"/>
        <v>1.5000000000000003E-2</v>
      </c>
      <c r="AJ34" s="560"/>
    </row>
    <row r="35" spans="8:36" s="290" customFormat="1" ht="11.25">
      <c r="H35" s="557"/>
      <c r="I35" s="557"/>
      <c r="J35" s="63" t="s">
        <v>117</v>
      </c>
      <c r="K35" s="63"/>
      <c r="L35" s="63"/>
      <c r="M35" s="63"/>
      <c r="N35" s="63"/>
      <c r="O35" s="339"/>
      <c r="P35" s="339"/>
      <c r="Q35" s="339"/>
      <c r="R35" s="339"/>
      <c r="S35" s="853"/>
      <c r="T35" s="853"/>
      <c r="U35" s="853"/>
      <c r="V35" s="924">
        <f t="shared" ref="V35:AD35" si="11">V18+V40</f>
        <v>7.0444865554044001E-2</v>
      </c>
      <c r="W35" s="924">
        <f t="shared" si="11"/>
        <v>7.9444865554044009E-2</v>
      </c>
      <c r="X35" s="924">
        <f t="shared" si="11"/>
        <v>8.144486555404401E-2</v>
      </c>
      <c r="Y35" s="924">
        <f t="shared" si="11"/>
        <v>8.3444865554044012E-2</v>
      </c>
      <c r="Z35" s="924">
        <f t="shared" si="11"/>
        <v>8.6944865554044015E-2</v>
      </c>
      <c r="AA35" s="924">
        <f t="shared" si="11"/>
        <v>8.8944865554044017E-2</v>
      </c>
      <c r="AB35" s="924">
        <f t="shared" si="11"/>
        <v>9.0944865554044019E-2</v>
      </c>
      <c r="AC35" s="924">
        <f t="shared" si="11"/>
        <v>9.2944865554044021E-2</v>
      </c>
      <c r="AD35" s="924">
        <f t="shared" si="11"/>
        <v>9.4944865554044022E-2</v>
      </c>
      <c r="AJ35" s="560"/>
    </row>
    <row r="36" spans="8:36" s="290" customFormat="1" ht="11.25">
      <c r="H36" s="557"/>
      <c r="I36" s="557"/>
      <c r="J36" s="63" t="s">
        <v>118</v>
      </c>
      <c r="K36" s="63"/>
      <c r="L36" s="63"/>
      <c r="M36" s="63"/>
      <c r="N36" s="63"/>
      <c r="O36" s="339"/>
      <c r="P36" s="339"/>
      <c r="Q36" s="339"/>
      <c r="R36" s="339"/>
      <c r="S36" s="853"/>
      <c r="T36" s="853"/>
      <c r="U36" s="853"/>
      <c r="V36" s="924">
        <f t="shared" ref="V36:AD36" si="12">V19+V41</f>
        <v>7.5549263370810443E-2</v>
      </c>
      <c r="W36" s="924">
        <f t="shared" si="12"/>
        <v>8.4349263370810446E-2</v>
      </c>
      <c r="X36" s="924">
        <f t="shared" si="12"/>
        <v>8.7349263370810448E-2</v>
      </c>
      <c r="Y36" s="924">
        <f t="shared" si="12"/>
        <v>9.2349263370810453E-2</v>
      </c>
      <c r="Z36" s="924">
        <f t="shared" si="12"/>
        <v>9.7849263370810458E-2</v>
      </c>
      <c r="AA36" s="924">
        <f t="shared" si="12"/>
        <v>0.10184926337081046</v>
      </c>
      <c r="AB36" s="924">
        <f t="shared" si="12"/>
        <v>0.10584926337081046</v>
      </c>
      <c r="AC36" s="924">
        <f t="shared" si="12"/>
        <v>0.10984926337081047</v>
      </c>
      <c r="AD36" s="924">
        <f t="shared" si="12"/>
        <v>0.11384926337081047</v>
      </c>
      <c r="AJ36" s="560"/>
    </row>
    <row r="37" spans="8:36" s="290" customFormat="1" ht="11.25">
      <c r="H37" s="557"/>
      <c r="I37" s="557"/>
      <c r="J37" s="63"/>
      <c r="K37" s="63"/>
      <c r="L37" s="63"/>
      <c r="M37" s="63"/>
      <c r="N37" s="63"/>
      <c r="O37" s="63"/>
      <c r="P37" s="63"/>
      <c r="Q37" s="63"/>
      <c r="R37" s="174"/>
      <c r="S37" s="849"/>
      <c r="T37" s="500"/>
      <c r="U37" s="500"/>
      <c r="V37" s="63"/>
      <c r="W37" s="63"/>
      <c r="X37" s="63"/>
      <c r="Y37" s="63"/>
      <c r="Z37" s="63"/>
      <c r="AA37" s="63"/>
      <c r="AB37" s="63"/>
      <c r="AC37" s="63"/>
      <c r="AD37" s="63"/>
      <c r="AJ37" s="560"/>
    </row>
    <row r="38" spans="8:36" s="290" customFormat="1" ht="11.25">
      <c r="H38" s="557"/>
      <c r="I38" s="557"/>
      <c r="J38" s="63" t="s">
        <v>123</v>
      </c>
      <c r="K38" s="63"/>
      <c r="L38" s="63"/>
      <c r="M38" s="63"/>
      <c r="N38" s="63"/>
      <c r="O38" s="63"/>
      <c r="P38" s="63"/>
      <c r="Q38" s="63"/>
      <c r="R38" s="174"/>
      <c r="S38" s="850"/>
      <c r="T38" s="850"/>
      <c r="U38" s="850"/>
      <c r="V38" s="978">
        <v>-0.1</v>
      </c>
      <c r="W38" s="978">
        <v>-0.1</v>
      </c>
      <c r="X38" s="978">
        <v>-0.1</v>
      </c>
      <c r="Y38" s="978">
        <v>-0.05</v>
      </c>
      <c r="Z38" s="978">
        <v>-0.05</v>
      </c>
      <c r="AA38" s="978">
        <v>-0.05</v>
      </c>
      <c r="AB38" s="978">
        <v>-0.01</v>
      </c>
      <c r="AC38" s="978">
        <v>-0.01</v>
      </c>
      <c r="AD38" s="978">
        <v>-0.01</v>
      </c>
      <c r="AJ38" s="560"/>
    </row>
    <row r="39" spans="8:36" s="290" customFormat="1" ht="11.25">
      <c r="H39" s="557"/>
      <c r="I39" s="557"/>
      <c r="J39" s="63" t="s">
        <v>314</v>
      </c>
      <c r="K39" s="63"/>
      <c r="L39" s="63"/>
      <c r="M39" s="63"/>
      <c r="N39" s="63"/>
      <c r="O39" s="63"/>
      <c r="P39" s="63"/>
      <c r="Q39" s="63"/>
      <c r="R39" s="174"/>
      <c r="S39" s="850"/>
      <c r="T39" s="850"/>
      <c r="U39" s="850"/>
      <c r="V39" s="978">
        <v>-0.04</v>
      </c>
      <c r="W39" s="978">
        <v>-0.04</v>
      </c>
      <c r="X39" s="978">
        <v>-0.04</v>
      </c>
      <c r="Y39" s="978">
        <v>-0.02</v>
      </c>
      <c r="Z39" s="978">
        <v>-0.02</v>
      </c>
      <c r="AA39" s="978">
        <v>-0.02</v>
      </c>
      <c r="AB39" s="978">
        <v>-0.02</v>
      </c>
      <c r="AC39" s="978">
        <v>-0.02</v>
      </c>
      <c r="AD39" s="978">
        <v>-0.02</v>
      </c>
      <c r="AJ39" s="560"/>
    </row>
    <row r="40" spans="8:36" s="290" customFormat="1" ht="11.25">
      <c r="H40" s="557"/>
      <c r="I40" s="557"/>
      <c r="J40" s="63" t="s">
        <v>117</v>
      </c>
      <c r="K40" s="63"/>
      <c r="L40" s="63"/>
      <c r="M40" s="63"/>
      <c r="N40" s="63"/>
      <c r="O40" s="63"/>
      <c r="P40" s="63"/>
      <c r="Q40" s="63"/>
      <c r="R40" s="174"/>
      <c r="S40" s="850"/>
      <c r="T40" s="850"/>
      <c r="U40" s="850"/>
      <c r="V40" s="978">
        <v>-5.0000000000000001E-3</v>
      </c>
      <c r="W40" s="978">
        <v>-2E-3</v>
      </c>
      <c r="X40" s="978">
        <v>-2E-3</v>
      </c>
      <c r="Y40" s="978">
        <v>-2E-3</v>
      </c>
      <c r="Z40" s="978">
        <v>-5.0000000000000001E-4</v>
      </c>
      <c r="AA40" s="978">
        <v>-5.0000000000000001E-4</v>
      </c>
      <c r="AB40" s="978">
        <v>-5.0000000000000001E-4</v>
      </c>
      <c r="AC40" s="978">
        <v>-5.0000000000000001E-4</v>
      </c>
      <c r="AD40" s="978">
        <v>-5.0000000000000001E-4</v>
      </c>
      <c r="AJ40" s="560"/>
    </row>
    <row r="41" spans="8:36" s="290" customFormat="1" ht="11.25">
      <c r="H41" s="557"/>
      <c r="I41" s="557"/>
      <c r="J41" s="63" t="s">
        <v>118</v>
      </c>
      <c r="K41" s="63"/>
      <c r="L41" s="63"/>
      <c r="M41" s="63"/>
      <c r="N41" s="63"/>
      <c r="O41" s="63"/>
      <c r="P41" s="63"/>
      <c r="Q41" s="63"/>
      <c r="R41" s="174"/>
      <c r="S41" s="850"/>
      <c r="T41" s="850"/>
      <c r="U41" s="850"/>
      <c r="V41" s="978">
        <v>-5.0000000000000001E-3</v>
      </c>
      <c r="W41" s="978">
        <v>-2E-3</v>
      </c>
      <c r="X41" s="978">
        <v>-2E-3</v>
      </c>
      <c r="Y41" s="978">
        <v>-2E-3</v>
      </c>
      <c r="Z41" s="978">
        <v>-5.0000000000000001E-4</v>
      </c>
      <c r="AA41" s="978">
        <v>-5.0000000000000001E-4</v>
      </c>
      <c r="AB41" s="978">
        <v>-5.0000000000000001E-4</v>
      </c>
      <c r="AC41" s="978">
        <v>-5.0000000000000001E-4</v>
      </c>
      <c r="AD41" s="978">
        <v>-5.0000000000000001E-4</v>
      </c>
      <c r="AJ41" s="560"/>
    </row>
    <row r="42" spans="8:36" s="290" customFormat="1" ht="11.25">
      <c r="H42" s="557"/>
      <c r="I42" s="557"/>
      <c r="J42" s="63"/>
      <c r="K42" s="63"/>
      <c r="L42" s="63"/>
      <c r="M42" s="63"/>
      <c r="N42" s="63"/>
      <c r="O42" s="63"/>
      <c r="P42" s="63"/>
      <c r="Q42" s="63"/>
      <c r="R42" s="174"/>
      <c r="S42" s="63"/>
      <c r="T42" s="63"/>
      <c r="U42" s="63"/>
      <c r="V42" s="63"/>
      <c r="W42" s="63"/>
      <c r="X42" s="63"/>
      <c r="Y42" s="63"/>
      <c r="Z42" s="63"/>
      <c r="AA42" s="63"/>
      <c r="AB42" s="63"/>
      <c r="AC42" s="63"/>
      <c r="AD42" s="63"/>
      <c r="AJ42" s="560"/>
    </row>
    <row r="43" spans="8:36" s="290" customFormat="1" ht="11.25">
      <c r="H43" s="557"/>
      <c r="I43" s="557"/>
      <c r="J43" s="980" t="s">
        <v>122</v>
      </c>
      <c r="K43" s="981"/>
      <c r="L43" s="981"/>
      <c r="M43" s="981"/>
      <c r="N43" s="981"/>
      <c r="O43" s="981"/>
      <c r="P43" s="981"/>
      <c r="Q43" s="981"/>
      <c r="R43" s="982"/>
      <c r="S43" s="981"/>
      <c r="T43" s="981"/>
      <c r="U43" s="981"/>
      <c r="V43" s="981"/>
      <c r="W43" s="981"/>
      <c r="X43" s="981"/>
      <c r="Y43" s="981"/>
      <c r="Z43" s="981"/>
      <c r="AA43" s="981"/>
      <c r="AB43" s="981"/>
      <c r="AC43" s="981"/>
      <c r="AD43" s="981"/>
      <c r="AJ43" s="560"/>
    </row>
    <row r="44" spans="8:36" s="290" customFormat="1" ht="11.25">
      <c r="H44" s="557"/>
      <c r="I44" s="557"/>
      <c r="J44" s="63" t="s">
        <v>123</v>
      </c>
      <c r="K44" s="63"/>
      <c r="L44" s="63"/>
      <c r="M44" s="63"/>
      <c r="N44" s="63"/>
      <c r="O44" s="300"/>
      <c r="P44" s="300"/>
      <c r="Q44" s="300"/>
      <c r="R44" s="300"/>
      <c r="S44" s="852"/>
      <c r="T44" s="852"/>
      <c r="U44" s="852"/>
      <c r="V44" s="923">
        <f t="shared" ref="V44:AD44" si="13">V16+V49</f>
        <v>0.3</v>
      </c>
      <c r="W44" s="923">
        <f t="shared" si="13"/>
        <v>0.255</v>
      </c>
      <c r="X44" s="923">
        <f t="shared" si="13"/>
        <v>0.20499999999999999</v>
      </c>
      <c r="Y44" s="923">
        <f t="shared" si="13"/>
        <v>0.16</v>
      </c>
      <c r="Z44" s="923">
        <f t="shared" si="13"/>
        <v>0.13</v>
      </c>
      <c r="AA44" s="923">
        <f t="shared" si="13"/>
        <v>0.1</v>
      </c>
      <c r="AB44" s="923">
        <f t="shared" si="13"/>
        <v>6.5000000000000002E-2</v>
      </c>
      <c r="AC44" s="923">
        <f t="shared" si="13"/>
        <v>0.05</v>
      </c>
      <c r="AD44" s="923">
        <f t="shared" si="13"/>
        <v>0.04</v>
      </c>
      <c r="AJ44" s="560"/>
    </row>
    <row r="45" spans="8:36" s="290" customFormat="1" ht="11.25">
      <c r="H45" s="557"/>
      <c r="I45" s="557"/>
      <c r="J45" s="63" t="s">
        <v>314</v>
      </c>
      <c r="K45" s="63"/>
      <c r="L45" s="63"/>
      <c r="M45" s="63"/>
      <c r="N45" s="63"/>
      <c r="O45" s="300"/>
      <c r="P45" s="300"/>
      <c r="Q45" s="300"/>
      <c r="R45" s="300"/>
      <c r="S45" s="852"/>
      <c r="T45" s="852"/>
      <c r="U45" s="852"/>
      <c r="V45" s="923">
        <f t="shared" ref="V45:AD45" si="14">V17+V50</f>
        <v>0</v>
      </c>
      <c r="W45" s="923">
        <f t="shared" si="14"/>
        <v>4.4999999999999998E-2</v>
      </c>
      <c r="X45" s="923">
        <f t="shared" si="14"/>
        <v>3.5000000000000003E-2</v>
      </c>
      <c r="Y45" s="923">
        <f t="shared" si="14"/>
        <v>3.5000000000000003E-2</v>
      </c>
      <c r="Z45" s="923">
        <f t="shared" si="14"/>
        <v>3.5000000000000003E-2</v>
      </c>
      <c r="AA45" s="923">
        <f t="shared" si="14"/>
        <v>3.5000000000000003E-2</v>
      </c>
      <c r="AB45" s="923">
        <f t="shared" si="14"/>
        <v>3.5000000000000003E-2</v>
      </c>
      <c r="AC45" s="923">
        <f t="shared" si="14"/>
        <v>3.5000000000000003E-2</v>
      </c>
      <c r="AD45" s="923">
        <f t="shared" si="14"/>
        <v>3.5000000000000003E-2</v>
      </c>
      <c r="AJ45" s="560"/>
    </row>
    <row r="46" spans="8:36" s="290" customFormat="1" ht="11.25">
      <c r="H46" s="557"/>
      <c r="I46" s="557"/>
      <c r="J46" s="63" t="s">
        <v>117</v>
      </c>
      <c r="K46" s="63"/>
      <c r="L46" s="63"/>
      <c r="M46" s="63"/>
      <c r="N46" s="63"/>
      <c r="O46" s="300"/>
      <c r="P46" s="300"/>
      <c r="Q46" s="300"/>
      <c r="R46" s="300"/>
      <c r="S46" s="853"/>
      <c r="T46" s="853"/>
      <c r="U46" s="853"/>
      <c r="V46" s="924">
        <f t="shared" ref="V46:AD46" si="15">V18+V51</f>
        <v>7.5444865554044005E-2</v>
      </c>
      <c r="W46" s="924">
        <f t="shared" si="15"/>
        <v>8.144486555404401E-2</v>
      </c>
      <c r="X46" s="924">
        <f t="shared" si="15"/>
        <v>8.3444865554044012E-2</v>
      </c>
      <c r="Y46" s="924">
        <f t="shared" si="15"/>
        <v>8.5444865554044014E-2</v>
      </c>
      <c r="Z46" s="924">
        <f t="shared" si="15"/>
        <v>8.7444865554044016E-2</v>
      </c>
      <c r="AA46" s="924">
        <f t="shared" si="15"/>
        <v>8.9444865554044017E-2</v>
      </c>
      <c r="AB46" s="924">
        <f t="shared" si="15"/>
        <v>9.1444865554044019E-2</v>
      </c>
      <c r="AC46" s="924">
        <f t="shared" si="15"/>
        <v>9.3444865554044021E-2</v>
      </c>
      <c r="AD46" s="924">
        <f t="shared" si="15"/>
        <v>9.5444865554044023E-2</v>
      </c>
      <c r="AJ46" s="560"/>
    </row>
    <row r="47" spans="8:36" s="290" customFormat="1" ht="11.25">
      <c r="H47" s="557"/>
      <c r="I47" s="557"/>
      <c r="J47" s="63" t="s">
        <v>118</v>
      </c>
      <c r="K47" s="63"/>
      <c r="L47" s="63"/>
      <c r="M47" s="63"/>
      <c r="N47" s="63"/>
      <c r="O47" s="300"/>
      <c r="P47" s="300"/>
      <c r="Q47" s="300"/>
      <c r="R47" s="300"/>
      <c r="S47" s="853"/>
      <c r="T47" s="853"/>
      <c r="U47" s="853"/>
      <c r="V47" s="924">
        <f t="shared" ref="V47:AD47" si="16">V19+V52</f>
        <v>8.0549263370810448E-2</v>
      </c>
      <c r="W47" s="924">
        <f t="shared" si="16"/>
        <v>8.6349263370810447E-2</v>
      </c>
      <c r="X47" s="924">
        <f t="shared" si="16"/>
        <v>8.934926337081045E-2</v>
      </c>
      <c r="Y47" s="924">
        <f t="shared" si="16"/>
        <v>9.4349263370810454E-2</v>
      </c>
      <c r="Z47" s="924">
        <f t="shared" si="16"/>
        <v>9.8349263370810458E-2</v>
      </c>
      <c r="AA47" s="924">
        <f t="shared" si="16"/>
        <v>0.10234926337081046</v>
      </c>
      <c r="AB47" s="924">
        <f t="shared" si="16"/>
        <v>0.10634926337081047</v>
      </c>
      <c r="AC47" s="924">
        <f t="shared" si="16"/>
        <v>0.11034926337081047</v>
      </c>
      <c r="AD47" s="924">
        <f t="shared" si="16"/>
        <v>0.11434926337081047</v>
      </c>
      <c r="AJ47" s="560"/>
    </row>
    <row r="48" spans="8:36" s="290" customFormat="1" ht="11.25">
      <c r="H48" s="557"/>
      <c r="I48" s="557"/>
      <c r="J48" s="63"/>
      <c r="K48" s="63"/>
      <c r="L48" s="63"/>
      <c r="M48" s="63"/>
      <c r="N48" s="63"/>
      <c r="O48" s="63"/>
      <c r="P48" s="63"/>
      <c r="Q48" s="63"/>
      <c r="R48" s="174"/>
      <c r="S48" s="500"/>
      <c r="T48" s="500"/>
      <c r="U48" s="500"/>
      <c r="V48" s="63"/>
      <c r="W48" s="63"/>
      <c r="X48" s="63"/>
      <c r="Y48" s="63"/>
      <c r="Z48" s="63"/>
      <c r="AA48" s="63"/>
      <c r="AB48" s="63"/>
      <c r="AC48" s="63"/>
      <c r="AD48" s="63"/>
      <c r="AJ48" s="560"/>
    </row>
    <row r="49" spans="8:36" s="290" customFormat="1" ht="11.25">
      <c r="H49" s="557"/>
      <c r="I49" s="557"/>
      <c r="J49" s="63" t="s">
        <v>123</v>
      </c>
      <c r="K49" s="63"/>
      <c r="L49" s="63"/>
      <c r="M49" s="63"/>
      <c r="N49" s="63"/>
      <c r="O49" s="63"/>
      <c r="P49" s="63"/>
      <c r="Q49" s="63"/>
      <c r="R49" s="174"/>
      <c r="S49" s="850"/>
      <c r="T49" s="850"/>
      <c r="U49" s="850"/>
      <c r="V49" s="978">
        <v>-0.02</v>
      </c>
      <c r="W49" s="978">
        <v>0</v>
      </c>
      <c r="X49" s="978">
        <f t="shared" ref="X49:AD49" si="17">W49</f>
        <v>0</v>
      </c>
      <c r="Y49" s="978">
        <f t="shared" si="17"/>
        <v>0</v>
      </c>
      <c r="Z49" s="978">
        <f t="shared" si="17"/>
        <v>0</v>
      </c>
      <c r="AA49" s="978">
        <f t="shared" si="17"/>
        <v>0</v>
      </c>
      <c r="AB49" s="978">
        <f t="shared" si="17"/>
        <v>0</v>
      </c>
      <c r="AC49" s="978">
        <f t="shared" si="17"/>
        <v>0</v>
      </c>
      <c r="AD49" s="978">
        <f t="shared" si="17"/>
        <v>0</v>
      </c>
      <c r="AJ49" s="560"/>
    </row>
    <row r="50" spans="8:36" s="290" customFormat="1" ht="11.25">
      <c r="H50" s="557"/>
      <c r="I50" s="557"/>
      <c r="J50" s="63" t="s">
        <v>314</v>
      </c>
      <c r="K50" s="63"/>
      <c r="L50" s="63"/>
      <c r="M50" s="63"/>
      <c r="N50" s="63"/>
      <c r="O50" s="63"/>
      <c r="P50" s="63"/>
      <c r="Q50" s="63"/>
      <c r="R50" s="174"/>
      <c r="S50" s="850"/>
      <c r="T50" s="850"/>
      <c r="U50" s="850"/>
      <c r="V50" s="978">
        <v>-7.0000000000000007E-2</v>
      </c>
      <c r="W50" s="978">
        <v>0</v>
      </c>
      <c r="X50" s="978">
        <f t="shared" ref="W50:AD52" si="18">W50</f>
        <v>0</v>
      </c>
      <c r="Y50" s="978">
        <f t="shared" si="18"/>
        <v>0</v>
      </c>
      <c r="Z50" s="978">
        <f t="shared" si="18"/>
        <v>0</v>
      </c>
      <c r="AA50" s="978">
        <f t="shared" si="18"/>
        <v>0</v>
      </c>
      <c r="AB50" s="978">
        <f t="shared" si="18"/>
        <v>0</v>
      </c>
      <c r="AC50" s="978">
        <f t="shared" si="18"/>
        <v>0</v>
      </c>
      <c r="AD50" s="978">
        <f t="shared" si="18"/>
        <v>0</v>
      </c>
      <c r="AJ50" s="560"/>
    </row>
    <row r="51" spans="8:36" s="290" customFormat="1" ht="11.25">
      <c r="H51" s="557"/>
      <c r="I51" s="557"/>
      <c r="J51" s="63" t="s">
        <v>117</v>
      </c>
      <c r="K51" s="63"/>
      <c r="L51" s="63"/>
      <c r="M51" s="63"/>
      <c r="N51" s="63"/>
      <c r="O51" s="63"/>
      <c r="P51" s="63"/>
      <c r="Q51" s="63"/>
      <c r="R51" s="174"/>
      <c r="S51" s="854"/>
      <c r="T51" s="854"/>
      <c r="U51" s="854"/>
      <c r="V51" s="978">
        <v>0</v>
      </c>
      <c r="W51" s="978">
        <f t="shared" si="18"/>
        <v>0</v>
      </c>
      <c r="X51" s="978">
        <f t="shared" si="18"/>
        <v>0</v>
      </c>
      <c r="Y51" s="978">
        <f t="shared" si="18"/>
        <v>0</v>
      </c>
      <c r="Z51" s="978">
        <f t="shared" si="18"/>
        <v>0</v>
      </c>
      <c r="AA51" s="978">
        <f t="shared" si="18"/>
        <v>0</v>
      </c>
      <c r="AB51" s="978">
        <f t="shared" si="18"/>
        <v>0</v>
      </c>
      <c r="AC51" s="978">
        <f t="shared" si="18"/>
        <v>0</v>
      </c>
      <c r="AD51" s="978">
        <f t="shared" si="18"/>
        <v>0</v>
      </c>
      <c r="AJ51" s="560"/>
    </row>
    <row r="52" spans="8:36" s="290" customFormat="1" ht="11.25">
      <c r="H52" s="557"/>
      <c r="I52" s="557"/>
      <c r="J52" s="63" t="s">
        <v>118</v>
      </c>
      <c r="K52" s="63"/>
      <c r="L52" s="63"/>
      <c r="M52" s="63"/>
      <c r="N52" s="63"/>
      <c r="O52" s="63"/>
      <c r="P52" s="63"/>
      <c r="Q52" s="63"/>
      <c r="R52" s="174"/>
      <c r="S52" s="854"/>
      <c r="T52" s="854"/>
      <c r="U52" s="854"/>
      <c r="V52" s="978">
        <v>0</v>
      </c>
      <c r="W52" s="978">
        <f t="shared" si="18"/>
        <v>0</v>
      </c>
      <c r="X52" s="978">
        <f t="shared" si="18"/>
        <v>0</v>
      </c>
      <c r="Y52" s="978">
        <f t="shared" si="18"/>
        <v>0</v>
      </c>
      <c r="Z52" s="978">
        <f t="shared" si="18"/>
        <v>0</v>
      </c>
      <c r="AA52" s="978">
        <f t="shared" si="18"/>
        <v>0</v>
      </c>
      <c r="AB52" s="978">
        <f t="shared" si="18"/>
        <v>0</v>
      </c>
      <c r="AC52" s="978">
        <f t="shared" si="18"/>
        <v>0</v>
      </c>
      <c r="AD52" s="978">
        <f t="shared" si="18"/>
        <v>0</v>
      </c>
      <c r="AJ52" s="560"/>
    </row>
    <row r="53" spans="8:36" s="290" customFormat="1" ht="11.25">
      <c r="H53" s="557"/>
      <c r="I53" s="557"/>
      <c r="J53" s="63"/>
      <c r="K53" s="63"/>
      <c r="L53" s="63"/>
      <c r="M53" s="63"/>
      <c r="N53" s="63"/>
      <c r="O53" s="63"/>
      <c r="P53" s="63"/>
      <c r="Q53" s="63"/>
      <c r="R53" s="63"/>
      <c r="S53" s="63"/>
      <c r="T53" s="63"/>
      <c r="U53" s="63"/>
      <c r="V53" s="63"/>
      <c r="W53" s="63"/>
      <c r="X53" s="63"/>
      <c r="Y53" s="63"/>
      <c r="Z53" s="63"/>
      <c r="AA53" s="63"/>
      <c r="AB53" s="63"/>
      <c r="AC53" s="63"/>
      <c r="AD53" s="63"/>
      <c r="AJ53" s="560"/>
    </row>
    <row r="54" spans="8:36" s="290" customFormat="1" ht="11.25">
      <c r="H54" s="557"/>
      <c r="I54" s="557"/>
      <c r="J54" s="63"/>
      <c r="K54" s="63"/>
      <c r="L54" s="63"/>
      <c r="M54" s="63"/>
      <c r="N54" s="63"/>
      <c r="O54" s="63"/>
      <c r="P54" s="63"/>
      <c r="Q54" s="63"/>
      <c r="R54" s="174"/>
      <c r="S54" s="63"/>
      <c r="T54" s="63"/>
      <c r="U54" s="63"/>
      <c r="V54" s="63"/>
      <c r="W54" s="63"/>
      <c r="X54" s="63"/>
      <c r="Y54" s="63"/>
      <c r="Z54" s="63"/>
      <c r="AA54" s="63"/>
      <c r="AB54" s="63"/>
      <c r="AC54" s="63"/>
      <c r="AD54" s="63"/>
      <c r="AJ54" s="560"/>
    </row>
    <row r="55" spans="8:36" s="290" customFormat="1" ht="11.25">
      <c r="H55" s="557"/>
      <c r="I55" s="557"/>
      <c r="J55" s="63"/>
      <c r="K55" s="63"/>
      <c r="L55" s="63"/>
      <c r="M55" s="63"/>
      <c r="N55" s="63"/>
      <c r="O55" s="63"/>
      <c r="P55" s="63"/>
      <c r="Q55" s="63"/>
      <c r="R55" s="174"/>
      <c r="S55" s="63"/>
      <c r="T55" s="63"/>
      <c r="U55" s="63"/>
      <c r="V55" s="63"/>
      <c r="W55" s="63"/>
      <c r="X55" s="63"/>
      <c r="Y55" s="63"/>
      <c r="Z55" s="63"/>
      <c r="AA55" s="63"/>
      <c r="AB55" s="63"/>
      <c r="AC55" s="63"/>
      <c r="AD55" s="63"/>
      <c r="AJ55" s="560"/>
    </row>
    <row r="56" spans="8:36" s="290" customFormat="1" ht="11.25">
      <c r="H56" s="557"/>
      <c r="I56" s="557"/>
      <c r="J56" s="63"/>
      <c r="K56" s="63"/>
      <c r="L56" s="63"/>
      <c r="M56" s="63"/>
      <c r="N56" s="63"/>
      <c r="O56" s="63"/>
      <c r="P56" s="63"/>
      <c r="Q56" s="63"/>
      <c r="R56" s="174"/>
      <c r="S56" s="63"/>
      <c r="T56" s="63"/>
      <c r="U56" s="63"/>
      <c r="V56" s="63"/>
      <c r="W56" s="63"/>
      <c r="X56" s="63"/>
      <c r="Y56" s="63"/>
      <c r="Z56" s="63"/>
      <c r="AA56" s="63"/>
      <c r="AB56" s="63"/>
      <c r="AC56" s="63"/>
      <c r="AD56" s="63"/>
      <c r="AJ56" s="560"/>
    </row>
    <row r="57" spans="8:36">
      <c r="J57" s="4" t="s">
        <v>253</v>
      </c>
    </row>
    <row r="58" spans="8:36">
      <c r="J58" s="270">
        <v>1</v>
      </c>
      <c r="K58" s="271"/>
    </row>
    <row r="59" spans="8:36">
      <c r="J59" s="271">
        <v>1</v>
      </c>
      <c r="K59" s="272" t="s">
        <v>11</v>
      </c>
    </row>
    <row r="60" spans="8:36">
      <c r="J60" s="271">
        <v>2</v>
      </c>
      <c r="K60" s="272" t="s">
        <v>12</v>
      </c>
    </row>
    <row r="61" spans="8:36">
      <c r="J61" s="271">
        <v>3</v>
      </c>
      <c r="K61" s="272" t="s">
        <v>13</v>
      </c>
    </row>
    <row r="62" spans="8:36">
      <c r="J62" s="271">
        <v>4</v>
      </c>
      <c r="K62" s="272" t="s">
        <v>97</v>
      </c>
    </row>
    <row r="64" spans="8:36">
      <c r="J64" s="63" t="s">
        <v>314</v>
      </c>
    </row>
    <row r="65" spans="10:11">
      <c r="J65" s="270">
        <v>1</v>
      </c>
      <c r="K65" s="271"/>
    </row>
    <row r="66" spans="10:11">
      <c r="J66" s="271">
        <v>1</v>
      </c>
      <c r="K66" s="272" t="s">
        <v>11</v>
      </c>
    </row>
    <row r="67" spans="10:11">
      <c r="J67" s="271">
        <v>2</v>
      </c>
      <c r="K67" s="272" t="s">
        <v>12</v>
      </c>
    </row>
    <row r="68" spans="10:11">
      <c r="J68" s="271">
        <v>3</v>
      </c>
      <c r="K68" s="272" t="s">
        <v>13</v>
      </c>
    </row>
    <row r="69" spans="10:11">
      <c r="J69" s="271">
        <v>4</v>
      </c>
      <c r="K69" s="272" t="s">
        <v>97</v>
      </c>
    </row>
    <row r="71" spans="10:11">
      <c r="J71" s="4" t="s">
        <v>117</v>
      </c>
    </row>
    <row r="72" spans="10:11">
      <c r="J72" s="270">
        <v>1</v>
      </c>
      <c r="K72" s="271"/>
    </row>
    <row r="73" spans="10:11">
      <c r="J73" s="271">
        <v>1</v>
      </c>
      <c r="K73" s="272" t="s">
        <v>11</v>
      </c>
    </row>
    <row r="74" spans="10:11">
      <c r="J74" s="271">
        <v>2</v>
      </c>
      <c r="K74" s="272" t="s">
        <v>12</v>
      </c>
    </row>
    <row r="75" spans="10:11">
      <c r="J75" s="271">
        <v>3</v>
      </c>
      <c r="K75" s="272" t="s">
        <v>13</v>
      </c>
    </row>
    <row r="76" spans="10:11">
      <c r="J76" s="271">
        <v>4</v>
      </c>
      <c r="K76" s="272" t="s">
        <v>97</v>
      </c>
    </row>
    <row r="78" spans="10:11">
      <c r="J78" s="4" t="s">
        <v>118</v>
      </c>
    </row>
    <row r="79" spans="10:11">
      <c r="J79" s="270">
        <v>1</v>
      </c>
      <c r="K79" s="271"/>
    </row>
    <row r="80" spans="10:11">
      <c r="J80" s="271">
        <v>1</v>
      </c>
      <c r="K80" s="272" t="s">
        <v>11</v>
      </c>
    </row>
    <row r="81" spans="10:11">
      <c r="J81" s="271">
        <v>2</v>
      </c>
      <c r="K81" s="272" t="s">
        <v>12</v>
      </c>
    </row>
    <row r="82" spans="10:11">
      <c r="J82" s="271">
        <v>3</v>
      </c>
      <c r="K82" s="272" t="s">
        <v>13</v>
      </c>
    </row>
    <row r="83" spans="10:11">
      <c r="J83" s="271">
        <v>4</v>
      </c>
      <c r="K83" s="272" t="s">
        <v>97</v>
      </c>
    </row>
  </sheetData>
  <mergeCells count="3">
    <mergeCell ref="AE8:AF8"/>
    <mergeCell ref="N8:U8"/>
    <mergeCell ref="V8:AD8"/>
  </mergeCells>
  <phoneticPr fontId="8"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3" r:id="rId4" name="Drop Down 3">
              <controlPr defaultSize="0" print="0" autoLine="0" autoPict="0">
                <anchor moveWithCells="1">
                  <from>
                    <xdr:col>10</xdr:col>
                    <xdr:colOff>19050</xdr:colOff>
                    <xdr:row>4</xdr:row>
                    <xdr:rowOff>0</xdr:rowOff>
                  </from>
                  <to>
                    <xdr:col>21</xdr:col>
                    <xdr:colOff>257175</xdr:colOff>
                    <xdr:row>5</xdr:row>
                    <xdr:rowOff>9525</xdr:rowOff>
                  </to>
                </anchor>
              </controlPr>
            </control>
          </mc:Choice>
        </mc:AlternateContent>
        <mc:AlternateContent xmlns:mc="http://schemas.openxmlformats.org/markup-compatibility/2006">
          <mc:Choice Requires="x14">
            <control shapeId="25606" r:id="rId5" name="Drop Down 6">
              <controlPr defaultSize="0" print="0" autoLine="0" autoPict="0">
                <anchor moveWithCells="1">
                  <from>
                    <xdr:col>10</xdr:col>
                    <xdr:colOff>19050</xdr:colOff>
                    <xdr:row>3</xdr:row>
                    <xdr:rowOff>0</xdr:rowOff>
                  </from>
                  <to>
                    <xdr:col>21</xdr:col>
                    <xdr:colOff>257175</xdr:colOff>
                    <xdr:row>4</xdr:row>
                    <xdr:rowOff>9525</xdr:rowOff>
                  </to>
                </anchor>
              </controlPr>
            </control>
          </mc:Choice>
        </mc:AlternateContent>
        <mc:AlternateContent xmlns:mc="http://schemas.openxmlformats.org/markup-compatibility/2006">
          <mc:Choice Requires="x14">
            <control shapeId="25607" r:id="rId6" name="Drop Down 7">
              <controlPr defaultSize="0" print="0" autoLine="0" autoPict="0">
                <anchor moveWithCells="1">
                  <from>
                    <xdr:col>10</xdr:col>
                    <xdr:colOff>19050</xdr:colOff>
                    <xdr:row>1</xdr:row>
                    <xdr:rowOff>123825</xdr:rowOff>
                  </from>
                  <to>
                    <xdr:col>21</xdr:col>
                    <xdr:colOff>257175</xdr:colOff>
                    <xdr:row>2</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56"/>
    <outlinePr showOutlineSymbols="0"/>
  </sheetPr>
  <dimension ref="A1:IB813"/>
  <sheetViews>
    <sheetView tabSelected="1" zoomScaleNormal="100" workbookViewId="0">
      <pane xSplit="13" ySplit="10" topLeftCell="U11" activePane="bottomRight" state="frozen"/>
      <selection activeCell="H1" sqref="H1"/>
      <selection pane="topRight" activeCell="N1" sqref="N1"/>
      <selection pane="bottomLeft" activeCell="H11" sqref="H11"/>
      <selection pane="bottomRight" activeCell="U8" sqref="U8"/>
    </sheetView>
  </sheetViews>
  <sheetFormatPr defaultColWidth="9.140625" defaultRowHeight="12.75" outlineLevelRow="4" outlineLevelCol="1"/>
  <cols>
    <col min="1" max="1" width="9.140625" style="290" hidden="1" customWidth="1" outlineLevel="1"/>
    <col min="2" max="7" width="4.5703125" style="290" hidden="1" customWidth="1" outlineLevel="1"/>
    <col min="8" max="8" width="5.28515625" style="557" customWidth="1" collapsed="1"/>
    <col min="9" max="9" width="4.5703125" style="557" customWidth="1"/>
    <col min="10" max="10" width="20.28515625" style="290" customWidth="1"/>
    <col min="11" max="11" width="1.28515625" style="290" customWidth="1"/>
    <col min="12" max="12" width="5.7109375" style="290" customWidth="1"/>
    <col min="13" max="13" width="8.42578125" style="290" customWidth="1"/>
    <col min="14" max="15" width="8.42578125" style="290" hidden="1" customWidth="1" outlineLevel="1"/>
    <col min="16" max="18" width="9.5703125" style="290" hidden="1" customWidth="1" outlineLevel="1"/>
    <col min="19" max="19" width="9.5703125" style="382" hidden="1" customWidth="1" outlineLevel="1"/>
    <col min="20" max="20" width="9" style="382" hidden="1" customWidth="1" outlineLevel="1"/>
    <col min="21" max="21" width="9" style="382" customWidth="1" collapsed="1"/>
    <col min="22" max="22" width="9" style="758" customWidth="1"/>
    <col min="23" max="25" width="10" style="290" customWidth="1"/>
    <col min="26" max="30" width="10" style="290" hidden="1" customWidth="1" outlineLevel="1"/>
    <col min="31" max="31" width="3.5703125" style="290" customWidth="1" collapsed="1"/>
    <col min="32" max="32" width="8.42578125" style="290" customWidth="1"/>
    <col min="33" max="33" width="4.42578125" style="560" customWidth="1"/>
    <col min="34" max="37" width="9.140625" style="290" hidden="1" customWidth="1" outlineLevel="1"/>
    <col min="38" max="38" width="8.85546875" style="758" hidden="1" customWidth="1" outlineLevel="1"/>
    <col min="39" max="41" width="8.85546875" style="290" hidden="1" customWidth="1" outlineLevel="1"/>
    <col min="42" max="42" width="8.85546875" style="758" hidden="1" customWidth="1" outlineLevel="1" collapsed="1"/>
    <col min="43" max="45" width="8.85546875" style="290" hidden="1" customWidth="1" outlineLevel="1"/>
    <col min="46" max="46" width="8.85546875" style="758" hidden="1" customWidth="1" outlineLevel="1"/>
    <col min="47" max="48" width="8.85546875" style="290" hidden="1" customWidth="1" outlineLevel="1"/>
    <col min="49" max="49" width="8.85546875" style="382" hidden="1" customWidth="1" outlineLevel="1"/>
    <col min="50" max="50" width="8.85546875" style="758" hidden="1" customWidth="1" outlineLevel="1"/>
    <col min="51" max="51" width="8.85546875" style="382" hidden="1" customWidth="1" outlineLevel="1"/>
    <col min="52" max="53" width="9" style="382" hidden="1" customWidth="1" outlineLevel="1"/>
    <col min="54" max="54" width="8.85546875" style="758" hidden="1" customWidth="1" outlineLevel="1"/>
    <col min="55" max="57" width="8.85546875" style="382" hidden="1" customWidth="1" outlineLevel="1"/>
    <col min="58" max="58" width="9.28515625" style="758" hidden="1" customWidth="1" outlineLevel="1"/>
    <col min="59" max="61" width="8.85546875" style="382" hidden="1" customWidth="1" outlineLevel="1"/>
    <col min="62" max="62" width="8.85546875" style="758" customWidth="1" collapsed="1"/>
    <col min="63" max="64" width="8.85546875" style="382" customWidth="1"/>
    <col min="65" max="65" width="9.28515625" style="382" customWidth="1"/>
    <col min="66" max="66" width="8.85546875" style="758" customWidth="1"/>
    <col min="67" max="69" width="8.85546875" style="382" customWidth="1"/>
    <col min="70" max="70" width="9.140625" style="382"/>
    <col min="71" max="95" width="9.140625" style="290"/>
    <col min="96" max="96" width="24.5703125" customWidth="1"/>
    <col min="102" max="16384" width="9.140625" style="290"/>
  </cols>
  <sheetData>
    <row r="1" spans="1:101" ht="13.5" hidden="1" customHeight="1" outlineLevel="1">
      <c r="A1" s="561"/>
      <c r="B1" s="562"/>
      <c r="C1" s="562"/>
      <c r="D1" s="562"/>
      <c r="E1" s="562"/>
      <c r="F1" s="562"/>
      <c r="G1" s="562"/>
      <c r="H1" s="555"/>
      <c r="I1" s="555"/>
      <c r="J1" s="866" t="s">
        <v>14</v>
      </c>
      <c r="K1" s="866"/>
      <c r="L1" s="521"/>
      <c r="M1" s="867"/>
      <c r="N1" s="868">
        <v>1</v>
      </c>
      <c r="O1" s="868">
        <v>1</v>
      </c>
      <c r="P1" s="868">
        <v>1</v>
      </c>
      <c r="Q1" s="868">
        <v>1</v>
      </c>
      <c r="R1" s="868">
        <v>1</v>
      </c>
      <c r="S1" s="869">
        <v>1</v>
      </c>
      <c r="T1" s="869">
        <v>1</v>
      </c>
      <c r="U1" s="869">
        <v>1</v>
      </c>
      <c r="V1" s="869">
        <v>1</v>
      </c>
      <c r="W1" s="868">
        <v>1</v>
      </c>
      <c r="X1" s="868">
        <v>1</v>
      </c>
      <c r="Y1" s="868">
        <v>1</v>
      </c>
      <c r="Z1" s="868">
        <v>1</v>
      </c>
      <c r="AA1" s="868">
        <v>1</v>
      </c>
      <c r="AB1" s="868">
        <v>1</v>
      </c>
      <c r="AC1" s="868">
        <v>1</v>
      </c>
      <c r="AD1" s="868">
        <v>1</v>
      </c>
      <c r="AE1" s="521"/>
      <c r="AF1" s="521"/>
      <c r="AG1" s="521"/>
      <c r="AH1" s="410"/>
      <c r="AI1" s="410"/>
      <c r="AJ1" s="410"/>
      <c r="AK1" s="410"/>
      <c r="AL1" s="739">
        <v>0.25</v>
      </c>
      <c r="AM1" s="411">
        <v>0.25</v>
      </c>
      <c r="AN1" s="411">
        <v>0.25</v>
      </c>
      <c r="AO1" s="411">
        <v>0.25</v>
      </c>
      <c r="AP1" s="739">
        <v>0.25</v>
      </c>
      <c r="AQ1" s="411">
        <v>0.25</v>
      </c>
      <c r="AR1" s="411">
        <v>0.25</v>
      </c>
      <c r="AS1" s="411">
        <v>0.25</v>
      </c>
      <c r="AT1" s="738">
        <v>0.25</v>
      </c>
      <c r="AU1" s="413">
        <v>0.25</v>
      </c>
      <c r="AV1" s="413">
        <v>0.25</v>
      </c>
      <c r="AW1" s="414">
        <v>0.25</v>
      </c>
      <c r="AX1" s="738">
        <v>0.25</v>
      </c>
      <c r="AY1" s="414">
        <v>0.25</v>
      </c>
      <c r="AZ1" s="414">
        <v>0.25</v>
      </c>
      <c r="BA1" s="414">
        <v>0.25</v>
      </c>
      <c r="BB1" s="738">
        <v>0.25</v>
      </c>
      <c r="BC1" s="414">
        <v>0.25</v>
      </c>
      <c r="BD1" s="414">
        <v>0.25</v>
      </c>
      <c r="BE1" s="414">
        <v>0.25</v>
      </c>
      <c r="BF1" s="738">
        <v>0.25</v>
      </c>
      <c r="BG1" s="414">
        <v>0.25</v>
      </c>
      <c r="BH1" s="414">
        <v>0.25</v>
      </c>
      <c r="BI1" s="414">
        <v>0.25</v>
      </c>
      <c r="BJ1" s="738">
        <v>0.25</v>
      </c>
      <c r="BK1" s="414">
        <v>0.25</v>
      </c>
      <c r="BL1" s="414">
        <v>0.25</v>
      </c>
      <c r="BM1" s="414">
        <v>0.25</v>
      </c>
      <c r="BN1" s="738">
        <v>0.25</v>
      </c>
      <c r="BO1" s="414">
        <v>0.25</v>
      </c>
      <c r="BP1" s="414">
        <v>0.25</v>
      </c>
      <c r="BQ1" s="414">
        <v>0.25</v>
      </c>
    </row>
    <row r="2" spans="1:101" ht="13.5" hidden="1" customHeight="1" outlineLevel="1">
      <c r="A2" s="561"/>
      <c r="B2" s="562"/>
      <c r="C2" s="562"/>
      <c r="D2" s="562"/>
      <c r="E2" s="562"/>
      <c r="F2" s="562"/>
      <c r="G2" s="562"/>
      <c r="H2" s="555"/>
      <c r="I2" s="555"/>
      <c r="J2" s="500" t="s">
        <v>123</v>
      </c>
      <c r="K2" s="866"/>
      <c r="L2" s="521"/>
      <c r="M2" s="867"/>
      <c r="N2" s="868"/>
      <c r="O2" s="868"/>
      <c r="P2" s="868"/>
      <c r="Q2" s="868"/>
      <c r="R2" s="868"/>
      <c r="S2" s="869"/>
      <c r="T2" s="869"/>
      <c r="U2" s="869"/>
      <c r="V2" s="869"/>
      <c r="W2" s="868"/>
      <c r="X2" s="868"/>
      <c r="Y2" s="868"/>
      <c r="Z2" s="868"/>
      <c r="AA2" s="868"/>
      <c r="AB2" s="868"/>
      <c r="AC2" s="868"/>
      <c r="AD2" s="868"/>
      <c r="AE2" s="521"/>
      <c r="AF2" s="521"/>
      <c r="AG2" s="521"/>
      <c r="AH2" s="410"/>
      <c r="AI2" s="410"/>
      <c r="AJ2" s="410"/>
      <c r="AK2" s="410"/>
      <c r="AL2" s="739"/>
      <c r="AM2" s="411"/>
      <c r="AN2" s="411"/>
      <c r="AO2" s="411"/>
      <c r="AP2" s="739"/>
      <c r="AQ2" s="411"/>
      <c r="AR2" s="411"/>
      <c r="AS2" s="411"/>
      <c r="AT2" s="739"/>
      <c r="AU2" s="411"/>
      <c r="AV2" s="411"/>
      <c r="AW2" s="412"/>
      <c r="AX2" s="739"/>
      <c r="AY2" s="412"/>
      <c r="AZ2" s="412"/>
      <c r="BA2" s="412"/>
      <c r="BB2" s="739"/>
      <c r="BC2" s="412"/>
      <c r="BD2" s="412"/>
      <c r="BE2" s="412"/>
      <c r="BF2" s="739"/>
      <c r="BG2" s="412"/>
      <c r="BH2" s="412"/>
      <c r="BI2" s="412"/>
      <c r="BJ2" s="739"/>
      <c r="BK2" s="412"/>
      <c r="BL2" s="412"/>
      <c r="BM2" s="412"/>
      <c r="BN2" s="739"/>
      <c r="BO2" s="412"/>
      <c r="BP2" s="412"/>
      <c r="BQ2" s="412"/>
    </row>
    <row r="3" spans="1:101" ht="13.5" hidden="1" customHeight="1" outlineLevel="1">
      <c r="A3" s="561"/>
      <c r="B3" s="562"/>
      <c r="C3" s="562"/>
      <c r="D3" s="562"/>
      <c r="E3" s="562"/>
      <c r="F3" s="562"/>
      <c r="G3" s="562"/>
      <c r="H3" s="555"/>
      <c r="I3" s="555"/>
      <c r="J3" s="500" t="s">
        <v>408</v>
      </c>
      <c r="K3" s="866"/>
      <c r="L3" s="521"/>
      <c r="M3" s="867"/>
      <c r="N3" s="868"/>
      <c r="O3" s="868"/>
      <c r="P3" s="868"/>
      <c r="Q3" s="868"/>
      <c r="R3" s="868"/>
      <c r="S3" s="869"/>
      <c r="T3" s="869"/>
      <c r="U3" s="869"/>
      <c r="V3" s="869"/>
      <c r="W3" s="868"/>
      <c r="X3" s="868"/>
      <c r="Y3" s="868"/>
      <c r="Z3" s="868"/>
      <c r="AA3" s="868"/>
      <c r="AB3" s="868"/>
      <c r="AC3" s="868"/>
      <c r="AD3" s="868"/>
      <c r="AE3" s="521"/>
      <c r="AF3" s="521"/>
      <c r="AG3" s="521"/>
      <c r="AH3" s="410"/>
      <c r="AI3" s="410"/>
      <c r="AJ3" s="410"/>
      <c r="AK3" s="410"/>
      <c r="AL3" s="739"/>
      <c r="AM3" s="411"/>
      <c r="AN3" s="411"/>
      <c r="AO3" s="411"/>
      <c r="AP3" s="739"/>
      <c r="AQ3" s="411"/>
      <c r="AR3" s="411"/>
      <c r="AS3" s="411"/>
      <c r="AT3" s="739"/>
      <c r="AU3" s="411"/>
      <c r="AV3" s="411"/>
      <c r="AW3" s="412"/>
      <c r="AX3" s="739"/>
      <c r="AY3" s="412"/>
      <c r="AZ3" s="412"/>
      <c r="BA3" s="412"/>
      <c r="BB3" s="739"/>
      <c r="BC3" s="412"/>
      <c r="BD3" s="412"/>
      <c r="BE3" s="412"/>
      <c r="BF3" s="739"/>
      <c r="BG3" s="412"/>
      <c r="BH3" s="412"/>
      <c r="BI3" s="412"/>
      <c r="BJ3" s="739"/>
      <c r="BK3" s="412"/>
      <c r="BL3" s="412"/>
      <c r="BM3" s="412"/>
      <c r="BN3" s="739"/>
      <c r="BO3" s="412"/>
      <c r="BP3" s="412"/>
      <c r="BQ3" s="412"/>
    </row>
    <row r="4" spans="1:101" ht="13.5" hidden="1" customHeight="1" outlineLevel="1">
      <c r="A4" s="561"/>
      <c r="B4" s="562"/>
      <c r="C4" s="562"/>
      <c r="D4" s="562"/>
      <c r="E4" s="562"/>
      <c r="F4" s="562"/>
      <c r="G4" s="562"/>
      <c r="H4" s="555"/>
      <c r="I4" s="555"/>
      <c r="J4" s="500" t="s">
        <v>117</v>
      </c>
      <c r="K4" s="866"/>
      <c r="L4" s="521"/>
      <c r="M4" s="867"/>
      <c r="N4" s="868"/>
      <c r="O4" s="868"/>
      <c r="P4" s="868"/>
      <c r="Q4" s="868"/>
      <c r="R4" s="868"/>
      <c r="S4" s="869"/>
      <c r="T4" s="869"/>
      <c r="U4" s="869"/>
      <c r="V4" s="869"/>
      <c r="W4" s="868"/>
      <c r="X4" s="868"/>
      <c r="Y4" s="868"/>
      <c r="Z4" s="868"/>
      <c r="AA4" s="868"/>
      <c r="AB4" s="868"/>
      <c r="AC4" s="868"/>
      <c r="AD4" s="868"/>
      <c r="AE4" s="521"/>
      <c r="AF4" s="521"/>
      <c r="AG4" s="521"/>
      <c r="AH4" s="410"/>
      <c r="AI4" s="410"/>
      <c r="AJ4" s="410"/>
      <c r="AK4" s="410"/>
      <c r="AL4" s="739"/>
      <c r="AM4" s="411"/>
      <c r="AN4" s="411"/>
      <c r="AO4" s="411"/>
      <c r="AP4" s="739"/>
      <c r="AQ4" s="411"/>
      <c r="AR4" s="411"/>
      <c r="AS4" s="411"/>
      <c r="AT4" s="739"/>
      <c r="AU4" s="411"/>
      <c r="AV4" s="411"/>
      <c r="AW4" s="412"/>
      <c r="AX4" s="739"/>
      <c r="AY4" s="412"/>
      <c r="AZ4" s="412"/>
      <c r="BA4" s="412"/>
      <c r="BB4" s="739"/>
      <c r="BC4" s="412"/>
      <c r="BD4" s="412"/>
      <c r="BE4" s="412"/>
      <c r="BF4" s="739"/>
      <c r="BG4" s="412"/>
      <c r="BH4" s="412"/>
      <c r="BI4" s="412"/>
      <c r="BJ4" s="739"/>
      <c r="BK4" s="412"/>
      <c r="BL4" s="412"/>
      <c r="BM4" s="412"/>
      <c r="BN4" s="739"/>
      <c r="BO4" s="412"/>
      <c r="BP4" s="412"/>
      <c r="BQ4" s="412"/>
    </row>
    <row r="5" spans="1:101" ht="13.5" hidden="1" customHeight="1" outlineLevel="1">
      <c r="A5" s="561"/>
      <c r="B5" s="562"/>
      <c r="C5" s="562"/>
      <c r="D5" s="562"/>
      <c r="E5" s="562"/>
      <c r="F5" s="562"/>
      <c r="G5" s="562"/>
      <c r="H5" s="555"/>
      <c r="I5" s="555"/>
      <c r="J5" s="500" t="s">
        <v>118</v>
      </c>
      <c r="K5" s="866"/>
      <c r="L5" s="521"/>
      <c r="M5" s="867"/>
      <c r="N5" s="868"/>
      <c r="O5" s="868"/>
      <c r="P5" s="868"/>
      <c r="Q5" s="868"/>
      <c r="R5" s="868"/>
      <c r="S5" s="869"/>
      <c r="T5" s="869"/>
      <c r="U5" s="869"/>
      <c r="V5" s="869"/>
      <c r="W5" s="868"/>
      <c r="X5" s="868"/>
      <c r="Y5" s="868"/>
      <c r="Z5" s="868"/>
      <c r="AA5" s="868"/>
      <c r="AB5" s="868"/>
      <c r="AC5" s="868"/>
      <c r="AD5" s="868"/>
      <c r="AE5" s="521"/>
      <c r="AF5" s="521"/>
      <c r="AG5" s="521"/>
      <c r="AH5" s="410"/>
      <c r="AI5" s="410"/>
      <c r="AJ5" s="410"/>
      <c r="AK5" s="410"/>
      <c r="AL5" s="739"/>
      <c r="AM5" s="411"/>
      <c r="AN5" s="411"/>
      <c r="AO5" s="411"/>
      <c r="AP5" s="739"/>
      <c r="AQ5" s="411"/>
      <c r="AR5" s="411"/>
      <c r="AS5" s="411"/>
      <c r="AT5" s="739"/>
      <c r="AU5" s="411"/>
      <c r="AV5" s="411"/>
      <c r="AW5" s="412"/>
      <c r="AX5" s="739"/>
      <c r="AY5" s="412"/>
      <c r="AZ5" s="412"/>
      <c r="BA5" s="412"/>
      <c r="BB5" s="739"/>
      <c r="BC5" s="412"/>
      <c r="BD5" s="412"/>
      <c r="BE5" s="412"/>
      <c r="BF5" s="739"/>
      <c r="BG5" s="412"/>
      <c r="BH5" s="412"/>
      <c r="BI5" s="412"/>
      <c r="BJ5" s="739"/>
      <c r="BK5" s="412"/>
      <c r="BL5" s="412"/>
      <c r="BM5" s="412"/>
      <c r="BN5" s="739"/>
      <c r="BO5" s="412"/>
      <c r="BP5" s="412"/>
      <c r="BQ5" s="412"/>
    </row>
    <row r="6" spans="1:101" customFormat="1" hidden="1" outlineLevel="1"/>
    <row r="7" spans="1:101" ht="13.5" collapsed="1">
      <c r="A7" s="289"/>
      <c r="B7" s="289"/>
      <c r="C7" s="289"/>
      <c r="D7" s="289"/>
      <c r="E7" s="289"/>
      <c r="F7" s="289"/>
      <c r="G7" s="289"/>
      <c r="H7" s="555"/>
      <c r="I7" s="555"/>
      <c r="J7" s="1317" t="s">
        <v>255</v>
      </c>
      <c r="K7" s="1317"/>
      <c r="L7" s="1318"/>
      <c r="M7" s="1317"/>
      <c r="N7" s="1410"/>
      <c r="O7" s="1410"/>
      <c r="P7" s="1410"/>
      <c r="Q7" s="1410"/>
      <c r="R7" s="1410"/>
      <c r="S7" s="1410"/>
      <c r="T7" s="1410"/>
      <c r="U7" s="1415" t="s">
        <v>642</v>
      </c>
      <c r="V7" s="1319"/>
      <c r="W7" s="1319"/>
      <c r="X7" s="1319"/>
      <c r="Y7" s="1319"/>
      <c r="Z7" s="1319"/>
      <c r="AA7" s="1319"/>
      <c r="AB7" s="1319"/>
      <c r="AC7" s="1319"/>
      <c r="AD7" s="1319"/>
      <c r="AE7" s="1320"/>
      <c r="AF7" s="1321"/>
      <c r="AG7" s="1322"/>
      <c r="AH7" s="1323">
        <v>40543</v>
      </c>
      <c r="AI7" s="1323"/>
      <c r="AJ7" s="1323"/>
      <c r="AK7" s="1323"/>
      <c r="AL7" s="1600">
        <v>40908</v>
      </c>
      <c r="AM7" s="1323"/>
      <c r="AN7" s="1323"/>
      <c r="AO7" s="1323"/>
      <c r="AP7" s="1600">
        <v>41274</v>
      </c>
      <c r="AQ7" s="1319"/>
      <c r="AR7" s="1319"/>
      <c r="AS7" s="1319"/>
      <c r="AT7" s="1600">
        <v>41639</v>
      </c>
      <c r="AU7" s="1319"/>
      <c r="AV7" s="1319"/>
      <c r="AW7" s="1319"/>
      <c r="AX7" s="1600">
        <v>42004</v>
      </c>
      <c r="AY7" s="1324"/>
      <c r="AZ7" s="1319"/>
      <c r="BA7" s="1319"/>
      <c r="BB7" s="1600">
        <v>42369</v>
      </c>
      <c r="BC7" s="1319"/>
      <c r="BD7" s="1319"/>
      <c r="BE7" s="1319"/>
      <c r="BF7" s="1600">
        <v>42370</v>
      </c>
      <c r="BG7" s="1319"/>
      <c r="BH7" s="1319"/>
      <c r="BI7" s="1319"/>
      <c r="BJ7" s="1600">
        <v>42736</v>
      </c>
      <c r="BK7" s="1319"/>
      <c r="BL7" s="1319"/>
      <c r="BM7" s="1319"/>
      <c r="BN7" s="1325">
        <v>43101</v>
      </c>
      <c r="BO7" s="1319"/>
      <c r="BP7" s="1319"/>
      <c r="BQ7" s="1319"/>
    </row>
    <row r="8" spans="1:101" ht="13.5" thickBot="1">
      <c r="A8" s="289"/>
      <c r="B8" s="289"/>
      <c r="C8" s="289"/>
      <c r="D8" s="289"/>
      <c r="E8" s="289"/>
      <c r="F8" s="289"/>
      <c r="G8" s="289"/>
      <c r="H8" s="555"/>
      <c r="I8" s="555"/>
      <c r="J8" s="1326" t="s">
        <v>8</v>
      </c>
      <c r="K8" s="1326"/>
      <c r="L8" s="1326"/>
      <c r="M8" s="1326"/>
      <c r="N8" s="1327">
        <v>40178</v>
      </c>
      <c r="O8" s="1327">
        <v>40543</v>
      </c>
      <c r="P8" s="1327">
        <v>40908</v>
      </c>
      <c r="Q8" s="1327">
        <v>41274</v>
      </c>
      <c r="R8" s="1327">
        <v>41639</v>
      </c>
      <c r="S8" s="1327">
        <v>42004</v>
      </c>
      <c r="T8" s="1327">
        <v>42369</v>
      </c>
      <c r="U8" s="1327">
        <v>42735</v>
      </c>
      <c r="V8" s="1327">
        <v>42736</v>
      </c>
      <c r="W8" s="1328">
        <v>43465</v>
      </c>
      <c r="X8" s="1328">
        <v>43830</v>
      </c>
      <c r="Y8" s="1328">
        <v>44196</v>
      </c>
      <c r="Z8" s="1328">
        <v>44561</v>
      </c>
      <c r="AA8" s="1328">
        <v>44926</v>
      </c>
      <c r="AB8" s="1328">
        <v>45291</v>
      </c>
      <c r="AC8" s="1328">
        <v>45657</v>
      </c>
      <c r="AD8" s="1328">
        <v>46022</v>
      </c>
      <c r="AE8" s="1320"/>
      <c r="AF8" s="1329" t="s">
        <v>698</v>
      </c>
      <c r="AG8" s="1322"/>
      <c r="AH8" s="1330">
        <v>1</v>
      </c>
      <c r="AI8" s="1330">
        <v>2</v>
      </c>
      <c r="AJ8" s="1330">
        <v>3</v>
      </c>
      <c r="AK8" s="1330">
        <v>4</v>
      </c>
      <c r="AL8" s="1331">
        <v>1</v>
      </c>
      <c r="AM8" s="1330">
        <v>2</v>
      </c>
      <c r="AN8" s="1330">
        <v>3</v>
      </c>
      <c r="AO8" s="1330">
        <v>4</v>
      </c>
      <c r="AP8" s="1331">
        <v>1</v>
      </c>
      <c r="AQ8" s="1330">
        <v>2</v>
      </c>
      <c r="AR8" s="1330">
        <v>3</v>
      </c>
      <c r="AS8" s="1330">
        <v>4</v>
      </c>
      <c r="AT8" s="1331">
        <v>1</v>
      </c>
      <c r="AU8" s="1330">
        <v>2</v>
      </c>
      <c r="AV8" s="1330">
        <v>3</v>
      </c>
      <c r="AW8" s="1330">
        <v>4</v>
      </c>
      <c r="AX8" s="1331">
        <v>1</v>
      </c>
      <c r="AY8" s="1330">
        <v>2</v>
      </c>
      <c r="AZ8" s="1330">
        <v>3</v>
      </c>
      <c r="BA8" s="1330">
        <v>4</v>
      </c>
      <c r="BB8" s="1331">
        <v>1</v>
      </c>
      <c r="BC8" s="1330">
        <v>2</v>
      </c>
      <c r="BD8" s="1330">
        <v>3</v>
      </c>
      <c r="BE8" s="1330">
        <v>4</v>
      </c>
      <c r="BF8" s="1331">
        <v>1</v>
      </c>
      <c r="BG8" s="1332">
        <v>2</v>
      </c>
      <c r="BH8" s="1332">
        <v>3</v>
      </c>
      <c r="BI8" s="1330">
        <v>4</v>
      </c>
      <c r="BJ8" s="1331">
        <v>1</v>
      </c>
      <c r="BK8" s="1330">
        <v>2</v>
      </c>
      <c r="BL8" s="1330">
        <v>3</v>
      </c>
      <c r="BM8" s="1330">
        <v>4</v>
      </c>
      <c r="BN8" s="1333" t="s">
        <v>574</v>
      </c>
      <c r="BO8" s="1334">
        <v>2</v>
      </c>
      <c r="BP8" s="1335">
        <v>3</v>
      </c>
      <c r="BQ8" s="1335">
        <v>4</v>
      </c>
    </row>
    <row r="9" spans="1:101">
      <c r="A9" s="561"/>
      <c r="B9" s="289"/>
      <c r="C9" s="289"/>
      <c r="D9" s="289"/>
      <c r="E9" s="289"/>
      <c r="F9" s="289"/>
      <c r="G9" s="289"/>
      <c r="H9" s="555"/>
      <c r="I9" s="555"/>
      <c r="J9" s="1320" t="s">
        <v>481</v>
      </c>
      <c r="K9" s="1320"/>
      <c r="L9" s="1320"/>
      <c r="M9" s="1320"/>
      <c r="N9" s="1336">
        <v>40178</v>
      </c>
      <c r="O9" s="1336">
        <v>40543</v>
      </c>
      <c r="P9" s="1336">
        <v>40908</v>
      </c>
      <c r="Q9" s="1336">
        <v>41274</v>
      </c>
      <c r="R9" s="1336">
        <v>41639</v>
      </c>
      <c r="S9" s="1337">
        <v>42004</v>
      </c>
      <c r="T9" s="1337">
        <v>42369</v>
      </c>
      <c r="U9" s="1337">
        <v>42735</v>
      </c>
      <c r="V9" s="1337">
        <v>43100</v>
      </c>
      <c r="W9" s="1336">
        <v>43465</v>
      </c>
      <c r="X9" s="1336">
        <v>43830</v>
      </c>
      <c r="Y9" s="1336">
        <v>44196</v>
      </c>
      <c r="Z9" s="1336">
        <v>44561</v>
      </c>
      <c r="AA9" s="1336">
        <v>44926</v>
      </c>
      <c r="AB9" s="1336">
        <v>45291</v>
      </c>
      <c r="AC9" s="1336">
        <v>45657</v>
      </c>
      <c r="AD9" s="1336">
        <v>46022</v>
      </c>
      <c r="AE9" s="1320"/>
      <c r="AF9" s="1320"/>
      <c r="AG9" s="1320"/>
      <c r="AH9" s="1320"/>
      <c r="AI9" s="1320"/>
      <c r="AJ9" s="1320"/>
      <c r="AK9" s="1320"/>
      <c r="AL9" s="1340">
        <v>40633</v>
      </c>
      <c r="AM9" s="1338">
        <v>40724</v>
      </c>
      <c r="AN9" s="1338">
        <v>40816</v>
      </c>
      <c r="AO9" s="1338">
        <v>40908</v>
      </c>
      <c r="AP9" s="1340">
        <v>40999</v>
      </c>
      <c r="AQ9" s="1338">
        <v>41090</v>
      </c>
      <c r="AR9" s="1338">
        <v>41182</v>
      </c>
      <c r="AS9" s="1338">
        <v>41274</v>
      </c>
      <c r="AT9" s="1340">
        <v>41364</v>
      </c>
      <c r="AU9" s="1338">
        <v>41455</v>
      </c>
      <c r="AV9" s="1338">
        <v>41547</v>
      </c>
      <c r="AW9" s="1339">
        <v>41639</v>
      </c>
      <c r="AX9" s="1340">
        <v>41729</v>
      </c>
      <c r="AY9" s="1339">
        <v>41820</v>
      </c>
      <c r="AZ9" s="1339">
        <v>41912</v>
      </c>
      <c r="BA9" s="1339">
        <v>42004</v>
      </c>
      <c r="BB9" s="1340">
        <v>42094</v>
      </c>
      <c r="BC9" s="1339">
        <v>42185</v>
      </c>
      <c r="BD9" s="1339">
        <v>42277</v>
      </c>
      <c r="BE9" s="1339">
        <v>42369</v>
      </c>
      <c r="BF9" s="1340">
        <v>42460</v>
      </c>
      <c r="BG9" s="1339">
        <v>42551</v>
      </c>
      <c r="BH9" s="1339">
        <v>42643</v>
      </c>
      <c r="BI9" s="1339">
        <v>42735</v>
      </c>
      <c r="BJ9" s="1340">
        <v>42825</v>
      </c>
      <c r="BK9" s="1339">
        <v>42916</v>
      </c>
      <c r="BL9" s="1339">
        <v>43008</v>
      </c>
      <c r="BM9" s="1339">
        <v>43100</v>
      </c>
      <c r="BN9" s="1340">
        <v>43190</v>
      </c>
      <c r="BO9" s="1339">
        <v>43281</v>
      </c>
      <c r="BP9" s="1339">
        <v>43373</v>
      </c>
      <c r="BQ9" s="1339">
        <v>43465</v>
      </c>
    </row>
    <row r="10" spans="1:101">
      <c r="A10" s="289"/>
      <c r="B10" s="289"/>
      <c r="C10" s="289"/>
      <c r="D10" s="289"/>
      <c r="E10" s="289"/>
      <c r="F10" s="289"/>
      <c r="G10" s="289"/>
      <c r="H10" s="555"/>
      <c r="I10" s="555"/>
      <c r="J10" s="1341" t="s">
        <v>115</v>
      </c>
      <c r="K10" s="1341"/>
      <c r="L10" s="1341"/>
      <c r="M10" s="1342"/>
      <c r="N10" s="1343">
        <v>6.9508750000000052</v>
      </c>
      <c r="O10" s="1343">
        <v>6.8310854724137897</v>
      </c>
      <c r="P10" s="1343">
        <v>6.4645234154184879</v>
      </c>
      <c r="Q10" s="1344">
        <v>6.3964545004545466</v>
      </c>
      <c r="R10" s="1344">
        <v>6.2878499814248245</v>
      </c>
      <c r="S10" s="1345">
        <v>6.117855770250582</v>
      </c>
      <c r="T10" s="1345">
        <v>6.1989999999999998</v>
      </c>
      <c r="U10" s="1345">
        <v>6.4480000000000004</v>
      </c>
      <c r="V10" s="1345">
        <v>6.8832000000000004</v>
      </c>
      <c r="W10" s="1344">
        <v>6.9250000000000007</v>
      </c>
      <c r="X10" s="1346">
        <f t="shared" ref="X10:AD10" si="0">W10</f>
        <v>6.9250000000000007</v>
      </c>
      <c r="Y10" s="1346">
        <f t="shared" si="0"/>
        <v>6.9250000000000007</v>
      </c>
      <c r="Z10" s="1346">
        <f t="shared" si="0"/>
        <v>6.9250000000000007</v>
      </c>
      <c r="AA10" s="1346">
        <f t="shared" si="0"/>
        <v>6.9250000000000007</v>
      </c>
      <c r="AB10" s="1346">
        <f t="shared" si="0"/>
        <v>6.9250000000000007</v>
      </c>
      <c r="AC10" s="1346">
        <f t="shared" si="0"/>
        <v>6.9250000000000007</v>
      </c>
      <c r="AD10" s="1346">
        <f t="shared" si="0"/>
        <v>6.9250000000000007</v>
      </c>
      <c r="AE10" s="1341"/>
      <c r="AF10" s="1341"/>
      <c r="AG10" s="1341"/>
      <c r="AH10" s="1341"/>
      <c r="AI10" s="1341"/>
      <c r="AJ10" s="1341"/>
      <c r="AK10" s="1341"/>
      <c r="AL10" s="1347"/>
      <c r="AM10" s="1346"/>
      <c r="AN10" s="1346"/>
      <c r="AO10" s="1346"/>
      <c r="AP10" s="1347"/>
      <c r="AQ10" s="1346"/>
      <c r="AR10" s="1346"/>
      <c r="AS10" s="1346"/>
      <c r="AT10" s="1347">
        <f>R10</f>
        <v>6.2878499814248245</v>
      </c>
      <c r="AU10" s="1346">
        <f>AT10</f>
        <v>6.2878499814248245</v>
      </c>
      <c r="AV10" s="1346">
        <f>AU10</f>
        <v>6.2878499814248245</v>
      </c>
      <c r="AW10" s="1346">
        <f>AV10</f>
        <v>6.2878499814248245</v>
      </c>
      <c r="AX10" s="1347">
        <f>S10</f>
        <v>6.117855770250582</v>
      </c>
      <c r="AY10" s="1349">
        <f>AX10</f>
        <v>6.117855770250582</v>
      </c>
      <c r="AZ10" s="1349">
        <f>AY10</f>
        <v>6.117855770250582</v>
      </c>
      <c r="BA10" s="1349">
        <f>AZ10</f>
        <v>6.117855770250582</v>
      </c>
      <c r="BB10" s="1347">
        <f>T10</f>
        <v>6.1989999999999998</v>
      </c>
      <c r="BC10" s="1349">
        <f>BB10</f>
        <v>6.1989999999999998</v>
      </c>
      <c r="BD10" s="1349">
        <f>BC10</f>
        <v>6.1989999999999998</v>
      </c>
      <c r="BE10" s="1349">
        <f>BD10</f>
        <v>6.1989999999999998</v>
      </c>
      <c r="BF10" s="1347">
        <f>U10</f>
        <v>6.4480000000000004</v>
      </c>
      <c r="BG10" s="1346">
        <f>BF10</f>
        <v>6.4480000000000004</v>
      </c>
      <c r="BH10" s="1346">
        <f>BG10</f>
        <v>6.4480000000000004</v>
      </c>
      <c r="BI10" s="1346">
        <f>BH10</f>
        <v>6.4480000000000004</v>
      </c>
      <c r="BJ10" s="1347">
        <f>V10</f>
        <v>6.8832000000000004</v>
      </c>
      <c r="BK10" s="1346">
        <f>BJ10</f>
        <v>6.8832000000000004</v>
      </c>
      <c r="BL10" s="1346">
        <f>BK10</f>
        <v>6.8832000000000004</v>
      </c>
      <c r="BM10" s="1346">
        <f>BL10</f>
        <v>6.8832000000000004</v>
      </c>
      <c r="BN10" s="1347">
        <f>W10</f>
        <v>6.9250000000000007</v>
      </c>
      <c r="BO10" s="1346">
        <f>BN10</f>
        <v>6.9250000000000007</v>
      </c>
      <c r="BP10" s="1346">
        <f>BO10</f>
        <v>6.9250000000000007</v>
      </c>
      <c r="BQ10" s="1346">
        <f>BP10</f>
        <v>6.9250000000000007</v>
      </c>
    </row>
    <row r="11" spans="1:101" s="477" customFormat="1">
      <c r="A11" s="563"/>
      <c r="B11" s="583"/>
      <c r="C11" s="583"/>
      <c r="D11" s="583"/>
      <c r="E11" s="583"/>
      <c r="F11" s="583"/>
      <c r="G11" s="583"/>
      <c r="H11" s="563"/>
      <c r="I11" s="588"/>
      <c r="J11" s="1392" t="s">
        <v>683</v>
      </c>
      <c r="K11" s="1387"/>
      <c r="L11" s="1387"/>
      <c r="M11" s="1387"/>
      <c r="N11" s="1388"/>
      <c r="O11" s="1388"/>
      <c r="P11" s="1388"/>
      <c r="Q11" s="1388"/>
      <c r="R11" s="1388"/>
      <c r="S11" s="1389"/>
      <c r="T11" s="1389"/>
      <c r="U11" s="1389"/>
      <c r="V11" s="1390"/>
      <c r="W11" s="1389"/>
      <c r="X11" s="1389"/>
      <c r="Y11" s="1389"/>
      <c r="Z11" s="1389"/>
      <c r="AA11" s="1389"/>
      <c r="AB11" s="1389"/>
      <c r="AC11" s="1389"/>
      <c r="AD11" s="1389"/>
      <c r="AE11" s="480"/>
      <c r="AF11" s="1391"/>
      <c r="AG11" s="480"/>
      <c r="AH11" s="1387"/>
      <c r="AI11" s="1387"/>
      <c r="AJ11" s="1387"/>
      <c r="AK11" s="1387"/>
      <c r="AL11" s="1742"/>
      <c r="AM11" s="1387"/>
      <c r="AN11" s="1387"/>
      <c r="AO11" s="1387"/>
      <c r="AP11" s="1742"/>
      <c r="AQ11" s="1387"/>
      <c r="AR11" s="1387"/>
      <c r="AS11" s="1387"/>
      <c r="AT11" s="1742"/>
      <c r="AU11" s="1387"/>
      <c r="AV11" s="1387"/>
      <c r="AW11" s="1387"/>
      <c r="AX11" s="1620"/>
      <c r="AY11" s="1352"/>
      <c r="AZ11" s="1352"/>
      <c r="BA11" s="1353"/>
      <c r="BB11" s="1620"/>
      <c r="BC11" s="1352"/>
      <c r="BD11" s="1352"/>
      <c r="BE11" s="1353"/>
      <c r="BF11" s="1620"/>
      <c r="BG11" s="1387"/>
      <c r="BH11" s="1387"/>
      <c r="BI11" s="1353"/>
      <c r="BJ11" s="1620"/>
      <c r="BK11" s="1352"/>
      <c r="BL11" s="1352"/>
      <c r="BM11" s="1353"/>
      <c r="BN11" s="1662"/>
      <c r="BO11" s="1352"/>
      <c r="BP11" s="1352"/>
      <c r="BQ11" s="1352"/>
      <c r="CR11"/>
      <c r="CS11"/>
      <c r="CT11"/>
      <c r="CU11"/>
      <c r="CV11"/>
      <c r="CW11"/>
    </row>
    <row r="12" spans="1:101" s="580" customFormat="1" outlineLevel="1">
      <c r="A12" s="378"/>
      <c r="B12" s="378"/>
      <c r="C12" s="378"/>
      <c r="D12" s="378"/>
      <c r="E12" s="378"/>
      <c r="F12" s="378"/>
      <c r="G12" s="378"/>
      <c r="H12" s="565"/>
      <c r="I12" s="565"/>
      <c r="J12" s="13" t="s">
        <v>693</v>
      </c>
      <c r="K12" s="13"/>
      <c r="L12" s="13"/>
      <c r="M12" s="13"/>
      <c r="N12" s="459">
        <f t="shared" ref="N12:AD12" si="1">N71</f>
        <v>0</v>
      </c>
      <c r="O12" s="459">
        <f t="shared" si="1"/>
        <v>0</v>
      </c>
      <c r="P12" s="459">
        <f t="shared" si="1"/>
        <v>46714.285714285717</v>
      </c>
      <c r="Q12" s="459">
        <f t="shared" si="1"/>
        <v>104714.28571428572</v>
      </c>
      <c r="R12" s="459">
        <f t="shared" si="1"/>
        <v>179285.71428571429</v>
      </c>
      <c r="S12" s="459">
        <f t="shared" si="1"/>
        <v>371714.28571428574</v>
      </c>
      <c r="T12" s="459">
        <f t="shared" si="1"/>
        <v>661000</v>
      </c>
      <c r="U12" s="459">
        <f t="shared" si="1"/>
        <v>939100</v>
      </c>
      <c r="V12" s="459">
        <f t="shared" si="1"/>
        <v>1294400</v>
      </c>
      <c r="W12" s="459">
        <f t="shared" si="1"/>
        <v>1697573.2399999998</v>
      </c>
      <c r="X12" s="459">
        <f t="shared" si="1"/>
        <v>2117170.9055969995</v>
      </c>
      <c r="Y12" s="459">
        <f t="shared" si="1"/>
        <v>2541875.3892597575</v>
      </c>
      <c r="Z12" s="459">
        <f t="shared" si="1"/>
        <v>2893925.1306722336</v>
      </c>
      <c r="AA12" s="459">
        <f t="shared" si="1"/>
        <v>3115021.0106555927</v>
      </c>
      <c r="AB12" s="459">
        <f t="shared" si="1"/>
        <v>3353008.6158696795</v>
      </c>
      <c r="AC12" s="459">
        <f t="shared" si="1"/>
        <v>3609178.4741221229</v>
      </c>
      <c r="AD12" s="459">
        <f t="shared" si="1"/>
        <v>3884919.7095450535</v>
      </c>
      <c r="AE12" s="13"/>
      <c r="AF12" s="13"/>
      <c r="AG12" s="97"/>
      <c r="AH12" s="459">
        <f>AH71</f>
        <v>0</v>
      </c>
      <c r="AI12" s="459">
        <f t="shared" ref="AI12:BQ12" si="2">AI71</f>
        <v>0</v>
      </c>
      <c r="AJ12" s="459">
        <f t="shared" si="2"/>
        <v>0</v>
      </c>
      <c r="AK12" s="459">
        <f t="shared" si="2"/>
        <v>0</v>
      </c>
      <c r="AL12" s="459">
        <f t="shared" si="2"/>
        <v>0</v>
      </c>
      <c r="AM12" s="459">
        <f t="shared" si="2"/>
        <v>0</v>
      </c>
      <c r="AN12" s="459">
        <f t="shared" si="2"/>
        <v>0</v>
      </c>
      <c r="AO12" s="459">
        <f t="shared" si="2"/>
        <v>0</v>
      </c>
      <c r="AP12" s="459">
        <f t="shared" si="2"/>
        <v>0</v>
      </c>
      <c r="AQ12" s="459">
        <f t="shared" si="2"/>
        <v>0</v>
      </c>
      <c r="AR12" s="459">
        <f t="shared" si="2"/>
        <v>0</v>
      </c>
      <c r="AS12" s="459">
        <f t="shared" si="2"/>
        <v>0</v>
      </c>
      <c r="AT12" s="459">
        <f t="shared" si="2"/>
        <v>0</v>
      </c>
      <c r="AU12" s="459">
        <f t="shared" si="2"/>
        <v>0</v>
      </c>
      <c r="AV12" s="459">
        <f t="shared" si="2"/>
        <v>0</v>
      </c>
      <c r="AW12" s="459">
        <f t="shared" si="2"/>
        <v>0</v>
      </c>
      <c r="AX12" s="1625">
        <f t="shared" si="2"/>
        <v>0</v>
      </c>
      <c r="AY12" s="459">
        <f t="shared" si="2"/>
        <v>0</v>
      </c>
      <c r="AZ12" s="459">
        <f t="shared" si="2"/>
        <v>0</v>
      </c>
      <c r="BA12" s="459">
        <f t="shared" si="2"/>
        <v>0</v>
      </c>
      <c r="BB12" s="1625">
        <f t="shared" si="2"/>
        <v>0</v>
      </c>
      <c r="BC12" s="459">
        <f t="shared" si="2"/>
        <v>0</v>
      </c>
      <c r="BD12" s="459">
        <f t="shared" si="2"/>
        <v>0</v>
      </c>
      <c r="BE12" s="459">
        <f t="shared" si="2"/>
        <v>0</v>
      </c>
      <c r="BF12" s="1625">
        <f t="shared" si="2"/>
        <v>178600</v>
      </c>
      <c r="BG12" s="459">
        <f t="shared" si="2"/>
        <v>228900</v>
      </c>
      <c r="BH12" s="459">
        <f t="shared" si="2"/>
        <v>228600</v>
      </c>
      <c r="BI12" s="459">
        <f t="shared" si="2"/>
        <v>303000</v>
      </c>
      <c r="BJ12" s="1625">
        <f t="shared" si="2"/>
        <v>253200</v>
      </c>
      <c r="BK12" s="459">
        <f t="shared" si="2"/>
        <v>335300</v>
      </c>
      <c r="BL12" s="459">
        <f t="shared" si="2"/>
        <v>302500</v>
      </c>
      <c r="BM12" s="459">
        <f t="shared" si="2"/>
        <v>403400</v>
      </c>
      <c r="BN12" s="1625">
        <f t="shared" si="2"/>
        <v>340177.72693278827</v>
      </c>
      <c r="BO12" s="459">
        <f t="shared" si="2"/>
        <v>431893.96612072474</v>
      </c>
      <c r="BP12" s="459">
        <f t="shared" si="2"/>
        <v>378857.31951849256</v>
      </c>
      <c r="BQ12" s="459">
        <f t="shared" si="2"/>
        <v>546644.22742799413</v>
      </c>
      <c r="CR12"/>
      <c r="CS12"/>
      <c r="CT12"/>
      <c r="CU12"/>
      <c r="CV12"/>
      <c r="CW12"/>
    </row>
    <row r="13" spans="1:101" s="580" customFormat="1" outlineLevel="1">
      <c r="A13" s="378"/>
      <c r="B13" s="378"/>
      <c r="C13" s="378"/>
      <c r="D13" s="378"/>
      <c r="E13" s="378"/>
      <c r="F13" s="378"/>
      <c r="G13" s="378"/>
      <c r="H13" s="565"/>
      <c r="I13" s="565"/>
      <c r="J13" s="13" t="s">
        <v>623</v>
      </c>
      <c r="K13" s="13"/>
      <c r="L13" s="13"/>
      <c r="M13" s="13"/>
      <c r="N13" s="459">
        <f t="shared" ref="N13:AD13" si="3">N75</f>
        <v>0</v>
      </c>
      <c r="O13" s="459">
        <f t="shared" si="3"/>
        <v>0</v>
      </c>
      <c r="P13" s="459">
        <f t="shared" si="3"/>
        <v>32700</v>
      </c>
      <c r="Q13" s="459">
        <f t="shared" si="3"/>
        <v>73300</v>
      </c>
      <c r="R13" s="459">
        <f t="shared" si="3"/>
        <v>125500</v>
      </c>
      <c r="S13" s="459">
        <f t="shared" si="3"/>
        <v>260200</v>
      </c>
      <c r="T13" s="459">
        <f t="shared" si="3"/>
        <v>462700</v>
      </c>
      <c r="U13" s="459">
        <f t="shared" si="3"/>
        <v>658200</v>
      </c>
      <c r="V13" s="459">
        <f t="shared" si="3"/>
        <v>906080</v>
      </c>
      <c r="W13" s="459">
        <f t="shared" si="3"/>
        <v>1188301.2679999997</v>
      </c>
      <c r="X13" s="459">
        <f t="shared" si="3"/>
        <v>1482019.6339178996</v>
      </c>
      <c r="Y13" s="459">
        <f t="shared" si="3"/>
        <v>1779312.7724818301</v>
      </c>
      <c r="Z13" s="459">
        <f t="shared" si="3"/>
        <v>2025747.5914705636</v>
      </c>
      <c r="AA13" s="459">
        <f t="shared" si="3"/>
        <v>2180514.7074589147</v>
      </c>
      <c r="AB13" s="459">
        <f t="shared" si="3"/>
        <v>2347106.0311087756</v>
      </c>
      <c r="AC13" s="459">
        <f t="shared" si="3"/>
        <v>2526424.931885486</v>
      </c>
      <c r="AD13" s="459">
        <f t="shared" si="3"/>
        <v>2719443.7966815373</v>
      </c>
      <c r="AE13" s="13"/>
      <c r="AF13" s="13"/>
      <c r="AG13" s="97"/>
      <c r="AH13" s="459">
        <f>AH75</f>
        <v>0</v>
      </c>
      <c r="AI13" s="459">
        <f t="shared" ref="AI13:BQ13" si="4">AI75</f>
        <v>0</v>
      </c>
      <c r="AJ13" s="459">
        <f t="shared" si="4"/>
        <v>0</v>
      </c>
      <c r="AK13" s="459">
        <f t="shared" si="4"/>
        <v>0</v>
      </c>
      <c r="AL13" s="459">
        <f t="shared" si="4"/>
        <v>0</v>
      </c>
      <c r="AM13" s="459">
        <f t="shared" si="4"/>
        <v>0</v>
      </c>
      <c r="AN13" s="459">
        <f t="shared" si="4"/>
        <v>0</v>
      </c>
      <c r="AO13" s="459">
        <f t="shared" si="4"/>
        <v>0</v>
      </c>
      <c r="AP13" s="459">
        <f t="shared" si="4"/>
        <v>0</v>
      </c>
      <c r="AQ13" s="459">
        <f t="shared" si="4"/>
        <v>0</v>
      </c>
      <c r="AR13" s="459">
        <f t="shared" si="4"/>
        <v>0</v>
      </c>
      <c r="AS13" s="459">
        <f t="shared" si="4"/>
        <v>0</v>
      </c>
      <c r="AT13" s="459">
        <f t="shared" si="4"/>
        <v>24000</v>
      </c>
      <c r="AU13" s="459">
        <f t="shared" si="4"/>
        <v>30435</v>
      </c>
      <c r="AV13" s="459">
        <f t="shared" si="4"/>
        <v>31900</v>
      </c>
      <c r="AW13" s="459">
        <f t="shared" si="4"/>
        <v>39178.082191780821</v>
      </c>
      <c r="AX13" s="1625">
        <f t="shared" si="4"/>
        <v>44100</v>
      </c>
      <c r="AY13" s="459">
        <f t="shared" si="4"/>
        <v>63000</v>
      </c>
      <c r="AZ13" s="459">
        <f t="shared" si="4"/>
        <v>67300</v>
      </c>
      <c r="BA13" s="459">
        <f t="shared" si="4"/>
        <v>85800</v>
      </c>
      <c r="BB13" s="1625">
        <f t="shared" si="4"/>
        <v>87800</v>
      </c>
      <c r="BC13" s="459">
        <f t="shared" si="4"/>
        <v>114500</v>
      </c>
      <c r="BD13" s="459">
        <f t="shared" si="4"/>
        <v>115000</v>
      </c>
      <c r="BE13" s="459">
        <f t="shared" si="4"/>
        <v>145300</v>
      </c>
      <c r="BF13" s="1625">
        <f t="shared" si="4"/>
        <v>129300</v>
      </c>
      <c r="BG13" s="459">
        <f t="shared" si="4"/>
        <v>160400</v>
      </c>
      <c r="BH13" s="459">
        <f t="shared" si="4"/>
        <v>158800</v>
      </c>
      <c r="BI13" s="459">
        <f t="shared" si="4"/>
        <v>209700</v>
      </c>
      <c r="BJ13" s="1625">
        <f t="shared" si="4"/>
        <v>184100</v>
      </c>
      <c r="BK13" s="459">
        <f t="shared" si="4"/>
        <v>234800</v>
      </c>
      <c r="BL13" s="459">
        <f t="shared" si="4"/>
        <v>212816.61487291247</v>
      </c>
      <c r="BM13" s="459">
        <f t="shared" si="4"/>
        <v>274363.38512708759</v>
      </c>
      <c r="BN13" s="1625">
        <f t="shared" si="4"/>
        <v>239323.87537519995</v>
      </c>
      <c r="BO13" s="459">
        <f t="shared" si="4"/>
        <v>303848.63422759995</v>
      </c>
      <c r="BP13" s="459">
        <f t="shared" si="4"/>
        <v>266535.97441239993</v>
      </c>
      <c r="BQ13" s="459">
        <f t="shared" si="4"/>
        <v>378592.78398479993</v>
      </c>
      <c r="CR13"/>
      <c r="CS13"/>
      <c r="CT13"/>
      <c r="CU13"/>
      <c r="CV13"/>
      <c r="CW13"/>
    </row>
    <row r="14" spans="1:101" outlineLevel="1">
      <c r="A14" s="289"/>
      <c r="B14" s="289"/>
      <c r="C14" s="289"/>
      <c r="D14" s="289"/>
      <c r="E14" s="289"/>
      <c r="F14" s="289"/>
      <c r="G14" s="289"/>
      <c r="H14" s="555"/>
      <c r="I14" s="555"/>
      <c r="J14" s="17" t="s">
        <v>588</v>
      </c>
      <c r="K14" s="11"/>
      <c r="L14" s="11"/>
      <c r="M14" s="11"/>
      <c r="N14" s="608">
        <f t="shared" ref="N14:AD14" si="5">N76</f>
        <v>0</v>
      </c>
      <c r="O14" s="608">
        <f t="shared" si="5"/>
        <v>0</v>
      </c>
      <c r="P14" s="608">
        <f t="shared" si="5"/>
        <v>29800</v>
      </c>
      <c r="Q14" s="608">
        <f t="shared" si="5"/>
        <v>56700</v>
      </c>
      <c r="R14" s="608">
        <f t="shared" si="5"/>
        <v>93705.882352941175</v>
      </c>
      <c r="S14" s="608">
        <f t="shared" si="5"/>
        <v>159300</v>
      </c>
      <c r="T14" s="608">
        <f t="shared" si="5"/>
        <v>255600</v>
      </c>
      <c r="U14" s="608">
        <f t="shared" si="5"/>
        <v>372300</v>
      </c>
      <c r="V14" s="608">
        <f t="shared" si="5"/>
        <v>527338.56000000006</v>
      </c>
      <c r="W14" s="608">
        <f t="shared" si="5"/>
        <v>677331.72275999992</v>
      </c>
      <c r="X14" s="608">
        <f t="shared" si="5"/>
        <v>837341.09316361323</v>
      </c>
      <c r="Y14" s="608">
        <f t="shared" si="5"/>
        <v>996415.15258982498</v>
      </c>
      <c r="Z14" s="608">
        <f t="shared" si="5"/>
        <v>1114161.1753088101</v>
      </c>
      <c r="AA14" s="608">
        <f t="shared" si="5"/>
        <v>1199283.0891024033</v>
      </c>
      <c r="AB14" s="608">
        <f t="shared" si="5"/>
        <v>1290908.3171098267</v>
      </c>
      <c r="AC14" s="608">
        <f t="shared" si="5"/>
        <v>1389533.7125370174</v>
      </c>
      <c r="AD14" s="608">
        <f t="shared" si="5"/>
        <v>1495694.0881748456</v>
      </c>
      <c r="AE14" s="11"/>
      <c r="AF14" s="11"/>
      <c r="AG14" s="95"/>
      <c r="AH14" s="608">
        <f>AH76</f>
        <v>0</v>
      </c>
      <c r="AI14" s="608">
        <f t="shared" ref="AI14:BQ14" si="6">AI76</f>
        <v>0</v>
      </c>
      <c r="AJ14" s="608">
        <f t="shared" si="6"/>
        <v>0</v>
      </c>
      <c r="AK14" s="608">
        <f t="shared" si="6"/>
        <v>0</v>
      </c>
      <c r="AL14" s="608">
        <f t="shared" si="6"/>
        <v>0</v>
      </c>
      <c r="AM14" s="608">
        <f t="shared" si="6"/>
        <v>0</v>
      </c>
      <c r="AN14" s="608">
        <f t="shared" si="6"/>
        <v>0</v>
      </c>
      <c r="AO14" s="608">
        <f t="shared" si="6"/>
        <v>0</v>
      </c>
      <c r="AP14" s="608">
        <f t="shared" si="6"/>
        <v>0</v>
      </c>
      <c r="AQ14" s="608">
        <f t="shared" si="6"/>
        <v>0</v>
      </c>
      <c r="AR14" s="608">
        <f t="shared" si="6"/>
        <v>0</v>
      </c>
      <c r="AS14" s="608">
        <f t="shared" si="6"/>
        <v>0</v>
      </c>
      <c r="AT14" s="608">
        <f t="shared" si="6"/>
        <v>18400</v>
      </c>
      <c r="AU14" s="608">
        <f t="shared" si="6"/>
        <v>23600</v>
      </c>
      <c r="AV14" s="608">
        <f t="shared" si="6"/>
        <v>24200</v>
      </c>
      <c r="AW14" s="608">
        <f t="shared" si="6"/>
        <v>27344.632768361582</v>
      </c>
      <c r="AX14" s="740">
        <f t="shared" si="6"/>
        <v>31200</v>
      </c>
      <c r="AY14" s="608">
        <f t="shared" si="6"/>
        <v>39200</v>
      </c>
      <c r="AZ14" s="608">
        <f t="shared" si="6"/>
        <v>40500</v>
      </c>
      <c r="BA14" s="608">
        <f t="shared" si="6"/>
        <v>48400</v>
      </c>
      <c r="BB14" s="740">
        <f t="shared" si="6"/>
        <v>50900</v>
      </c>
      <c r="BC14" s="608">
        <f t="shared" si="6"/>
        <v>64700</v>
      </c>
      <c r="BD14" s="608">
        <f t="shared" si="6"/>
        <v>61300</v>
      </c>
      <c r="BE14" s="608">
        <f t="shared" si="6"/>
        <v>78700</v>
      </c>
      <c r="BF14" s="740">
        <f t="shared" si="6"/>
        <v>76200</v>
      </c>
      <c r="BG14" s="608">
        <f t="shared" si="6"/>
        <v>94700</v>
      </c>
      <c r="BH14" s="608">
        <f t="shared" si="6"/>
        <v>86800</v>
      </c>
      <c r="BI14" s="608">
        <f t="shared" si="6"/>
        <v>114700</v>
      </c>
      <c r="BJ14" s="740">
        <f t="shared" si="6"/>
        <v>107900</v>
      </c>
      <c r="BK14" s="608">
        <f t="shared" si="6"/>
        <v>136600</v>
      </c>
      <c r="BL14" s="608">
        <f t="shared" si="6"/>
        <v>121287.86880000001</v>
      </c>
      <c r="BM14" s="608">
        <f t="shared" si="6"/>
        <v>161550.69120000006</v>
      </c>
      <c r="BN14" s="740">
        <f t="shared" si="6"/>
        <v>142239.66177959996</v>
      </c>
      <c r="BO14" s="608">
        <f t="shared" si="6"/>
        <v>176106.24791759998</v>
      </c>
      <c r="BP14" s="608">
        <f t="shared" si="6"/>
        <v>149012.97900719999</v>
      </c>
      <c r="BQ14" s="608">
        <f t="shared" si="6"/>
        <v>209972.83405559999</v>
      </c>
    </row>
    <row r="15" spans="1:101" outlineLevel="1">
      <c r="A15" s="289"/>
      <c r="B15" s="289"/>
      <c r="C15" s="289"/>
      <c r="D15" s="289"/>
      <c r="E15" s="289"/>
      <c r="F15" s="289"/>
      <c r="G15" s="289"/>
      <c r="H15" s="555"/>
      <c r="I15" s="555"/>
      <c r="J15" s="17" t="s">
        <v>526</v>
      </c>
      <c r="K15" s="11"/>
      <c r="L15" s="11"/>
      <c r="M15" s="11"/>
      <c r="N15" s="608">
        <f t="shared" ref="N15:AD15" si="7">N77</f>
        <v>0</v>
      </c>
      <c r="O15" s="608">
        <f t="shared" si="7"/>
        <v>0</v>
      </c>
      <c r="P15" s="608">
        <f t="shared" si="7"/>
        <v>2900</v>
      </c>
      <c r="Q15" s="608">
        <f t="shared" si="7"/>
        <v>16600</v>
      </c>
      <c r="R15" s="608">
        <f t="shared" si="7"/>
        <v>31829.652996845427</v>
      </c>
      <c r="S15" s="608">
        <f t="shared" si="7"/>
        <v>100900</v>
      </c>
      <c r="T15" s="608">
        <f t="shared" si="7"/>
        <v>207100</v>
      </c>
      <c r="U15" s="608">
        <f t="shared" si="7"/>
        <v>285900</v>
      </c>
      <c r="V15" s="608">
        <f t="shared" si="7"/>
        <v>378741.44</v>
      </c>
      <c r="W15" s="608">
        <f t="shared" si="7"/>
        <v>510969.54523999983</v>
      </c>
      <c r="X15" s="608">
        <f t="shared" si="7"/>
        <v>644678.54075428634</v>
      </c>
      <c r="Y15" s="608">
        <f t="shared" si="7"/>
        <v>782897.61989200523</v>
      </c>
      <c r="Z15" s="608">
        <f t="shared" si="7"/>
        <v>911586.41616175359</v>
      </c>
      <c r="AA15" s="608">
        <f t="shared" si="7"/>
        <v>981231.6183565117</v>
      </c>
      <c r="AB15" s="608">
        <f t="shared" si="7"/>
        <v>1056197.7139989492</v>
      </c>
      <c r="AC15" s="608">
        <f t="shared" si="7"/>
        <v>1136891.2193484688</v>
      </c>
      <c r="AD15" s="608">
        <f t="shared" si="7"/>
        <v>1223749.7085066917</v>
      </c>
      <c r="AE15" s="11"/>
      <c r="AF15" s="11"/>
      <c r="AG15" s="95"/>
      <c r="AH15" s="608">
        <f>AH77</f>
        <v>0</v>
      </c>
      <c r="AI15" s="608">
        <f t="shared" ref="AI15:BQ15" si="8">AI77</f>
        <v>0</v>
      </c>
      <c r="AJ15" s="608">
        <f t="shared" si="8"/>
        <v>0</v>
      </c>
      <c r="AK15" s="608">
        <f t="shared" si="8"/>
        <v>0</v>
      </c>
      <c r="AL15" s="608">
        <f t="shared" si="8"/>
        <v>0</v>
      </c>
      <c r="AM15" s="608">
        <f t="shared" si="8"/>
        <v>0</v>
      </c>
      <c r="AN15" s="608">
        <f t="shared" si="8"/>
        <v>0</v>
      </c>
      <c r="AO15" s="608">
        <f t="shared" si="8"/>
        <v>0</v>
      </c>
      <c r="AP15" s="608">
        <f t="shared" si="8"/>
        <v>0</v>
      </c>
      <c r="AQ15" s="608">
        <f t="shared" si="8"/>
        <v>0</v>
      </c>
      <c r="AR15" s="608">
        <f t="shared" si="8"/>
        <v>0</v>
      </c>
      <c r="AS15" s="608">
        <f t="shared" si="8"/>
        <v>0</v>
      </c>
      <c r="AT15" s="608">
        <f t="shared" si="8"/>
        <v>5600</v>
      </c>
      <c r="AU15" s="608">
        <f t="shared" si="8"/>
        <v>6900</v>
      </c>
      <c r="AV15" s="608">
        <f t="shared" si="8"/>
        <v>7700</v>
      </c>
      <c r="AW15" s="608">
        <f t="shared" si="8"/>
        <v>11687.5</v>
      </c>
      <c r="AX15" s="740">
        <f t="shared" si="8"/>
        <v>12900</v>
      </c>
      <c r="AY15" s="608">
        <f t="shared" si="8"/>
        <v>23800</v>
      </c>
      <c r="AZ15" s="608">
        <f t="shared" si="8"/>
        <v>26800</v>
      </c>
      <c r="BA15" s="608">
        <f t="shared" si="8"/>
        <v>37400</v>
      </c>
      <c r="BB15" s="740">
        <f t="shared" si="8"/>
        <v>36900</v>
      </c>
      <c r="BC15" s="608">
        <f t="shared" si="8"/>
        <v>49800</v>
      </c>
      <c r="BD15" s="608">
        <f t="shared" si="8"/>
        <v>53700</v>
      </c>
      <c r="BE15" s="608">
        <f t="shared" si="8"/>
        <v>66700</v>
      </c>
      <c r="BF15" s="740">
        <f t="shared" si="8"/>
        <v>53100</v>
      </c>
      <c r="BG15" s="608">
        <f t="shared" si="8"/>
        <v>65700</v>
      </c>
      <c r="BH15" s="608">
        <f t="shared" si="8"/>
        <v>72000</v>
      </c>
      <c r="BI15" s="608">
        <f t="shared" si="8"/>
        <v>95000</v>
      </c>
      <c r="BJ15" s="740">
        <f t="shared" si="8"/>
        <v>76200</v>
      </c>
      <c r="BK15" s="608">
        <f t="shared" si="8"/>
        <v>98200</v>
      </c>
      <c r="BL15" s="608">
        <f t="shared" si="8"/>
        <v>91528.746072912458</v>
      </c>
      <c r="BM15" s="608">
        <f t="shared" si="8"/>
        <v>112812.69392708753</v>
      </c>
      <c r="BN15" s="740">
        <f t="shared" si="8"/>
        <v>97084.213595599969</v>
      </c>
      <c r="BO15" s="608">
        <f t="shared" si="8"/>
        <v>127742.38630999996</v>
      </c>
      <c r="BP15" s="608">
        <f t="shared" si="8"/>
        <v>117522.99540519997</v>
      </c>
      <c r="BQ15" s="608">
        <f t="shared" si="8"/>
        <v>168619.94992919994</v>
      </c>
    </row>
    <row r="16" spans="1:101" s="381" customFormat="1" outlineLevel="1">
      <c r="A16" s="379"/>
      <c r="B16" s="379"/>
      <c r="C16" s="379"/>
      <c r="D16" s="379"/>
      <c r="E16" s="379"/>
      <c r="F16" s="379"/>
      <c r="G16" s="379"/>
      <c r="H16" s="1824"/>
      <c r="I16" s="1824"/>
      <c r="J16" s="229" t="s">
        <v>31</v>
      </c>
      <c r="K16" s="19"/>
      <c r="L16" s="19"/>
      <c r="M16" s="19"/>
      <c r="N16" s="1496">
        <f>N119</f>
        <v>2919</v>
      </c>
      <c r="O16" s="1496">
        <f t="shared" ref="O16:AD18" si="9">O119</f>
        <v>8583</v>
      </c>
      <c r="P16" s="1496">
        <f t="shared" si="9"/>
        <v>21128.958999999999</v>
      </c>
      <c r="Q16" s="1496">
        <f t="shared" si="9"/>
        <v>41380.521000000001</v>
      </c>
      <c r="R16" s="1496">
        <f t="shared" si="9"/>
        <v>69340</v>
      </c>
      <c r="S16" s="1496">
        <f t="shared" si="9"/>
        <v>115002</v>
      </c>
      <c r="T16" s="1496">
        <f t="shared" si="9"/>
        <v>181287</v>
      </c>
      <c r="U16" s="1496">
        <f t="shared" si="9"/>
        <v>258289.94700000001</v>
      </c>
      <c r="V16" s="1496">
        <f t="shared" si="9"/>
        <v>362331.75399999996</v>
      </c>
      <c r="W16" s="1496">
        <f t="shared" si="9"/>
        <v>464067.51194759191</v>
      </c>
      <c r="X16" s="1496">
        <f t="shared" si="9"/>
        <v>576753.03048880468</v>
      </c>
      <c r="Y16" s="1496">
        <f t="shared" si="9"/>
        <v>691643.20833726285</v>
      </c>
      <c r="Z16" s="1496">
        <f t="shared" si="9"/>
        <v>780433.7812198078</v>
      </c>
      <c r="AA16" s="1496">
        <f t="shared" si="9"/>
        <v>843983.84857842722</v>
      </c>
      <c r="AB16" s="1496">
        <f t="shared" si="9"/>
        <v>912689.00546581484</v>
      </c>
      <c r="AC16" s="1496">
        <f t="shared" si="9"/>
        <v>986966.01036079682</v>
      </c>
      <c r="AD16" s="1496">
        <f t="shared" si="9"/>
        <v>1067265.2123863883</v>
      </c>
      <c r="AE16" s="19"/>
      <c r="AF16" s="19"/>
      <c r="AG16" s="101"/>
      <c r="AH16" s="19"/>
      <c r="AI16" s="19"/>
      <c r="AJ16" s="19"/>
      <c r="AK16" s="19"/>
      <c r="AL16" s="1825"/>
      <c r="AM16" s="1826"/>
      <c r="AN16" s="1826"/>
      <c r="AO16" s="1826"/>
      <c r="AP16" s="1825"/>
      <c r="AQ16" s="1826"/>
      <c r="AR16" s="1826"/>
      <c r="AS16" s="1826"/>
      <c r="AT16" s="1496">
        <f t="shared" ref="AT16:BQ16" si="10">AT119</f>
        <v>13725</v>
      </c>
      <c r="AU16" s="1496">
        <f t="shared" si="10"/>
        <v>17453.165999999997</v>
      </c>
      <c r="AV16" s="1496">
        <f t="shared" si="10"/>
        <v>18038.518</v>
      </c>
      <c r="AW16" s="1496">
        <f t="shared" si="10"/>
        <v>20124</v>
      </c>
      <c r="AX16" s="1450">
        <f t="shared" si="10"/>
        <v>22657.415999999997</v>
      </c>
      <c r="AY16" s="1496">
        <f t="shared" si="10"/>
        <v>28612.85</v>
      </c>
      <c r="AZ16" s="1496">
        <f t="shared" si="10"/>
        <v>29012.003000000001</v>
      </c>
      <c r="BA16" s="1496">
        <f t="shared" si="10"/>
        <v>34720.048000000003</v>
      </c>
      <c r="BB16" s="1450">
        <f t="shared" si="10"/>
        <v>36640.575000000004</v>
      </c>
      <c r="BC16" s="1496">
        <f t="shared" si="10"/>
        <v>45928.686999999998</v>
      </c>
      <c r="BD16" s="1496">
        <f t="shared" si="10"/>
        <v>44110.15</v>
      </c>
      <c r="BE16" s="1496">
        <f t="shared" si="10"/>
        <v>54607.543000000005</v>
      </c>
      <c r="BF16" s="1450">
        <f t="shared" si="10"/>
        <v>53808.159</v>
      </c>
      <c r="BG16" s="1496">
        <f t="shared" si="10"/>
        <v>64896.934999999998</v>
      </c>
      <c r="BH16" s="1496">
        <f t="shared" si="10"/>
        <v>60173.724999999999</v>
      </c>
      <c r="BI16" s="1496">
        <f t="shared" si="10"/>
        <v>79411.128000000026</v>
      </c>
      <c r="BJ16" s="1450">
        <f t="shared" si="10"/>
        <v>75218.186999999991</v>
      </c>
      <c r="BK16" s="1496">
        <f t="shared" si="10"/>
        <v>93201.975000000006</v>
      </c>
      <c r="BL16" s="1496">
        <f t="shared" si="10"/>
        <v>83746.258000000002</v>
      </c>
      <c r="BM16" s="1496">
        <f t="shared" si="10"/>
        <v>110165.334</v>
      </c>
      <c r="BN16" s="1450">
        <f t="shared" si="10"/>
        <v>98583.704370820633</v>
      </c>
      <c r="BO16" s="1496">
        <f t="shared" si="10"/>
        <v>120375.12071373292</v>
      </c>
      <c r="BP16" s="1496">
        <f t="shared" si="10"/>
        <v>103185.76637624086</v>
      </c>
      <c r="BQ16" s="1496">
        <f t="shared" si="10"/>
        <v>141922.92048679746</v>
      </c>
      <c r="BR16" s="580"/>
      <c r="CR16"/>
      <c r="CS16"/>
      <c r="CT16"/>
      <c r="CU16"/>
      <c r="CV16"/>
      <c r="CW16"/>
    </row>
    <row r="17" spans="1:101" outlineLevel="1">
      <c r="A17" s="289"/>
      <c r="B17" s="289"/>
      <c r="C17" s="289"/>
      <c r="D17" s="289"/>
      <c r="E17" s="289"/>
      <c r="F17" s="289"/>
      <c r="G17" s="289"/>
      <c r="H17" s="555"/>
      <c r="I17" s="555"/>
      <c r="J17" s="33" t="s">
        <v>125</v>
      </c>
      <c r="K17" s="11"/>
      <c r="L17" s="11"/>
      <c r="M17" s="11"/>
      <c r="N17" s="836">
        <f t="shared" ref="N17:AC18" si="11">N120</f>
        <v>2906</v>
      </c>
      <c r="O17" s="836">
        <f t="shared" si="11"/>
        <v>8566</v>
      </c>
      <c r="P17" s="836">
        <f t="shared" si="11"/>
        <v>20888.010999999999</v>
      </c>
      <c r="Q17" s="836">
        <f t="shared" si="11"/>
        <v>40334.550999999999</v>
      </c>
      <c r="R17" s="836">
        <f t="shared" si="11"/>
        <v>67018</v>
      </c>
      <c r="S17" s="836">
        <f t="shared" si="11"/>
        <v>108549</v>
      </c>
      <c r="T17" s="836">
        <f t="shared" si="11"/>
        <v>167721</v>
      </c>
      <c r="U17" s="836">
        <f t="shared" si="11"/>
        <v>237943.63200000001</v>
      </c>
      <c r="V17" s="836">
        <f t="shared" si="11"/>
        <v>331824.40999999997</v>
      </c>
      <c r="W17" s="836">
        <f t="shared" si="11"/>
        <v>419945.66811119992</v>
      </c>
      <c r="X17" s="836">
        <f t="shared" si="11"/>
        <v>519151.47776144021</v>
      </c>
      <c r="Y17" s="836">
        <f t="shared" si="11"/>
        <v>617777.39460569143</v>
      </c>
      <c r="Z17" s="836">
        <f t="shared" si="11"/>
        <v>690779.92869146226</v>
      </c>
      <c r="AA17" s="836">
        <f t="shared" si="11"/>
        <v>743555.51524348999</v>
      </c>
      <c r="AB17" s="836">
        <f t="shared" si="11"/>
        <v>800363.1566080926</v>
      </c>
      <c r="AC17" s="836">
        <f t="shared" si="11"/>
        <v>861510.90177295078</v>
      </c>
      <c r="AD17" s="836">
        <f t="shared" si="9"/>
        <v>927330.33466840419</v>
      </c>
      <c r="AE17" s="11"/>
      <c r="AF17" s="11"/>
      <c r="AG17" s="95"/>
      <c r="AH17" s="11"/>
      <c r="AI17" s="11"/>
      <c r="AJ17" s="11"/>
      <c r="AK17" s="11"/>
      <c r="AL17" s="1713"/>
      <c r="AM17" s="56"/>
      <c r="AN17" s="56"/>
      <c r="AO17" s="56"/>
      <c r="AP17" s="1713"/>
      <c r="AQ17" s="56"/>
      <c r="AR17" s="56"/>
      <c r="AS17" s="56"/>
      <c r="AT17" s="836">
        <f t="shared" ref="AT17:BQ17" si="12">AT120</f>
        <v>13322</v>
      </c>
      <c r="AU17" s="836">
        <f t="shared" si="12"/>
        <v>16895.281999999999</v>
      </c>
      <c r="AV17" s="836">
        <f t="shared" si="12"/>
        <v>17460.641</v>
      </c>
      <c r="AW17" s="836">
        <f t="shared" si="12"/>
        <v>19340</v>
      </c>
      <c r="AX17" s="767">
        <f t="shared" si="12"/>
        <v>21781.456999999999</v>
      </c>
      <c r="AY17" s="836">
        <f t="shared" si="12"/>
        <v>27018.303</v>
      </c>
      <c r="AZ17" s="836">
        <f t="shared" si="12"/>
        <v>27368.87</v>
      </c>
      <c r="BA17" s="836">
        <f t="shared" si="12"/>
        <v>32380.628000000001</v>
      </c>
      <c r="BB17" s="767">
        <f t="shared" si="12"/>
        <v>34548.516000000003</v>
      </c>
      <c r="BC17" s="836">
        <f t="shared" si="12"/>
        <v>42616.447</v>
      </c>
      <c r="BD17" s="836">
        <f t="shared" si="12"/>
        <v>40641.370999999999</v>
      </c>
      <c r="BE17" s="836">
        <f t="shared" si="12"/>
        <v>49914.65</v>
      </c>
      <c r="BF17" s="767">
        <f t="shared" si="12"/>
        <v>50061.334999999999</v>
      </c>
      <c r="BG17" s="836">
        <f t="shared" si="12"/>
        <v>59752.504000000001</v>
      </c>
      <c r="BH17" s="836">
        <f t="shared" si="12"/>
        <v>55195.489000000001</v>
      </c>
      <c r="BI17" s="836">
        <f t="shared" si="12"/>
        <v>72934.304000000004</v>
      </c>
      <c r="BJ17" s="767">
        <f t="shared" si="12"/>
        <v>69825.448999999993</v>
      </c>
      <c r="BK17" s="836">
        <f t="shared" si="12"/>
        <v>85386.013000000006</v>
      </c>
      <c r="BL17" s="836">
        <f t="shared" si="12"/>
        <v>76466.266000000003</v>
      </c>
      <c r="BM17" s="836">
        <f t="shared" si="12"/>
        <v>100146.682</v>
      </c>
      <c r="BN17" s="767">
        <f t="shared" si="12"/>
        <v>91033.383538943977</v>
      </c>
      <c r="BO17" s="836">
        <f t="shared" si="12"/>
        <v>109185.87370891198</v>
      </c>
      <c r="BP17" s="836">
        <f t="shared" si="12"/>
        <v>93133.111879499993</v>
      </c>
      <c r="BQ17" s="836">
        <f t="shared" si="12"/>
        <v>126593.298983844</v>
      </c>
    </row>
    <row r="18" spans="1:101" s="382" customFormat="1" outlineLevel="1">
      <c r="A18" s="289"/>
      <c r="B18" s="563"/>
      <c r="C18" s="563"/>
      <c r="D18" s="563"/>
      <c r="E18" s="563"/>
      <c r="F18" s="563"/>
      <c r="G18" s="563"/>
      <c r="H18" s="556"/>
      <c r="I18" s="556"/>
      <c r="J18" s="33" t="s">
        <v>280</v>
      </c>
      <c r="K18" s="172"/>
      <c r="L18" s="172"/>
      <c r="M18" s="172"/>
      <c r="N18" s="836">
        <f t="shared" si="11"/>
        <v>13</v>
      </c>
      <c r="O18" s="836">
        <f t="shared" si="9"/>
        <v>17</v>
      </c>
      <c r="P18" s="836">
        <f t="shared" si="9"/>
        <v>240.94800000000001</v>
      </c>
      <c r="Q18" s="836">
        <f t="shared" si="9"/>
        <v>1045.97</v>
      </c>
      <c r="R18" s="836">
        <f t="shared" si="9"/>
        <v>2322</v>
      </c>
      <c r="S18" s="836">
        <f t="shared" si="9"/>
        <v>6453</v>
      </c>
      <c r="T18" s="836">
        <f t="shared" si="9"/>
        <v>13566</v>
      </c>
      <c r="U18" s="836">
        <f t="shared" si="9"/>
        <v>20346.314999999999</v>
      </c>
      <c r="V18" s="836">
        <f t="shared" si="9"/>
        <v>30507.344000000001</v>
      </c>
      <c r="W18" s="836">
        <f t="shared" si="9"/>
        <v>44121.843836391992</v>
      </c>
      <c r="X18" s="836">
        <f t="shared" si="9"/>
        <v>57601.552727364491</v>
      </c>
      <c r="Y18" s="836">
        <f t="shared" si="9"/>
        <v>73865.813731571456</v>
      </c>
      <c r="Z18" s="836">
        <f t="shared" si="9"/>
        <v>89653.852528345524</v>
      </c>
      <c r="AA18" s="836">
        <f t="shared" si="9"/>
        <v>100428.3333349372</v>
      </c>
      <c r="AB18" s="836">
        <f t="shared" si="9"/>
        <v>112325.84885772219</v>
      </c>
      <c r="AC18" s="836">
        <f t="shared" si="9"/>
        <v>125455.10858784604</v>
      </c>
      <c r="AD18" s="836">
        <f t="shared" si="9"/>
        <v>139934.87771798423</v>
      </c>
      <c r="AE18" s="28"/>
      <c r="AF18" s="28"/>
      <c r="AG18" s="96"/>
      <c r="AH18" s="172"/>
      <c r="AI18" s="172"/>
      <c r="AJ18" s="172"/>
      <c r="AK18" s="172"/>
      <c r="AL18" s="1757"/>
      <c r="AM18" s="175"/>
      <c r="AN18" s="175"/>
      <c r="AO18" s="175"/>
      <c r="AP18" s="1757"/>
      <c r="AQ18" s="175"/>
      <c r="AR18" s="175"/>
      <c r="AS18" s="172"/>
      <c r="AT18" s="836">
        <f t="shared" ref="AT18:BQ18" si="13">AT121</f>
        <v>403</v>
      </c>
      <c r="AU18" s="836">
        <f t="shared" si="13"/>
        <v>557.88400000000001</v>
      </c>
      <c r="AV18" s="836">
        <f t="shared" si="13"/>
        <v>577.87699999999995</v>
      </c>
      <c r="AW18" s="836">
        <f t="shared" si="13"/>
        <v>784</v>
      </c>
      <c r="AX18" s="767">
        <f t="shared" si="13"/>
        <v>875.95899999999995</v>
      </c>
      <c r="AY18" s="836">
        <f t="shared" si="13"/>
        <v>1594.547</v>
      </c>
      <c r="AZ18" s="836">
        <f t="shared" si="13"/>
        <v>1643.133</v>
      </c>
      <c r="BA18" s="836">
        <f t="shared" si="13"/>
        <v>2339.42</v>
      </c>
      <c r="BB18" s="767">
        <f t="shared" si="13"/>
        <v>2092.0590000000002</v>
      </c>
      <c r="BC18" s="836">
        <f t="shared" si="13"/>
        <v>3312.24</v>
      </c>
      <c r="BD18" s="836">
        <f t="shared" si="13"/>
        <v>3468.779</v>
      </c>
      <c r="BE18" s="836">
        <f t="shared" si="13"/>
        <v>4692.893</v>
      </c>
      <c r="BF18" s="767">
        <f t="shared" si="13"/>
        <v>3746.8240000000001</v>
      </c>
      <c r="BG18" s="836">
        <f t="shared" si="13"/>
        <v>5144.4309999999996</v>
      </c>
      <c r="BH18" s="836">
        <f t="shared" si="13"/>
        <v>4978.2359999999999</v>
      </c>
      <c r="BI18" s="836">
        <f t="shared" si="13"/>
        <v>6476.8239999999996</v>
      </c>
      <c r="BJ18" s="767">
        <f t="shared" si="13"/>
        <v>5392.7380000000003</v>
      </c>
      <c r="BK18" s="836">
        <f t="shared" si="13"/>
        <v>7815.9620000000004</v>
      </c>
      <c r="BL18" s="836">
        <f t="shared" si="13"/>
        <v>7279.9920000000002</v>
      </c>
      <c r="BM18" s="836">
        <f t="shared" si="13"/>
        <v>10018.652</v>
      </c>
      <c r="BN18" s="767">
        <f t="shared" si="13"/>
        <v>7550.3208318766619</v>
      </c>
      <c r="BO18" s="836">
        <f t="shared" si="13"/>
        <v>11189.247004820936</v>
      </c>
      <c r="BP18" s="836">
        <f t="shared" si="13"/>
        <v>10052.654496740864</v>
      </c>
      <c r="BQ18" s="836">
        <f t="shared" si="13"/>
        <v>15329.621502953531</v>
      </c>
      <c r="CR18"/>
      <c r="CS18"/>
      <c r="CT18"/>
      <c r="CU18"/>
      <c r="CV18"/>
      <c r="CW18"/>
    </row>
    <row r="19" spans="1:101" s="382" customFormat="1" outlineLevel="1">
      <c r="A19" s="289"/>
      <c r="B19" s="563"/>
      <c r="C19" s="563"/>
      <c r="D19" s="563"/>
      <c r="E19" s="563"/>
      <c r="F19" s="563"/>
      <c r="G19" s="563"/>
      <c r="H19" s="556"/>
      <c r="I19" s="556"/>
      <c r="J19" s="59" t="s">
        <v>684</v>
      </c>
      <c r="K19" s="172"/>
      <c r="L19" s="172"/>
      <c r="M19" s="172"/>
      <c r="N19" s="734">
        <f>N453</f>
        <v>140</v>
      </c>
      <c r="O19" s="734">
        <f t="shared" ref="O19:AD19" si="14">O453</f>
        <v>414</v>
      </c>
      <c r="P19" s="734">
        <f t="shared" si="14"/>
        <v>1152.4310000000005</v>
      </c>
      <c r="Q19" s="734">
        <f t="shared" si="14"/>
        <v>3482.1339999999982</v>
      </c>
      <c r="R19" s="734">
        <f t="shared" si="14"/>
        <v>6844</v>
      </c>
      <c r="S19" s="734">
        <f t="shared" si="14"/>
        <v>13373.877</v>
      </c>
      <c r="T19" s="734">
        <f t="shared" si="14"/>
        <v>23766.178</v>
      </c>
      <c r="U19" s="734">
        <f t="shared" si="14"/>
        <v>34553.30900000003</v>
      </c>
      <c r="V19" s="734">
        <f t="shared" si="14"/>
        <v>50005.896999999954</v>
      </c>
      <c r="W19" s="734">
        <f t="shared" si="14"/>
        <v>65594.722913397462</v>
      </c>
      <c r="X19" s="734">
        <f t="shared" si="14"/>
        <v>84560.265968668842</v>
      </c>
      <c r="Y19" s="734">
        <f t="shared" si="14"/>
        <v>106435.84681162582</v>
      </c>
      <c r="Z19" s="734">
        <f t="shared" si="14"/>
        <v>125835.07189363016</v>
      </c>
      <c r="AA19" s="734">
        <f t="shared" si="14"/>
        <v>139803.90156765445</v>
      </c>
      <c r="AB19" s="734">
        <f t="shared" si="14"/>
        <v>155217.38737768019</v>
      </c>
      <c r="AC19" s="734">
        <f t="shared" si="14"/>
        <v>170885.17010024845</v>
      </c>
      <c r="AD19" s="734">
        <f t="shared" si="14"/>
        <v>189318.01091835543</v>
      </c>
      <c r="AE19" s="28"/>
      <c r="AF19" s="28"/>
      <c r="AG19" s="96"/>
      <c r="AH19" s="172"/>
      <c r="AI19" s="172"/>
      <c r="AJ19" s="172"/>
      <c r="AK19" s="172"/>
      <c r="AL19" s="1757"/>
      <c r="AM19" s="175"/>
      <c r="AN19" s="175"/>
      <c r="AO19" s="175"/>
      <c r="AP19" s="1757"/>
      <c r="AQ19" s="175"/>
      <c r="AR19" s="175"/>
      <c r="AS19" s="172"/>
      <c r="AT19" s="734">
        <f t="shared" ref="AT19:BQ19" si="15">AT453</f>
        <v>0</v>
      </c>
      <c r="AU19" s="734">
        <f t="shared" si="15"/>
        <v>0</v>
      </c>
      <c r="AV19" s="734">
        <f t="shared" si="15"/>
        <v>0</v>
      </c>
      <c r="AW19" s="734">
        <f t="shared" si="15"/>
        <v>0</v>
      </c>
      <c r="AX19" s="767">
        <f t="shared" si="15"/>
        <v>2261.3979999999974</v>
      </c>
      <c r="AY19" s="734">
        <f t="shared" si="15"/>
        <v>3155.2289999999994</v>
      </c>
      <c r="AZ19" s="734">
        <f t="shared" si="15"/>
        <v>3544.0169999999998</v>
      </c>
      <c r="BA19" s="734">
        <f t="shared" si="15"/>
        <v>4410.2300000000032</v>
      </c>
      <c r="BB19" s="767">
        <f t="shared" si="15"/>
        <v>4465.5920000000042</v>
      </c>
      <c r="BC19" s="734">
        <f t="shared" si="15"/>
        <v>5763.7809999999972</v>
      </c>
      <c r="BD19" s="734">
        <f t="shared" si="15"/>
        <v>5907.9090000000042</v>
      </c>
      <c r="BE19" s="734">
        <f t="shared" si="15"/>
        <v>7620.9930000000049</v>
      </c>
      <c r="BF19" s="767">
        <f t="shared" si="15"/>
        <v>6830.6149999999961</v>
      </c>
      <c r="BG19" s="734">
        <f t="shared" si="15"/>
        <v>8633.3339999999971</v>
      </c>
      <c r="BH19" s="734">
        <f t="shared" si="15"/>
        <v>8413.1490000000013</v>
      </c>
      <c r="BI19" s="734">
        <f t="shared" si="15"/>
        <v>10676.211000000001</v>
      </c>
      <c r="BJ19" s="767">
        <f t="shared" si="15"/>
        <v>10618.587999999989</v>
      </c>
      <c r="BK19" s="734">
        <f t="shared" si="15"/>
        <v>12448.409000000003</v>
      </c>
      <c r="BL19" s="734">
        <f t="shared" si="15"/>
        <v>12779.015000000001</v>
      </c>
      <c r="BM19" s="734">
        <f t="shared" si="15"/>
        <v>14159.884999999997</v>
      </c>
      <c r="BN19" s="767">
        <f t="shared" si="15"/>
        <v>13186.618582451596</v>
      </c>
      <c r="BO19" s="734">
        <f t="shared" si="15"/>
        <v>16197.180206250667</v>
      </c>
      <c r="BP19" s="734">
        <f t="shared" si="15"/>
        <v>15287.667251886089</v>
      </c>
      <c r="BQ19" s="734">
        <f t="shared" si="15"/>
        <v>20923.256872809139</v>
      </c>
      <c r="CR19"/>
      <c r="CS19"/>
      <c r="CT19"/>
      <c r="CU19"/>
      <c r="CV19"/>
      <c r="CW19"/>
    </row>
    <row r="20" spans="1:101" s="580" customFormat="1" outlineLevel="1">
      <c r="A20" s="379"/>
      <c r="B20" s="378"/>
      <c r="C20" s="378"/>
      <c r="D20" s="378"/>
      <c r="E20" s="378"/>
      <c r="F20" s="378"/>
      <c r="G20" s="378"/>
      <c r="H20" s="565"/>
      <c r="I20" s="565"/>
      <c r="J20" s="229" t="s">
        <v>685</v>
      </c>
      <c r="K20" s="13"/>
      <c r="L20" s="13"/>
      <c r="M20" s="13"/>
      <c r="N20" s="844">
        <f>N454</f>
        <v>-86</v>
      </c>
      <c r="O20" s="844">
        <f t="shared" ref="O20:AD20" si="16">O454</f>
        <v>-404</v>
      </c>
      <c r="P20" s="844">
        <f t="shared" si="16"/>
        <v>-1332.6049999999996</v>
      </c>
      <c r="Q20" s="844">
        <f t="shared" si="16"/>
        <v>-1724.8270000000018</v>
      </c>
      <c r="R20" s="844">
        <f t="shared" si="16"/>
        <v>-305.22699999999998</v>
      </c>
      <c r="S20" s="844">
        <f t="shared" si="16"/>
        <v>-465.7940000000001</v>
      </c>
      <c r="T20" s="844">
        <f t="shared" si="16"/>
        <v>-4451.7179999999998</v>
      </c>
      <c r="U20" s="844">
        <f t="shared" si="16"/>
        <v>1599.0700000000284</v>
      </c>
      <c r="V20" s="844">
        <f t="shared" si="16"/>
        <v>2885.5959999999513</v>
      </c>
      <c r="W20" s="844">
        <f t="shared" si="16"/>
        <v>4105.7775803415234</v>
      </c>
      <c r="X20" s="844">
        <f t="shared" si="16"/>
        <v>10634.946285766298</v>
      </c>
      <c r="Y20" s="844">
        <f t="shared" si="16"/>
        <v>18597.159352793416</v>
      </c>
      <c r="Z20" s="844">
        <f t="shared" si="16"/>
        <v>27500.415459934356</v>
      </c>
      <c r="AA20" s="844">
        <f t="shared" si="16"/>
        <v>35993.888192507919</v>
      </c>
      <c r="AB20" s="844">
        <f t="shared" si="16"/>
        <v>45694.706721782415</v>
      </c>
      <c r="AC20" s="844">
        <f t="shared" si="16"/>
        <v>56397.11289839603</v>
      </c>
      <c r="AD20" s="844">
        <f t="shared" si="16"/>
        <v>65515.246281534397</v>
      </c>
      <c r="AE20" s="13"/>
      <c r="AF20" s="13"/>
      <c r="AG20" s="97"/>
      <c r="AH20" s="13"/>
      <c r="AI20" s="13"/>
      <c r="AJ20" s="13"/>
      <c r="AK20" s="13"/>
      <c r="AL20" s="1759"/>
      <c r="AM20" s="461"/>
      <c r="AN20" s="461"/>
      <c r="AO20" s="461"/>
      <c r="AP20" s="1759"/>
      <c r="AQ20" s="461"/>
      <c r="AR20" s="461"/>
      <c r="AS20" s="13"/>
      <c r="AT20" s="844">
        <f t="shared" ref="AT20:BQ20" si="17">AT454</f>
        <v>0</v>
      </c>
      <c r="AU20" s="844">
        <f t="shared" si="17"/>
        <v>0</v>
      </c>
      <c r="AV20" s="844">
        <f t="shared" si="17"/>
        <v>0</v>
      </c>
      <c r="AW20" s="844">
        <f t="shared" si="17"/>
        <v>0</v>
      </c>
      <c r="AX20" s="1450">
        <f t="shared" si="17"/>
        <v>-136.86700000000246</v>
      </c>
      <c r="AY20" s="844">
        <f t="shared" si="17"/>
        <v>-217.25400000000053</v>
      </c>
      <c r="AZ20" s="844">
        <f t="shared" si="17"/>
        <v>128.49999999999974</v>
      </c>
      <c r="BA20" s="844">
        <f t="shared" si="17"/>
        <v>-217.97899999999669</v>
      </c>
      <c r="BB20" s="1450">
        <f t="shared" si="17"/>
        <v>-318.02999999999554</v>
      </c>
      <c r="BC20" s="844">
        <f t="shared" si="17"/>
        <v>-246.68000000000274</v>
      </c>
      <c r="BD20" s="844">
        <f t="shared" si="17"/>
        <v>-179.57399999999575</v>
      </c>
      <c r="BE20" s="844">
        <f t="shared" si="17"/>
        <v>-3590.2309999999948</v>
      </c>
      <c r="BF20" s="1450">
        <f t="shared" si="17"/>
        <v>-21.823000000003447</v>
      </c>
      <c r="BG20" s="844">
        <f t="shared" si="17"/>
        <v>523.59799999999882</v>
      </c>
      <c r="BH20" s="844">
        <f t="shared" si="17"/>
        <v>542.26300000000174</v>
      </c>
      <c r="BI20" s="844">
        <f t="shared" si="17"/>
        <v>555.03200000000106</v>
      </c>
      <c r="BJ20" s="1450">
        <f t="shared" si="17"/>
        <v>1427.5119999999886</v>
      </c>
      <c r="BK20" s="844">
        <f t="shared" si="17"/>
        <v>581.86000000000251</v>
      </c>
      <c r="BL20" s="844">
        <f t="shared" si="17"/>
        <v>1472.0720000000006</v>
      </c>
      <c r="BM20" s="844">
        <f t="shared" si="17"/>
        <v>-595.84800000000348</v>
      </c>
      <c r="BN20" s="1450">
        <f t="shared" si="17"/>
        <v>224.1702345538782</v>
      </c>
      <c r="BO20" s="844">
        <f t="shared" si="17"/>
        <v>489.59673185186648</v>
      </c>
      <c r="BP20" s="844">
        <f t="shared" si="17"/>
        <v>739.84406572447631</v>
      </c>
      <c r="BQ20" s="844">
        <f t="shared" si="17"/>
        <v>2652.1665482113294</v>
      </c>
      <c r="CR20"/>
      <c r="CS20"/>
      <c r="CT20"/>
      <c r="CU20"/>
      <c r="CV20"/>
      <c r="CW20"/>
    </row>
    <row r="21" spans="1:101" s="580" customFormat="1" outlineLevel="1">
      <c r="A21" s="379"/>
      <c r="B21" s="378"/>
      <c r="C21" s="378"/>
      <c r="D21" s="378"/>
      <c r="E21" s="378"/>
      <c r="F21" s="378"/>
      <c r="G21" s="378"/>
      <c r="H21" s="565"/>
      <c r="I21" s="565"/>
      <c r="J21" s="229" t="s">
        <v>686</v>
      </c>
      <c r="K21" s="13"/>
      <c r="L21" s="13"/>
      <c r="M21" s="13"/>
      <c r="N21" s="844">
        <f>N458</f>
        <v>-270</v>
      </c>
      <c r="O21" s="844">
        <f t="shared" ref="O21:AD21" si="18">O458</f>
        <v>-1149</v>
      </c>
      <c r="P21" s="844">
        <f t="shared" si="18"/>
        <v>-2873.1259999999993</v>
      </c>
      <c r="Q21" s="844">
        <f t="shared" si="18"/>
        <v>-3089.9610000000002</v>
      </c>
      <c r="R21" s="844">
        <f t="shared" si="18"/>
        <v>-2211.5530000000003</v>
      </c>
      <c r="S21" s="844">
        <f t="shared" si="18"/>
        <v>-7617.4340000000002</v>
      </c>
      <c r="T21" s="844">
        <f t="shared" si="18"/>
        <v>-987.69800000000032</v>
      </c>
      <c r="U21" s="844">
        <f t="shared" si="18"/>
        <v>2068.4040000000286</v>
      </c>
      <c r="V21" s="844">
        <f t="shared" si="18"/>
        <v>4968.3799999999519</v>
      </c>
      <c r="W21" s="844">
        <f t="shared" si="18"/>
        <v>6863.2092049367884</v>
      </c>
      <c r="X21" s="844">
        <f t="shared" ca="1" si="18"/>
        <v>12884.448945902537</v>
      </c>
      <c r="Y21" s="844">
        <f t="shared" ca="1" si="18"/>
        <v>20415.114365630379</v>
      </c>
      <c r="Z21" s="844">
        <f t="shared" ca="1" si="18"/>
        <v>29451.962281059936</v>
      </c>
      <c r="AA21" s="844">
        <f t="shared" ca="1" si="18"/>
        <v>38139.397881266712</v>
      </c>
      <c r="AB21" s="844">
        <f t="shared" ca="1" si="18"/>
        <v>47867.801976011746</v>
      </c>
      <c r="AC21" s="844">
        <f t="shared" ca="1" si="18"/>
        <v>58854.897109031226</v>
      </c>
      <c r="AD21" s="844">
        <f t="shared" ca="1" si="18"/>
        <v>69074.939239065628</v>
      </c>
      <c r="AE21" s="13"/>
      <c r="AF21" s="13"/>
      <c r="AG21" s="97"/>
      <c r="AH21" s="13"/>
      <c r="AI21" s="13"/>
      <c r="AJ21" s="13"/>
      <c r="AK21" s="13"/>
      <c r="AL21" s="1759"/>
      <c r="AM21" s="461"/>
      <c r="AN21" s="461"/>
      <c r="AO21" s="461"/>
      <c r="AP21" s="1759"/>
      <c r="AQ21" s="461"/>
      <c r="AR21" s="461"/>
      <c r="AS21" s="13"/>
      <c r="AT21" s="844">
        <f t="shared" ref="AT21:BQ21" si="19">AT458</f>
        <v>0</v>
      </c>
      <c r="AU21" s="844">
        <f t="shared" si="19"/>
        <v>0</v>
      </c>
      <c r="AV21" s="844">
        <f t="shared" si="19"/>
        <v>0</v>
      </c>
      <c r="AW21" s="844">
        <f t="shared" si="19"/>
        <v>0</v>
      </c>
      <c r="AX21" s="1450">
        <f t="shared" si="19"/>
        <v>-1574.1670000000026</v>
      </c>
      <c r="AY21" s="844">
        <f t="shared" si="19"/>
        <v>-6475.6049999999996</v>
      </c>
      <c r="AZ21" s="844">
        <f t="shared" si="19"/>
        <v>370.7819999999997</v>
      </c>
      <c r="BA21" s="844">
        <f t="shared" si="19"/>
        <v>83.829000000003305</v>
      </c>
      <c r="BB21" s="1450">
        <f t="shared" si="19"/>
        <v>-205.6329999999956</v>
      </c>
      <c r="BC21" s="844">
        <f t="shared" si="19"/>
        <v>-15.71400000000283</v>
      </c>
      <c r="BD21" s="844">
        <f t="shared" si="19"/>
        <v>27.036000000004407</v>
      </c>
      <c r="BE21" s="844">
        <f t="shared" si="19"/>
        <v>-656.17799999999534</v>
      </c>
      <c r="BF21" s="1450">
        <f t="shared" si="19"/>
        <v>87.874499999996488</v>
      </c>
      <c r="BG21" s="844">
        <f t="shared" si="19"/>
        <v>716.76749999999902</v>
      </c>
      <c r="BH21" s="844">
        <f t="shared" si="19"/>
        <v>484.07300000000174</v>
      </c>
      <c r="BI21" s="844">
        <f t="shared" si="19"/>
        <v>779.68900000000099</v>
      </c>
      <c r="BJ21" s="1450">
        <f t="shared" si="19"/>
        <v>1397.5514999999887</v>
      </c>
      <c r="BK21" s="844">
        <f t="shared" si="19"/>
        <v>900.92850000000249</v>
      </c>
      <c r="BL21" s="844">
        <f t="shared" si="19"/>
        <v>2220.6020000000008</v>
      </c>
      <c r="BM21" s="844">
        <f t="shared" si="19"/>
        <v>449.29799999999665</v>
      </c>
      <c r="BN21" s="1450">
        <f t="shared" si="19"/>
        <v>746.14464455387827</v>
      </c>
      <c r="BO21" s="844">
        <f t="shared" si="19"/>
        <v>1201.1031664788227</v>
      </c>
      <c r="BP21" s="844">
        <f t="shared" si="19"/>
        <v>1462.3248001936606</v>
      </c>
      <c r="BQ21" s="844">
        <f t="shared" si="19"/>
        <v>3453.6365937104547</v>
      </c>
      <c r="CR21"/>
      <c r="CS21"/>
      <c r="CT21"/>
      <c r="CU21"/>
      <c r="CV21"/>
      <c r="CW21"/>
    </row>
    <row r="22" spans="1:101" s="382" customFormat="1" outlineLevel="1">
      <c r="A22" s="289"/>
      <c r="B22" s="563"/>
      <c r="C22" s="563"/>
      <c r="D22" s="563"/>
      <c r="E22" s="563"/>
      <c r="F22" s="563"/>
      <c r="G22" s="563"/>
      <c r="H22" s="556"/>
      <c r="I22" s="556"/>
      <c r="J22" s="33"/>
      <c r="K22" s="172"/>
      <c r="L22" s="172"/>
      <c r="M22" s="172"/>
      <c r="N22" s="28"/>
      <c r="O22" s="28"/>
      <c r="P22" s="174"/>
      <c r="Q22" s="174"/>
      <c r="R22" s="174"/>
      <c r="S22" s="174"/>
      <c r="T22" s="174"/>
      <c r="U22" s="174"/>
      <c r="V22" s="174"/>
      <c r="W22" s="174"/>
      <c r="X22" s="174"/>
      <c r="Y22" s="174"/>
      <c r="Z22" s="174"/>
      <c r="AA22" s="174"/>
      <c r="AB22" s="174"/>
      <c r="AC22" s="174"/>
      <c r="AD22" s="174"/>
      <c r="AE22" s="28"/>
      <c r="AF22" s="28"/>
      <c r="AG22" s="96"/>
      <c r="AH22" s="172"/>
      <c r="AI22" s="172"/>
      <c r="AJ22" s="172"/>
      <c r="AK22" s="172"/>
      <c r="AL22" s="1757"/>
      <c r="AM22" s="175"/>
      <c r="AN22" s="175"/>
      <c r="AO22" s="175"/>
      <c r="AP22" s="1757"/>
      <c r="AQ22" s="175"/>
      <c r="AR22" s="175"/>
      <c r="AS22" s="172"/>
      <c r="AT22" s="740"/>
      <c r="AU22" s="350"/>
      <c r="AV22" s="350"/>
      <c r="AW22" s="350"/>
      <c r="AX22" s="690"/>
      <c r="AY22" s="179"/>
      <c r="AZ22" s="610"/>
      <c r="BA22" s="610"/>
      <c r="BB22" s="759"/>
      <c r="BC22" s="610"/>
      <c r="BD22" s="610"/>
      <c r="BE22" s="610"/>
      <c r="BF22" s="759"/>
      <c r="BG22" s="610"/>
      <c r="BH22" s="610"/>
      <c r="BI22" s="610"/>
      <c r="BJ22" s="759"/>
      <c r="BK22" s="610"/>
      <c r="BL22" s="610"/>
      <c r="BM22" s="610"/>
      <c r="BN22" s="759"/>
      <c r="BO22" s="610"/>
      <c r="BP22" s="172"/>
      <c r="BQ22" s="172"/>
      <c r="CR22"/>
      <c r="CS22"/>
      <c r="CT22"/>
      <c r="CU22"/>
      <c r="CV22"/>
      <c r="CW22"/>
    </row>
    <row r="23" spans="1:101" s="382" customFormat="1" outlineLevel="1">
      <c r="A23" s="289"/>
      <c r="B23" s="563"/>
      <c r="C23" s="563"/>
      <c r="D23" s="563"/>
      <c r="E23" s="563"/>
      <c r="F23" s="563"/>
      <c r="G23" s="563"/>
      <c r="H23" s="556"/>
      <c r="I23" s="556"/>
      <c r="J23" s="313" t="s">
        <v>687</v>
      </c>
      <c r="K23" s="172"/>
      <c r="L23" s="172"/>
      <c r="M23" s="172"/>
      <c r="N23" s="28"/>
      <c r="O23" s="28"/>
      <c r="P23" s="174"/>
      <c r="Q23" s="174"/>
      <c r="R23" s="174"/>
      <c r="S23" s="174"/>
      <c r="T23" s="174"/>
      <c r="U23" s="174"/>
      <c r="V23" s="174"/>
      <c r="W23" s="174"/>
      <c r="X23" s="174"/>
      <c r="Y23" s="174"/>
      <c r="Z23" s="174"/>
      <c r="AA23" s="174"/>
      <c r="AB23" s="174"/>
      <c r="AC23" s="174"/>
      <c r="AD23" s="174"/>
      <c r="AE23" s="28"/>
      <c r="AF23" s="28"/>
      <c r="AG23" s="96"/>
      <c r="AH23" s="172"/>
      <c r="AI23" s="172"/>
      <c r="AJ23" s="172"/>
      <c r="AK23" s="172"/>
      <c r="AL23" s="1757"/>
      <c r="AM23" s="175"/>
      <c r="AN23" s="175"/>
      <c r="AO23" s="175"/>
      <c r="AP23" s="1757"/>
      <c r="AQ23" s="175"/>
      <c r="AR23" s="175"/>
      <c r="AS23" s="172"/>
      <c r="AT23" s="740"/>
      <c r="AU23" s="350"/>
      <c r="AV23" s="350"/>
      <c r="AW23" s="350"/>
      <c r="AX23" s="690"/>
      <c r="AY23" s="179"/>
      <c r="AZ23" s="610"/>
      <c r="BA23" s="610"/>
      <c r="BB23" s="759"/>
      <c r="BC23" s="610"/>
      <c r="BD23" s="610"/>
      <c r="BE23" s="610"/>
      <c r="BF23" s="759"/>
      <c r="BG23" s="610"/>
      <c r="BH23" s="610"/>
      <c r="BI23" s="610"/>
      <c r="BJ23" s="759"/>
      <c r="BK23" s="610"/>
      <c r="BL23" s="610"/>
      <c r="BM23" s="610"/>
      <c r="BN23" s="759"/>
      <c r="BO23" s="610"/>
      <c r="BP23" s="172"/>
      <c r="BQ23" s="172"/>
      <c r="CR23"/>
      <c r="CS23"/>
      <c r="CT23"/>
      <c r="CU23"/>
      <c r="CV23"/>
      <c r="CW23"/>
    </row>
    <row r="24" spans="1:101" s="580" customFormat="1" outlineLevel="1">
      <c r="A24" s="378"/>
      <c r="B24" s="378"/>
      <c r="C24" s="378"/>
      <c r="D24" s="378"/>
      <c r="E24" s="378"/>
      <c r="F24" s="378"/>
      <c r="G24" s="378"/>
      <c r="H24" s="565"/>
      <c r="I24" s="565"/>
      <c r="J24" s="13" t="s">
        <v>693</v>
      </c>
      <c r="K24" s="13"/>
      <c r="L24" s="13"/>
      <c r="M24" s="13"/>
      <c r="N24" s="13"/>
      <c r="O24" s="453"/>
      <c r="P24" s="453"/>
      <c r="Q24" s="453"/>
      <c r="R24" s="453"/>
      <c r="S24" s="453"/>
      <c r="T24" s="453"/>
      <c r="U24" s="453"/>
      <c r="V24" s="453">
        <f t="shared" ref="V24:AD24" si="20">V12/U12-1</f>
        <v>0.37834096475348744</v>
      </c>
      <c r="W24" s="453">
        <f t="shared" si="20"/>
        <v>0.31147499999999972</v>
      </c>
      <c r="X24" s="453">
        <f t="shared" si="20"/>
        <v>0.24717499999999992</v>
      </c>
      <c r="Y24" s="453">
        <f t="shared" si="20"/>
        <v>0.20059999999999989</v>
      </c>
      <c r="Z24" s="453">
        <f t="shared" si="20"/>
        <v>0.13849999999999985</v>
      </c>
      <c r="AA24" s="453">
        <f t="shared" si="20"/>
        <v>7.6400000000000023E-2</v>
      </c>
      <c r="AB24" s="453">
        <f t="shared" si="20"/>
        <v>7.6399999999999801E-2</v>
      </c>
      <c r="AC24" s="453">
        <f t="shared" si="20"/>
        <v>7.6400000000000023E-2</v>
      </c>
      <c r="AD24" s="453">
        <f t="shared" si="20"/>
        <v>7.6400000000000245E-2</v>
      </c>
      <c r="AE24" s="13"/>
      <c r="AF24" s="13"/>
      <c r="AG24" s="97"/>
      <c r="AH24" s="13"/>
      <c r="AI24" s="13"/>
      <c r="AJ24" s="13"/>
      <c r="AK24" s="13"/>
      <c r="AL24" s="1759"/>
      <c r="AM24" s="461"/>
      <c r="AN24" s="461"/>
      <c r="AO24" s="461"/>
      <c r="AP24" s="1759"/>
      <c r="AQ24" s="461"/>
      <c r="AR24" s="461"/>
      <c r="AS24" s="13"/>
      <c r="AT24" s="130"/>
      <c r="AU24" s="13"/>
      <c r="AV24" s="13"/>
      <c r="AW24" s="13"/>
      <c r="AX24" s="671"/>
      <c r="AY24" s="453"/>
      <c r="AZ24" s="453"/>
      <c r="BA24" s="453"/>
      <c r="BB24" s="671"/>
      <c r="BC24" s="453"/>
      <c r="BD24" s="453"/>
      <c r="BE24" s="453"/>
      <c r="BF24" s="671"/>
      <c r="BG24" s="453"/>
      <c r="BH24" s="453"/>
      <c r="BI24" s="453"/>
      <c r="BJ24" s="671">
        <f t="shared" ref="AY24:BQ33" si="21">BJ12/BF12-1</f>
        <v>0.41769316909294507</v>
      </c>
      <c r="BK24" s="453">
        <f t="shared" si="21"/>
        <v>0.46483180428134552</v>
      </c>
      <c r="BL24" s="453">
        <f t="shared" si="21"/>
        <v>0.32327209098862641</v>
      </c>
      <c r="BM24" s="453">
        <f t="shared" si="21"/>
        <v>0.33135313531353128</v>
      </c>
      <c r="BN24" s="671">
        <f t="shared" si="21"/>
        <v>0.34351392943439274</v>
      </c>
      <c r="BO24" s="453">
        <f t="shared" si="21"/>
        <v>0.28808221330368244</v>
      </c>
      <c r="BP24" s="453">
        <f t="shared" si="21"/>
        <v>0.25242089097022324</v>
      </c>
      <c r="BQ24" s="453">
        <f t="shared" si="21"/>
        <v>0.35509228415467065</v>
      </c>
      <c r="CR24"/>
      <c r="CS24"/>
      <c r="CT24"/>
      <c r="CU24"/>
      <c r="CV24"/>
      <c r="CW24"/>
    </row>
    <row r="25" spans="1:101" s="580" customFormat="1" outlineLevel="1">
      <c r="A25" s="378"/>
      <c r="B25" s="378"/>
      <c r="C25" s="378"/>
      <c r="D25" s="378"/>
      <c r="E25" s="378"/>
      <c r="F25" s="378"/>
      <c r="G25" s="378"/>
      <c r="H25" s="565"/>
      <c r="I25" s="565"/>
      <c r="J25" s="13" t="s">
        <v>623</v>
      </c>
      <c r="K25" s="13"/>
      <c r="L25" s="13"/>
      <c r="M25" s="13"/>
      <c r="N25" s="13"/>
      <c r="O25" s="453"/>
      <c r="P25" s="453"/>
      <c r="Q25" s="453">
        <f t="shared" ref="O25:AD33" si="22">Q13/P13-1</f>
        <v>1.2415902140672781</v>
      </c>
      <c r="R25" s="453">
        <f t="shared" si="22"/>
        <v>0.71214188267394274</v>
      </c>
      <c r="S25" s="453">
        <f t="shared" si="22"/>
        <v>1.0733067729083667</v>
      </c>
      <c r="T25" s="453">
        <f t="shared" si="22"/>
        <v>0.77824750192159886</v>
      </c>
      <c r="U25" s="453">
        <f t="shared" si="22"/>
        <v>0.42251999135508966</v>
      </c>
      <c r="V25" s="453">
        <f t="shared" si="22"/>
        <v>0.37660285627468859</v>
      </c>
      <c r="W25" s="453">
        <f t="shared" si="22"/>
        <v>0.31147499999999972</v>
      </c>
      <c r="X25" s="453">
        <f t="shared" si="22"/>
        <v>0.24717499999999992</v>
      </c>
      <c r="Y25" s="453">
        <f t="shared" si="22"/>
        <v>0.20059999999999989</v>
      </c>
      <c r="Z25" s="453">
        <f t="shared" si="22"/>
        <v>0.13850000000000007</v>
      </c>
      <c r="AA25" s="453">
        <f t="shared" si="22"/>
        <v>7.6400000000000023E-2</v>
      </c>
      <c r="AB25" s="453">
        <f t="shared" si="22"/>
        <v>7.6400000000000023E-2</v>
      </c>
      <c r="AC25" s="453">
        <f t="shared" si="22"/>
        <v>7.6400000000000023E-2</v>
      </c>
      <c r="AD25" s="453">
        <f t="shared" si="22"/>
        <v>7.6400000000000023E-2</v>
      </c>
      <c r="AE25" s="13"/>
      <c r="AF25" s="13"/>
      <c r="AG25" s="97"/>
      <c r="AH25" s="13"/>
      <c r="AI25" s="13"/>
      <c r="AJ25" s="13"/>
      <c r="AK25" s="13"/>
      <c r="AL25" s="1759"/>
      <c r="AM25" s="461"/>
      <c r="AN25" s="461"/>
      <c r="AO25" s="461"/>
      <c r="AP25" s="1759"/>
      <c r="AQ25" s="461"/>
      <c r="AR25" s="461"/>
      <c r="AS25" s="13"/>
      <c r="AT25" s="130"/>
      <c r="AU25" s="13"/>
      <c r="AV25" s="13"/>
      <c r="AW25" s="13"/>
      <c r="AX25" s="671">
        <f t="shared" ref="AX25:AX30" si="23">AX13/AT13-1</f>
        <v>0.83749999999999991</v>
      </c>
      <c r="AY25" s="453">
        <f t="shared" si="21"/>
        <v>1.069985214391326</v>
      </c>
      <c r="AZ25" s="453">
        <f t="shared" si="21"/>
        <v>1.1097178683385578</v>
      </c>
      <c r="BA25" s="453">
        <f t="shared" si="21"/>
        <v>1.19</v>
      </c>
      <c r="BB25" s="671">
        <f t="shared" si="21"/>
        <v>0.99092970521541957</v>
      </c>
      <c r="BC25" s="453">
        <f t="shared" si="21"/>
        <v>0.81746031746031744</v>
      </c>
      <c r="BD25" s="453">
        <f t="shared" si="21"/>
        <v>0.70876671619613663</v>
      </c>
      <c r="BE25" s="453">
        <f t="shared" si="21"/>
        <v>0.69347319347319347</v>
      </c>
      <c r="BF25" s="671">
        <f t="shared" si="21"/>
        <v>0.47266514806378135</v>
      </c>
      <c r="BG25" s="453">
        <f t="shared" si="21"/>
        <v>0.40087336244541483</v>
      </c>
      <c r="BH25" s="453">
        <f t="shared" si="21"/>
        <v>0.38086956521739124</v>
      </c>
      <c r="BI25" s="453">
        <f t="shared" si="21"/>
        <v>0.44322092222986931</v>
      </c>
      <c r="BJ25" s="671">
        <f t="shared" si="21"/>
        <v>0.42382057231245174</v>
      </c>
      <c r="BK25" s="453">
        <f t="shared" si="21"/>
        <v>0.46384039900249374</v>
      </c>
      <c r="BL25" s="453">
        <f t="shared" si="21"/>
        <v>0.34015500549693001</v>
      </c>
      <c r="BM25" s="453">
        <f t="shared" si="21"/>
        <v>0.3083613978401889</v>
      </c>
      <c r="BN25" s="671">
        <f t="shared" si="21"/>
        <v>0.29996673207604529</v>
      </c>
      <c r="BO25" s="453">
        <f t="shared" si="21"/>
        <v>0.29407425139522969</v>
      </c>
      <c r="BP25" s="453">
        <f t="shared" si="21"/>
        <v>0.25242089097022347</v>
      </c>
      <c r="BQ25" s="453">
        <f t="shared" si="21"/>
        <v>0.3798954397994192</v>
      </c>
      <c r="CR25"/>
      <c r="CS25"/>
      <c r="CT25"/>
      <c r="CU25"/>
      <c r="CV25"/>
      <c r="CW25"/>
    </row>
    <row r="26" spans="1:101" outlineLevel="1">
      <c r="A26" s="289"/>
      <c r="B26" s="289"/>
      <c r="C26" s="289"/>
      <c r="D26" s="289"/>
      <c r="E26" s="289"/>
      <c r="F26" s="289"/>
      <c r="G26" s="289"/>
      <c r="H26" s="555"/>
      <c r="I26" s="555"/>
      <c r="J26" s="17" t="s">
        <v>588</v>
      </c>
      <c r="K26" s="11"/>
      <c r="L26" s="11"/>
      <c r="M26" s="11"/>
      <c r="N26" s="11"/>
      <c r="O26" s="93"/>
      <c r="P26" s="93"/>
      <c r="Q26" s="93">
        <f t="shared" si="22"/>
        <v>0.90268456375838935</v>
      </c>
      <c r="R26" s="93">
        <f t="shared" si="22"/>
        <v>0.65266106442577021</v>
      </c>
      <c r="S26" s="93">
        <f t="shared" si="22"/>
        <v>0.7</v>
      </c>
      <c r="T26" s="93">
        <f t="shared" si="22"/>
        <v>0.60451977401129953</v>
      </c>
      <c r="U26" s="93">
        <f t="shared" si="22"/>
        <v>0.45657276995305174</v>
      </c>
      <c r="V26" s="93">
        <f t="shared" si="22"/>
        <v>0.41643448831587437</v>
      </c>
      <c r="W26" s="93">
        <f t="shared" si="22"/>
        <v>0.28443427835051516</v>
      </c>
      <c r="X26" s="93">
        <f t="shared" si="22"/>
        <v>0.23623486842105246</v>
      </c>
      <c r="Y26" s="93">
        <f t="shared" si="22"/>
        <v>0.18997522123893806</v>
      </c>
      <c r="Z26" s="93">
        <f t="shared" si="22"/>
        <v>0.11816964285714282</v>
      </c>
      <c r="AA26" s="93">
        <f t="shared" si="22"/>
        <v>7.6400000000000023E-2</v>
      </c>
      <c r="AB26" s="93">
        <f t="shared" si="22"/>
        <v>7.6399999999999801E-2</v>
      </c>
      <c r="AC26" s="93">
        <f t="shared" si="22"/>
        <v>7.6400000000000023E-2</v>
      </c>
      <c r="AD26" s="93">
        <f t="shared" si="22"/>
        <v>7.6400000000000023E-2</v>
      </c>
      <c r="AE26" s="11"/>
      <c r="AF26" s="11"/>
      <c r="AG26" s="95"/>
      <c r="AH26" s="11"/>
      <c r="AI26" s="11"/>
      <c r="AJ26" s="11"/>
      <c r="AK26" s="11"/>
      <c r="AL26" s="1756"/>
      <c r="AM26" s="50"/>
      <c r="AN26" s="50"/>
      <c r="AO26" s="50"/>
      <c r="AP26" s="1756"/>
      <c r="AQ26" s="50"/>
      <c r="AR26" s="50"/>
      <c r="AS26" s="50"/>
      <c r="AT26" s="1712"/>
      <c r="AU26" s="939"/>
      <c r="AV26" s="939"/>
      <c r="AW26" s="609"/>
      <c r="AX26" s="674">
        <f t="shared" si="23"/>
        <v>0.69565217391304346</v>
      </c>
      <c r="AY26" s="93">
        <f t="shared" si="21"/>
        <v>0.66101694915254239</v>
      </c>
      <c r="AZ26" s="93">
        <f t="shared" si="21"/>
        <v>0.67355371900826455</v>
      </c>
      <c r="BA26" s="93">
        <f t="shared" si="21"/>
        <v>0.77</v>
      </c>
      <c r="BB26" s="674">
        <f t="shared" si="21"/>
        <v>0.63141025641025639</v>
      </c>
      <c r="BC26" s="93">
        <f t="shared" si="21"/>
        <v>0.65051020408163263</v>
      </c>
      <c r="BD26" s="93">
        <f t="shared" si="21"/>
        <v>0.51358024691358017</v>
      </c>
      <c r="BE26" s="93">
        <f t="shared" si="21"/>
        <v>0.62603305785123964</v>
      </c>
      <c r="BF26" s="674">
        <f t="shared" si="21"/>
        <v>0.4970530451866404</v>
      </c>
      <c r="BG26" s="93">
        <f t="shared" si="21"/>
        <v>0.46367851622874801</v>
      </c>
      <c r="BH26" s="93">
        <f t="shared" si="21"/>
        <v>0.41598694942903758</v>
      </c>
      <c r="BI26" s="93">
        <f t="shared" si="21"/>
        <v>0.45743329097839891</v>
      </c>
      <c r="BJ26" s="674">
        <f t="shared" si="21"/>
        <v>0.41601049868766404</v>
      </c>
      <c r="BK26" s="93">
        <f t="shared" si="21"/>
        <v>0.44244984160506862</v>
      </c>
      <c r="BL26" s="93">
        <f t="shared" si="21"/>
        <v>0.39732567741935498</v>
      </c>
      <c r="BM26" s="93">
        <f t="shared" si="21"/>
        <v>0.40846287009590276</v>
      </c>
      <c r="BN26" s="674">
        <f t="shared" si="21"/>
        <v>0.31825451139573646</v>
      </c>
      <c r="BO26" s="93">
        <f t="shared" si="21"/>
        <v>0.28921118534114187</v>
      </c>
      <c r="BP26" s="93">
        <f t="shared" si="21"/>
        <v>0.22858930972657987</v>
      </c>
      <c r="BQ26" s="93">
        <f t="shared" si="21"/>
        <v>0.29973343039215616</v>
      </c>
    </row>
    <row r="27" spans="1:101" outlineLevel="1">
      <c r="A27" s="289"/>
      <c r="B27" s="289"/>
      <c r="C27" s="289"/>
      <c r="D27" s="289"/>
      <c r="E27" s="289"/>
      <c r="F27" s="289"/>
      <c r="G27" s="289"/>
      <c r="H27" s="555"/>
      <c r="I27" s="555"/>
      <c r="J27" s="17" t="s">
        <v>526</v>
      </c>
      <c r="K27" s="11"/>
      <c r="L27" s="11"/>
      <c r="M27" s="11"/>
      <c r="N27" s="11"/>
      <c r="O27" s="93"/>
      <c r="P27" s="93"/>
      <c r="Q27" s="93">
        <f t="shared" si="22"/>
        <v>4.7241379310344831</v>
      </c>
      <c r="R27" s="93">
        <f t="shared" si="22"/>
        <v>0.91744897571357997</v>
      </c>
      <c r="S27" s="93">
        <f t="shared" si="22"/>
        <v>2.17</v>
      </c>
      <c r="T27" s="93">
        <f t="shared" si="22"/>
        <v>1.0525272547076314</v>
      </c>
      <c r="U27" s="93">
        <f t="shared" si="22"/>
        <v>0.38049251569290199</v>
      </c>
      <c r="V27" s="93">
        <f t="shared" si="22"/>
        <v>0.32473396292409928</v>
      </c>
      <c r="W27" s="93">
        <f t="shared" si="22"/>
        <v>0.34912499999999946</v>
      </c>
      <c r="X27" s="93">
        <f t="shared" si="22"/>
        <v>0.26167703488372096</v>
      </c>
      <c r="Y27" s="93">
        <f t="shared" si="22"/>
        <v>0.21439999999999992</v>
      </c>
      <c r="Z27" s="93">
        <f t="shared" si="22"/>
        <v>0.16437499999999994</v>
      </c>
      <c r="AA27" s="93">
        <f t="shared" si="22"/>
        <v>7.6400000000000245E-2</v>
      </c>
      <c r="AB27" s="93">
        <f t="shared" si="22"/>
        <v>7.6400000000000023E-2</v>
      </c>
      <c r="AC27" s="93">
        <f t="shared" si="22"/>
        <v>7.6400000000000023E-2</v>
      </c>
      <c r="AD27" s="93">
        <f t="shared" si="22"/>
        <v>7.6399999999999801E-2</v>
      </c>
      <c r="AE27" s="11"/>
      <c r="AF27" s="11"/>
      <c r="AG27" s="95"/>
      <c r="AH27" s="11"/>
      <c r="AI27" s="11"/>
      <c r="AJ27" s="11"/>
      <c r="AK27" s="11"/>
      <c r="AL27" s="1831"/>
      <c r="AM27" s="1832"/>
      <c r="AN27" s="1832"/>
      <c r="AO27" s="1832"/>
      <c r="AP27" s="1831"/>
      <c r="AQ27" s="1832"/>
      <c r="AR27" s="1832"/>
      <c r="AS27" s="1832"/>
      <c r="AT27" s="740"/>
      <c r="AU27" s="350"/>
      <c r="AV27" s="350"/>
      <c r="AW27" s="350"/>
      <c r="AX27" s="674">
        <f t="shared" si="23"/>
        <v>1.3035714285714284</v>
      </c>
      <c r="AY27" s="93">
        <f t="shared" si="21"/>
        <v>2.4492753623188408</v>
      </c>
      <c r="AZ27" s="93">
        <f t="shared" si="21"/>
        <v>2.4805194805194803</v>
      </c>
      <c r="BA27" s="93">
        <f t="shared" si="21"/>
        <v>2.2000000000000002</v>
      </c>
      <c r="BB27" s="674">
        <f t="shared" si="21"/>
        <v>1.86046511627907</v>
      </c>
      <c r="BC27" s="93">
        <f t="shared" si="21"/>
        <v>1.0924369747899161</v>
      </c>
      <c r="BD27" s="93">
        <f t="shared" si="21"/>
        <v>1.0037313432835822</v>
      </c>
      <c r="BE27" s="93">
        <f t="shared" si="21"/>
        <v>0.78342245989304815</v>
      </c>
      <c r="BF27" s="674">
        <f t="shared" si="21"/>
        <v>0.43902439024390238</v>
      </c>
      <c r="BG27" s="93">
        <f t="shared" si="21"/>
        <v>0.31927710843373491</v>
      </c>
      <c r="BH27" s="93">
        <f t="shared" si="21"/>
        <v>0.34078212290502785</v>
      </c>
      <c r="BI27" s="93">
        <f t="shared" si="21"/>
        <v>0.42428785607196406</v>
      </c>
      <c r="BJ27" s="674">
        <f t="shared" si="21"/>
        <v>0.43502824858757072</v>
      </c>
      <c r="BK27" s="93">
        <f t="shared" si="21"/>
        <v>0.49467275494672758</v>
      </c>
      <c r="BL27" s="93">
        <f t="shared" si="21"/>
        <v>0.27123258434600639</v>
      </c>
      <c r="BM27" s="93">
        <f t="shared" si="21"/>
        <v>0.18750204133776349</v>
      </c>
      <c r="BN27" s="674">
        <f t="shared" si="21"/>
        <v>0.27407104456167941</v>
      </c>
      <c r="BO27" s="93">
        <f t="shared" si="21"/>
        <v>0.30083896446028469</v>
      </c>
      <c r="BP27" s="93">
        <f t="shared" si="21"/>
        <v>0.28400093356004574</v>
      </c>
      <c r="BQ27" s="93">
        <f t="shared" si="21"/>
        <v>0.49468950753167418</v>
      </c>
    </row>
    <row r="28" spans="1:101" s="381" customFormat="1" outlineLevel="1">
      <c r="A28" s="379"/>
      <c r="B28" s="379"/>
      <c r="C28" s="379"/>
      <c r="D28" s="379"/>
      <c r="E28" s="379"/>
      <c r="F28" s="379"/>
      <c r="G28" s="379"/>
      <c r="H28" s="1824"/>
      <c r="I28" s="1824"/>
      <c r="J28" s="229" t="s">
        <v>31</v>
      </c>
      <c r="K28" s="19"/>
      <c r="L28" s="19"/>
      <c r="M28" s="19"/>
      <c r="N28" s="19"/>
      <c r="O28" s="453">
        <f t="shared" si="22"/>
        <v>1.9403905447070913</v>
      </c>
      <c r="P28" s="453">
        <f t="shared" si="22"/>
        <v>1.461721892112315</v>
      </c>
      <c r="Q28" s="453">
        <f t="shared" si="22"/>
        <v>0.95847419648076371</v>
      </c>
      <c r="R28" s="453">
        <f t="shared" si="22"/>
        <v>0.67566764082066544</v>
      </c>
      <c r="S28" s="453">
        <f t="shared" si="22"/>
        <v>0.65852321892125754</v>
      </c>
      <c r="T28" s="453">
        <f t="shared" si="22"/>
        <v>0.57638128032555946</v>
      </c>
      <c r="U28" s="453">
        <f t="shared" si="22"/>
        <v>0.42475713647420954</v>
      </c>
      <c r="V28" s="453">
        <f t="shared" si="22"/>
        <v>0.4028101295014781</v>
      </c>
      <c r="W28" s="453">
        <f t="shared" si="22"/>
        <v>0.28078068461974204</v>
      </c>
      <c r="X28" s="453">
        <f t="shared" si="22"/>
        <v>0.24282139050910034</v>
      </c>
      <c r="Y28" s="453">
        <f t="shared" si="22"/>
        <v>0.19920168906800106</v>
      </c>
      <c r="Z28" s="453">
        <f t="shared" si="22"/>
        <v>0.12837626656668966</v>
      </c>
      <c r="AA28" s="453">
        <f t="shared" si="22"/>
        <v>8.1429160151539781E-2</v>
      </c>
      <c r="AB28" s="453">
        <f t="shared" si="22"/>
        <v>8.1405772163900769E-2</v>
      </c>
      <c r="AC28" s="453">
        <f t="shared" si="22"/>
        <v>8.1382600699865693E-2</v>
      </c>
      <c r="AD28" s="453">
        <f t="shared" si="22"/>
        <v>8.1359642766458906E-2</v>
      </c>
      <c r="AE28" s="19"/>
      <c r="AF28" s="19"/>
      <c r="AG28" s="101"/>
      <c r="AH28" s="19"/>
      <c r="AI28" s="19"/>
      <c r="AJ28" s="19"/>
      <c r="AK28" s="19"/>
      <c r="AL28" s="1825"/>
      <c r="AM28" s="1826"/>
      <c r="AN28" s="1826"/>
      <c r="AO28" s="1826"/>
      <c r="AP28" s="1825"/>
      <c r="AQ28" s="1826"/>
      <c r="AR28" s="1826"/>
      <c r="AS28" s="1826"/>
      <c r="AT28" s="1827"/>
      <c r="AU28" s="1828"/>
      <c r="AV28" s="1828"/>
      <c r="AW28" s="1828"/>
      <c r="AX28" s="671">
        <f t="shared" si="23"/>
        <v>0.65081355191256818</v>
      </c>
      <c r="AY28" s="453">
        <f t="shared" si="21"/>
        <v>0.63940742900170688</v>
      </c>
      <c r="AZ28" s="453">
        <f t="shared" si="21"/>
        <v>0.60833628350178226</v>
      </c>
      <c r="BA28" s="453">
        <f t="shared" si="21"/>
        <v>0.72530550586364551</v>
      </c>
      <c r="BB28" s="671">
        <f t="shared" si="21"/>
        <v>0.61715594576186494</v>
      </c>
      <c r="BC28" s="453">
        <f t="shared" si="21"/>
        <v>0.60517693973162401</v>
      </c>
      <c r="BD28" s="453">
        <f t="shared" si="21"/>
        <v>0.52041036256614204</v>
      </c>
      <c r="BE28" s="453">
        <f t="shared" si="21"/>
        <v>0.57279572309347038</v>
      </c>
      <c r="BF28" s="671">
        <f t="shared" si="21"/>
        <v>0.46854024534276539</v>
      </c>
      <c r="BG28" s="453">
        <f t="shared" si="21"/>
        <v>0.41299347399153818</v>
      </c>
      <c r="BH28" s="453">
        <f t="shared" si="21"/>
        <v>0.36416958455140125</v>
      </c>
      <c r="BI28" s="453">
        <f t="shared" si="21"/>
        <v>0.45421536361744042</v>
      </c>
      <c r="BJ28" s="671">
        <f t="shared" si="21"/>
        <v>0.39789556821670846</v>
      </c>
      <c r="BK28" s="453">
        <f t="shared" si="21"/>
        <v>0.4361537259040047</v>
      </c>
      <c r="BL28" s="453">
        <f t="shared" si="21"/>
        <v>0.39174129572334104</v>
      </c>
      <c r="BM28" s="453">
        <f t="shared" si="21"/>
        <v>0.38727829177794781</v>
      </c>
      <c r="BN28" s="671">
        <f t="shared" si="21"/>
        <v>0.3106365402136142</v>
      </c>
      <c r="BO28" s="453">
        <f t="shared" si="21"/>
        <v>0.29155117918620199</v>
      </c>
      <c r="BP28" s="453">
        <f t="shared" si="21"/>
        <v>0.23212390428526208</v>
      </c>
      <c r="BQ28" s="453">
        <f t="shared" si="21"/>
        <v>0.28827204832690345</v>
      </c>
      <c r="BR28" s="580"/>
      <c r="CR28"/>
      <c r="CS28"/>
      <c r="CT28"/>
      <c r="CU28"/>
      <c r="CV28"/>
      <c r="CW28"/>
    </row>
    <row r="29" spans="1:101" outlineLevel="1">
      <c r="A29" s="289"/>
      <c r="B29" s="289"/>
      <c r="C29" s="289"/>
      <c r="D29" s="289"/>
      <c r="E29" s="289"/>
      <c r="F29" s="289"/>
      <c r="G29" s="289"/>
      <c r="H29" s="555"/>
      <c r="I29" s="555"/>
      <c r="J29" s="33" t="s">
        <v>125</v>
      </c>
      <c r="K29" s="11"/>
      <c r="L29" s="11"/>
      <c r="M29" s="11"/>
      <c r="N29" s="11"/>
      <c r="O29" s="93">
        <f t="shared" si="22"/>
        <v>1.94769442532691</v>
      </c>
      <c r="P29" s="93">
        <f t="shared" si="22"/>
        <v>1.438478986691571</v>
      </c>
      <c r="Q29" s="93">
        <f t="shared" si="22"/>
        <v>0.93099050934050176</v>
      </c>
      <c r="R29" s="93">
        <f t="shared" si="22"/>
        <v>0.66155314335840765</v>
      </c>
      <c r="S29" s="93">
        <f t="shared" si="22"/>
        <v>0.61969918529350321</v>
      </c>
      <c r="T29" s="93">
        <f t="shared" si="22"/>
        <v>0.54511787303429782</v>
      </c>
      <c r="U29" s="93">
        <f t="shared" si="22"/>
        <v>0.41868717691881163</v>
      </c>
      <c r="V29" s="93">
        <f t="shared" si="22"/>
        <v>0.39455049589223701</v>
      </c>
      <c r="W29" s="93">
        <f t="shared" si="22"/>
        <v>0.26556593021953967</v>
      </c>
      <c r="X29" s="93">
        <f t="shared" si="22"/>
        <v>0.23623486842105246</v>
      </c>
      <c r="Y29" s="93">
        <f t="shared" si="22"/>
        <v>0.18997522123893806</v>
      </c>
      <c r="Z29" s="93">
        <f t="shared" si="22"/>
        <v>0.11816964285714304</v>
      </c>
      <c r="AA29" s="93">
        <f t="shared" si="22"/>
        <v>7.6400000000000023E-2</v>
      </c>
      <c r="AB29" s="93">
        <f t="shared" si="22"/>
        <v>7.6400000000000023E-2</v>
      </c>
      <c r="AC29" s="93">
        <f t="shared" si="22"/>
        <v>7.6399999999999801E-2</v>
      </c>
      <c r="AD29" s="93">
        <f t="shared" si="22"/>
        <v>7.6400000000000023E-2</v>
      </c>
      <c r="AE29" s="11"/>
      <c r="AF29" s="11"/>
      <c r="AG29" s="95"/>
      <c r="AH29" s="11"/>
      <c r="AI29" s="11"/>
      <c r="AJ29" s="11"/>
      <c r="AK29" s="11"/>
      <c r="AL29" s="1831"/>
      <c r="AM29" s="1832"/>
      <c r="AN29" s="1832"/>
      <c r="AO29" s="1832"/>
      <c r="AP29" s="1831"/>
      <c r="AQ29" s="1832"/>
      <c r="AR29" s="1832"/>
      <c r="AS29" s="1832"/>
      <c r="AT29" s="669"/>
      <c r="AU29" s="18"/>
      <c r="AV29" s="18"/>
      <c r="AW29" s="94"/>
      <c r="AX29" s="674">
        <f t="shared" si="23"/>
        <v>0.63499902417054477</v>
      </c>
      <c r="AY29" s="93">
        <f t="shared" si="21"/>
        <v>0.59916259462256982</v>
      </c>
      <c r="AZ29" s="93">
        <f t="shared" si="21"/>
        <v>0.56746078222443264</v>
      </c>
      <c r="BA29" s="93">
        <f t="shared" si="21"/>
        <v>0.67428273009307138</v>
      </c>
      <c r="BB29" s="674">
        <f t="shared" si="21"/>
        <v>0.58614347974977088</v>
      </c>
      <c r="BC29" s="93">
        <f t="shared" si="21"/>
        <v>0.5773176797965438</v>
      </c>
      <c r="BD29" s="93">
        <f t="shared" si="21"/>
        <v>0.48494881228198317</v>
      </c>
      <c r="BE29" s="93">
        <f t="shared" si="21"/>
        <v>0.54149728041099143</v>
      </c>
      <c r="BF29" s="674">
        <f t="shared" si="21"/>
        <v>0.44901549461632428</v>
      </c>
      <c r="BG29" s="93">
        <f t="shared" si="21"/>
        <v>0.40209961661046023</v>
      </c>
      <c r="BH29" s="93">
        <f t="shared" si="21"/>
        <v>0.35811090132761514</v>
      </c>
      <c r="BI29" s="93">
        <f t="shared" si="21"/>
        <v>0.46118031479735921</v>
      </c>
      <c r="BJ29" s="674">
        <f t="shared" si="21"/>
        <v>0.39479798131631916</v>
      </c>
      <c r="BK29" s="93">
        <f t="shared" si="21"/>
        <v>0.42899472463948962</v>
      </c>
      <c r="BL29" s="93">
        <f t="shared" si="21"/>
        <v>0.38537165600616397</v>
      </c>
      <c r="BM29" s="93">
        <f t="shared" si="21"/>
        <v>0.37310807819596103</v>
      </c>
      <c r="BN29" s="674">
        <f t="shared" si="21"/>
        <v>0.30372786487837677</v>
      </c>
      <c r="BO29" s="93">
        <f t="shared" si="21"/>
        <v>0.27873254497679811</v>
      </c>
      <c r="BP29" s="93">
        <f t="shared" si="21"/>
        <v>0.21796338112678337</v>
      </c>
      <c r="BQ29" s="93">
        <f t="shared" si="21"/>
        <v>0.26407881375285092</v>
      </c>
    </row>
    <row r="30" spans="1:101" s="382" customFormat="1" outlineLevel="1">
      <c r="A30" s="289"/>
      <c r="B30" s="563"/>
      <c r="C30" s="563"/>
      <c r="D30" s="563"/>
      <c r="E30" s="563"/>
      <c r="F30" s="563"/>
      <c r="G30" s="563"/>
      <c r="H30" s="556"/>
      <c r="I30" s="556"/>
      <c r="J30" s="33" t="s">
        <v>280</v>
      </c>
      <c r="K30" s="28"/>
      <c r="L30" s="28"/>
      <c r="M30" s="28"/>
      <c r="N30" s="28"/>
      <c r="O30" s="93">
        <f t="shared" si="22"/>
        <v>0.30769230769230771</v>
      </c>
      <c r="P30" s="93">
        <f t="shared" si="22"/>
        <v>13.173411764705882</v>
      </c>
      <c r="Q30" s="93">
        <f t="shared" si="22"/>
        <v>3.3410611418231317</v>
      </c>
      <c r="R30" s="93">
        <f t="shared" si="22"/>
        <v>1.2199489469105234</v>
      </c>
      <c r="S30" s="93">
        <f t="shared" si="22"/>
        <v>1.7790697674418605</v>
      </c>
      <c r="T30" s="93">
        <f t="shared" si="22"/>
        <v>1.1022780102278009</v>
      </c>
      <c r="U30" s="93">
        <f t="shared" si="22"/>
        <v>0.49980207872622717</v>
      </c>
      <c r="V30" s="93">
        <f t="shared" si="22"/>
        <v>0.49940389697102416</v>
      </c>
      <c r="W30" s="93">
        <f t="shared" si="22"/>
        <v>0.44626958795206795</v>
      </c>
      <c r="X30" s="93">
        <f t="shared" si="22"/>
        <v>0.30551100586268665</v>
      </c>
      <c r="Y30" s="93">
        <f t="shared" si="22"/>
        <v>0.28235803088829559</v>
      </c>
      <c r="Z30" s="93">
        <f t="shared" si="22"/>
        <v>0.21373945536087691</v>
      </c>
      <c r="AA30" s="93">
        <f t="shared" si="22"/>
        <v>0.12017867055055054</v>
      </c>
      <c r="AB30" s="93">
        <f t="shared" si="22"/>
        <v>0.11846771849838178</v>
      </c>
      <c r="AC30" s="93">
        <f t="shared" si="22"/>
        <v>0.11688547083008527</v>
      </c>
      <c r="AD30" s="93">
        <f t="shared" si="22"/>
        <v>0.11541793150654511</v>
      </c>
      <c r="AE30" s="28"/>
      <c r="AF30" s="28"/>
      <c r="AG30" s="96"/>
      <c r="AH30" s="28"/>
      <c r="AI30" s="28"/>
      <c r="AJ30" s="28"/>
      <c r="AK30" s="28"/>
      <c r="AL30" s="1755"/>
      <c r="AM30" s="176"/>
      <c r="AN30" s="176"/>
      <c r="AO30" s="176"/>
      <c r="AP30" s="1755"/>
      <c r="AQ30" s="176"/>
      <c r="AR30" s="176"/>
      <c r="AS30" s="28"/>
      <c r="AT30" s="740"/>
      <c r="AU30" s="350"/>
      <c r="AV30" s="350"/>
      <c r="AW30" s="350"/>
      <c r="AX30" s="674">
        <f t="shared" si="23"/>
        <v>1.1735955334987591</v>
      </c>
      <c r="AY30" s="93">
        <f t="shared" si="21"/>
        <v>1.8582052899885997</v>
      </c>
      <c r="AZ30" s="93">
        <f t="shared" si="21"/>
        <v>1.8433957399238943</v>
      </c>
      <c r="BA30" s="93">
        <f t="shared" si="21"/>
        <v>1.9839540816326533</v>
      </c>
      <c r="BB30" s="674">
        <f t="shared" si="21"/>
        <v>1.3883069869708518</v>
      </c>
      <c r="BC30" s="93">
        <f t="shared" si="21"/>
        <v>1.0772294576453372</v>
      </c>
      <c r="BD30" s="93">
        <f t="shared" si="21"/>
        <v>1.1110762184193246</v>
      </c>
      <c r="BE30" s="93">
        <f t="shared" si="21"/>
        <v>1.0060070444811107</v>
      </c>
      <c r="BF30" s="674">
        <f t="shared" si="21"/>
        <v>0.79097434632579655</v>
      </c>
      <c r="BG30" s="93">
        <f t="shared" si="21"/>
        <v>0.55315768181049685</v>
      </c>
      <c r="BH30" s="93">
        <f t="shared" si="21"/>
        <v>0.43515513672101913</v>
      </c>
      <c r="BI30" s="93">
        <f t="shared" si="21"/>
        <v>0.38013459927596882</v>
      </c>
      <c r="BJ30" s="674">
        <f t="shared" si="21"/>
        <v>0.43928244294367724</v>
      </c>
      <c r="BK30" s="93">
        <f t="shared" si="21"/>
        <v>0.51930543922155836</v>
      </c>
      <c r="BL30" s="93">
        <f t="shared" si="21"/>
        <v>0.46236377704873788</v>
      </c>
      <c r="BM30" s="93">
        <f t="shared" si="21"/>
        <v>0.54684641731811778</v>
      </c>
      <c r="BN30" s="674">
        <f t="shared" si="21"/>
        <v>0.40009042380265125</v>
      </c>
      <c r="BO30" s="93">
        <f t="shared" si="21"/>
        <v>0.43158922789298826</v>
      </c>
      <c r="BP30" s="93">
        <f t="shared" si="21"/>
        <v>0.38086065159698856</v>
      </c>
      <c r="BQ30" s="93">
        <f t="shared" si="21"/>
        <v>0.53010819249471197</v>
      </c>
      <c r="CR30"/>
      <c r="CS30"/>
      <c r="CT30"/>
      <c r="CU30"/>
      <c r="CV30"/>
      <c r="CW30"/>
    </row>
    <row r="31" spans="1:101" s="382" customFormat="1" outlineLevel="1">
      <c r="A31" s="289"/>
      <c r="B31" s="563"/>
      <c r="C31" s="563"/>
      <c r="D31" s="563"/>
      <c r="E31" s="563"/>
      <c r="F31" s="563"/>
      <c r="G31" s="563"/>
      <c r="H31" s="556"/>
      <c r="I31" s="556"/>
      <c r="J31" s="59" t="s">
        <v>684</v>
      </c>
      <c r="K31" s="28"/>
      <c r="L31" s="28"/>
      <c r="M31" s="28"/>
      <c r="N31" s="28"/>
      <c r="O31" s="93">
        <f t="shared" si="22"/>
        <v>1.9571428571428573</v>
      </c>
      <c r="P31" s="93">
        <f t="shared" si="22"/>
        <v>1.7836497584541076</v>
      </c>
      <c r="Q31" s="93">
        <f t="shared" si="22"/>
        <v>2.0215553035279306</v>
      </c>
      <c r="R31" s="93">
        <f t="shared" si="22"/>
        <v>0.96546140958389404</v>
      </c>
      <c r="S31" s="93">
        <f t="shared" si="22"/>
        <v>0.95410242548217417</v>
      </c>
      <c r="T31" s="93">
        <f t="shared" si="22"/>
        <v>0.77705971125650386</v>
      </c>
      <c r="U31" s="93">
        <f t="shared" si="22"/>
        <v>0.45388581201403233</v>
      </c>
      <c r="V31" s="93">
        <f t="shared" si="22"/>
        <v>0.44721007762237508</v>
      </c>
      <c r="W31" s="93">
        <f t="shared" si="22"/>
        <v>0.31173975168163714</v>
      </c>
      <c r="X31" s="93">
        <f t="shared" si="22"/>
        <v>0.28913214680868404</v>
      </c>
      <c r="Y31" s="93">
        <f t="shared" si="22"/>
        <v>0.25869810829429363</v>
      </c>
      <c r="Z31" s="93">
        <f t="shared" si="22"/>
        <v>0.182262138773019</v>
      </c>
      <c r="AA31" s="93">
        <f t="shared" si="22"/>
        <v>0.11100903320365485</v>
      </c>
      <c r="AB31" s="93">
        <f t="shared" si="22"/>
        <v>0.11025075578857702</v>
      </c>
      <c r="AC31" s="93">
        <f t="shared" si="22"/>
        <v>0.10094089964576503</v>
      </c>
      <c r="AD31" s="93">
        <f t="shared" si="22"/>
        <v>0.10786682546702853</v>
      </c>
      <c r="AE31" s="28"/>
      <c r="AF31" s="28"/>
      <c r="AG31" s="96"/>
      <c r="AH31" s="28"/>
      <c r="AI31" s="28"/>
      <c r="AJ31" s="28"/>
      <c r="AK31" s="28"/>
      <c r="AL31" s="1755"/>
      <c r="AM31" s="176"/>
      <c r="AN31" s="176"/>
      <c r="AO31" s="176"/>
      <c r="AP31" s="1755"/>
      <c r="AQ31" s="176"/>
      <c r="AR31" s="176"/>
      <c r="AS31" s="28"/>
      <c r="AT31" s="740"/>
      <c r="AU31" s="350"/>
      <c r="AV31" s="350"/>
      <c r="AW31" s="350"/>
      <c r="AX31" s="674"/>
      <c r="AY31" s="93"/>
      <c r="AZ31" s="93"/>
      <c r="BA31" s="93"/>
      <c r="BB31" s="674">
        <f t="shared" si="21"/>
        <v>0.97470414318930554</v>
      </c>
      <c r="BC31" s="93">
        <f t="shared" si="21"/>
        <v>0.82673935869630966</v>
      </c>
      <c r="BD31" s="93">
        <f t="shared" si="21"/>
        <v>0.6670092158135823</v>
      </c>
      <c r="BE31" s="93">
        <f t="shared" si="21"/>
        <v>0.72802620271505103</v>
      </c>
      <c r="BF31" s="674">
        <f t="shared" si="21"/>
        <v>0.52961018382332958</v>
      </c>
      <c r="BG31" s="93">
        <f t="shared" si="21"/>
        <v>0.49785947800584385</v>
      </c>
      <c r="BH31" s="93">
        <f t="shared" si="21"/>
        <v>0.42404850853322129</v>
      </c>
      <c r="BI31" s="93">
        <f t="shared" si="21"/>
        <v>0.40089500147815316</v>
      </c>
      <c r="BJ31" s="674">
        <f t="shared" si="21"/>
        <v>0.55455811811967082</v>
      </c>
      <c r="BK31" s="93">
        <f t="shared" si="21"/>
        <v>0.44190054502698572</v>
      </c>
      <c r="BL31" s="93">
        <f t="shared" si="21"/>
        <v>0.518933635907316</v>
      </c>
      <c r="BM31" s="93">
        <f t="shared" si="21"/>
        <v>0.32630246816965269</v>
      </c>
      <c r="BN31" s="674">
        <f t="shared" si="21"/>
        <v>0.24184294394429928</v>
      </c>
      <c r="BO31" s="93">
        <f t="shared" si="21"/>
        <v>0.30114460460374204</v>
      </c>
      <c r="BP31" s="93">
        <f t="shared" si="21"/>
        <v>0.19631029871129257</v>
      </c>
      <c r="BQ31" s="93">
        <f t="shared" si="21"/>
        <v>0.47764313571820272</v>
      </c>
      <c r="CR31"/>
      <c r="CS31"/>
      <c r="CT31"/>
      <c r="CU31"/>
      <c r="CV31"/>
      <c r="CW31"/>
    </row>
    <row r="32" spans="1:101" s="580" customFormat="1" outlineLevel="1">
      <c r="A32" s="379"/>
      <c r="B32" s="378"/>
      <c r="C32" s="378"/>
      <c r="D32" s="378"/>
      <c r="E32" s="378"/>
      <c r="F32" s="378"/>
      <c r="G32" s="378"/>
      <c r="H32" s="565"/>
      <c r="I32" s="565"/>
      <c r="J32" s="229" t="s">
        <v>685</v>
      </c>
      <c r="K32" s="13"/>
      <c r="L32" s="13"/>
      <c r="M32" s="13"/>
      <c r="N32" s="13"/>
      <c r="O32" s="453">
        <f t="shared" si="22"/>
        <v>3.6976744186046515</v>
      </c>
      <c r="P32" s="453">
        <f t="shared" si="22"/>
        <v>2.2985272277227713</v>
      </c>
      <c r="Q32" s="453">
        <f t="shared" si="22"/>
        <v>0.29432727627466693</v>
      </c>
      <c r="R32" s="453">
        <f t="shared" si="22"/>
        <v>-0.82303906420759898</v>
      </c>
      <c r="S32" s="453">
        <f t="shared" si="22"/>
        <v>0.52605765544987881</v>
      </c>
      <c r="T32" s="453">
        <f t="shared" si="22"/>
        <v>8.5572678050812137</v>
      </c>
      <c r="U32" s="453">
        <f t="shared" si="22"/>
        <v>-1.3592028964997398</v>
      </c>
      <c r="V32" s="453">
        <f t="shared" si="22"/>
        <v>0.80454639259063088</v>
      </c>
      <c r="W32" s="453">
        <f t="shared" si="22"/>
        <v>0.42285253387570276</v>
      </c>
      <c r="X32" s="453">
        <f t="shared" si="22"/>
        <v>1.5902392610565306</v>
      </c>
      <c r="Y32" s="453">
        <f t="shared" si="22"/>
        <v>0.7486839005180177</v>
      </c>
      <c r="Z32" s="453">
        <f t="shared" si="22"/>
        <v>0.47874279820071619</v>
      </c>
      <c r="AA32" s="453">
        <f t="shared" si="22"/>
        <v>0.30884888793581289</v>
      </c>
      <c r="AB32" s="453">
        <f t="shared" si="22"/>
        <v>0.26951293723509728</v>
      </c>
      <c r="AC32" s="453">
        <f t="shared" si="22"/>
        <v>0.23421544735534616</v>
      </c>
      <c r="AD32" s="453">
        <f t="shared" si="22"/>
        <v>0.16167730783604872</v>
      </c>
      <c r="AE32" s="13"/>
      <c r="AF32" s="13"/>
      <c r="AG32" s="97"/>
      <c r="AH32" s="13"/>
      <c r="AI32" s="13"/>
      <c r="AJ32" s="13"/>
      <c r="AK32" s="13"/>
      <c r="AL32" s="1759"/>
      <c r="AM32" s="461"/>
      <c r="AN32" s="461"/>
      <c r="AO32" s="461"/>
      <c r="AP32" s="1759"/>
      <c r="AQ32" s="461"/>
      <c r="AR32" s="461"/>
      <c r="AS32" s="13"/>
      <c r="AT32" s="1625"/>
      <c r="AU32" s="459"/>
      <c r="AV32" s="459"/>
      <c r="AW32" s="459"/>
      <c r="AX32" s="671"/>
      <c r="AY32" s="453"/>
      <c r="AZ32" s="453"/>
      <c r="BA32" s="453"/>
      <c r="BB32" s="671">
        <f t="shared" si="21"/>
        <v>1.3236426603928617</v>
      </c>
      <c r="BC32" s="453">
        <f t="shared" si="21"/>
        <v>0.13544514715495293</v>
      </c>
      <c r="BD32" s="453">
        <f t="shared" si="21"/>
        <v>-2.3974630350194248</v>
      </c>
      <c r="BE32" s="453">
        <f t="shared" si="21"/>
        <v>15.47053615256538</v>
      </c>
      <c r="BF32" s="671">
        <f t="shared" si="21"/>
        <v>-0.9313806873565269</v>
      </c>
      <c r="BG32" s="453">
        <f t="shared" si="21"/>
        <v>-3.1225798605480501</v>
      </c>
      <c r="BH32" s="453">
        <f t="shared" si="21"/>
        <v>-4.0197188902625918</v>
      </c>
      <c r="BI32" s="453">
        <f t="shared" si="21"/>
        <v>-1.1545950664455857</v>
      </c>
      <c r="BJ32" s="671">
        <f t="shared" si="21"/>
        <v>-66.413187920989927</v>
      </c>
      <c r="BK32" s="453">
        <f t="shared" si="21"/>
        <v>0.11127238835901565</v>
      </c>
      <c r="BL32" s="453">
        <f t="shared" si="21"/>
        <v>1.7146827277538681</v>
      </c>
      <c r="BM32" s="453">
        <f t="shared" si="21"/>
        <v>-2.0735381023076189</v>
      </c>
      <c r="BN32" s="671">
        <f t="shared" si="21"/>
        <v>-0.84296437819515346</v>
      </c>
      <c r="BO32" s="453">
        <f t="shared" si="21"/>
        <v>-0.15856609519151621</v>
      </c>
      <c r="BP32" s="453">
        <f t="shared" si="21"/>
        <v>-0.49741312536039273</v>
      </c>
      <c r="BQ32" s="453">
        <f t="shared" si="21"/>
        <v>-5.4510790473599204</v>
      </c>
      <c r="CR32"/>
      <c r="CS32"/>
      <c r="CT32"/>
      <c r="CU32"/>
      <c r="CV32"/>
      <c r="CW32"/>
    </row>
    <row r="33" spans="1:101" s="580" customFormat="1" outlineLevel="1">
      <c r="A33" s="379"/>
      <c r="B33" s="378"/>
      <c r="C33" s="378"/>
      <c r="D33" s="378"/>
      <c r="E33" s="378"/>
      <c r="F33" s="378"/>
      <c r="G33" s="378"/>
      <c r="H33" s="565"/>
      <c r="I33" s="565"/>
      <c r="J33" s="229" t="s">
        <v>686</v>
      </c>
      <c r="K33" s="13"/>
      <c r="L33" s="13"/>
      <c r="M33" s="13"/>
      <c r="N33" s="13"/>
      <c r="O33" s="453">
        <f t="shared" si="22"/>
        <v>3.2555555555555555</v>
      </c>
      <c r="P33" s="453">
        <f t="shared" si="22"/>
        <v>1.5005448215839854</v>
      </c>
      <c r="Q33" s="453">
        <f t="shared" si="22"/>
        <v>7.5470062921013881E-2</v>
      </c>
      <c r="R33" s="453">
        <f t="shared" si="22"/>
        <v>-0.28427802163198823</v>
      </c>
      <c r="S33" s="453">
        <f t="shared" si="22"/>
        <v>2.4443822960607315</v>
      </c>
      <c r="T33" s="453">
        <f t="shared" si="22"/>
        <v>-0.87033717653477538</v>
      </c>
      <c r="U33" s="453">
        <f t="shared" si="22"/>
        <v>-3.0941664354894187</v>
      </c>
      <c r="V33" s="453">
        <f t="shared" si="22"/>
        <v>1.4020355791227841</v>
      </c>
      <c r="W33" s="453">
        <f t="shared" si="22"/>
        <v>0.38137767339391404</v>
      </c>
      <c r="X33" s="453">
        <f t="shared" ca="1" si="22"/>
        <v>0.87732131735611363</v>
      </c>
      <c r="Y33" s="453">
        <f t="shared" ca="1" si="22"/>
        <v>0.58447710502378269</v>
      </c>
      <c r="Z33" s="453">
        <f t="shared" ca="1" si="22"/>
        <v>0.44265477790530694</v>
      </c>
      <c r="AA33" s="453">
        <f t="shared" ca="1" si="22"/>
        <v>0.29496967018029618</v>
      </c>
      <c r="AB33" s="453">
        <f t="shared" ca="1" si="22"/>
        <v>0.2550749260654539</v>
      </c>
      <c r="AC33" s="453">
        <f t="shared" ca="1" si="22"/>
        <v>0.2295299696135098</v>
      </c>
      <c r="AD33" s="453">
        <f t="shared" ca="1" si="22"/>
        <v>0.17364811820333892</v>
      </c>
      <c r="AE33" s="13"/>
      <c r="AF33" s="13"/>
      <c r="AG33" s="97"/>
      <c r="AH33" s="13"/>
      <c r="AI33" s="13"/>
      <c r="AJ33" s="13"/>
      <c r="AK33" s="13"/>
      <c r="AL33" s="1759"/>
      <c r="AM33" s="461"/>
      <c r="AN33" s="461"/>
      <c r="AO33" s="461"/>
      <c r="AP33" s="1759"/>
      <c r="AQ33" s="461"/>
      <c r="AR33" s="461"/>
      <c r="AS33" s="13"/>
      <c r="AT33" s="1625"/>
      <c r="AU33" s="459"/>
      <c r="AV33" s="459"/>
      <c r="AW33" s="459"/>
      <c r="AX33" s="671"/>
      <c r="AY33" s="453"/>
      <c r="AZ33" s="453"/>
      <c r="BA33" s="453"/>
      <c r="BB33" s="671">
        <f t="shared" si="21"/>
        <v>-0.8693702764700344</v>
      </c>
      <c r="BC33" s="453">
        <f t="shared" si="21"/>
        <v>-0.99757335414992065</v>
      </c>
      <c r="BD33" s="453">
        <f t="shared" si="21"/>
        <v>-0.92708383902129976</v>
      </c>
      <c r="BE33" s="453">
        <f t="shared" si="21"/>
        <v>-8.8275775686214732</v>
      </c>
      <c r="BF33" s="671">
        <f t="shared" si="21"/>
        <v>-1.4273365656290498</v>
      </c>
      <c r="BG33" s="453">
        <f t="shared" si="21"/>
        <v>-46.613306605566372</v>
      </c>
      <c r="BH33" s="453">
        <f t="shared" si="21"/>
        <v>16.904756620799041</v>
      </c>
      <c r="BI33" s="453">
        <f t="shared" si="21"/>
        <v>-2.1882278893836835</v>
      </c>
      <c r="BJ33" s="671">
        <f t="shared" si="21"/>
        <v>14.90394824437174</v>
      </c>
      <c r="BK33" s="453">
        <f t="shared" si="21"/>
        <v>0.25693268737771136</v>
      </c>
      <c r="BL33" s="453">
        <f t="shared" si="21"/>
        <v>3.5873287706606085</v>
      </c>
      <c r="BM33" s="453">
        <f t="shared" si="21"/>
        <v>-0.42374716072691021</v>
      </c>
      <c r="BN33" s="671">
        <f t="shared" si="21"/>
        <v>-0.46610579677823372</v>
      </c>
      <c r="BO33" s="453">
        <f t="shared" si="21"/>
        <v>0.33318367270967597</v>
      </c>
      <c r="BP33" s="453">
        <f t="shared" si="21"/>
        <v>-0.34147370839364277</v>
      </c>
      <c r="BQ33" s="453">
        <f t="shared" si="21"/>
        <v>6.6867392993302452</v>
      </c>
      <c r="CR33"/>
      <c r="CS33"/>
      <c r="CT33"/>
      <c r="CU33"/>
      <c r="CV33"/>
      <c r="CW33"/>
    </row>
    <row r="34" spans="1:101" outlineLevel="1">
      <c r="A34" s="289"/>
      <c r="B34" s="289"/>
      <c r="C34" s="289"/>
      <c r="D34" s="289"/>
      <c r="E34" s="289"/>
      <c r="F34" s="289"/>
      <c r="G34" s="289"/>
      <c r="H34" s="555"/>
      <c r="I34" s="555"/>
      <c r="J34" s="33"/>
      <c r="K34" s="11"/>
      <c r="L34" s="11"/>
      <c r="M34" s="11"/>
      <c r="N34" s="11"/>
      <c r="O34" s="11"/>
      <c r="P34" s="63"/>
      <c r="Q34" s="63"/>
      <c r="R34" s="63"/>
      <c r="S34" s="174"/>
      <c r="T34" s="174"/>
      <c r="U34" s="174"/>
      <c r="V34" s="174"/>
      <c r="W34" s="63"/>
      <c r="X34" s="63"/>
      <c r="Y34" s="63"/>
      <c r="Z34" s="63"/>
      <c r="AA34" s="63"/>
      <c r="AB34" s="63"/>
      <c r="AC34" s="63"/>
      <c r="AD34" s="63"/>
      <c r="AE34" s="11"/>
      <c r="AF34" s="11"/>
      <c r="AG34" s="95"/>
      <c r="AH34" s="11"/>
      <c r="AI34" s="11"/>
      <c r="AJ34" s="11"/>
      <c r="AK34" s="11"/>
      <c r="AL34" s="1713"/>
      <c r="AM34" s="56"/>
      <c r="AN34" s="56"/>
      <c r="AO34" s="56"/>
      <c r="AP34" s="1713"/>
      <c r="AQ34" s="56"/>
      <c r="AR34" s="56"/>
      <c r="AS34" s="56"/>
      <c r="AT34" s="1713"/>
      <c r="AU34" s="60"/>
      <c r="AV34" s="60"/>
      <c r="AW34" s="60"/>
      <c r="AX34" s="1713"/>
      <c r="AY34" s="60"/>
      <c r="AZ34" s="610"/>
      <c r="BA34" s="610"/>
      <c r="BB34" s="759"/>
      <c r="BC34" s="610"/>
      <c r="BD34" s="610"/>
      <c r="BE34" s="610"/>
      <c r="BF34" s="759"/>
      <c r="BG34" s="610"/>
      <c r="BH34" s="610"/>
      <c r="BI34" s="610"/>
      <c r="BJ34" s="759"/>
      <c r="BK34" s="610"/>
      <c r="BL34" s="610"/>
      <c r="BM34" s="610"/>
      <c r="BN34" s="759"/>
      <c r="BO34" s="610"/>
      <c r="BP34" s="94"/>
      <c r="BQ34" s="94"/>
    </row>
    <row r="35" spans="1:101" s="382" customFormat="1" outlineLevel="1">
      <c r="A35" s="289"/>
      <c r="B35" s="563"/>
      <c r="C35" s="563"/>
      <c r="D35" s="563"/>
      <c r="E35" s="563"/>
      <c r="F35" s="563"/>
      <c r="G35" s="563"/>
      <c r="H35" s="556"/>
      <c r="I35" s="556"/>
      <c r="J35" s="313" t="s">
        <v>688</v>
      </c>
      <c r="K35" s="172"/>
      <c r="L35" s="172"/>
      <c r="M35" s="172"/>
      <c r="N35" s="28"/>
      <c r="O35" s="28"/>
      <c r="P35" s="174"/>
      <c r="Q35" s="174"/>
      <c r="R35" s="174"/>
      <c r="S35" s="174"/>
      <c r="T35" s="174"/>
      <c r="U35" s="174"/>
      <c r="V35" s="174"/>
      <c r="W35" s="174"/>
      <c r="X35" s="174"/>
      <c r="Y35" s="174"/>
      <c r="Z35" s="174"/>
      <c r="AA35" s="174"/>
      <c r="AB35" s="174"/>
      <c r="AC35" s="174"/>
      <c r="AD35" s="174"/>
      <c r="AE35" s="28"/>
      <c r="AF35" s="28"/>
      <c r="AG35" s="96"/>
      <c r="AH35" s="172"/>
      <c r="AI35" s="172"/>
      <c r="AJ35" s="172"/>
      <c r="AK35" s="172"/>
      <c r="AL35" s="1757"/>
      <c r="AM35" s="175"/>
      <c r="AN35" s="175"/>
      <c r="AO35" s="175"/>
      <c r="AP35" s="1757"/>
      <c r="AQ35" s="175"/>
      <c r="AR35" s="175"/>
      <c r="AS35" s="172"/>
      <c r="AT35" s="740"/>
      <c r="AU35" s="350"/>
      <c r="AV35" s="350"/>
      <c r="AW35" s="350"/>
      <c r="AX35" s="690"/>
      <c r="AY35" s="179"/>
      <c r="AZ35" s="610"/>
      <c r="BA35" s="610"/>
      <c r="BB35" s="759"/>
      <c r="BC35" s="610"/>
      <c r="BD35" s="610"/>
      <c r="BE35" s="610"/>
      <c r="BF35" s="759"/>
      <c r="BG35" s="610"/>
      <c r="BH35" s="610"/>
      <c r="BI35" s="610"/>
      <c r="BJ35" s="759"/>
      <c r="BK35" s="610"/>
      <c r="BL35" s="610"/>
      <c r="BM35" s="610"/>
      <c r="BN35" s="759"/>
      <c r="BO35" s="610"/>
      <c r="BP35" s="172"/>
      <c r="BQ35" s="172"/>
      <c r="CR35"/>
      <c r="CS35"/>
      <c r="CT35"/>
      <c r="CU35"/>
      <c r="CV35"/>
      <c r="CW35"/>
    </row>
    <row r="36" spans="1:101" s="382" customFormat="1" outlineLevel="1">
      <c r="A36" s="289"/>
      <c r="B36" s="563"/>
      <c r="C36" s="563"/>
      <c r="D36" s="563"/>
      <c r="E36" s="563"/>
      <c r="F36" s="563"/>
      <c r="G36" s="563"/>
      <c r="H36" s="556"/>
      <c r="I36" s="556"/>
      <c r="J36" s="59" t="s">
        <v>689</v>
      </c>
      <c r="K36" s="172"/>
      <c r="L36" s="172"/>
      <c r="M36" s="172"/>
      <c r="N36" s="610">
        <f>N443</f>
        <v>4.7961630695443645E-2</v>
      </c>
      <c r="O36" s="610">
        <f t="shared" ref="O36:AD38" si="24">O443</f>
        <v>4.8234882908074102E-2</v>
      </c>
      <c r="P36" s="610">
        <f t="shared" si="24"/>
        <v>5.4542724987066353E-2</v>
      </c>
      <c r="Q36" s="610">
        <f t="shared" si="24"/>
        <v>8.4149109674090339E-2</v>
      </c>
      <c r="R36" s="610">
        <f t="shared" si="24"/>
        <v>9.8702047880011537E-2</v>
      </c>
      <c r="S36" s="610">
        <f t="shared" si="24"/>
        <v>0.11626754317316221</v>
      </c>
      <c r="T36" s="610">
        <f t="shared" si="24"/>
        <v>0.13392576411987622</v>
      </c>
      <c r="U36" s="610">
        <f t="shared" si="24"/>
        <v>0.13688225349320321</v>
      </c>
      <c r="V36" s="610">
        <f t="shared" si="24"/>
        <v>0.14024418903124886</v>
      </c>
      <c r="W36" s="610">
        <f t="shared" si="24"/>
        <v>0.14310711861981407</v>
      </c>
      <c r="X36" s="610">
        <f t="shared" si="24"/>
        <v>0.14801770297177455</v>
      </c>
      <c r="Y36" s="610">
        <f t="shared" si="24"/>
        <v>0.1542817874334198</v>
      </c>
      <c r="Z36" s="610">
        <f t="shared" si="24"/>
        <v>0.16125963965942564</v>
      </c>
      <c r="AA36" s="610">
        <f t="shared" si="24"/>
        <v>0.16566656656159132</v>
      </c>
      <c r="AB36" s="610">
        <f t="shared" si="24"/>
        <v>0.17003269458403383</v>
      </c>
      <c r="AC36" s="610">
        <f t="shared" si="24"/>
        <v>0.17308746884841178</v>
      </c>
      <c r="AD36" s="610">
        <f t="shared" si="24"/>
        <v>0.17733364573026253</v>
      </c>
      <c r="AE36" s="28"/>
      <c r="AF36" s="28"/>
      <c r="AG36" s="96"/>
      <c r="AH36" s="172"/>
      <c r="AI36" s="172"/>
      <c r="AJ36" s="172"/>
      <c r="AK36" s="172"/>
      <c r="AL36" s="1757"/>
      <c r="AM36" s="175"/>
      <c r="AN36" s="175"/>
      <c r="AO36" s="175"/>
      <c r="AP36" s="1757"/>
      <c r="AQ36" s="175"/>
      <c r="AR36" s="175"/>
      <c r="AS36" s="172"/>
      <c r="AT36" s="740"/>
      <c r="AU36" s="350"/>
      <c r="AV36" s="350"/>
      <c r="AW36" s="350"/>
      <c r="AX36" s="759">
        <f t="shared" ref="AX36:BQ36" si="25">AX443</f>
        <v>9.9808292348959729E-2</v>
      </c>
      <c r="AY36" s="610">
        <f t="shared" si="25"/>
        <v>0.11027314650585313</v>
      </c>
      <c r="AZ36" s="610">
        <f t="shared" si="25"/>
        <v>0.12215692242965781</v>
      </c>
      <c r="BA36" s="610">
        <f t="shared" si="25"/>
        <v>0.12702257784897081</v>
      </c>
      <c r="BB36" s="759">
        <f t="shared" si="25"/>
        <v>0.1218755982950596</v>
      </c>
      <c r="BC36" s="610">
        <f t="shared" si="25"/>
        <v>0.1286669701661621</v>
      </c>
      <c r="BD36" s="610">
        <f t="shared" si="25"/>
        <v>0.13816516153311661</v>
      </c>
      <c r="BE36" s="610">
        <f t="shared" si="25"/>
        <v>0.14300300967578791</v>
      </c>
      <c r="BF36" s="759">
        <f t="shared" si="25"/>
        <v>0.13072069609369086</v>
      </c>
      <c r="BG36" s="610">
        <f t="shared" si="25"/>
        <v>0.13628768446460529</v>
      </c>
      <c r="BH36" s="610">
        <f t="shared" si="25"/>
        <v>0.14352122957320662</v>
      </c>
      <c r="BI36" s="610">
        <f t="shared" si="25"/>
        <v>0.13651247971191141</v>
      </c>
      <c r="BJ36" s="759">
        <f t="shared" si="25"/>
        <v>0.14390749673346939</v>
      </c>
      <c r="BK36" s="610">
        <f t="shared" si="25"/>
        <v>0.13570333675868995</v>
      </c>
      <c r="BL36" s="610">
        <f t="shared" si="25"/>
        <v>0.15502483705003273</v>
      </c>
      <c r="BM36" s="610">
        <f t="shared" si="25"/>
        <v>0.13034856318776283</v>
      </c>
      <c r="BN36" s="759">
        <f t="shared" si="25"/>
        <v>0.13585126923762023</v>
      </c>
      <c r="BO36" s="610">
        <f t="shared" si="25"/>
        <v>0.13626591253337419</v>
      </c>
      <c r="BP36" s="610">
        <f t="shared" si="25"/>
        <v>0.15015164264411546</v>
      </c>
      <c r="BQ36" s="610">
        <f t="shared" si="25"/>
        <v>0.14882800504145657</v>
      </c>
      <c r="CR36"/>
      <c r="CS36"/>
      <c r="CT36"/>
      <c r="CU36"/>
      <c r="CV36"/>
      <c r="CW36"/>
    </row>
    <row r="37" spans="1:101" s="580" customFormat="1" outlineLevel="1">
      <c r="A37" s="379"/>
      <c r="B37" s="378"/>
      <c r="C37" s="378"/>
      <c r="D37" s="378"/>
      <c r="E37" s="378"/>
      <c r="F37" s="378"/>
      <c r="G37" s="378"/>
      <c r="H37" s="565"/>
      <c r="I37" s="565"/>
      <c r="J37" s="59" t="s">
        <v>690</v>
      </c>
      <c r="K37" s="13"/>
      <c r="L37" s="13"/>
      <c r="M37" s="13"/>
      <c r="N37" s="610">
        <f t="shared" ref="N37:AC38" si="26">N444</f>
        <v>-3.5286056868790681E-2</v>
      </c>
      <c r="O37" s="610">
        <f t="shared" si="26"/>
        <v>-4.8467901666084119E-2</v>
      </c>
      <c r="P37" s="610">
        <f t="shared" si="26"/>
        <v>-6.642868680846982E-2</v>
      </c>
      <c r="Q37" s="610">
        <f t="shared" si="26"/>
        <v>-4.7168714961322064E-2</v>
      </c>
      <c r="R37" s="610">
        <f t="shared" si="26"/>
        <v>-8.3501586385924427E-3</v>
      </c>
      <c r="S37" s="610">
        <f t="shared" si="26"/>
        <v>-5.045129649919132E-2</v>
      </c>
      <c r="T37" s="610">
        <f t="shared" si="26"/>
        <v>-3.5628588922537195E-2</v>
      </c>
      <c r="U37" s="610">
        <f t="shared" si="26"/>
        <v>-4.8459222456690172E-3</v>
      </c>
      <c r="V37" s="610">
        <f t="shared" si="26"/>
        <v>-2.3058315777646386E-3</v>
      </c>
      <c r="W37" s="610">
        <f t="shared" si="26"/>
        <v>3.0200052521654232E-4</v>
      </c>
      <c r="X37" s="610">
        <f t="shared" si="26"/>
        <v>1.0231325151858985E-2</v>
      </c>
      <c r="Y37" s="610">
        <f t="shared" si="26"/>
        <v>1.8243978798314155E-2</v>
      </c>
      <c r="Z37" s="610">
        <f t="shared" si="26"/>
        <v>2.6679286606708222E-2</v>
      </c>
      <c r="AA37" s="610">
        <f t="shared" si="26"/>
        <v>3.4567099886311299E-2</v>
      </c>
      <c r="AB37" s="610">
        <f t="shared" si="26"/>
        <v>4.2202204550305239E-2</v>
      </c>
      <c r="AC37" s="610">
        <f t="shared" si="26"/>
        <v>4.9711140100158084E-2</v>
      </c>
      <c r="AD37" s="610">
        <f t="shared" si="24"/>
        <v>5.43006047203883E-2</v>
      </c>
      <c r="AE37" s="13"/>
      <c r="AF37" s="13"/>
      <c r="AG37" s="97"/>
      <c r="AH37" s="13"/>
      <c r="AI37" s="13"/>
      <c r="AJ37" s="13"/>
      <c r="AK37" s="13"/>
      <c r="AL37" s="1759"/>
      <c r="AM37" s="461"/>
      <c r="AN37" s="461"/>
      <c r="AO37" s="461"/>
      <c r="AP37" s="1759"/>
      <c r="AQ37" s="461"/>
      <c r="AR37" s="461"/>
      <c r="AS37" s="13"/>
      <c r="AT37" s="1625"/>
      <c r="AU37" s="459"/>
      <c r="AV37" s="459"/>
      <c r="AW37" s="459"/>
      <c r="AX37" s="759">
        <f t="shared" ref="AX37:BQ37" si="27">AX444</f>
        <v>-0.16999299478810836</v>
      </c>
      <c r="AY37" s="610">
        <f t="shared" si="27"/>
        <v>-2.7538151564768999E-2</v>
      </c>
      <c r="AZ37" s="610">
        <f t="shared" si="27"/>
        <v>-1.4016267680656185E-2</v>
      </c>
      <c r="BA37" s="610">
        <f t="shared" si="27"/>
        <v>-2.1777907680311865E-2</v>
      </c>
      <c r="BB37" s="759">
        <f t="shared" si="27"/>
        <v>-2.2450712086259438E-2</v>
      </c>
      <c r="BC37" s="610">
        <f t="shared" si="27"/>
        <v>-1.5744843740035565E-2</v>
      </c>
      <c r="BD37" s="610">
        <f t="shared" si="27"/>
        <v>-1.5126631852306005E-2</v>
      </c>
      <c r="BE37" s="610">
        <f t="shared" si="27"/>
        <v>-7.7763451104181605E-2</v>
      </c>
      <c r="BF37" s="759">
        <f t="shared" si="27"/>
        <v>-9.683865972816565E-3</v>
      </c>
      <c r="BG37" s="610">
        <f t="shared" si="27"/>
        <v>-2.4297295396154112E-3</v>
      </c>
      <c r="BH37" s="610">
        <f t="shared" si="27"/>
        <v>-3.8957535037094384E-3</v>
      </c>
      <c r="BI37" s="610">
        <f t="shared" si="27"/>
        <v>-4.262349730128491E-3</v>
      </c>
      <c r="BJ37" s="759">
        <f t="shared" si="27"/>
        <v>8.7920624835053363E-3</v>
      </c>
      <c r="BK37" s="610">
        <f t="shared" si="27"/>
        <v>-4.3237710359678256E-3</v>
      </c>
      <c r="BL37" s="610">
        <f t="shared" si="27"/>
        <v>5.998906840709234E-3</v>
      </c>
      <c r="BM37" s="610">
        <f t="shared" si="27"/>
        <v>-1.4489140476803742E-2</v>
      </c>
      <c r="BN37" s="759">
        <f t="shared" si="27"/>
        <v>-7.1331588786850714E-3</v>
      </c>
      <c r="BO37" s="610">
        <f t="shared" si="27"/>
        <v>-3.904058577292327E-3</v>
      </c>
      <c r="BP37" s="610">
        <f t="shared" si="27"/>
        <v>-2.129691300566108E-3</v>
      </c>
      <c r="BQ37" s="610">
        <f t="shared" si="27"/>
        <v>1.0802111489256649E-2</v>
      </c>
      <c r="CR37"/>
      <c r="CS37"/>
      <c r="CT37"/>
      <c r="CU37"/>
      <c r="CV37"/>
      <c r="CW37"/>
    </row>
    <row r="38" spans="1:101" s="580" customFormat="1" outlineLevel="1">
      <c r="A38" s="379"/>
      <c r="B38" s="378"/>
      <c r="C38" s="378"/>
      <c r="D38" s="378"/>
      <c r="E38" s="378"/>
      <c r="F38" s="378"/>
      <c r="G38" s="378"/>
      <c r="H38" s="565"/>
      <c r="I38" s="565"/>
      <c r="J38" s="59" t="s">
        <v>691</v>
      </c>
      <c r="K38" s="13"/>
      <c r="L38" s="13"/>
      <c r="M38" s="13"/>
      <c r="N38" s="610">
        <f t="shared" si="26"/>
        <v>-9.8321342925659472E-2</v>
      </c>
      <c r="O38" s="610">
        <f t="shared" si="24"/>
        <v>-0.1352673890248165</v>
      </c>
      <c r="P38" s="610">
        <f t="shared" si="24"/>
        <v>-0.13933909380012519</v>
      </c>
      <c r="Q38" s="610">
        <f t="shared" si="24"/>
        <v>-8.0158488096367858E-2</v>
      </c>
      <c r="R38" s="610">
        <f t="shared" si="24"/>
        <v>-3.5842601672916065E-2</v>
      </c>
      <c r="S38" s="610">
        <f t="shared" si="24"/>
        <v>-0.11263838889758439</v>
      </c>
      <c r="T38" s="610">
        <f t="shared" si="24"/>
        <v>-5.1838057886114286E-2</v>
      </c>
      <c r="U38" s="610">
        <f t="shared" si="24"/>
        <v>-1.473843656795505E-2</v>
      </c>
      <c r="V38" s="610">
        <f t="shared" si="24"/>
        <v>-4.2021434312392378E-4</v>
      </c>
      <c r="W38" s="610">
        <f t="shared" si="24"/>
        <v>4.950961223932529E-3</v>
      </c>
      <c r="X38" s="610">
        <f t="shared" ca="1" si="24"/>
        <v>1.3091306067326853E-2</v>
      </c>
      <c r="Y38" s="610">
        <f t="shared" ca="1" si="24"/>
        <v>2.0004937336120049E-2</v>
      </c>
      <c r="Z38" s="610">
        <f t="shared" ca="1" si="24"/>
        <v>2.8411075841937288E-2</v>
      </c>
      <c r="AA38" s="610">
        <f t="shared" ca="1" si="24"/>
        <v>3.6398307546697199E-2</v>
      </c>
      <c r="AB38" s="610">
        <f t="shared" ca="1" si="24"/>
        <v>4.3925787550438411E-2</v>
      </c>
      <c r="AC38" s="610">
        <f t="shared" ca="1" si="24"/>
        <v>5.159345842838102E-2</v>
      </c>
      <c r="AD38" s="610">
        <f t="shared" ca="1" si="24"/>
        <v>5.7073760748694892E-2</v>
      </c>
      <c r="AE38" s="13"/>
      <c r="AF38" s="13"/>
      <c r="AG38" s="97"/>
      <c r="AH38" s="13"/>
      <c r="AI38" s="13"/>
      <c r="AJ38" s="13"/>
      <c r="AK38" s="13"/>
      <c r="AL38" s="1759"/>
      <c r="AM38" s="461"/>
      <c r="AN38" s="461"/>
      <c r="AO38" s="461"/>
      <c r="AP38" s="1759"/>
      <c r="AQ38" s="461"/>
      <c r="AR38" s="461"/>
      <c r="AS38" s="13"/>
      <c r="AT38" s="1625"/>
      <c r="AU38" s="459"/>
      <c r="AV38" s="459"/>
      <c r="AW38" s="459"/>
      <c r="AX38" s="759">
        <f t="shared" ref="AX38:BQ38" si="28">AX445</f>
        <v>-0.23342917833172164</v>
      </c>
      <c r="AY38" s="610">
        <f t="shared" si="28"/>
        <v>-0.24626333972323627</v>
      </c>
      <c r="AZ38" s="610">
        <f t="shared" si="28"/>
        <v>-5.6651724460389822E-3</v>
      </c>
      <c r="BA38" s="610">
        <f t="shared" si="28"/>
        <v>-1.308529296964096E-2</v>
      </c>
      <c r="BB38" s="759">
        <f t="shared" si="28"/>
        <v>-1.9383156514328596E-2</v>
      </c>
      <c r="BC38" s="610">
        <f t="shared" si="28"/>
        <v>-1.1113359282402367E-2</v>
      </c>
      <c r="BD38" s="610">
        <f t="shared" si="28"/>
        <v>-1.2033556902436187E-2</v>
      </c>
      <c r="BE38" s="610">
        <f t="shared" si="28"/>
        <v>-0.13966169472228399</v>
      </c>
      <c r="BF38" s="759">
        <f t="shared" si="28"/>
        <v>-1.762991928417405E-2</v>
      </c>
      <c r="BG38" s="610">
        <f t="shared" si="28"/>
        <v>-3.2893309984516382E-3</v>
      </c>
      <c r="BH38" s="610">
        <f t="shared" si="28"/>
        <v>-1.531548861234697E-2</v>
      </c>
      <c r="BI38" s="610">
        <f t="shared" si="28"/>
        <v>-2.1698457677115469E-2</v>
      </c>
      <c r="BJ38" s="759">
        <f t="shared" si="28"/>
        <v>3.1887567298051027E-3</v>
      </c>
      <c r="BK38" s="610">
        <f t="shared" si="28"/>
        <v>-5.3342914675359341E-3</v>
      </c>
      <c r="BL38" s="610">
        <f t="shared" si="28"/>
        <v>1.2111466520689203E-2</v>
      </c>
      <c r="BM38" s="610">
        <f t="shared" si="28"/>
        <v>-8.2533494610927544E-3</v>
      </c>
      <c r="BN38" s="759">
        <f t="shared" si="28"/>
        <v>-3.3599753452196852E-3</v>
      </c>
      <c r="BO38" s="610">
        <f t="shared" si="28"/>
        <v>7.6058002325610989E-4</v>
      </c>
      <c r="BP38" s="610">
        <f t="shared" si="28"/>
        <v>3.4183678414455719E-3</v>
      </c>
      <c r="BQ38" s="610">
        <f t="shared" si="28"/>
        <v>1.5392420392600621E-2</v>
      </c>
      <c r="CR38"/>
      <c r="CS38"/>
      <c r="CT38"/>
      <c r="CU38"/>
      <c r="CV38"/>
      <c r="CW38"/>
    </row>
    <row r="39" spans="1:101" s="382" customFormat="1" outlineLevel="1">
      <c r="A39" s="289"/>
      <c r="B39" s="563"/>
      <c r="C39" s="563"/>
      <c r="D39" s="563"/>
      <c r="E39" s="563"/>
      <c r="F39" s="563"/>
      <c r="G39" s="563"/>
      <c r="H39" s="556"/>
      <c r="I39" s="556"/>
      <c r="J39" s="59" t="s">
        <v>692</v>
      </c>
      <c r="K39" s="172"/>
      <c r="L39" s="172"/>
      <c r="M39" s="172"/>
      <c r="N39" s="610">
        <f>N478</f>
        <v>4.7961630695443645E-2</v>
      </c>
      <c r="O39" s="610">
        <f t="shared" ref="O39:AD39" si="29">O478</f>
        <v>4.8234882908074102E-2</v>
      </c>
      <c r="P39" s="610">
        <f t="shared" si="29"/>
        <v>5.4542724987066353E-2</v>
      </c>
      <c r="Q39" s="610">
        <f t="shared" si="29"/>
        <v>8.4149109674090339E-2</v>
      </c>
      <c r="R39" s="610">
        <f t="shared" si="29"/>
        <v>9.8702047880011537E-2</v>
      </c>
      <c r="S39" s="610">
        <f t="shared" si="29"/>
        <v>0.11629256012938906</v>
      </c>
      <c r="T39" s="610">
        <f t="shared" si="29"/>
        <v>0.13109697882363325</v>
      </c>
      <c r="U39" s="610">
        <f t="shared" si="29"/>
        <v>0.13377721201050086</v>
      </c>
      <c r="V39" s="610">
        <f t="shared" si="29"/>
        <v>0.13801135685170987</v>
      </c>
      <c r="W39" s="610">
        <f t="shared" si="29"/>
        <v>0.14134737128679933</v>
      </c>
      <c r="X39" s="610">
        <f t="shared" si="29"/>
        <v>0.14661434183883362</v>
      </c>
      <c r="Y39" s="610">
        <f t="shared" si="29"/>
        <v>0.15388837124201904</v>
      </c>
      <c r="Z39" s="610">
        <f t="shared" si="29"/>
        <v>0.16123734636006093</v>
      </c>
      <c r="AA39" s="610">
        <f t="shared" si="29"/>
        <v>0.16564760309469734</v>
      </c>
      <c r="AB39" s="610">
        <f t="shared" si="29"/>
        <v>0.17006602078926208</v>
      </c>
      <c r="AC39" s="610">
        <f t="shared" si="29"/>
        <v>0.17314189982872805</v>
      </c>
      <c r="AD39" s="610">
        <f t="shared" si="29"/>
        <v>0.17738609740220362</v>
      </c>
      <c r="AE39" s="28"/>
      <c r="AF39" s="28"/>
      <c r="AG39" s="96"/>
      <c r="AH39" s="172"/>
      <c r="AI39" s="172"/>
      <c r="AJ39" s="172"/>
      <c r="AK39" s="172"/>
      <c r="AL39" s="1757"/>
      <c r="AM39" s="175"/>
      <c r="AN39" s="175"/>
      <c r="AO39" s="175"/>
      <c r="AP39" s="1757"/>
      <c r="AQ39" s="175"/>
      <c r="AR39" s="175"/>
      <c r="AS39" s="172"/>
      <c r="AT39" s="740"/>
      <c r="AU39" s="350"/>
      <c r="AV39" s="350"/>
      <c r="AW39" s="350"/>
      <c r="AX39" s="759">
        <f t="shared" ref="AX39:BQ39" si="30">AX478</f>
        <v>9.9808292348959729E-2</v>
      </c>
      <c r="AY39" s="610">
        <f t="shared" si="30"/>
        <v>0.11027314650585313</v>
      </c>
      <c r="AZ39" s="610">
        <f t="shared" si="30"/>
        <v>0.12215692242965781</v>
      </c>
      <c r="BA39" s="610">
        <f t="shared" si="30"/>
        <v>0.12702257784897081</v>
      </c>
      <c r="BB39" s="759">
        <f t="shared" si="30"/>
        <v>0.1218755982950596</v>
      </c>
      <c r="BC39" s="610">
        <f t="shared" si="30"/>
        <v>0.12549413833667827</v>
      </c>
      <c r="BD39" s="610">
        <f t="shared" si="30"/>
        <v>0.13393536408286991</v>
      </c>
      <c r="BE39" s="610">
        <f t="shared" si="30"/>
        <v>0.13955934622438523</v>
      </c>
      <c r="BF39" s="759">
        <f t="shared" si="30"/>
        <v>0.12694385251128915</v>
      </c>
      <c r="BG39" s="610">
        <f t="shared" si="30"/>
        <v>0.13303145980622963</v>
      </c>
      <c r="BH39" s="610">
        <f t="shared" si="30"/>
        <v>0.13981432926081944</v>
      </c>
      <c r="BI39" s="610">
        <f t="shared" si="30"/>
        <v>0.13444225348366795</v>
      </c>
      <c r="BJ39" s="759">
        <f t="shared" si="30"/>
        <v>0.14117048580285496</v>
      </c>
      <c r="BK39" s="610">
        <f t="shared" si="30"/>
        <v>0.13356378982312342</v>
      </c>
      <c r="BL39" s="610">
        <f t="shared" si="30"/>
        <v>0.15259207163620375</v>
      </c>
      <c r="BM39" s="610">
        <f t="shared" si="30"/>
        <v>0.12853303744352099</v>
      </c>
      <c r="BN39" s="759">
        <f t="shared" si="30"/>
        <v>0.13376063180635203</v>
      </c>
      <c r="BO39" s="610">
        <f t="shared" si="30"/>
        <v>0.1345558792399435</v>
      </c>
      <c r="BP39" s="610">
        <f t="shared" si="30"/>
        <v>0.14815674476015875</v>
      </c>
      <c r="BQ39" s="610">
        <f t="shared" si="30"/>
        <v>0.14742690469616951</v>
      </c>
      <c r="CR39"/>
      <c r="CS39"/>
      <c r="CT39"/>
      <c r="CU39"/>
      <c r="CV39"/>
      <c r="CW39"/>
    </row>
    <row r="40" spans="1:101" s="580" customFormat="1" outlineLevel="1">
      <c r="A40" s="379"/>
      <c r="B40" s="378"/>
      <c r="C40" s="378"/>
      <c r="D40" s="378"/>
      <c r="E40" s="378"/>
      <c r="F40" s="378"/>
      <c r="G40" s="378"/>
      <c r="H40" s="565"/>
      <c r="I40" s="565"/>
      <c r="J40" s="229" t="s">
        <v>442</v>
      </c>
      <c r="K40" s="13"/>
      <c r="L40" s="13"/>
      <c r="M40" s="13"/>
      <c r="N40" s="1829">
        <f>N479</f>
        <v>-2.9462144570058239E-2</v>
      </c>
      <c r="O40" s="1829">
        <f t="shared" ref="O40:AD40" si="31">O479</f>
        <v>-4.7069789118024001E-2</v>
      </c>
      <c r="P40" s="1829">
        <f t="shared" si="31"/>
        <v>-6.3070073636850715E-2</v>
      </c>
      <c r="Q40" s="1829">
        <f t="shared" si="31"/>
        <v>-4.1682099652636126E-2</v>
      </c>
      <c r="R40" s="1829">
        <f t="shared" si="31"/>
        <v>-4.4018892414190939E-3</v>
      </c>
      <c r="S40" s="1829">
        <f t="shared" si="31"/>
        <v>-4.0503121684840274E-3</v>
      </c>
      <c r="T40" s="1829">
        <f t="shared" si="31"/>
        <v>-2.4556189908818613E-2</v>
      </c>
      <c r="U40" s="1829">
        <f t="shared" si="31"/>
        <v>6.1909881455820973E-3</v>
      </c>
      <c r="V40" s="1829">
        <f t="shared" si="31"/>
        <v>7.9639611161431683E-3</v>
      </c>
      <c r="W40" s="1829">
        <f t="shared" si="31"/>
        <v>8.8473712867993166E-3</v>
      </c>
      <c r="X40" s="1829">
        <f t="shared" si="31"/>
        <v>1.8439341838833619E-2</v>
      </c>
      <c r="Y40" s="1829">
        <f t="shared" si="31"/>
        <v>2.6888371242019003E-2</v>
      </c>
      <c r="Z40" s="1829">
        <f t="shared" si="31"/>
        <v>3.5237346360060894E-2</v>
      </c>
      <c r="AA40" s="1829">
        <f t="shared" si="31"/>
        <v>4.264760309469736E-2</v>
      </c>
      <c r="AB40" s="1829">
        <f t="shared" si="31"/>
        <v>5.0066020789262075E-2</v>
      </c>
      <c r="AC40" s="1829">
        <f t="shared" si="31"/>
        <v>5.7141899828728054E-2</v>
      </c>
      <c r="AD40" s="1829">
        <f t="shared" si="31"/>
        <v>6.1386097402203646E-2</v>
      </c>
      <c r="AE40" s="13"/>
      <c r="AF40" s="13"/>
      <c r="AG40" s="97"/>
      <c r="AH40" s="13"/>
      <c r="AI40" s="13"/>
      <c r="AJ40" s="13"/>
      <c r="AK40" s="13"/>
      <c r="AL40" s="1759"/>
      <c r="AM40" s="461"/>
      <c r="AN40" s="461"/>
      <c r="AO40" s="461"/>
      <c r="AP40" s="1759"/>
      <c r="AQ40" s="461"/>
      <c r="AR40" s="461"/>
      <c r="AS40" s="13"/>
      <c r="AT40" s="1625"/>
      <c r="AU40" s="459"/>
      <c r="AV40" s="459"/>
      <c r="AW40" s="459"/>
      <c r="AX40" s="1830">
        <f t="shared" ref="AX40:BQ40" si="32">AX479</f>
        <v>-6.0407153225240902E-3</v>
      </c>
      <c r="AY40" s="1829">
        <f t="shared" si="32"/>
        <v>-7.5928822190030193E-3</v>
      </c>
      <c r="AZ40" s="1829">
        <f t="shared" si="32"/>
        <v>4.4292012516336686E-3</v>
      </c>
      <c r="BA40" s="1829">
        <f t="shared" si="32"/>
        <v>-6.2781883250851694E-3</v>
      </c>
      <c r="BB40" s="1830">
        <f t="shared" si="32"/>
        <v>-8.679721865718415E-3</v>
      </c>
      <c r="BC40" s="1829">
        <f t="shared" si="32"/>
        <v>-5.3709351630279074E-3</v>
      </c>
      <c r="BD40" s="1829">
        <f t="shared" si="32"/>
        <v>-4.0710358046843129E-3</v>
      </c>
      <c r="BE40" s="1829">
        <f t="shared" si="32"/>
        <v>-6.5746063689406317E-2</v>
      </c>
      <c r="BF40" s="1830">
        <f t="shared" si="32"/>
        <v>-4.0557046376560562E-4</v>
      </c>
      <c r="BG40" s="1829">
        <f t="shared" si="32"/>
        <v>8.0681468238831128E-3</v>
      </c>
      <c r="BH40" s="1829">
        <f t="shared" si="32"/>
        <v>9.0116242595917363E-3</v>
      </c>
      <c r="BI40" s="1829">
        <f t="shared" si="32"/>
        <v>6.9893478908900665E-3</v>
      </c>
      <c r="BJ40" s="1830">
        <f t="shared" si="32"/>
        <v>1.8978282473093758E-2</v>
      </c>
      <c r="BK40" s="1829">
        <f t="shared" si="32"/>
        <v>6.2430007518617762E-3</v>
      </c>
      <c r="BL40" s="1829">
        <f t="shared" si="32"/>
        <v>1.7577764489489195E-2</v>
      </c>
      <c r="BM40" s="1829">
        <f t="shared" si="32"/>
        <v>-5.4086705714522093E-3</v>
      </c>
      <c r="BN40" s="1830">
        <f t="shared" si="32"/>
        <v>2.2739075994818204E-3</v>
      </c>
      <c r="BO40" s="1829">
        <f t="shared" si="32"/>
        <v>4.0672584911976015E-3</v>
      </c>
      <c r="BP40" s="1829">
        <f t="shared" si="32"/>
        <v>7.1700205532885374E-3</v>
      </c>
      <c r="BQ40" s="1829">
        <f t="shared" si="32"/>
        <v>1.8687372970584051E-2</v>
      </c>
      <c r="CR40"/>
      <c r="CS40"/>
      <c r="CT40"/>
      <c r="CU40"/>
      <c r="CV40"/>
      <c r="CW40"/>
    </row>
    <row r="41" spans="1:101" s="580" customFormat="1" outlineLevel="1">
      <c r="A41" s="379"/>
      <c r="B41" s="378"/>
      <c r="C41" s="378"/>
      <c r="D41" s="378"/>
      <c r="E41" s="378"/>
      <c r="F41" s="378"/>
      <c r="G41" s="378"/>
      <c r="H41" s="565"/>
      <c r="I41" s="565"/>
      <c r="J41" s="229" t="s">
        <v>443</v>
      </c>
      <c r="K41" s="13"/>
      <c r="L41" s="13"/>
      <c r="M41" s="13"/>
      <c r="N41" s="1829">
        <f>N483</f>
        <v>-9.249743062692703E-2</v>
      </c>
      <c r="O41" s="1829">
        <f t="shared" ref="O41:AD41" si="33">O483</f>
        <v>-0.13386927647675637</v>
      </c>
      <c r="P41" s="1829">
        <f t="shared" si="33"/>
        <v>-0.1359804806285061</v>
      </c>
      <c r="Q41" s="1829">
        <f t="shared" si="33"/>
        <v>-7.467187278768192E-2</v>
      </c>
      <c r="R41" s="1829">
        <f t="shared" si="33"/>
        <v>-3.1894332275742725E-2</v>
      </c>
      <c r="S41" s="1829">
        <f t="shared" si="33"/>
        <v>-6.6237404566877101E-2</v>
      </c>
      <c r="T41" s="1829">
        <f t="shared" si="33"/>
        <v>-5.4482560801381256E-3</v>
      </c>
      <c r="U41" s="1829">
        <f t="shared" si="33"/>
        <v>8.0080700934133855E-3</v>
      </c>
      <c r="V41" s="1829">
        <f t="shared" si="33"/>
        <v>1.3712240081502635E-2</v>
      </c>
      <c r="W41" s="1829">
        <f t="shared" si="33"/>
        <v>1.478924731475679E-2</v>
      </c>
      <c r="X41" s="1829">
        <f t="shared" ca="1" si="33"/>
        <v>2.2339629381717893E-2</v>
      </c>
      <c r="Y41" s="1829">
        <f t="shared" ca="1" si="33"/>
        <v>2.9516829081151694E-2</v>
      </c>
      <c r="Z41" s="1829">
        <f t="shared" ca="1" si="33"/>
        <v>3.7737938810166446E-2</v>
      </c>
      <c r="AA41" s="1829">
        <f t="shared" ca="1" si="33"/>
        <v>4.5189724833605754E-2</v>
      </c>
      <c r="AB41" s="1829">
        <f t="shared" ca="1" si="33"/>
        <v>5.2447001869581143E-2</v>
      </c>
      <c r="AC41" s="1829">
        <f t="shared" ca="1" si="33"/>
        <v>5.9632141827777978E-2</v>
      </c>
      <c r="AD41" s="1829">
        <f t="shared" ca="1" si="33"/>
        <v>6.4721437968183318E-2</v>
      </c>
      <c r="AE41" s="13"/>
      <c r="AF41" s="13"/>
      <c r="AG41" s="97"/>
      <c r="AH41" s="13"/>
      <c r="AI41" s="13"/>
      <c r="AJ41" s="13"/>
      <c r="AK41" s="13"/>
      <c r="AL41" s="1759"/>
      <c r="AM41" s="461"/>
      <c r="AN41" s="461"/>
      <c r="AO41" s="461"/>
      <c r="AP41" s="1759"/>
      <c r="AQ41" s="461"/>
      <c r="AR41" s="461"/>
      <c r="AS41" s="13"/>
      <c r="AT41" s="1625"/>
      <c r="AU41" s="459"/>
      <c r="AV41" s="459"/>
      <c r="AW41" s="459"/>
      <c r="AX41" s="1830">
        <f t="shared" ref="AX41:BQ41" si="34">AX483</f>
        <v>-6.9476898866137379E-2</v>
      </c>
      <c r="AY41" s="1829">
        <f t="shared" si="34"/>
        <v>-0.22631807037747026</v>
      </c>
      <c r="AZ41" s="1829">
        <f t="shared" si="34"/>
        <v>1.2780296486250869E-2</v>
      </c>
      <c r="BA41" s="1829">
        <f t="shared" si="34"/>
        <v>2.4144263855857368E-3</v>
      </c>
      <c r="BB41" s="1830">
        <f t="shared" si="34"/>
        <v>-5.6121662937875724E-3</v>
      </c>
      <c r="BC41" s="1829">
        <f t="shared" si="34"/>
        <v>-3.4213910796106211E-4</v>
      </c>
      <c r="BD41" s="1829">
        <f t="shared" si="34"/>
        <v>6.1292015556520219E-4</v>
      </c>
      <c r="BE41" s="1829">
        <f t="shared" si="34"/>
        <v>-1.2016252040491828E-2</v>
      </c>
      <c r="BF41" s="1830">
        <f t="shared" si="34"/>
        <v>1.6331073508758494E-3</v>
      </c>
      <c r="BG41" s="1829">
        <f t="shared" si="34"/>
        <v>1.1044704961798258E-2</v>
      </c>
      <c r="BH41" s="1829">
        <f t="shared" si="34"/>
        <v>8.0445908907916495E-3</v>
      </c>
      <c r="BI41" s="1829">
        <f t="shared" si="34"/>
        <v>9.8183846475521797E-3</v>
      </c>
      <c r="BJ41" s="1830">
        <f t="shared" si="34"/>
        <v>1.8579967900582195E-2</v>
      </c>
      <c r="BK41" s="1829">
        <f t="shared" si="34"/>
        <v>9.6664099660978484E-3</v>
      </c>
      <c r="BL41" s="1829">
        <f t="shared" si="34"/>
        <v>2.6515835489628693E-2</v>
      </c>
      <c r="BM41" s="1829">
        <f t="shared" si="34"/>
        <v>4.0783972932900711E-3</v>
      </c>
      <c r="BN41" s="1830">
        <f t="shared" si="34"/>
        <v>7.568640774009365E-3</v>
      </c>
      <c r="BO41" s="1829">
        <f t="shared" si="34"/>
        <v>9.9780017611379689E-3</v>
      </c>
      <c r="BP41" s="1829">
        <f t="shared" si="34"/>
        <v>1.4171768564102748E-2</v>
      </c>
      <c r="BQ41" s="1829">
        <f t="shared" si="34"/>
        <v>2.433459360802635E-2</v>
      </c>
      <c r="CR41"/>
      <c r="CS41"/>
      <c r="CT41"/>
      <c r="CU41"/>
      <c r="CV41"/>
      <c r="CW41"/>
    </row>
    <row r="42" spans="1:101" outlineLevel="1">
      <c r="A42" s="289"/>
      <c r="B42" s="289"/>
      <c r="C42" s="289"/>
      <c r="D42" s="289"/>
      <c r="E42" s="289"/>
      <c r="F42" s="289"/>
      <c r="G42" s="289"/>
      <c r="H42" s="555"/>
      <c r="I42" s="555"/>
      <c r="J42" s="33"/>
      <c r="K42" s="11"/>
      <c r="L42" s="11"/>
      <c r="M42" s="11"/>
      <c r="N42" s="11"/>
      <c r="O42" s="11"/>
      <c r="P42" s="63"/>
      <c r="Q42" s="63"/>
      <c r="R42" s="63"/>
      <c r="S42" s="174"/>
      <c r="T42" s="174"/>
      <c r="U42" s="174"/>
      <c r="V42" s="174"/>
      <c r="W42" s="63"/>
      <c r="X42" s="63"/>
      <c r="Y42" s="63"/>
      <c r="Z42" s="63"/>
      <c r="AA42" s="63"/>
      <c r="AB42" s="63"/>
      <c r="AC42" s="63"/>
      <c r="AD42" s="63"/>
      <c r="AE42" s="11"/>
      <c r="AF42" s="11"/>
      <c r="AG42" s="95"/>
      <c r="AH42" s="11"/>
      <c r="AI42" s="11"/>
      <c r="AJ42" s="11"/>
      <c r="AK42" s="11"/>
      <c r="AL42" s="1713"/>
      <c r="AM42" s="56"/>
      <c r="AN42" s="56"/>
      <c r="AO42" s="56"/>
      <c r="AP42" s="1713"/>
      <c r="AQ42" s="56"/>
      <c r="AR42" s="56"/>
      <c r="AS42" s="56"/>
      <c r="AT42" s="1713"/>
      <c r="AU42" s="60"/>
      <c r="AV42" s="60"/>
      <c r="AW42" s="60"/>
      <c r="AX42" s="1713"/>
      <c r="AY42" s="60"/>
      <c r="AZ42" s="610"/>
      <c r="BA42" s="610"/>
      <c r="BB42" s="759"/>
      <c r="BC42" s="610"/>
      <c r="BD42" s="610"/>
      <c r="BE42" s="610"/>
      <c r="BF42" s="759"/>
      <c r="BG42" s="610"/>
      <c r="BH42" s="610"/>
      <c r="BI42" s="610"/>
      <c r="BJ42" s="759"/>
      <c r="BK42" s="610"/>
      <c r="BL42" s="610"/>
      <c r="BM42" s="610"/>
      <c r="BN42" s="759"/>
      <c r="BO42" s="610"/>
      <c r="BP42" s="94"/>
      <c r="BQ42" s="94"/>
    </row>
    <row r="43" spans="1:101">
      <c r="A43" s="289"/>
      <c r="B43" s="289"/>
      <c r="C43" s="289"/>
      <c r="D43" s="289"/>
      <c r="E43" s="289"/>
      <c r="F43" s="289"/>
      <c r="G43" s="289"/>
      <c r="H43" s="555"/>
      <c r="I43" s="555"/>
      <c r="J43" s="33"/>
      <c r="K43" s="11"/>
      <c r="L43" s="11"/>
      <c r="M43" s="11"/>
      <c r="N43" s="11"/>
      <c r="O43" s="11"/>
      <c r="P43" s="63"/>
      <c r="Q43" s="63"/>
      <c r="R43" s="63"/>
      <c r="S43" s="174"/>
      <c r="T43" s="174"/>
      <c r="U43" s="174"/>
      <c r="V43" s="174"/>
      <c r="W43" s="63"/>
      <c r="X43" s="63"/>
      <c r="Y43" s="63"/>
      <c r="Z43" s="63"/>
      <c r="AA43" s="63"/>
      <c r="AB43" s="63"/>
      <c r="AC43" s="63"/>
      <c r="AD43" s="63"/>
      <c r="AE43" s="11"/>
      <c r="AF43" s="11"/>
      <c r="AG43" s="95"/>
      <c r="AH43" s="11"/>
      <c r="AI43" s="11"/>
      <c r="AJ43" s="11"/>
      <c r="AK43" s="11"/>
      <c r="AL43" s="1713"/>
      <c r="AM43" s="56"/>
      <c r="AN43" s="56"/>
      <c r="AO43" s="56"/>
      <c r="AP43" s="1713"/>
      <c r="AQ43" s="56"/>
      <c r="AR43" s="56"/>
      <c r="AS43" s="56"/>
      <c r="AT43" s="1713"/>
      <c r="AU43" s="60"/>
      <c r="AV43" s="60"/>
      <c r="AW43" s="60"/>
      <c r="AX43" s="1713"/>
      <c r="AY43" s="60"/>
      <c r="AZ43" s="523"/>
      <c r="BA43" s="523"/>
      <c r="BB43" s="669"/>
      <c r="BC43" s="94"/>
      <c r="BD43" s="468"/>
      <c r="BE43" s="94"/>
      <c r="BF43" s="669"/>
      <c r="BG43" s="468"/>
      <c r="BH43" s="94"/>
      <c r="BI43" s="94"/>
      <c r="BJ43" s="669"/>
      <c r="BK43" s="94"/>
      <c r="BL43" s="94"/>
      <c r="BM43" s="94"/>
      <c r="BN43" s="669"/>
      <c r="BO43" s="94"/>
      <c r="BP43" s="94"/>
      <c r="BQ43" s="94"/>
    </row>
    <row r="44" spans="1:101" s="477" customFormat="1">
      <c r="A44" s="563"/>
      <c r="B44" s="583"/>
      <c r="C44" s="583"/>
      <c r="D44" s="583"/>
      <c r="E44" s="583"/>
      <c r="F44" s="583"/>
      <c r="G44" s="583"/>
      <c r="H44" s="563"/>
      <c r="I44" s="588"/>
      <c r="J44" s="1392" t="s">
        <v>46</v>
      </c>
      <c r="K44" s="1387"/>
      <c r="L44" s="1387"/>
      <c r="M44" s="1387"/>
      <c r="N44" s="1388"/>
      <c r="O44" s="1388"/>
      <c r="P44" s="1388"/>
      <c r="Q44" s="1388"/>
      <c r="R44" s="1388"/>
      <c r="S44" s="1389"/>
      <c r="T44" s="1389"/>
      <c r="U44" s="1389"/>
      <c r="V44" s="1390"/>
      <c r="W44" s="1389"/>
      <c r="X44" s="1389"/>
      <c r="Y44" s="1389"/>
      <c r="Z44" s="1389"/>
      <c r="AA44" s="1389"/>
      <c r="AB44" s="1389"/>
      <c r="AC44" s="1389"/>
      <c r="AD44" s="1389"/>
      <c r="AE44" s="480"/>
      <c r="AF44" s="1391"/>
      <c r="AG44" s="480"/>
      <c r="AH44" s="1387"/>
      <c r="AI44" s="1387"/>
      <c r="AJ44" s="1387"/>
      <c r="AK44" s="1387"/>
      <c r="AL44" s="1742"/>
      <c r="AM44" s="1387"/>
      <c r="AN44" s="1387"/>
      <c r="AO44" s="1387"/>
      <c r="AP44" s="1742"/>
      <c r="AQ44" s="1387"/>
      <c r="AR44" s="1387"/>
      <c r="AS44" s="1387"/>
      <c r="AT44" s="1742"/>
      <c r="AU44" s="1387"/>
      <c r="AV44" s="1387"/>
      <c r="AW44" s="1387"/>
      <c r="AX44" s="1620"/>
      <c r="AY44" s="1352"/>
      <c r="AZ44" s="1352"/>
      <c r="BA44" s="1353"/>
      <c r="BB44" s="1620"/>
      <c r="BC44" s="1352"/>
      <c r="BD44" s="1352"/>
      <c r="BE44" s="1353"/>
      <c r="BF44" s="1620"/>
      <c r="BG44" s="1387"/>
      <c r="BH44" s="1387"/>
      <c r="BI44" s="1353"/>
      <c r="BJ44" s="1620"/>
      <c r="BK44" s="1352"/>
      <c r="BL44" s="1352"/>
      <c r="BM44" s="1353"/>
      <c r="BN44" s="1662"/>
      <c r="BO44" s="1352"/>
      <c r="BP44" s="1352"/>
      <c r="BQ44" s="1352"/>
      <c r="CR44"/>
      <c r="CS44"/>
      <c r="CT44"/>
      <c r="CU44"/>
      <c r="CV44"/>
      <c r="CW44"/>
    </row>
    <row r="45" spans="1:101" s="382" customFormat="1" outlineLevel="1">
      <c r="A45" s="563"/>
      <c r="B45" s="563"/>
      <c r="C45" s="563"/>
      <c r="D45" s="563"/>
      <c r="E45" s="563"/>
      <c r="F45" s="563"/>
      <c r="G45" s="563"/>
      <c r="H45" s="564"/>
      <c r="I45" s="556"/>
      <c r="J45" s="881" t="s">
        <v>635</v>
      </c>
      <c r="K45" s="870"/>
      <c r="L45" s="870"/>
      <c r="M45" s="870"/>
      <c r="N45" s="882"/>
      <c r="O45" s="882"/>
      <c r="P45" s="882"/>
      <c r="Q45" s="882"/>
      <c r="R45" s="882"/>
      <c r="S45" s="882"/>
      <c r="T45" s="882"/>
      <c r="U45" s="882"/>
      <c r="V45" s="882"/>
      <c r="W45" s="882"/>
      <c r="X45" s="882"/>
      <c r="Y45" s="882"/>
      <c r="Z45" s="882"/>
      <c r="AA45" s="882"/>
      <c r="AB45" s="882"/>
      <c r="AC45" s="882"/>
      <c r="AD45" s="882"/>
      <c r="AE45" s="871"/>
      <c r="AF45" s="871"/>
      <c r="AG45" s="871"/>
      <c r="AH45" s="883"/>
      <c r="AI45" s="883"/>
      <c r="AJ45" s="883"/>
      <c r="AK45" s="883"/>
      <c r="AL45" s="884"/>
      <c r="AM45" s="883"/>
      <c r="AN45" s="883"/>
      <c r="AO45" s="883"/>
      <c r="AP45" s="884"/>
      <c r="AQ45" s="883"/>
      <c r="AR45" s="883"/>
      <c r="AS45" s="883"/>
      <c r="AT45" s="884"/>
      <c r="AU45" s="883"/>
      <c r="AV45" s="883"/>
      <c r="AW45" s="883"/>
      <c r="AX45" s="884"/>
      <c r="AY45" s="883"/>
      <c r="AZ45" s="883"/>
      <c r="BA45" s="883"/>
      <c r="BB45" s="884"/>
      <c r="BC45" s="883"/>
      <c r="BD45" s="883"/>
      <c r="BE45" s="883"/>
      <c r="BF45" s="884"/>
      <c r="BG45" s="883"/>
      <c r="BH45" s="883"/>
      <c r="BI45" s="883"/>
      <c r="BJ45" s="884"/>
      <c r="BK45" s="883"/>
      <c r="BL45" s="883"/>
      <c r="BM45" s="883"/>
      <c r="BN45" s="884"/>
      <c r="BO45" s="883"/>
      <c r="BP45" s="883"/>
      <c r="BQ45" s="883"/>
      <c r="CR45"/>
      <c r="CS45"/>
      <c r="CT45"/>
      <c r="CU45"/>
      <c r="CV45"/>
      <c r="CW45"/>
    </row>
    <row r="46" spans="1:101" s="382" customFormat="1" outlineLevel="1">
      <c r="A46" s="563"/>
      <c r="B46" s="563"/>
      <c r="C46" s="563"/>
      <c r="D46" s="563"/>
      <c r="E46" s="563"/>
      <c r="F46" s="563"/>
      <c r="G46" s="563"/>
      <c r="H46" s="556"/>
      <c r="I46" s="556"/>
      <c r="J46" s="718" t="s">
        <v>647</v>
      </c>
      <c r="K46" s="28"/>
      <c r="L46" s="28"/>
      <c r="M46" s="28"/>
      <c r="N46" s="28"/>
      <c r="O46" s="28"/>
      <c r="P46" s="174"/>
      <c r="Q46" s="174"/>
      <c r="R46" s="174"/>
      <c r="S46" s="174"/>
      <c r="T46" s="812"/>
      <c r="U46" s="812"/>
      <c r="V46" s="812"/>
      <c r="W46" s="812"/>
      <c r="X46" s="812"/>
      <c r="Y46" s="812"/>
      <c r="Z46" s="812"/>
      <c r="AA46" s="812"/>
      <c r="AB46" s="812"/>
      <c r="AC46" s="812"/>
      <c r="AD46" s="812"/>
      <c r="AE46" s="28"/>
      <c r="AF46" s="28"/>
      <c r="AG46" s="96"/>
      <c r="AH46" s="28"/>
      <c r="AI46" s="28"/>
      <c r="AJ46" s="28"/>
      <c r="AK46" s="28"/>
      <c r="AL46" s="1755"/>
      <c r="AM46" s="176"/>
      <c r="AN46" s="176"/>
      <c r="AO46" s="176"/>
      <c r="AP46" s="1755"/>
      <c r="AQ46" s="176"/>
      <c r="AR46" s="176"/>
      <c r="AS46" s="28"/>
      <c r="AT46" s="390"/>
      <c r="AU46" s="28"/>
      <c r="AV46" s="28"/>
      <c r="AW46" s="28"/>
      <c r="AX46" s="390"/>
      <c r="AY46" s="28"/>
      <c r="AZ46" s="28"/>
      <c r="BA46" s="28"/>
      <c r="BB46" s="390"/>
      <c r="BC46" s="28"/>
      <c r="BD46" s="28"/>
      <c r="BE46" s="28"/>
      <c r="BF46" s="390"/>
      <c r="BG46" s="28"/>
      <c r="BH46" s="28"/>
      <c r="BI46" s="28"/>
      <c r="BJ46" s="390"/>
      <c r="BK46" s="28"/>
      <c r="BL46" s="28"/>
      <c r="BM46" s="28"/>
      <c r="BN46" s="390"/>
      <c r="BO46" s="28"/>
      <c r="BP46" s="28"/>
      <c r="BQ46" s="28"/>
      <c r="CR46"/>
      <c r="CS46"/>
      <c r="CT46"/>
      <c r="CU46"/>
      <c r="CV46"/>
      <c r="CW46"/>
    </row>
    <row r="47" spans="1:101" s="382" customFormat="1" outlineLevel="1">
      <c r="H47" s="570"/>
      <c r="I47" s="571"/>
      <c r="J47" s="294" t="s">
        <v>540</v>
      </c>
      <c r="K47" s="28"/>
      <c r="L47" s="28"/>
      <c r="M47" s="28"/>
      <c r="N47" s="660"/>
      <c r="O47" s="660"/>
      <c r="P47" s="1464">
        <v>12500</v>
      </c>
      <c r="Q47" s="1464">
        <v>29300</v>
      </c>
      <c r="R47" s="893">
        <v>47400</v>
      </c>
      <c r="S47" s="893">
        <v>96600</v>
      </c>
      <c r="T47" s="893">
        <v>155000</v>
      </c>
      <c r="U47" s="893">
        <v>226600</v>
      </c>
      <c r="V47" s="893">
        <v>292500</v>
      </c>
      <c r="W47" s="896">
        <f t="shared" ref="W47:AD48" si="35">V47*(1+W68)</f>
        <v>367087.49999999994</v>
      </c>
      <c r="X47" s="896">
        <f t="shared" si="35"/>
        <v>442340.43749999994</v>
      </c>
      <c r="Y47" s="896">
        <f t="shared" si="35"/>
        <v>513114.90749999991</v>
      </c>
      <c r="Z47" s="896">
        <f t="shared" si="35"/>
        <v>564426.39824999997</v>
      </c>
      <c r="AA47" s="896">
        <f t="shared" si="35"/>
        <v>587003.45418</v>
      </c>
      <c r="AB47" s="896">
        <f t="shared" si="35"/>
        <v>610483.59234720003</v>
      </c>
      <c r="AC47" s="896">
        <f t="shared" si="35"/>
        <v>634902.93604108808</v>
      </c>
      <c r="AD47" s="896">
        <f t="shared" si="35"/>
        <v>660299.05348273157</v>
      </c>
      <c r="AE47" s="712"/>
      <c r="AF47" s="79">
        <f>(Y47/V47)^(1/3)-1</f>
        <v>0.20604335637064652</v>
      </c>
      <c r="AG47" s="100"/>
      <c r="AH47" s="713"/>
      <c r="AI47" s="713"/>
      <c r="AJ47" s="713"/>
      <c r="AK47" s="713"/>
      <c r="AL47" s="1733"/>
      <c r="AM47" s="714"/>
      <c r="AN47" s="714"/>
      <c r="AO47" s="714"/>
      <c r="AP47" s="1733"/>
      <c r="AQ47" s="714"/>
      <c r="AR47" s="714"/>
      <c r="AS47" s="714"/>
      <c r="AT47" s="1733"/>
      <c r="AU47" s="714"/>
      <c r="AV47" s="714"/>
      <c r="AW47" s="1460">
        <v>47400</v>
      </c>
      <c r="AX47" s="1461">
        <v>55500</v>
      </c>
      <c r="AY47" s="1460">
        <v>68000</v>
      </c>
      <c r="AZ47" s="1460">
        <v>82800</v>
      </c>
      <c r="BA47" s="1460">
        <v>96600</v>
      </c>
      <c r="BB47" s="1461">
        <v>105200</v>
      </c>
      <c r="BC47" s="1460">
        <v>118000</v>
      </c>
      <c r="BD47" s="1460">
        <v>131900</v>
      </c>
      <c r="BE47" s="1460">
        <v>155000</v>
      </c>
      <c r="BF47" s="1461">
        <v>169000</v>
      </c>
      <c r="BG47" s="1460">
        <v>188100</v>
      </c>
      <c r="BH47" s="1460">
        <v>198700</v>
      </c>
      <c r="BI47" s="1460">
        <v>226600</v>
      </c>
      <c r="BJ47" s="1461">
        <v>236500</v>
      </c>
      <c r="BK47" s="1460">
        <v>258300</v>
      </c>
      <c r="BL47" s="1460">
        <v>266300</v>
      </c>
      <c r="BM47" s="1460">
        <v>292500</v>
      </c>
      <c r="BN47" s="1257">
        <f>BJ47*(1+BN61)</f>
        <v>314969.15760869574</v>
      </c>
      <c r="BO47" s="971">
        <f>BK47*(1+BO61)</f>
        <v>335790</v>
      </c>
      <c r="BP47" s="971">
        <f>BL47*(1+BP61)</f>
        <v>354179</v>
      </c>
      <c r="BQ47" s="66">
        <f>W47</f>
        <v>367087.49999999994</v>
      </c>
      <c r="CR47"/>
      <c r="CS47"/>
      <c r="CT47"/>
      <c r="CU47"/>
      <c r="CV47"/>
      <c r="CW47"/>
    </row>
    <row r="48" spans="1:101" outlineLevel="1">
      <c r="J48" s="43" t="s">
        <v>542</v>
      </c>
      <c r="K48" s="11"/>
      <c r="L48" s="11"/>
      <c r="M48" s="11"/>
      <c r="N48" s="87"/>
      <c r="O48" s="87"/>
      <c r="P48" s="352">
        <f t="shared" ref="P48:V48" si="36">P75*1000/P47</f>
        <v>2616</v>
      </c>
      <c r="Q48" s="352">
        <f t="shared" si="36"/>
        <v>2501.7064846416383</v>
      </c>
      <c r="R48" s="352">
        <f t="shared" si="36"/>
        <v>2647.6793248945146</v>
      </c>
      <c r="S48" s="352">
        <f t="shared" si="36"/>
        <v>2693.5817805383022</v>
      </c>
      <c r="T48" s="352">
        <f t="shared" si="36"/>
        <v>2985.1612903225805</v>
      </c>
      <c r="U48" s="352">
        <f t="shared" si="36"/>
        <v>2904.6778464254194</v>
      </c>
      <c r="V48" s="352">
        <f t="shared" si="36"/>
        <v>3097.7094017094018</v>
      </c>
      <c r="W48" s="896">
        <f t="shared" si="35"/>
        <v>3237.1063247863249</v>
      </c>
      <c r="X48" s="896">
        <f t="shared" si="35"/>
        <v>3350.4050461538459</v>
      </c>
      <c r="Y48" s="896">
        <f t="shared" si="35"/>
        <v>3467.6692227692301</v>
      </c>
      <c r="Z48" s="896">
        <f t="shared" si="35"/>
        <v>3589.0376455661531</v>
      </c>
      <c r="AA48" s="896">
        <f t="shared" si="35"/>
        <v>3714.653963160968</v>
      </c>
      <c r="AB48" s="896">
        <f t="shared" si="35"/>
        <v>3844.6668518716015</v>
      </c>
      <c r="AC48" s="896">
        <f t="shared" si="35"/>
        <v>3979.2301916871074</v>
      </c>
      <c r="AD48" s="896">
        <f t="shared" si="35"/>
        <v>4118.5032483961559</v>
      </c>
      <c r="AE48" s="11"/>
      <c r="AF48" s="79">
        <f>(Y48/V48)^(1/3)-1</f>
        <v>3.8322655215836887E-2</v>
      </c>
      <c r="AG48" s="95"/>
      <c r="AH48" s="11"/>
      <c r="AI48" s="11"/>
      <c r="AJ48" s="11"/>
      <c r="AK48" s="11"/>
      <c r="AL48" s="665"/>
      <c r="AM48" s="84"/>
      <c r="AN48" s="84"/>
      <c r="AO48" s="84"/>
      <c r="AP48" s="665"/>
      <c r="AQ48" s="87"/>
      <c r="AR48" s="87"/>
      <c r="AS48" s="87"/>
      <c r="AT48" s="665"/>
      <c r="AU48" s="87"/>
      <c r="AV48" s="87"/>
      <c r="AW48" s="946"/>
      <c r="AX48" s="1601">
        <f t="shared" ref="AX48:BQ48" si="37">SUM(AU75:AX75)/AX47*1000</f>
        <v>2623.6591385906454</v>
      </c>
      <c r="AY48" s="946">
        <f t="shared" si="37"/>
        <v>2620.2659145850121</v>
      </c>
      <c r="AZ48" s="946">
        <f t="shared" si="37"/>
        <v>2579.4454370988024</v>
      </c>
      <c r="BA48" s="946">
        <f t="shared" si="37"/>
        <v>2693.5817805383026</v>
      </c>
      <c r="BB48" s="1601">
        <f t="shared" si="37"/>
        <v>2888.7832699619771</v>
      </c>
      <c r="BC48" s="946">
        <f t="shared" si="37"/>
        <v>3011.8644067796613</v>
      </c>
      <c r="BD48" s="946">
        <f t="shared" si="37"/>
        <v>3056.1031084154661</v>
      </c>
      <c r="BE48" s="946">
        <f t="shared" si="37"/>
        <v>2984.516129032258</v>
      </c>
      <c r="BF48" s="1601">
        <f t="shared" si="37"/>
        <v>2982.8402366863902</v>
      </c>
      <c r="BG48" s="946">
        <f t="shared" si="37"/>
        <v>2923.9766081871344</v>
      </c>
      <c r="BH48" s="946">
        <f t="shared" si="37"/>
        <v>2988.4247609461499</v>
      </c>
      <c r="BI48" s="946">
        <f t="shared" si="37"/>
        <v>2904.6778464254189</v>
      </c>
      <c r="BJ48" s="1601">
        <f t="shared" si="37"/>
        <v>3014.7991543340381</v>
      </c>
      <c r="BK48" s="946">
        <f t="shared" si="37"/>
        <v>3048.3933410762679</v>
      </c>
      <c r="BL48" s="946">
        <f t="shared" si="37"/>
        <v>3159.6568339200617</v>
      </c>
      <c r="BM48" s="946">
        <f t="shared" si="37"/>
        <v>3097.7094017094018</v>
      </c>
      <c r="BN48" s="1601">
        <f t="shared" si="37"/>
        <v>3052.0571686243734</v>
      </c>
      <c r="BO48" s="946">
        <f t="shared" si="37"/>
        <v>3068.443103138271</v>
      </c>
      <c r="BP48" s="946">
        <f t="shared" si="37"/>
        <v>3060.8022190538891</v>
      </c>
      <c r="BQ48" s="946">
        <f t="shared" si="37"/>
        <v>3237.1063247863244</v>
      </c>
    </row>
    <row r="49" spans="1:101" s="382" customFormat="1" outlineLevel="1">
      <c r="H49" s="570"/>
      <c r="I49" s="570"/>
      <c r="J49" s="294" t="s">
        <v>541</v>
      </c>
      <c r="K49" s="28"/>
      <c r="L49" s="28"/>
      <c r="M49" s="28"/>
      <c r="N49" s="660"/>
      <c r="O49" s="660"/>
      <c r="P49" s="1464">
        <v>65900</v>
      </c>
      <c r="Q49" s="1464">
        <v>193800</v>
      </c>
      <c r="R49" s="893">
        <v>323300</v>
      </c>
      <c r="S49" s="893">
        <v>689000</v>
      </c>
      <c r="T49" s="893">
        <v>1263100</v>
      </c>
      <c r="U49" s="893">
        <v>1593300</v>
      </c>
      <c r="V49" s="863">
        <f t="shared" ref="V49:AD49" si="38">V52*V47</f>
        <v>2193341.3309024614</v>
      </c>
      <c r="W49" s="863">
        <f t="shared" si="38"/>
        <v>2848032.0019260445</v>
      </c>
      <c r="X49" s="863">
        <f t="shared" si="38"/>
        <v>3516826.0514872419</v>
      </c>
      <c r="Y49" s="863">
        <f t="shared" si="38"/>
        <v>4180496.393480774</v>
      </c>
      <c r="Z49" s="863">
        <f t="shared" si="38"/>
        <v>4712371.4296810506</v>
      </c>
      <c r="AA49" s="863">
        <f t="shared" si="38"/>
        <v>5022174.8583254283</v>
      </c>
      <c r="AB49" s="863">
        <f t="shared" si="38"/>
        <v>5352345.5618826644</v>
      </c>
      <c r="AC49" s="863">
        <f t="shared" si="38"/>
        <v>5704222.5374361379</v>
      </c>
      <c r="AD49" s="863">
        <f t="shared" si="38"/>
        <v>6079232.8111844147</v>
      </c>
      <c r="AE49" s="174"/>
      <c r="AF49" s="79">
        <f>(Y49/V49)^(1/3)-1</f>
        <v>0.23986350504177145</v>
      </c>
      <c r="AG49" s="184"/>
      <c r="AH49" s="713"/>
      <c r="AI49" s="713"/>
      <c r="AJ49" s="713"/>
      <c r="AK49" s="713"/>
      <c r="AL49" s="1733"/>
      <c r="AM49" s="714"/>
      <c r="AN49" s="714"/>
      <c r="AO49" s="714"/>
      <c r="AP49" s="1733"/>
      <c r="AQ49" s="714"/>
      <c r="AR49" s="714"/>
      <c r="AS49" s="714"/>
      <c r="AT49" s="1733"/>
      <c r="AU49" s="714"/>
      <c r="AV49" s="714"/>
      <c r="AW49" s="66">
        <f t="shared" ref="AW49:BK49" si="39">SUM(AT50:AW50)</f>
        <v>323400</v>
      </c>
      <c r="AX49" s="710">
        <f t="shared" si="39"/>
        <v>395100</v>
      </c>
      <c r="AY49" s="66">
        <f t="shared" si="39"/>
        <v>486200</v>
      </c>
      <c r="AZ49" s="66">
        <f t="shared" si="39"/>
        <v>582900</v>
      </c>
      <c r="BA49" s="66">
        <f t="shared" si="39"/>
        <v>689000</v>
      </c>
      <c r="BB49" s="710">
        <f t="shared" si="39"/>
        <v>786900</v>
      </c>
      <c r="BC49" s="66">
        <f t="shared" si="39"/>
        <v>928800</v>
      </c>
      <c r="BD49" s="66">
        <f t="shared" si="39"/>
        <v>1080300</v>
      </c>
      <c r="BE49" s="66">
        <f t="shared" si="39"/>
        <v>1280300</v>
      </c>
      <c r="BF49" s="710">
        <f t="shared" si="39"/>
        <v>1395200</v>
      </c>
      <c r="BG49" s="66">
        <f t="shared" si="39"/>
        <v>1508500</v>
      </c>
      <c r="BH49" s="66">
        <f t="shared" si="39"/>
        <v>1635000</v>
      </c>
      <c r="BI49" s="66">
        <f t="shared" si="39"/>
        <v>1775400</v>
      </c>
      <c r="BJ49" s="710">
        <f t="shared" si="39"/>
        <v>1910400</v>
      </c>
      <c r="BK49" s="66">
        <f t="shared" si="39"/>
        <v>2082700</v>
      </c>
      <c r="BL49" s="971"/>
      <c r="BM49" s="66"/>
      <c r="BN49" s="1257"/>
      <c r="BO49" s="971"/>
      <c r="BP49" s="971"/>
      <c r="BQ49" s="66"/>
      <c r="CR49"/>
      <c r="CS49"/>
      <c r="CT49"/>
      <c r="CU49"/>
      <c r="CV49"/>
      <c r="CW49"/>
    </row>
    <row r="50" spans="1:101" s="382" customFormat="1" outlineLevel="1">
      <c r="H50" s="570"/>
      <c r="I50" s="571"/>
      <c r="J50" s="716" t="s">
        <v>632</v>
      </c>
      <c r="K50" s="28"/>
      <c r="L50" s="28"/>
      <c r="M50" s="28"/>
      <c r="N50" s="660"/>
      <c r="O50" s="660"/>
      <c r="P50" s="660"/>
      <c r="Q50" s="660"/>
      <c r="R50" s="660"/>
      <c r="S50" s="660"/>
      <c r="T50" s="629"/>
      <c r="U50" s="629"/>
      <c r="V50" s="1307"/>
      <c r="W50" s="322"/>
      <c r="X50" s="322"/>
      <c r="Y50" s="322"/>
      <c r="Z50" s="322"/>
      <c r="AA50" s="322"/>
      <c r="AB50" s="322"/>
      <c r="AC50" s="322"/>
      <c r="AD50" s="322"/>
      <c r="AE50" s="712"/>
      <c r="AF50" s="606"/>
      <c r="AG50" s="100"/>
      <c r="AH50" s="713"/>
      <c r="AI50" s="713"/>
      <c r="AJ50" s="713"/>
      <c r="AK50" s="713"/>
      <c r="AL50" s="1733"/>
      <c r="AM50" s="714"/>
      <c r="AN50" s="714"/>
      <c r="AO50" s="714"/>
      <c r="AP50" s="1733"/>
      <c r="AQ50" s="714"/>
      <c r="AR50" s="714"/>
      <c r="AS50" s="714"/>
      <c r="AT50" s="1421">
        <v>57600</v>
      </c>
      <c r="AU50" s="1269">
        <v>72600</v>
      </c>
      <c r="AV50" s="1269">
        <v>81500</v>
      </c>
      <c r="AW50" s="1269">
        <v>111700</v>
      </c>
      <c r="AX50" s="1462">
        <v>129300</v>
      </c>
      <c r="AY50" s="1269">
        <v>163700</v>
      </c>
      <c r="AZ50" s="1269">
        <v>178200</v>
      </c>
      <c r="BA50" s="1269">
        <v>217800</v>
      </c>
      <c r="BB50" s="1462">
        <v>227200</v>
      </c>
      <c r="BC50" s="1350">
        <v>305600</v>
      </c>
      <c r="BD50" s="1350">
        <v>329700</v>
      </c>
      <c r="BE50" s="1350">
        <v>417800</v>
      </c>
      <c r="BF50" s="1462">
        <v>342100</v>
      </c>
      <c r="BG50" s="1350">
        <v>418900</v>
      </c>
      <c r="BH50" s="1350">
        <v>456200</v>
      </c>
      <c r="BI50" s="1350">
        <v>558200</v>
      </c>
      <c r="BJ50" s="1462">
        <v>477100</v>
      </c>
      <c r="BK50" s="1350">
        <v>591200</v>
      </c>
      <c r="BL50" s="712"/>
      <c r="BM50" s="736"/>
      <c r="BN50" s="748"/>
      <c r="BO50" s="712"/>
      <c r="BP50" s="712"/>
      <c r="BQ50" s="736"/>
      <c r="CR50"/>
      <c r="CS50"/>
      <c r="CT50"/>
      <c r="CU50"/>
      <c r="CV50"/>
      <c r="CW50"/>
    </row>
    <row r="51" spans="1:101" s="382" customFormat="1" outlineLevel="1">
      <c r="H51" s="570"/>
      <c r="I51" s="776"/>
      <c r="J51" s="294" t="s">
        <v>543</v>
      </c>
      <c r="K51" s="28"/>
      <c r="L51" s="28"/>
      <c r="M51" s="28"/>
      <c r="N51" s="87"/>
      <c r="O51" s="87"/>
      <c r="P51" s="352">
        <f t="shared" ref="P51:U51" si="40">P75*1000/P49</f>
        <v>496.20637329286797</v>
      </c>
      <c r="Q51" s="352">
        <f t="shared" si="40"/>
        <v>378.22497420020642</v>
      </c>
      <c r="R51" s="352">
        <f t="shared" si="40"/>
        <v>388.18434890194868</v>
      </c>
      <c r="S51" s="352">
        <f t="shared" si="40"/>
        <v>377.64876632801162</v>
      </c>
      <c r="T51" s="352">
        <f t="shared" si="40"/>
        <v>366.32095637716731</v>
      </c>
      <c r="U51" s="352">
        <f t="shared" si="40"/>
        <v>413.10487667106008</v>
      </c>
      <c r="V51" s="970">
        <f t="shared" ref="V51:AD51" si="41">U51*(1+V64)</f>
        <v>413.10487667106008</v>
      </c>
      <c r="W51" s="970">
        <f t="shared" si="41"/>
        <v>417.23592543777067</v>
      </c>
      <c r="X51" s="970">
        <f t="shared" si="41"/>
        <v>421.40828469214841</v>
      </c>
      <c r="Y51" s="970">
        <f t="shared" si="41"/>
        <v>425.6223675390699</v>
      </c>
      <c r="Z51" s="970">
        <f t="shared" si="41"/>
        <v>429.87859121446058</v>
      </c>
      <c r="AA51" s="970">
        <f t="shared" si="41"/>
        <v>434.17737712660522</v>
      </c>
      <c r="AB51" s="970">
        <f t="shared" si="41"/>
        <v>438.51915089787127</v>
      </c>
      <c r="AC51" s="970">
        <f t="shared" si="41"/>
        <v>442.90434240684999</v>
      </c>
      <c r="AD51" s="970">
        <f t="shared" si="41"/>
        <v>447.33338583091847</v>
      </c>
      <c r="AE51" s="28"/>
      <c r="AF51" s="79">
        <f>(Y51/V51)^(1/3)-1</f>
        <v>1.0000000000000009E-2</v>
      </c>
      <c r="AG51" s="96"/>
      <c r="AH51" s="28"/>
      <c r="AI51" s="28"/>
      <c r="AJ51" s="28"/>
      <c r="AK51" s="28"/>
      <c r="AL51" s="665"/>
      <c r="AM51" s="87"/>
      <c r="AN51" s="87"/>
      <c r="AO51" s="87"/>
      <c r="AP51" s="665"/>
      <c r="AQ51" s="87"/>
      <c r="AR51" s="87"/>
      <c r="AS51" s="87"/>
      <c r="AT51" s="665"/>
      <c r="AU51" s="87"/>
      <c r="AV51" s="87"/>
      <c r="AW51" s="946"/>
      <c r="AX51" s="1601">
        <f t="shared" ref="AX51:BH51" si="42">SUM(AU75:AX75)/AX49*1000</f>
        <v>368.54741126747865</v>
      </c>
      <c r="AY51" s="946">
        <f t="shared" si="42"/>
        <v>366.47075728461709</v>
      </c>
      <c r="AZ51" s="946">
        <f t="shared" si="42"/>
        <v>366.40604253179072</v>
      </c>
      <c r="BA51" s="946">
        <f t="shared" si="42"/>
        <v>377.64876632801156</v>
      </c>
      <c r="BB51" s="1601">
        <f t="shared" si="42"/>
        <v>386.1990087685856</v>
      </c>
      <c r="BC51" s="946">
        <f t="shared" si="42"/>
        <v>382.64427217915591</v>
      </c>
      <c r="BD51" s="946">
        <f t="shared" si="42"/>
        <v>373.13709154864387</v>
      </c>
      <c r="BE51" s="946">
        <f t="shared" si="42"/>
        <v>361.32156525814264</v>
      </c>
      <c r="BF51" s="1601">
        <f t="shared" si="42"/>
        <v>361.31020642201833</v>
      </c>
      <c r="BG51" s="946">
        <f t="shared" si="42"/>
        <v>364.60059661915813</v>
      </c>
      <c r="BH51" s="946">
        <f t="shared" si="42"/>
        <v>363.18042813455656</v>
      </c>
      <c r="BI51" s="717">
        <f>U51</f>
        <v>413.10487667106008</v>
      </c>
      <c r="BJ51" s="1601">
        <f>SUM(BG75:BJ75)/BJ49*1000</f>
        <v>373.22026800670017</v>
      </c>
      <c r="BK51" s="946">
        <f>SUM(BH75:BK75)/BK49*1000</f>
        <v>378.06693234743358</v>
      </c>
      <c r="BL51" s="946"/>
      <c r="BM51" s="66"/>
      <c r="BN51" s="1601"/>
      <c r="BO51" s="946"/>
      <c r="BP51" s="946"/>
      <c r="BQ51" s="66"/>
      <c r="CR51"/>
      <c r="CS51"/>
      <c r="CT51"/>
      <c r="CU51"/>
      <c r="CV51"/>
      <c r="CW51"/>
    </row>
    <row r="52" spans="1:101" s="382" customFormat="1" outlineLevel="1">
      <c r="H52" s="570"/>
      <c r="I52" s="574"/>
      <c r="J52" s="294" t="s">
        <v>116</v>
      </c>
      <c r="K52" s="28"/>
      <c r="L52" s="28"/>
      <c r="M52" s="28"/>
      <c r="N52" s="87"/>
      <c r="O52" s="87"/>
      <c r="P52" s="352">
        <f t="shared" ref="P52:AD52" si="43">P48/P51</f>
        <v>5.2720000000000002</v>
      </c>
      <c r="Q52" s="352">
        <f t="shared" si="43"/>
        <v>6.6143344709897613</v>
      </c>
      <c r="R52" s="352">
        <f t="shared" si="43"/>
        <v>6.8206751054852308</v>
      </c>
      <c r="S52" s="352">
        <f t="shared" si="43"/>
        <v>7.1325051759834368</v>
      </c>
      <c r="T52" s="87">
        <f t="shared" si="43"/>
        <v>8.1490322580645156</v>
      </c>
      <c r="U52" s="87">
        <f t="shared" si="43"/>
        <v>7.0313327449249776</v>
      </c>
      <c r="V52" s="87">
        <f t="shared" si="43"/>
        <v>7.4986028406921754</v>
      </c>
      <c r="W52" s="87">
        <f t="shared" si="43"/>
        <v>7.7584554143795277</v>
      </c>
      <c r="X52" s="87">
        <f t="shared" si="43"/>
        <v>7.9504963899829804</v>
      </c>
      <c r="Y52" s="352">
        <f t="shared" si="43"/>
        <v>8.1472908550815681</v>
      </c>
      <c r="Z52" s="352">
        <f t="shared" si="43"/>
        <v>8.3489564703063586</v>
      </c>
      <c r="AA52" s="352">
        <f t="shared" si="43"/>
        <v>8.5556138086802775</v>
      </c>
      <c r="AB52" s="352">
        <f t="shared" si="43"/>
        <v>8.7673864277070166</v>
      </c>
      <c r="AC52" s="352">
        <f t="shared" si="43"/>
        <v>8.9844009432443173</v>
      </c>
      <c r="AD52" s="352">
        <f t="shared" si="43"/>
        <v>9.2067871052058106</v>
      </c>
      <c r="AE52" s="28"/>
      <c r="AF52" s="606"/>
      <c r="AG52" s="96"/>
      <c r="AH52" s="28"/>
      <c r="AI52" s="28"/>
      <c r="AJ52" s="28"/>
      <c r="AK52" s="28"/>
      <c r="AL52" s="665"/>
      <c r="AM52" s="87"/>
      <c r="AN52" s="87"/>
      <c r="AO52" s="87"/>
      <c r="AP52" s="665"/>
      <c r="AQ52" s="87"/>
      <c r="AR52" s="87"/>
      <c r="AS52" s="87"/>
      <c r="AT52" s="665"/>
      <c r="AU52" s="87"/>
      <c r="AV52" s="87"/>
      <c r="AW52" s="87"/>
      <c r="AX52" s="744">
        <f t="shared" ref="AX52:BF52" si="44">AX48/AX51</f>
        <v>7.1189189189189195</v>
      </c>
      <c r="AY52" s="187">
        <f t="shared" si="44"/>
        <v>7.1499999999999995</v>
      </c>
      <c r="AZ52" s="187">
        <f t="shared" si="44"/>
        <v>7.0398550724637694</v>
      </c>
      <c r="BA52" s="187">
        <f t="shared" si="44"/>
        <v>7.1325051759834386</v>
      </c>
      <c r="BB52" s="744">
        <f t="shared" si="44"/>
        <v>7.4800380228136882</v>
      </c>
      <c r="BC52" s="187">
        <f t="shared" si="44"/>
        <v>7.8711864406779668</v>
      </c>
      <c r="BD52" s="187">
        <f t="shared" si="44"/>
        <v>8.1902956785443521</v>
      </c>
      <c r="BE52" s="187">
        <f t="shared" si="44"/>
        <v>8.26</v>
      </c>
      <c r="BF52" s="744">
        <f t="shared" si="44"/>
        <v>8.2556213017751467</v>
      </c>
      <c r="BG52" s="947">
        <v>8.3000000000000007</v>
      </c>
      <c r="BH52" s="947">
        <v>8.4</v>
      </c>
      <c r="BI52" s="735">
        <f>U52</f>
        <v>7.0313327449249776</v>
      </c>
      <c r="BJ52" s="744">
        <f>BJ48/BJ51</f>
        <v>8.0778012684989431</v>
      </c>
      <c r="BK52" s="187">
        <f>BK48/BK51</f>
        <v>8.0631049167634536</v>
      </c>
      <c r="BL52" s="825"/>
      <c r="BM52" s="1366"/>
      <c r="BN52" s="1367"/>
      <c r="BO52" s="825"/>
      <c r="BP52" s="825"/>
      <c r="BQ52" s="1366"/>
      <c r="CR52"/>
      <c r="CS52"/>
      <c r="CT52"/>
      <c r="CU52"/>
      <c r="CV52"/>
      <c r="CW52"/>
    </row>
    <row r="53" spans="1:101" s="382" customFormat="1" outlineLevel="1">
      <c r="A53" s="568"/>
      <c r="F53" s="556"/>
      <c r="H53" s="570"/>
      <c r="I53" s="972"/>
      <c r="J53" s="28" t="s">
        <v>363</v>
      </c>
      <c r="K53" s="28"/>
      <c r="L53" s="28"/>
      <c r="M53" s="28"/>
      <c r="N53" s="188"/>
      <c r="O53" s="188"/>
      <c r="P53" s="197"/>
      <c r="Q53" s="1465">
        <v>0.06</v>
      </c>
      <c r="R53" s="1465">
        <v>0.15</v>
      </c>
      <c r="S53" s="1465">
        <f>AVERAGE(AX53:BA53)</f>
        <v>0.26900000000000002</v>
      </c>
      <c r="T53" s="780">
        <v>0.51</v>
      </c>
      <c r="U53" s="780">
        <v>0.78300000000000003</v>
      </c>
      <c r="V53" s="780" t="s">
        <v>289</v>
      </c>
      <c r="W53" s="780"/>
      <c r="X53" s="780"/>
      <c r="Y53" s="780"/>
      <c r="Z53" s="780"/>
      <c r="AA53" s="780"/>
      <c r="AB53" s="780"/>
      <c r="AC53" s="780"/>
      <c r="AD53" s="780"/>
      <c r="AE53" s="174"/>
      <c r="AF53" s="174"/>
      <c r="AG53" s="184"/>
      <c r="AH53" s="28"/>
      <c r="AI53" s="28"/>
      <c r="AJ53" s="28"/>
      <c r="AK53" s="28"/>
      <c r="AL53" s="1758"/>
      <c r="AM53" s="102"/>
      <c r="AN53" s="102"/>
      <c r="AO53" s="102"/>
      <c r="AP53" s="1758"/>
      <c r="AQ53" s="102"/>
      <c r="AR53" s="102"/>
      <c r="AS53" s="469"/>
      <c r="AT53" s="1734"/>
      <c r="AU53" s="468"/>
      <c r="AV53" s="1351">
        <v>4.6687697160883279E-2</v>
      </c>
      <c r="AW53" s="1351">
        <v>0.15</v>
      </c>
      <c r="AX53" s="1463">
        <v>0.18</v>
      </c>
      <c r="AY53" s="1351">
        <v>0.24</v>
      </c>
      <c r="AZ53" s="1351">
        <v>0.29599999999999999</v>
      </c>
      <c r="BA53" s="1351">
        <v>0.36</v>
      </c>
      <c r="BB53" s="1463">
        <v>0.42</v>
      </c>
      <c r="BC53" s="1351">
        <v>0.47</v>
      </c>
      <c r="BD53" s="1351">
        <v>0.52</v>
      </c>
      <c r="BE53" s="1351">
        <v>0.61399999999999999</v>
      </c>
      <c r="BF53" s="1463">
        <v>0.72399999999999998</v>
      </c>
      <c r="BG53" s="1351">
        <v>0.79300000000000004</v>
      </c>
      <c r="BH53" s="1351">
        <v>0.79700000000000004</v>
      </c>
      <c r="BI53" s="1351">
        <v>0.8</v>
      </c>
      <c r="BJ53" s="1463">
        <v>0.81</v>
      </c>
      <c r="BK53" s="1351">
        <v>0.8</v>
      </c>
      <c r="BL53" s="769"/>
      <c r="BM53" s="770"/>
      <c r="BN53" s="749"/>
      <c r="BO53" s="769"/>
      <c r="BP53" s="769"/>
      <c r="BQ53" s="770"/>
      <c r="CR53"/>
      <c r="CS53"/>
      <c r="CT53"/>
      <c r="CU53"/>
      <c r="CV53"/>
      <c r="CW53"/>
    </row>
    <row r="54" spans="1:101" s="382" customFormat="1" outlineLevel="1">
      <c r="A54" s="568"/>
      <c r="F54" s="556"/>
      <c r="H54" s="570"/>
      <c r="I54" s="972"/>
      <c r="J54" s="28"/>
      <c r="K54" s="28"/>
      <c r="L54" s="28"/>
      <c r="M54" s="28"/>
      <c r="N54" s="188"/>
      <c r="O54" s="188"/>
      <c r="P54" s="197"/>
      <c r="Q54" s="1465"/>
      <c r="R54" s="1465"/>
      <c r="S54" s="1465"/>
      <c r="T54" s="780"/>
      <c r="U54" s="780"/>
      <c r="V54" s="780"/>
      <c r="W54" s="780"/>
      <c r="X54" s="780"/>
      <c r="Y54" s="780"/>
      <c r="Z54" s="780"/>
      <c r="AA54" s="780"/>
      <c r="AB54" s="780"/>
      <c r="AC54" s="780"/>
      <c r="AD54" s="780"/>
      <c r="AE54" s="174"/>
      <c r="AF54" s="174"/>
      <c r="AG54" s="184"/>
      <c r="AH54" s="28"/>
      <c r="AI54" s="28"/>
      <c r="AJ54" s="28"/>
      <c r="AK54" s="28"/>
      <c r="AL54" s="1758"/>
      <c r="AM54" s="102"/>
      <c r="AN54" s="102"/>
      <c r="AO54" s="102"/>
      <c r="AP54" s="1758"/>
      <c r="AQ54" s="102"/>
      <c r="AR54" s="102"/>
      <c r="AS54" s="469"/>
      <c r="AT54" s="1734"/>
      <c r="AU54" s="468"/>
      <c r="AV54" s="1351"/>
      <c r="AW54" s="1351"/>
      <c r="AX54" s="1463"/>
      <c r="AY54" s="1351"/>
      <c r="AZ54" s="1351"/>
      <c r="BA54" s="1351"/>
      <c r="BB54" s="1463"/>
      <c r="BC54" s="1351"/>
      <c r="BD54" s="1351"/>
      <c r="BE54" s="1351"/>
      <c r="BF54" s="1463"/>
      <c r="BG54" s="1351"/>
      <c r="BH54" s="1351"/>
      <c r="BI54" s="1351"/>
      <c r="BJ54" s="1463"/>
      <c r="BK54" s="1351"/>
      <c r="BL54" s="769"/>
      <c r="BM54" s="770"/>
      <c r="BN54" s="749"/>
      <c r="BO54" s="769"/>
      <c r="BP54" s="769"/>
      <c r="BQ54" s="770"/>
      <c r="CR54"/>
      <c r="CS54"/>
      <c r="CT54"/>
      <c r="CU54"/>
      <c r="CV54"/>
      <c r="CW54"/>
    </row>
    <row r="55" spans="1:101" s="382" customFormat="1" outlineLevel="1">
      <c r="A55" s="563"/>
      <c r="B55" s="563"/>
      <c r="C55" s="563"/>
      <c r="D55" s="563"/>
      <c r="E55" s="563"/>
      <c r="F55" s="563"/>
      <c r="G55" s="563"/>
      <c r="H55" s="556"/>
      <c r="I55" s="556"/>
      <c r="J55" s="13" t="s">
        <v>547</v>
      </c>
      <c r="K55" s="172"/>
      <c r="L55" s="172"/>
      <c r="M55" s="172"/>
      <c r="N55" s="28"/>
      <c r="O55" s="28"/>
      <c r="P55" s="174"/>
      <c r="Q55" s="174"/>
      <c r="R55" s="174"/>
      <c r="S55" s="174"/>
      <c r="T55" s="174"/>
      <c r="U55" s="174"/>
      <c r="V55" s="174"/>
      <c r="W55" s="174"/>
      <c r="X55" s="174"/>
      <c r="Y55" s="174"/>
      <c r="Z55" s="174"/>
      <c r="AA55" s="174"/>
      <c r="AB55" s="174"/>
      <c r="AC55" s="174"/>
      <c r="AD55" s="174"/>
      <c r="AE55" s="28"/>
      <c r="AF55" s="28"/>
      <c r="AG55" s="96"/>
      <c r="AH55" s="172"/>
      <c r="AI55" s="172"/>
      <c r="AJ55" s="172"/>
      <c r="AK55" s="172"/>
      <c r="AL55" s="1757"/>
      <c r="AM55" s="175"/>
      <c r="AN55" s="175"/>
      <c r="AO55" s="175"/>
      <c r="AP55" s="1757"/>
      <c r="AQ55" s="175"/>
      <c r="AR55" s="175"/>
      <c r="AS55" s="172"/>
      <c r="AT55" s="667"/>
      <c r="AU55" s="172"/>
      <c r="AV55" s="172"/>
      <c r="AW55" s="172"/>
      <c r="AX55" s="667"/>
      <c r="AY55" s="172"/>
      <c r="AZ55" s="172"/>
      <c r="BA55" s="172"/>
      <c r="BB55" s="667"/>
      <c r="BC55" s="172"/>
      <c r="BD55" s="172"/>
      <c r="BE55" s="172"/>
      <c r="BF55" s="667"/>
      <c r="BG55" s="172"/>
      <c r="BH55" s="172"/>
      <c r="BI55" s="172"/>
      <c r="BJ55" s="667"/>
      <c r="BK55" s="172"/>
      <c r="BL55" s="172"/>
      <c r="BM55" s="172"/>
      <c r="BN55" s="667"/>
      <c r="BO55" s="172"/>
      <c r="BP55" s="172"/>
      <c r="BQ55" s="172"/>
      <c r="CR55"/>
      <c r="CS55"/>
      <c r="CT55"/>
      <c r="CU55"/>
      <c r="CV55"/>
      <c r="CW55"/>
    </row>
    <row r="56" spans="1:101" s="580" customFormat="1" outlineLevel="1">
      <c r="A56" s="378"/>
      <c r="B56" s="378"/>
      <c r="C56" s="378"/>
      <c r="D56" s="378"/>
      <c r="E56" s="378"/>
      <c r="F56" s="378"/>
      <c r="G56" s="378"/>
      <c r="H56" s="565"/>
      <c r="I56" s="565"/>
      <c r="J56" s="13" t="s">
        <v>546</v>
      </c>
      <c r="K56" s="13"/>
      <c r="L56" s="13"/>
      <c r="M56" s="13"/>
      <c r="N56" s="13"/>
      <c r="O56" s="13"/>
      <c r="P56" s="442"/>
      <c r="Q56" s="442"/>
      <c r="R56" s="442"/>
      <c r="S56" s="442"/>
      <c r="T56" s="442"/>
      <c r="U56" s="334"/>
      <c r="V56" s="334"/>
      <c r="W56" s="334"/>
      <c r="X56" s="334"/>
      <c r="Y56" s="334"/>
      <c r="Z56" s="334"/>
      <c r="AA56" s="334"/>
      <c r="AB56" s="334"/>
      <c r="AC56" s="334"/>
      <c r="AD56" s="334"/>
      <c r="AE56" s="13"/>
      <c r="AF56" s="13"/>
      <c r="AG56" s="97"/>
      <c r="AH56" s="13"/>
      <c r="AI56" s="13"/>
      <c r="AJ56" s="13"/>
      <c r="AK56" s="13"/>
      <c r="AL56" s="1759"/>
      <c r="AM56" s="461"/>
      <c r="AN56" s="461"/>
      <c r="AO56" s="461"/>
      <c r="AP56" s="1759"/>
      <c r="AQ56" s="461"/>
      <c r="AR56" s="461"/>
      <c r="AS56" s="13"/>
      <c r="AT56" s="677">
        <f t="shared" ref="AT56:AW58" si="45">AT75/$R75</f>
        <v>0.19123505976095617</v>
      </c>
      <c r="AU56" s="330">
        <f t="shared" si="45"/>
        <v>0.24250996015936255</v>
      </c>
      <c r="AV56" s="330">
        <f t="shared" si="45"/>
        <v>0.25418326693227089</v>
      </c>
      <c r="AW56" s="330">
        <f t="shared" si="45"/>
        <v>0.31217595371936907</v>
      </c>
      <c r="AX56" s="677">
        <f t="shared" ref="AX56:BA58" si="46">AX75/$S75</f>
        <v>0.16948501152959261</v>
      </c>
      <c r="AY56" s="330">
        <f t="shared" si="46"/>
        <v>0.24212144504227517</v>
      </c>
      <c r="AZ56" s="330">
        <f t="shared" si="46"/>
        <v>0.25864719446579554</v>
      </c>
      <c r="BA56" s="330">
        <f t="shared" si="46"/>
        <v>0.32974634896233668</v>
      </c>
      <c r="BB56" s="677">
        <f t="shared" ref="BB56:BE58" si="47">BB75/$T75</f>
        <v>0.18975578128376919</v>
      </c>
      <c r="BC56" s="330">
        <f t="shared" si="47"/>
        <v>0.24746055759671493</v>
      </c>
      <c r="BD56" s="330">
        <f t="shared" si="47"/>
        <v>0.24854117138534687</v>
      </c>
      <c r="BE56" s="330">
        <f t="shared" si="47"/>
        <v>0.31402636697644259</v>
      </c>
      <c r="BF56" s="677">
        <f t="shared" ref="BF56:BI58" si="48">BF75/$U75</f>
        <v>0.19644484958979033</v>
      </c>
      <c r="BG56" s="330">
        <f t="shared" si="48"/>
        <v>0.2436949255545427</v>
      </c>
      <c r="BH56" s="330">
        <f t="shared" si="48"/>
        <v>0.24126405347918567</v>
      </c>
      <c r="BI56" s="330">
        <f t="shared" si="48"/>
        <v>0.31859617137648133</v>
      </c>
      <c r="BJ56" s="677">
        <f>BJ75/$V75</f>
        <v>0.20318294190358469</v>
      </c>
      <c r="BK56" s="330">
        <f>BK75/$V75</f>
        <v>0.25913826593678263</v>
      </c>
      <c r="BL56" s="330">
        <f>BL75/$V75</f>
        <v>0.23487618628919352</v>
      </c>
      <c r="BM56" s="330">
        <f>BM75/$V75</f>
        <v>0.30280260587043922</v>
      </c>
      <c r="BN56" s="677">
        <f>BN75/$W75</f>
        <v>0.2014</v>
      </c>
      <c r="BO56" s="330">
        <f>BO75/$W75</f>
        <v>0.25570000000000004</v>
      </c>
      <c r="BP56" s="330">
        <f>BP75/$W75</f>
        <v>0.2243</v>
      </c>
      <c r="BQ56" s="330">
        <f>BQ75/$W75</f>
        <v>0.31859999999999999</v>
      </c>
      <c r="CR56"/>
      <c r="CS56"/>
      <c r="CT56"/>
      <c r="CU56"/>
      <c r="CV56"/>
      <c r="CW56"/>
    </row>
    <row r="57" spans="1:101" s="382" customFormat="1" outlineLevel="1">
      <c r="A57" s="563"/>
      <c r="B57" s="563"/>
      <c r="C57" s="563"/>
      <c r="D57" s="563"/>
      <c r="E57" s="563"/>
      <c r="F57" s="563"/>
      <c r="G57" s="563"/>
      <c r="H57" s="556"/>
      <c r="I57" s="556"/>
      <c r="J57" s="33" t="s">
        <v>529</v>
      </c>
      <c r="K57" s="28"/>
      <c r="L57" s="28"/>
      <c r="M57" s="28"/>
      <c r="N57" s="28"/>
      <c r="O57" s="28"/>
      <c r="P57" s="299"/>
      <c r="Q57" s="299"/>
      <c r="R57" s="299"/>
      <c r="S57" s="299"/>
      <c r="T57" s="299"/>
      <c r="U57" s="174"/>
      <c r="V57" s="174"/>
      <c r="W57" s="174"/>
      <c r="X57" s="174"/>
      <c r="Y57" s="174"/>
      <c r="Z57" s="174"/>
      <c r="AA57" s="174"/>
      <c r="AB57" s="174"/>
      <c r="AC57" s="174"/>
      <c r="AD57" s="174"/>
      <c r="AE57" s="28"/>
      <c r="AF57" s="28"/>
      <c r="AG57" s="96"/>
      <c r="AH57" s="28"/>
      <c r="AI57" s="28"/>
      <c r="AJ57" s="28"/>
      <c r="AK57" s="28"/>
      <c r="AL57" s="1755"/>
      <c r="AM57" s="176"/>
      <c r="AN57" s="176"/>
      <c r="AO57" s="176"/>
      <c r="AP57" s="1755"/>
      <c r="AQ57" s="176"/>
      <c r="AR57" s="176"/>
      <c r="AS57" s="28"/>
      <c r="AT57" s="690">
        <f t="shared" si="45"/>
        <v>0.19635907093534213</v>
      </c>
      <c r="AU57" s="179">
        <f t="shared" si="45"/>
        <v>0.25185185185185188</v>
      </c>
      <c r="AV57" s="179">
        <f t="shared" si="45"/>
        <v>0.25825486503452605</v>
      </c>
      <c r="AW57" s="179">
        <f t="shared" si="45"/>
        <v>0.29181340681867352</v>
      </c>
      <c r="AX57" s="690">
        <f t="shared" si="46"/>
        <v>0.19585687382297551</v>
      </c>
      <c r="AY57" s="179">
        <f t="shared" si="46"/>
        <v>0.24607658505963589</v>
      </c>
      <c r="AZ57" s="179">
        <f t="shared" si="46"/>
        <v>0.25423728813559321</v>
      </c>
      <c r="BA57" s="179">
        <f t="shared" si="46"/>
        <v>0.30382925298179536</v>
      </c>
      <c r="BB57" s="690">
        <f t="shared" si="47"/>
        <v>0.19913928012519561</v>
      </c>
      <c r="BC57" s="179">
        <f t="shared" si="47"/>
        <v>0.25312989045383411</v>
      </c>
      <c r="BD57" s="179">
        <f t="shared" si="47"/>
        <v>0.23982785602503912</v>
      </c>
      <c r="BE57" s="179">
        <f t="shared" si="47"/>
        <v>0.30790297339593115</v>
      </c>
      <c r="BF57" s="690">
        <f t="shared" si="48"/>
        <v>0.20467365028203063</v>
      </c>
      <c r="BG57" s="179">
        <f t="shared" si="48"/>
        <v>0.25436475960247112</v>
      </c>
      <c r="BH57" s="179">
        <f t="shared" si="48"/>
        <v>0.23314531291968843</v>
      </c>
      <c r="BI57" s="179">
        <f t="shared" si="48"/>
        <v>0.3080848777867311</v>
      </c>
      <c r="BJ57" s="690">
        <f>BJ76/$V76</f>
        <v>0.20461238411998545</v>
      </c>
      <c r="BK57" s="179">
        <f>BK76/$V76</f>
        <v>0.25903662345495837</v>
      </c>
      <c r="BL57" s="928">
        <v>0.23</v>
      </c>
      <c r="BM57" s="179">
        <f>BM76/$V76</f>
        <v>0.3063509924250562</v>
      </c>
      <c r="BN57" s="927">
        <v>0.21</v>
      </c>
      <c r="BO57" s="928">
        <v>0.26</v>
      </c>
      <c r="BP57" s="928">
        <v>0.22</v>
      </c>
      <c r="BQ57" s="179">
        <f>BQ76/$W76</f>
        <v>0.31</v>
      </c>
      <c r="CR57"/>
      <c r="CS57"/>
      <c r="CT57"/>
      <c r="CU57"/>
      <c r="CV57"/>
      <c r="CW57"/>
    </row>
    <row r="58" spans="1:101" s="382" customFormat="1" outlineLevel="1">
      <c r="A58" s="563"/>
      <c r="B58" s="563"/>
      <c r="C58" s="563"/>
      <c r="D58" s="563"/>
      <c r="E58" s="563"/>
      <c r="F58" s="563"/>
      <c r="G58" s="563"/>
      <c r="H58" s="556"/>
      <c r="I58" s="556"/>
      <c r="J58" s="33" t="s">
        <v>530</v>
      </c>
      <c r="K58" s="28"/>
      <c r="L58" s="28"/>
      <c r="M58" s="28"/>
      <c r="N58" s="28"/>
      <c r="O58" s="28"/>
      <c r="P58" s="299"/>
      <c r="Q58" s="299"/>
      <c r="R58" s="299"/>
      <c r="S58" s="299"/>
      <c r="T58" s="299"/>
      <c r="U58" s="174"/>
      <c r="V58" s="174"/>
      <c r="W58" s="174"/>
      <c r="X58" s="174"/>
      <c r="Y58" s="174"/>
      <c r="Z58" s="174"/>
      <c r="AA58" s="174"/>
      <c r="AB58" s="174"/>
      <c r="AC58" s="174"/>
      <c r="AD58" s="174"/>
      <c r="AE58" s="28"/>
      <c r="AF58" s="28"/>
      <c r="AG58" s="96"/>
      <c r="AH58" s="28"/>
      <c r="AI58" s="28"/>
      <c r="AJ58" s="28"/>
      <c r="AK58" s="28"/>
      <c r="AL58" s="1755"/>
      <c r="AM58" s="176"/>
      <c r="AN58" s="176"/>
      <c r="AO58" s="176"/>
      <c r="AP58" s="1755"/>
      <c r="AQ58" s="176"/>
      <c r="AR58" s="176"/>
      <c r="AS58" s="28"/>
      <c r="AT58" s="690">
        <f t="shared" si="45"/>
        <v>0.17593657086223982</v>
      </c>
      <c r="AU58" s="179">
        <f t="shared" si="45"/>
        <v>0.21677898909811694</v>
      </c>
      <c r="AV58" s="179">
        <f t="shared" si="45"/>
        <v>0.24191278493557977</v>
      </c>
      <c r="AW58" s="179">
        <f t="shared" si="45"/>
        <v>0.36718904856293361</v>
      </c>
      <c r="AX58" s="690">
        <f t="shared" si="46"/>
        <v>0.12784935579781961</v>
      </c>
      <c r="AY58" s="179">
        <f t="shared" si="46"/>
        <v>0.2358771060455897</v>
      </c>
      <c r="AZ58" s="179">
        <f t="shared" si="46"/>
        <v>0.26560951437066405</v>
      </c>
      <c r="BA58" s="179">
        <f t="shared" si="46"/>
        <v>0.37066402378592667</v>
      </c>
      <c r="BB58" s="690">
        <f t="shared" si="47"/>
        <v>0.17817479478512796</v>
      </c>
      <c r="BC58" s="179">
        <f t="shared" si="47"/>
        <v>0.2404635441815548</v>
      </c>
      <c r="BD58" s="179">
        <f t="shared" si="47"/>
        <v>0.25929502655721876</v>
      </c>
      <c r="BE58" s="179">
        <f t="shared" si="47"/>
        <v>0.32206663447609851</v>
      </c>
      <c r="BF58" s="690">
        <f t="shared" si="48"/>
        <v>0.18572927597061908</v>
      </c>
      <c r="BG58" s="179">
        <f t="shared" si="48"/>
        <v>0.229800629590766</v>
      </c>
      <c r="BH58" s="179">
        <f t="shared" si="48"/>
        <v>0.25183630640083943</v>
      </c>
      <c r="BI58" s="179">
        <f t="shared" si="48"/>
        <v>0.33228401538999652</v>
      </c>
      <c r="BJ58" s="690">
        <f>BJ77/$V77</f>
        <v>0.20119266589893095</v>
      </c>
      <c r="BK58" s="179">
        <f>BK77/$V77</f>
        <v>0.25927978728707374</v>
      </c>
      <c r="BL58" s="179">
        <f>BL77/$V77</f>
        <v>0.24166551743826198</v>
      </c>
      <c r="BM58" s="179">
        <f>BM77/$V77</f>
        <v>0.29786202937573331</v>
      </c>
      <c r="BN58" s="927">
        <v>0.19</v>
      </c>
      <c r="BO58" s="928">
        <v>0.25</v>
      </c>
      <c r="BP58" s="928">
        <v>0.23</v>
      </c>
      <c r="BQ58" s="179">
        <f>BQ77/$W77</f>
        <v>0.32999999999999996</v>
      </c>
      <c r="CR58"/>
      <c r="CS58"/>
      <c r="CT58"/>
      <c r="CU58"/>
      <c r="CV58"/>
      <c r="CW58"/>
    </row>
    <row r="59" spans="1:101" s="382" customFormat="1" outlineLevel="1">
      <c r="H59" s="570"/>
      <c r="I59" s="574"/>
      <c r="J59" s="294"/>
      <c r="K59" s="28"/>
      <c r="L59" s="28"/>
      <c r="M59" s="28"/>
      <c r="N59" s="87"/>
      <c r="O59" s="87"/>
      <c r="P59" s="87"/>
      <c r="Q59" s="87"/>
      <c r="R59" s="87"/>
      <c r="S59" s="87"/>
      <c r="T59" s="87"/>
      <c r="U59" s="321"/>
      <c r="V59" s="321"/>
      <c r="W59" s="321"/>
      <c r="X59" s="321"/>
      <c r="Y59" s="321"/>
      <c r="Z59" s="321"/>
      <c r="AA59" s="321"/>
      <c r="AB59" s="321"/>
      <c r="AC59" s="321"/>
      <c r="AD59" s="321"/>
      <c r="AE59" s="28"/>
      <c r="AF59" s="606"/>
      <c r="AG59" s="96"/>
      <c r="AH59" s="28"/>
      <c r="AI59" s="28"/>
      <c r="AJ59" s="28"/>
      <c r="AK59" s="28"/>
      <c r="AL59" s="665"/>
      <c r="AM59" s="87"/>
      <c r="AN59" s="87"/>
      <c r="AO59" s="87"/>
      <c r="AP59" s="665"/>
      <c r="AQ59" s="87"/>
      <c r="AR59" s="87"/>
      <c r="AS59" s="87"/>
      <c r="AT59" s="665"/>
      <c r="AU59" s="87"/>
      <c r="AV59" s="87"/>
      <c r="AW59" s="87"/>
      <c r="AX59" s="665"/>
      <c r="AY59" s="87"/>
      <c r="AZ59" s="87"/>
      <c r="BA59" s="87"/>
      <c r="BB59" s="665"/>
      <c r="BC59" s="87"/>
      <c r="BD59" s="87"/>
      <c r="BE59" s="87"/>
      <c r="BF59" s="665"/>
      <c r="BG59" s="187"/>
      <c r="BH59" s="87"/>
      <c r="BI59" s="87"/>
      <c r="BJ59" s="665"/>
      <c r="BK59" s="87"/>
      <c r="BL59" s="87"/>
      <c r="BM59" s="87"/>
      <c r="BN59" s="665"/>
      <c r="BO59" s="87"/>
      <c r="BP59" s="87"/>
      <c r="BQ59" s="87"/>
      <c r="CR59"/>
      <c r="CS59"/>
      <c r="CT59"/>
      <c r="CU59"/>
      <c r="CV59"/>
      <c r="CW59"/>
    </row>
    <row r="60" spans="1:101" s="500" customFormat="1" outlineLevel="1">
      <c r="A60" s="290"/>
      <c r="B60" s="290"/>
      <c r="C60" s="290"/>
      <c r="D60" s="290"/>
      <c r="E60" s="290"/>
      <c r="F60" s="290"/>
      <c r="G60" s="290"/>
      <c r="H60" s="557"/>
      <c r="I60" s="719"/>
      <c r="J60" s="718" t="s">
        <v>368</v>
      </c>
      <c r="K60" s="521"/>
      <c r="L60" s="521"/>
      <c r="M60" s="521"/>
      <c r="Q60" s="720"/>
      <c r="R60" s="720"/>
      <c r="S60" s="720"/>
      <c r="T60" s="720"/>
      <c r="U60" s="813"/>
      <c r="V60" s="813"/>
      <c r="W60" s="721"/>
      <c r="X60" s="721"/>
      <c r="Y60" s="721"/>
      <c r="Z60" s="721"/>
      <c r="AA60" s="721"/>
      <c r="AB60" s="721"/>
      <c r="AC60" s="721"/>
      <c r="AD60" s="721"/>
      <c r="AF60" s="722"/>
      <c r="AG60" s="513"/>
      <c r="AH60" s="521"/>
      <c r="AI60" s="521"/>
      <c r="AJ60" s="521"/>
      <c r="AK60" s="521"/>
      <c r="AL60" s="1768"/>
      <c r="AM60" s="723"/>
      <c r="AN60" s="723"/>
      <c r="AO60" s="723"/>
      <c r="AP60" s="1735"/>
      <c r="AQ60" s="724"/>
      <c r="AR60" s="724"/>
      <c r="AS60" s="724"/>
      <c r="AT60" s="1735"/>
      <c r="AU60" s="724"/>
      <c r="AV60" s="724"/>
      <c r="AW60" s="737"/>
      <c r="AX60" s="1689"/>
      <c r="AY60" s="720"/>
      <c r="AZ60" s="720"/>
      <c r="BA60" s="720"/>
      <c r="BB60" s="1689"/>
      <c r="BC60" s="720"/>
      <c r="BD60" s="720"/>
      <c r="BE60" s="720"/>
      <c r="BF60" s="745"/>
      <c r="BG60" s="301"/>
      <c r="BH60" s="301"/>
      <c r="BI60" s="301"/>
      <c r="BJ60" s="745"/>
      <c r="BK60" s="301"/>
      <c r="BL60" s="301"/>
      <c r="BM60" s="301"/>
      <c r="BN60" s="745"/>
      <c r="BO60" s="301"/>
      <c r="BP60" s="301"/>
      <c r="BQ60" s="301"/>
      <c r="BR60" s="506"/>
      <c r="CR60"/>
      <c r="CS60"/>
      <c r="CT60"/>
      <c r="CU60"/>
      <c r="CV60"/>
      <c r="CW60"/>
    </row>
    <row r="61" spans="1:101" outlineLevel="1">
      <c r="I61" s="566"/>
      <c r="J61" s="185" t="s">
        <v>124</v>
      </c>
      <c r="K61" s="11"/>
      <c r="L61" s="11"/>
      <c r="M61" s="11"/>
      <c r="N61" s="11"/>
      <c r="O61" s="74" t="str">
        <f t="shared" ref="O61:U61" si="49">IF(ISERROR(O47/N47-1),"--",O47/N47-1)</f>
        <v>--</v>
      </c>
      <c r="P61" s="74" t="str">
        <f t="shared" si="49"/>
        <v>--</v>
      </c>
      <c r="Q61" s="74">
        <f t="shared" si="49"/>
        <v>1.3439999999999999</v>
      </c>
      <c r="R61" s="74">
        <f t="shared" si="49"/>
        <v>0.61774744027303763</v>
      </c>
      <c r="S61" s="77">
        <f t="shared" si="49"/>
        <v>1.037974683544304</v>
      </c>
      <c r="T61" s="77">
        <f t="shared" si="49"/>
        <v>0.6045548654244306</v>
      </c>
      <c r="U61" s="77">
        <f t="shared" si="49"/>
        <v>0.46193548387096772</v>
      </c>
      <c r="V61" s="930">
        <v>0.32</v>
      </c>
      <c r="W61" s="928">
        <v>0.255</v>
      </c>
      <c r="X61" s="928">
        <v>0.20499999999999999</v>
      </c>
      <c r="Y61" s="928">
        <v>0.16</v>
      </c>
      <c r="Z61" s="928">
        <v>0.13</v>
      </c>
      <c r="AA61" s="928">
        <v>0.1</v>
      </c>
      <c r="AB61" s="928">
        <v>6.5000000000000002E-2</v>
      </c>
      <c r="AC61" s="928">
        <v>0.05</v>
      </c>
      <c r="AD61" s="928">
        <v>0.04</v>
      </c>
      <c r="AE61" s="82"/>
      <c r="AF61" s="82"/>
      <c r="AG61" s="725"/>
      <c r="AH61" s="82"/>
      <c r="AI61" s="82"/>
      <c r="AJ61" s="82"/>
      <c r="AK61" s="82"/>
      <c r="AL61" s="690"/>
      <c r="AM61" s="82"/>
      <c r="AN61" s="82"/>
      <c r="AO61" s="82"/>
      <c r="AP61" s="675"/>
      <c r="AQ61" s="74"/>
      <c r="AR61" s="74"/>
      <c r="AS61" s="74"/>
      <c r="AT61" s="675"/>
      <c r="AU61" s="74"/>
      <c r="AV61" s="74"/>
      <c r="AW61" s="77"/>
      <c r="AX61" s="675"/>
      <c r="AY61" s="77"/>
      <c r="AZ61" s="223"/>
      <c r="BA61" s="301">
        <f t="shared" ref="BA61:BM61" si="50">BA47/AW47-1</f>
        <v>1.037974683544304</v>
      </c>
      <c r="BB61" s="745">
        <f t="shared" si="50"/>
        <v>0.89549549549549545</v>
      </c>
      <c r="BC61" s="301">
        <f t="shared" si="50"/>
        <v>0.73529411764705888</v>
      </c>
      <c r="BD61" s="301">
        <f t="shared" si="50"/>
        <v>0.59299516908212557</v>
      </c>
      <c r="BE61" s="301">
        <f t="shared" si="50"/>
        <v>0.6045548654244306</v>
      </c>
      <c r="BF61" s="745">
        <f t="shared" si="50"/>
        <v>0.60646387832699622</v>
      </c>
      <c r="BG61" s="301">
        <f t="shared" si="50"/>
        <v>0.59406779661016951</v>
      </c>
      <c r="BH61" s="301">
        <f t="shared" si="50"/>
        <v>0.50644427596664143</v>
      </c>
      <c r="BI61" s="301">
        <f t="shared" si="50"/>
        <v>0.46193548387096772</v>
      </c>
      <c r="BJ61" s="745">
        <f t="shared" si="50"/>
        <v>0.39940828402366857</v>
      </c>
      <c r="BK61" s="301">
        <f t="shared" si="50"/>
        <v>0.37320574162679421</v>
      </c>
      <c r="BL61" s="301">
        <f t="shared" si="50"/>
        <v>0.34021137393054857</v>
      </c>
      <c r="BM61" s="301">
        <f t="shared" si="50"/>
        <v>0.29082082965578104</v>
      </c>
      <c r="BN61" s="1258">
        <v>0.3317934782608698</v>
      </c>
      <c r="BO61" s="904">
        <v>0.3</v>
      </c>
      <c r="BP61" s="904">
        <v>0.33</v>
      </c>
      <c r="BQ61" s="301">
        <f>BQ47/BM47-1</f>
        <v>0.25499999999999989</v>
      </c>
    </row>
    <row r="62" spans="1:101" outlineLevel="1">
      <c r="I62" s="566"/>
      <c r="J62" s="191" t="s">
        <v>544</v>
      </c>
      <c r="K62" s="11"/>
      <c r="L62" s="11"/>
      <c r="M62" s="11"/>
      <c r="N62" s="63"/>
      <c r="O62" s="63"/>
      <c r="P62" s="63"/>
      <c r="Q62" s="301">
        <f>Q48/P48-1</f>
        <v>-4.3690181711911968E-2</v>
      </c>
      <c r="R62" s="301">
        <f>R48/Q48-1</f>
        <v>5.8349307222500313E-2</v>
      </c>
      <c r="S62" s="301">
        <f>S48/R48-1</f>
        <v>1.7336863725223361E-2</v>
      </c>
      <c r="T62" s="301">
        <f>T48/S48-1</f>
        <v>0.10824973345565447</v>
      </c>
      <c r="U62" s="301">
        <f>U48/T48-1</f>
        <v>-2.6961170961875891E-2</v>
      </c>
      <c r="V62" s="929">
        <v>7.0000000000000007E-2</v>
      </c>
      <c r="W62" s="929">
        <v>4.4999999999999998E-2</v>
      </c>
      <c r="X62" s="929">
        <v>3.5000000000000003E-2</v>
      </c>
      <c r="Y62" s="929">
        <f t="shared" ref="Y62:AD62" si="51">X62</f>
        <v>3.5000000000000003E-2</v>
      </c>
      <c r="Z62" s="929">
        <f t="shared" si="51"/>
        <v>3.5000000000000003E-2</v>
      </c>
      <c r="AA62" s="929">
        <f t="shared" si="51"/>
        <v>3.5000000000000003E-2</v>
      </c>
      <c r="AB62" s="929">
        <f t="shared" si="51"/>
        <v>3.5000000000000003E-2</v>
      </c>
      <c r="AC62" s="929">
        <f t="shared" si="51"/>
        <v>3.5000000000000003E-2</v>
      </c>
      <c r="AD62" s="929">
        <f t="shared" si="51"/>
        <v>3.5000000000000003E-2</v>
      </c>
      <c r="AE62" s="48"/>
      <c r="AF62" s="48"/>
      <c r="AG62" s="726"/>
      <c r="AH62" s="82"/>
      <c r="AI62" s="82"/>
      <c r="AJ62" s="82"/>
      <c r="AK62" s="82"/>
      <c r="AL62" s="1769"/>
      <c r="AM62" s="727"/>
      <c r="AN62" s="727"/>
      <c r="AO62" s="727"/>
      <c r="AP62" s="1714"/>
      <c r="AQ62" s="728"/>
      <c r="AR62" s="728"/>
      <c r="AS62" s="728"/>
      <c r="AT62" s="1714"/>
      <c r="AU62" s="728"/>
      <c r="AV62" s="728"/>
      <c r="AW62" s="729"/>
      <c r="AX62" s="1714"/>
      <c r="AY62" s="729"/>
      <c r="AZ62" s="729"/>
      <c r="BA62" s="729"/>
      <c r="BB62" s="745">
        <f t="shared" ref="BB62:BP62" si="52">BB48/AX48-1</f>
        <v>0.10105128653021178</v>
      </c>
      <c r="BC62" s="301">
        <f t="shared" si="52"/>
        <v>0.14944990507067257</v>
      </c>
      <c r="BD62" s="301">
        <f t="shared" si="52"/>
        <v>0.18479075558689795</v>
      </c>
      <c r="BE62" s="301">
        <f t="shared" si="52"/>
        <v>0.1080102154670104</v>
      </c>
      <c r="BF62" s="745">
        <f t="shared" si="52"/>
        <v>3.2559371172781404E-2</v>
      </c>
      <c r="BG62" s="301">
        <f t="shared" si="52"/>
        <v>-2.9180529639612152E-2</v>
      </c>
      <c r="BH62" s="301">
        <f t="shared" si="52"/>
        <v>-2.2145308933770314E-2</v>
      </c>
      <c r="BI62" s="301">
        <f t="shared" si="52"/>
        <v>-2.6750829667228859E-2</v>
      </c>
      <c r="BJ62" s="745">
        <f t="shared" si="52"/>
        <v>1.0714257255410642E-2</v>
      </c>
      <c r="BK62" s="301">
        <f t="shared" si="52"/>
        <v>4.2550522648083566E-2</v>
      </c>
      <c r="BL62" s="301">
        <f t="shared" si="52"/>
        <v>5.7298438699757925E-2</v>
      </c>
      <c r="BM62" s="301">
        <f t="shared" si="52"/>
        <v>6.6455409339639226E-2</v>
      </c>
      <c r="BN62" s="745">
        <f t="shared" si="52"/>
        <v>1.2358373604017148E-2</v>
      </c>
      <c r="BO62" s="301">
        <f t="shared" si="52"/>
        <v>6.577157150895907E-3</v>
      </c>
      <c r="BP62" s="301">
        <f t="shared" si="52"/>
        <v>-3.1286503586380743E-2</v>
      </c>
      <c r="BQ62" s="301">
        <f>BQ48/BM48-1</f>
        <v>4.4999999999999929E-2</v>
      </c>
    </row>
    <row r="63" spans="1:101" outlineLevel="1">
      <c r="J63" s="185" t="s">
        <v>87</v>
      </c>
      <c r="K63" s="11"/>
      <c r="L63" s="11"/>
      <c r="M63" s="11"/>
      <c r="N63" s="63"/>
      <c r="O63" s="44" t="str">
        <f t="shared" ref="O63:AD63" si="53">IF(ISERROR(O49/N49-1),"--",O49/N49-1)</f>
        <v>--</v>
      </c>
      <c r="P63" s="44" t="str">
        <f t="shared" si="53"/>
        <v>--</v>
      </c>
      <c r="Q63" s="74">
        <f t="shared" si="53"/>
        <v>1.9408194233687404</v>
      </c>
      <c r="R63" s="74">
        <f t="shared" si="53"/>
        <v>0.66821465428276583</v>
      </c>
      <c r="S63" s="77">
        <f t="shared" si="53"/>
        <v>1.1311475409836067</v>
      </c>
      <c r="T63" s="77">
        <f t="shared" si="53"/>
        <v>0.83323657474600865</v>
      </c>
      <c r="U63" s="77">
        <f t="shared" si="53"/>
        <v>0.26142031509777541</v>
      </c>
      <c r="V63" s="77">
        <f t="shared" si="53"/>
        <v>0.37660285627468859</v>
      </c>
      <c r="W63" s="77">
        <f t="shared" si="53"/>
        <v>0.29849009900990064</v>
      </c>
      <c r="X63" s="77">
        <f t="shared" si="53"/>
        <v>0.23482673267326715</v>
      </c>
      <c r="Y63" s="77">
        <f t="shared" si="53"/>
        <v>0.18871287128712844</v>
      </c>
      <c r="Z63" s="77">
        <f t="shared" si="53"/>
        <v>0.12722772277227712</v>
      </c>
      <c r="AA63" s="77">
        <f t="shared" si="53"/>
        <v>6.5742574257425801E-2</v>
      </c>
      <c r="AB63" s="77">
        <f t="shared" si="53"/>
        <v>6.5742574257425801E-2</v>
      </c>
      <c r="AC63" s="77">
        <f t="shared" si="53"/>
        <v>6.5742574257425579E-2</v>
      </c>
      <c r="AD63" s="77">
        <f t="shared" si="53"/>
        <v>6.5742574257425801E-2</v>
      </c>
      <c r="AE63" s="48"/>
      <c r="AF63" s="48"/>
      <c r="AG63" s="726"/>
      <c r="AH63" s="82"/>
      <c r="AI63" s="82"/>
      <c r="AJ63" s="82"/>
      <c r="AK63" s="82"/>
      <c r="AL63" s="690"/>
      <c r="AM63" s="82"/>
      <c r="AN63" s="82"/>
      <c r="AO63" s="82"/>
      <c r="AP63" s="675"/>
      <c r="AQ63" s="74"/>
      <c r="AR63" s="74"/>
      <c r="AS63" s="74"/>
      <c r="AT63" s="675"/>
      <c r="AU63" s="74"/>
      <c r="AV63" s="74"/>
      <c r="AW63" s="77"/>
      <c r="AX63" s="675" t="str">
        <f t="shared" ref="AX63:BE63" si="54">IF(ISERROR(AX49/AT49-1),"--",AX49/AT49-1)</f>
        <v>--</v>
      </c>
      <c r="AY63" s="77" t="str">
        <f t="shared" si="54"/>
        <v>--</v>
      </c>
      <c r="AZ63" s="77" t="str">
        <f t="shared" si="54"/>
        <v>--</v>
      </c>
      <c r="BA63" s="77">
        <f t="shared" si="54"/>
        <v>1.1304885590599878</v>
      </c>
      <c r="BB63" s="675">
        <f t="shared" si="54"/>
        <v>0.99164768413059989</v>
      </c>
      <c r="BC63" s="77">
        <f t="shared" si="54"/>
        <v>0.91032496914849848</v>
      </c>
      <c r="BD63" s="77">
        <f t="shared" si="54"/>
        <v>0.8533196088522903</v>
      </c>
      <c r="BE63" s="77">
        <f t="shared" si="54"/>
        <v>0.85820029027576195</v>
      </c>
      <c r="BF63" s="745">
        <f t="shared" ref="BF63:BK63" si="55">BF49/BB49-1</f>
        <v>0.77303342228999883</v>
      </c>
      <c r="BG63" s="301">
        <f t="shared" si="55"/>
        <v>0.62413867355727826</v>
      </c>
      <c r="BH63" s="301">
        <f t="shared" si="55"/>
        <v>0.5134684809775063</v>
      </c>
      <c r="BI63" s="301">
        <f t="shared" si="55"/>
        <v>0.38670624072483006</v>
      </c>
      <c r="BJ63" s="745">
        <f t="shared" si="55"/>
        <v>0.36926605504587151</v>
      </c>
      <c r="BK63" s="301">
        <f t="shared" si="55"/>
        <v>0.38064302287040097</v>
      </c>
      <c r="BL63" s="301"/>
      <c r="BM63" s="301"/>
      <c r="BN63" s="745"/>
      <c r="BO63" s="301"/>
      <c r="BP63" s="301"/>
      <c r="BQ63" s="301"/>
    </row>
    <row r="64" spans="1:101" s="382" customFormat="1" outlineLevel="1">
      <c r="H64" s="570"/>
      <c r="I64" s="566"/>
      <c r="J64" s="191" t="s">
        <v>110</v>
      </c>
      <c r="K64" s="28"/>
      <c r="L64" s="28"/>
      <c r="M64" s="28"/>
      <c r="N64" s="174"/>
      <c r="O64" s="174"/>
      <c r="P64" s="174"/>
      <c r="Q64" s="301">
        <f t="shared" ref="Q64:U65" si="56">Q51/P51-1</f>
        <v>-0.23776679511334542</v>
      </c>
      <c r="R64" s="301">
        <f t="shared" si="56"/>
        <v>2.6331880180049838E-2</v>
      </c>
      <c r="S64" s="301">
        <f t="shared" si="56"/>
        <v>-2.7140668096843457E-2</v>
      </c>
      <c r="T64" s="301">
        <f t="shared" si="56"/>
        <v>-2.9995622813726919E-2</v>
      </c>
      <c r="U64" s="301">
        <f t="shared" si="56"/>
        <v>0.12771292354271879</v>
      </c>
      <c r="V64" s="611">
        <v>0</v>
      </c>
      <c r="W64" s="969">
        <v>0.01</v>
      </c>
      <c r="X64" s="969">
        <f t="shared" ref="X64:AD64" si="57">W64</f>
        <v>0.01</v>
      </c>
      <c r="Y64" s="969">
        <f t="shared" si="57"/>
        <v>0.01</v>
      </c>
      <c r="Z64" s="969">
        <f t="shared" si="57"/>
        <v>0.01</v>
      </c>
      <c r="AA64" s="969">
        <f t="shared" si="57"/>
        <v>0.01</v>
      </c>
      <c r="AB64" s="969">
        <f t="shared" si="57"/>
        <v>0.01</v>
      </c>
      <c r="AC64" s="969">
        <f t="shared" si="57"/>
        <v>0.01</v>
      </c>
      <c r="AD64" s="969">
        <f t="shared" si="57"/>
        <v>0.01</v>
      </c>
      <c r="AE64" s="301"/>
      <c r="AF64" s="301"/>
      <c r="AG64" s="730"/>
      <c r="AH64" s="179"/>
      <c r="AI64" s="179"/>
      <c r="AJ64" s="179"/>
      <c r="AK64" s="179"/>
      <c r="AL64" s="1769"/>
      <c r="AM64" s="731"/>
      <c r="AN64" s="731"/>
      <c r="AO64" s="731"/>
      <c r="AP64" s="1714"/>
      <c r="AQ64" s="729"/>
      <c r="AR64" s="729"/>
      <c r="AS64" s="729"/>
      <c r="AT64" s="1714"/>
      <c r="AU64" s="729"/>
      <c r="AV64" s="729"/>
      <c r="AW64" s="729"/>
      <c r="AX64" s="745"/>
      <c r="AY64" s="301"/>
      <c r="AZ64" s="301"/>
      <c r="BA64" s="301"/>
      <c r="BB64" s="745">
        <f t="shared" ref="BB64:BK65" si="58">BB51/AX51-1</f>
        <v>4.78950522007493E-2</v>
      </c>
      <c r="BC64" s="301">
        <f t="shared" si="58"/>
        <v>4.4133166352418485E-2</v>
      </c>
      <c r="BD64" s="301">
        <f t="shared" si="58"/>
        <v>1.8370464008570897E-2</v>
      </c>
      <c r="BE64" s="301">
        <f t="shared" si="58"/>
        <v>-4.3233826045886548E-2</v>
      </c>
      <c r="BF64" s="745">
        <f t="shared" si="58"/>
        <v>-6.4445536579512352E-2</v>
      </c>
      <c r="BG64" s="301">
        <f t="shared" si="58"/>
        <v>-4.7155221891181598E-2</v>
      </c>
      <c r="BH64" s="301">
        <f t="shared" si="58"/>
        <v>-2.668366034790004E-2</v>
      </c>
      <c r="BI64" s="301">
        <f t="shared" si="58"/>
        <v>0.14331641504962866</v>
      </c>
      <c r="BJ64" s="745">
        <f t="shared" si="58"/>
        <v>3.2963534860043886E-2</v>
      </c>
      <c r="BK64" s="301">
        <f t="shared" si="58"/>
        <v>3.6934486265642663E-2</v>
      </c>
      <c r="BL64" s="301"/>
      <c r="BM64" s="301"/>
      <c r="BN64" s="745"/>
      <c r="BO64" s="301"/>
      <c r="BP64" s="301"/>
      <c r="BQ64" s="301"/>
      <c r="CR64"/>
      <c r="CS64"/>
      <c r="CT64"/>
      <c r="CU64"/>
      <c r="CV64"/>
      <c r="CW64"/>
    </row>
    <row r="65" spans="1:101" s="382" customFormat="1" outlineLevel="1">
      <c r="H65" s="570"/>
      <c r="I65" s="566"/>
      <c r="J65" s="294" t="s">
        <v>116</v>
      </c>
      <c r="K65" s="28"/>
      <c r="L65" s="28"/>
      <c r="M65" s="28"/>
      <c r="N65" s="174"/>
      <c r="O65" s="174"/>
      <c r="P65" s="174"/>
      <c r="Q65" s="301">
        <f t="shared" si="56"/>
        <v>0.25461579495253428</v>
      </c>
      <c r="R65" s="301">
        <f t="shared" si="56"/>
        <v>3.1195978280274872E-2</v>
      </c>
      <c r="S65" s="301">
        <f t="shared" si="56"/>
        <v>4.5718358619285304E-2</v>
      </c>
      <c r="T65" s="301">
        <f t="shared" si="56"/>
        <v>0.14252034271267378</v>
      </c>
      <c r="U65" s="301">
        <f t="shared" si="56"/>
        <v>-0.13715733080249259</v>
      </c>
      <c r="V65" s="301">
        <f t="shared" ref="V65:AD65" si="59">V52/U52-1</f>
        <v>6.6455409339639226E-2</v>
      </c>
      <c r="W65" s="301">
        <f t="shared" si="59"/>
        <v>3.4653465346534684E-2</v>
      </c>
      <c r="X65" s="301">
        <f t="shared" si="59"/>
        <v>2.4752475247524552E-2</v>
      </c>
      <c r="Y65" s="301">
        <f t="shared" si="59"/>
        <v>2.4752475247524552E-2</v>
      </c>
      <c r="Z65" s="301">
        <f t="shared" si="59"/>
        <v>2.4752475247524552E-2</v>
      </c>
      <c r="AA65" s="301">
        <f t="shared" si="59"/>
        <v>2.4752475247524552E-2</v>
      </c>
      <c r="AB65" s="301">
        <f t="shared" si="59"/>
        <v>2.4752475247524774E-2</v>
      </c>
      <c r="AC65" s="301">
        <f t="shared" si="59"/>
        <v>2.4752475247524552E-2</v>
      </c>
      <c r="AD65" s="301">
        <f t="shared" si="59"/>
        <v>2.4752475247524774E-2</v>
      </c>
      <c r="AE65" s="301"/>
      <c r="AF65" s="301"/>
      <c r="AG65" s="730"/>
      <c r="AH65" s="179"/>
      <c r="AI65" s="179"/>
      <c r="AJ65" s="179"/>
      <c r="AK65" s="179"/>
      <c r="AL65" s="1769"/>
      <c r="AM65" s="731"/>
      <c r="AN65" s="731"/>
      <c r="AO65" s="731"/>
      <c r="AP65" s="1714"/>
      <c r="AQ65" s="729"/>
      <c r="AR65" s="729"/>
      <c r="AS65" s="729"/>
      <c r="AT65" s="1714"/>
      <c r="AU65" s="729"/>
      <c r="AV65" s="729"/>
      <c r="AW65" s="729"/>
      <c r="AX65" s="745"/>
      <c r="AY65" s="301"/>
      <c r="AZ65" s="301"/>
      <c r="BA65" s="301"/>
      <c r="BB65" s="745">
        <f t="shared" si="58"/>
        <v>5.0726677464337344E-2</v>
      </c>
      <c r="BC65" s="301">
        <f t="shared" si="58"/>
        <v>0.10086523645845702</v>
      </c>
      <c r="BD65" s="301">
        <f t="shared" si="58"/>
        <v>0.16341822299446251</v>
      </c>
      <c r="BE65" s="301">
        <f t="shared" si="58"/>
        <v>0.15807837445573258</v>
      </c>
      <c r="BF65" s="745">
        <f t="shared" si="58"/>
        <v>0.10368707707046054</v>
      </c>
      <c r="BG65" s="301">
        <f t="shared" si="58"/>
        <v>5.447889750215329E-2</v>
      </c>
      <c r="BH65" s="301">
        <f t="shared" si="58"/>
        <v>2.5603998889197399E-2</v>
      </c>
      <c r="BI65" s="301">
        <f t="shared" si="58"/>
        <v>-0.14874906235775087</v>
      </c>
      <c r="BJ65" s="745">
        <f t="shared" si="58"/>
        <v>-2.1539267218806168E-2</v>
      </c>
      <c r="BK65" s="301">
        <f t="shared" si="58"/>
        <v>-2.8541576293559912E-2</v>
      </c>
      <c r="BL65" s="301"/>
      <c r="BM65" s="301"/>
      <c r="BN65" s="745"/>
      <c r="BO65" s="301"/>
      <c r="BP65" s="301"/>
      <c r="BQ65" s="301"/>
      <c r="CR65"/>
      <c r="CS65"/>
      <c r="CT65"/>
      <c r="CU65"/>
      <c r="CV65"/>
      <c r="CW65"/>
    </row>
    <row r="66" spans="1:101" s="382" customFormat="1" outlineLevel="1">
      <c r="H66" s="570"/>
      <c r="I66" s="574"/>
      <c r="J66" s="294"/>
      <c r="K66" s="28"/>
      <c r="L66" s="28"/>
      <c r="M66" s="28"/>
      <c r="N66" s="87"/>
      <c r="O66" s="87"/>
      <c r="P66" s="87"/>
      <c r="Q66" s="77"/>
      <c r="R66" s="77"/>
      <c r="S66" s="77"/>
      <c r="T66" s="77"/>
      <c r="U66" s="732"/>
      <c r="V66" s="732"/>
      <c r="W66" s="732"/>
      <c r="X66" s="732"/>
      <c r="Y66" s="732"/>
      <c r="Z66" s="732"/>
      <c r="AA66" s="732"/>
      <c r="AB66" s="732"/>
      <c r="AC66" s="732"/>
      <c r="AD66" s="732"/>
      <c r="AE66" s="179"/>
      <c r="AF66" s="77"/>
      <c r="AG66" s="733"/>
      <c r="AH66" s="179"/>
      <c r="AI66" s="179"/>
      <c r="AJ66" s="179"/>
      <c r="AK66" s="179"/>
      <c r="AL66" s="675"/>
      <c r="AM66" s="77"/>
      <c r="AN66" s="77"/>
      <c r="AO66" s="77"/>
      <c r="AP66" s="675"/>
      <c r="AQ66" s="77"/>
      <c r="AR66" s="77"/>
      <c r="AS66" s="77"/>
      <c r="AT66" s="675"/>
      <c r="AU66" s="77"/>
      <c r="AV66" s="77"/>
      <c r="AW66" s="77"/>
      <c r="AX66" s="675"/>
      <c r="AY66" s="77"/>
      <c r="AZ66" s="77"/>
      <c r="BA66" s="77"/>
      <c r="BB66" s="675"/>
      <c r="BC66" s="77"/>
      <c r="BD66" s="77"/>
      <c r="BE66" s="77"/>
      <c r="BF66" s="675"/>
      <c r="BG66" s="77"/>
      <c r="BH66" s="77"/>
      <c r="BI66" s="77"/>
      <c r="BJ66" s="675"/>
      <c r="BK66" s="77"/>
      <c r="BL66" s="77"/>
      <c r="BM66" s="77"/>
      <c r="BN66" s="675"/>
      <c r="BO66" s="77"/>
      <c r="BP66" s="77"/>
      <c r="BQ66" s="77"/>
      <c r="CR66"/>
      <c r="CS66"/>
      <c r="CT66"/>
      <c r="CU66"/>
      <c r="CV66"/>
      <c r="CW66"/>
    </row>
    <row r="67" spans="1:101" s="382" customFormat="1" outlineLevel="1">
      <c r="H67" s="570"/>
      <c r="I67" s="574"/>
      <c r="J67" s="718" t="s">
        <v>545</v>
      </c>
      <c r="K67" s="28"/>
      <c r="L67" s="28"/>
      <c r="M67" s="28"/>
      <c r="N67" s="87"/>
      <c r="O67" s="87"/>
      <c r="P67" s="87"/>
      <c r="Q67" s="87"/>
      <c r="R67" s="87"/>
      <c r="S67" s="87"/>
      <c r="T67" s="87"/>
      <c r="U67" s="321"/>
      <c r="V67" s="321"/>
      <c r="W67" s="321"/>
      <c r="X67" s="321"/>
      <c r="Y67" s="321"/>
      <c r="Z67" s="321"/>
      <c r="AA67" s="321"/>
      <c r="AB67" s="321"/>
      <c r="AC67" s="321"/>
      <c r="AD67" s="321"/>
      <c r="AE67" s="28"/>
      <c r="AF67" s="606"/>
      <c r="AG67" s="96"/>
      <c r="AH67" s="28"/>
      <c r="AI67" s="28"/>
      <c r="AJ67" s="28"/>
      <c r="AK67" s="28"/>
      <c r="AL67" s="665"/>
      <c r="AM67" s="87"/>
      <c r="AN67" s="87"/>
      <c r="AO67" s="87"/>
      <c r="AP67" s="665"/>
      <c r="AQ67" s="87"/>
      <c r="AR67" s="87"/>
      <c r="AS67" s="87"/>
      <c r="AT67" s="665"/>
      <c r="AU67" s="87"/>
      <c r="AV67" s="87"/>
      <c r="AW67" s="87"/>
      <c r="AX67" s="665"/>
      <c r="AY67" s="87"/>
      <c r="AZ67" s="87"/>
      <c r="BA67" s="87"/>
      <c r="BB67" s="665"/>
      <c r="BC67" s="87"/>
      <c r="BD67" s="87"/>
      <c r="BE67" s="87"/>
      <c r="BF67" s="665"/>
      <c r="BG67" s="87"/>
      <c r="BH67" s="87"/>
      <c r="BI67" s="87"/>
      <c r="BJ67" s="665"/>
      <c r="BK67" s="87"/>
      <c r="BL67" s="87"/>
      <c r="BM67" s="87"/>
      <c r="BN67" s="665"/>
      <c r="BO67" s="87"/>
      <c r="BP67" s="87"/>
      <c r="BQ67" s="87"/>
      <c r="CR67"/>
      <c r="CS67"/>
      <c r="CT67"/>
      <c r="CU67"/>
      <c r="CV67"/>
      <c r="CW67"/>
    </row>
    <row r="68" spans="1:101" outlineLevel="1">
      <c r="I68" s="566"/>
      <c r="J68" s="185" t="str">
        <f>"Active Customers: "&amp;IF(Scenario!$J$58=1,Scenario!$K$59,(IF(Scenario!$J$58=2,Scenario!$K$60,(IF(Scenario!$J$58=3,Scenario!$K$61,(IF(Scenario!$J$58=4,Scenario!$K$62)))))))</f>
        <v>Active Customers: Base Case</v>
      </c>
      <c r="K68" s="11"/>
      <c r="L68" s="11"/>
      <c r="M68" s="11"/>
      <c r="N68" s="11"/>
      <c r="O68" s="74" t="str">
        <f t="shared" ref="O68:V68" si="60">IF(ISERROR(O47/N47-1),"--",O47/N47-1)</f>
        <v>--</v>
      </c>
      <c r="P68" s="74" t="str">
        <f t="shared" si="60"/>
        <v>--</v>
      </c>
      <c r="Q68" s="74">
        <f t="shared" si="60"/>
        <v>1.3439999999999999</v>
      </c>
      <c r="R68" s="74">
        <f t="shared" si="60"/>
        <v>0.61774744027303763</v>
      </c>
      <c r="S68" s="77">
        <f t="shared" si="60"/>
        <v>1.037974683544304</v>
      </c>
      <c r="T68" s="77">
        <f t="shared" si="60"/>
        <v>0.6045548654244306</v>
      </c>
      <c r="U68" s="77">
        <f t="shared" si="60"/>
        <v>0.46193548387096772</v>
      </c>
      <c r="V68" s="77">
        <f t="shared" si="60"/>
        <v>0.29082082965578104</v>
      </c>
      <c r="W68" s="864">
        <f>CHOOSE(Scenario!$J$58,Model!W61,Scenario!W22,Scenario!W33,Scenario!W44)</f>
        <v>0.255</v>
      </c>
      <c r="X68" s="864">
        <f>CHOOSE(Scenario!$J$58,Model!X61,Scenario!X22,Scenario!X33,Scenario!X44)</f>
        <v>0.20499999999999999</v>
      </c>
      <c r="Y68" s="864">
        <f>CHOOSE(Scenario!$J$58,Model!Y61,Scenario!Y22,Scenario!Y33,Scenario!Y44)</f>
        <v>0.16</v>
      </c>
      <c r="Z68" s="864">
        <v>0.1</v>
      </c>
      <c r="AA68" s="864">
        <v>0.04</v>
      </c>
      <c r="AB68" s="864">
        <f>AA68</f>
        <v>0.04</v>
      </c>
      <c r="AC68" s="864">
        <f>AB68</f>
        <v>0.04</v>
      </c>
      <c r="AD68" s="864">
        <f>AC68</f>
        <v>0.04</v>
      </c>
      <c r="AE68" s="11"/>
      <c r="AF68" s="11"/>
      <c r="AG68" s="95"/>
      <c r="AH68" s="11"/>
      <c r="AI68" s="11"/>
      <c r="AJ68" s="11"/>
      <c r="AK68" s="11"/>
      <c r="AL68" s="1770"/>
      <c r="AM68" s="26"/>
      <c r="AN68" s="26"/>
      <c r="AO68" s="26"/>
      <c r="AP68" s="746"/>
      <c r="AQ68" s="44"/>
      <c r="AR68" s="44"/>
      <c r="AS68" s="44"/>
      <c r="AT68" s="746"/>
      <c r="AU68" s="44"/>
      <c r="AV68" s="44"/>
      <c r="AW68" s="46"/>
      <c r="AX68" s="746" t="str">
        <f t="shared" ref="AX68:BQ68" si="61">IF(ISERROR(AX47/AT47-1),"--",AX47/AT47-1)</f>
        <v>--</v>
      </c>
      <c r="AY68" s="46" t="str">
        <f t="shared" si="61"/>
        <v>--</v>
      </c>
      <c r="AZ68" s="46" t="str">
        <f t="shared" si="61"/>
        <v>--</v>
      </c>
      <c r="BA68" s="46">
        <f t="shared" si="61"/>
        <v>1.037974683544304</v>
      </c>
      <c r="BB68" s="746">
        <f t="shared" si="61"/>
        <v>0.89549549549549545</v>
      </c>
      <c r="BC68" s="46">
        <f t="shared" si="61"/>
        <v>0.73529411764705888</v>
      </c>
      <c r="BD68" s="46">
        <f t="shared" si="61"/>
        <v>0.59299516908212557</v>
      </c>
      <c r="BE68" s="46">
        <f t="shared" si="61"/>
        <v>0.6045548654244306</v>
      </c>
      <c r="BF68" s="746">
        <f t="shared" si="61"/>
        <v>0.60646387832699622</v>
      </c>
      <c r="BG68" s="46">
        <f t="shared" si="61"/>
        <v>0.59406779661016951</v>
      </c>
      <c r="BH68" s="46">
        <f t="shared" si="61"/>
        <v>0.50644427596664143</v>
      </c>
      <c r="BI68" s="46">
        <f t="shared" si="61"/>
        <v>0.46193548387096772</v>
      </c>
      <c r="BJ68" s="746">
        <f t="shared" si="61"/>
        <v>0.39940828402366857</v>
      </c>
      <c r="BK68" s="46">
        <f t="shared" si="61"/>
        <v>0.37320574162679421</v>
      </c>
      <c r="BL68" s="46">
        <f t="shared" si="61"/>
        <v>0.34021137393054857</v>
      </c>
      <c r="BM68" s="46">
        <f t="shared" si="61"/>
        <v>0.29082082965578104</v>
      </c>
      <c r="BN68" s="746">
        <f t="shared" si="61"/>
        <v>0.33179347826087002</v>
      </c>
      <c r="BO68" s="46">
        <f t="shared" si="61"/>
        <v>0.30000000000000004</v>
      </c>
      <c r="BP68" s="46">
        <f t="shared" si="61"/>
        <v>0.33000000000000007</v>
      </c>
      <c r="BQ68" s="46">
        <f t="shared" si="61"/>
        <v>0.25499999999999989</v>
      </c>
    </row>
    <row r="69" spans="1:101" outlineLevel="1">
      <c r="I69" s="566"/>
      <c r="J69" s="191" t="s">
        <v>544</v>
      </c>
      <c r="K69" s="11"/>
      <c r="L69" s="11"/>
      <c r="M69" s="11"/>
      <c r="N69" s="63"/>
      <c r="O69" s="63"/>
      <c r="P69" s="63"/>
      <c r="Q69" s="301">
        <f>Q48/P48-1</f>
        <v>-4.3690181711911968E-2</v>
      </c>
      <c r="R69" s="301">
        <f>R48/Q48-1</f>
        <v>5.8349307222500313E-2</v>
      </c>
      <c r="S69" s="301">
        <f>S48/R48-1</f>
        <v>1.7336863725223361E-2</v>
      </c>
      <c r="T69" s="301">
        <f>T48/S48-1</f>
        <v>0.10824973345565447</v>
      </c>
      <c r="U69" s="301">
        <f>U48/T48-1</f>
        <v>-2.6961170961875891E-2</v>
      </c>
      <c r="V69" s="864">
        <f>CHOOSE(Scenario!$J$65,Model!V62,Scenario!V23,Scenario!V34,Scenario!V45)</f>
        <v>7.0000000000000007E-2</v>
      </c>
      <c r="W69" s="865">
        <f>CHOOSE(Scenario!$J$65,Model!W62,Scenario!W23,Scenario!W34,Scenario!W45)</f>
        <v>4.4999999999999998E-2</v>
      </c>
      <c r="X69" s="865">
        <f>CHOOSE(Scenario!$J$65,Model!X62,Scenario!X23,Scenario!X34,Scenario!X45)</f>
        <v>3.5000000000000003E-2</v>
      </c>
      <c r="Y69" s="865">
        <f>CHOOSE(Scenario!$J$65,Model!Y62,Scenario!Y23,Scenario!Y34,Scenario!Y45)</f>
        <v>3.5000000000000003E-2</v>
      </c>
      <c r="Z69" s="865">
        <f>CHOOSE(Scenario!$J$65,Model!Z62,Scenario!Z23,Scenario!Z34,Scenario!Z45)</f>
        <v>3.5000000000000003E-2</v>
      </c>
      <c r="AA69" s="865">
        <f>CHOOSE(Scenario!$J$65,Model!AA62,Scenario!AA23,Scenario!AA34,Scenario!AA45)</f>
        <v>3.5000000000000003E-2</v>
      </c>
      <c r="AB69" s="865">
        <f>CHOOSE(Scenario!$J$65,Model!AB62,Scenario!AB23,Scenario!AB34,Scenario!AB45)</f>
        <v>3.5000000000000003E-2</v>
      </c>
      <c r="AC69" s="865">
        <f>CHOOSE(Scenario!$J$65,Model!AC62,Scenario!AC23,Scenario!AC34,Scenario!AC45)</f>
        <v>3.5000000000000003E-2</v>
      </c>
      <c r="AD69" s="865">
        <f>CHOOSE(Scenario!$J$65,Model!AD62,Scenario!AD23,Scenario!AD34,Scenario!AD45)</f>
        <v>3.5000000000000003E-2</v>
      </c>
      <c r="AE69" s="63"/>
      <c r="AF69" s="337"/>
      <c r="AG69" s="183"/>
      <c r="AH69" s="11"/>
      <c r="AI69" s="11"/>
      <c r="AJ69" s="11"/>
      <c r="AK69" s="11"/>
      <c r="AL69" s="1758"/>
      <c r="AM69" s="57"/>
      <c r="AN69" s="57"/>
      <c r="AO69" s="57"/>
      <c r="AP69" s="1736"/>
      <c r="AQ69" s="311"/>
      <c r="AR69" s="311"/>
      <c r="AS69" s="311"/>
      <c r="AT69" s="1736"/>
      <c r="AU69" s="311"/>
      <c r="AV69" s="311"/>
      <c r="AW69" s="312"/>
      <c r="AX69" s="745"/>
      <c r="AY69" s="301"/>
      <c r="AZ69" s="301"/>
      <c r="BA69" s="301"/>
      <c r="BB69" s="745">
        <f t="shared" ref="BB69:BQ69" si="62">BB48/AX48-1</f>
        <v>0.10105128653021178</v>
      </c>
      <c r="BC69" s="301">
        <f t="shared" si="62"/>
        <v>0.14944990507067257</v>
      </c>
      <c r="BD69" s="301">
        <f t="shared" si="62"/>
        <v>0.18479075558689795</v>
      </c>
      <c r="BE69" s="301">
        <f t="shared" si="62"/>
        <v>0.1080102154670104</v>
      </c>
      <c r="BF69" s="745">
        <f t="shared" si="62"/>
        <v>3.2559371172781404E-2</v>
      </c>
      <c r="BG69" s="301">
        <f t="shared" si="62"/>
        <v>-2.9180529639612152E-2</v>
      </c>
      <c r="BH69" s="301">
        <f t="shared" si="62"/>
        <v>-2.2145308933770314E-2</v>
      </c>
      <c r="BI69" s="301">
        <f t="shared" si="62"/>
        <v>-2.6750829667228859E-2</v>
      </c>
      <c r="BJ69" s="745">
        <f t="shared" si="62"/>
        <v>1.0714257255410642E-2</v>
      </c>
      <c r="BK69" s="301">
        <f t="shared" si="62"/>
        <v>4.2550522648083566E-2</v>
      </c>
      <c r="BL69" s="301">
        <f t="shared" si="62"/>
        <v>5.7298438699757925E-2</v>
      </c>
      <c r="BM69" s="301">
        <f t="shared" si="62"/>
        <v>6.6455409339639226E-2</v>
      </c>
      <c r="BN69" s="745">
        <f t="shared" si="62"/>
        <v>1.2358373604017148E-2</v>
      </c>
      <c r="BO69" s="301">
        <f t="shared" si="62"/>
        <v>6.577157150895907E-3</v>
      </c>
      <c r="BP69" s="301">
        <f t="shared" si="62"/>
        <v>-3.1286503586380743E-2</v>
      </c>
      <c r="BQ69" s="301">
        <f t="shared" si="62"/>
        <v>4.4999999999999929E-2</v>
      </c>
    </row>
    <row r="70" spans="1:101" s="382" customFormat="1" outlineLevel="1">
      <c r="A70" s="563"/>
      <c r="B70" s="563"/>
      <c r="C70" s="563"/>
      <c r="D70" s="563"/>
      <c r="E70" s="563"/>
      <c r="F70" s="563"/>
      <c r="G70" s="563"/>
      <c r="H70" s="556"/>
      <c r="I70" s="556"/>
      <c r="J70" s="33"/>
      <c r="K70" s="172"/>
      <c r="L70" s="172"/>
      <c r="M70" s="172"/>
      <c r="N70" s="28"/>
      <c r="O70" s="28"/>
      <c r="P70" s="174"/>
      <c r="Q70" s="174"/>
      <c r="R70" s="174"/>
      <c r="S70" s="174"/>
      <c r="T70" s="779"/>
      <c r="U70" s="548"/>
      <c r="V70" s="174"/>
      <c r="W70" s="174"/>
      <c r="X70" s="174"/>
      <c r="Y70" s="174"/>
      <c r="Z70" s="174"/>
      <c r="AA70" s="174"/>
      <c r="AB70" s="174"/>
      <c r="AC70" s="174"/>
      <c r="AD70" s="548"/>
      <c r="AE70" s="28"/>
      <c r="AF70" s="28"/>
      <c r="AG70" s="96"/>
      <c r="AH70" s="172"/>
      <c r="AI70" s="172"/>
      <c r="AJ70" s="172"/>
      <c r="AK70" s="172"/>
      <c r="AL70" s="1757"/>
      <c r="AM70" s="175"/>
      <c r="AN70" s="175"/>
      <c r="AO70" s="175"/>
      <c r="AP70" s="1757"/>
      <c r="AQ70" s="175"/>
      <c r="AR70" s="175"/>
      <c r="AS70" s="172"/>
      <c r="AT70" s="667"/>
      <c r="AU70" s="172"/>
      <c r="AV70" s="172"/>
      <c r="AW70" s="172"/>
      <c r="AX70" s="667"/>
      <c r="AY70" s="172"/>
      <c r="AZ70" s="172"/>
      <c r="BA70" s="172"/>
      <c r="BB70" s="745"/>
      <c r="BC70" s="301"/>
      <c r="BD70" s="301"/>
      <c r="BE70" s="172"/>
      <c r="BF70" s="667"/>
      <c r="BG70" s="624"/>
      <c r="BH70" s="172"/>
      <c r="BI70" s="172"/>
      <c r="BJ70" s="667"/>
      <c r="BK70" s="624"/>
      <c r="BL70" s="172"/>
      <c r="BM70" s="172"/>
      <c r="BN70" s="667"/>
      <c r="BO70" s="172"/>
      <c r="BP70" s="172"/>
      <c r="BQ70" s="172"/>
      <c r="CR70"/>
      <c r="CS70"/>
      <c r="CT70"/>
      <c r="CU70"/>
      <c r="CV70"/>
      <c r="CW70"/>
    </row>
    <row r="71" spans="1:101" s="382" customFormat="1" outlineLevel="1">
      <c r="A71" s="563"/>
      <c r="B71" s="563"/>
      <c r="C71" s="563"/>
      <c r="D71" s="563"/>
      <c r="E71" s="563"/>
      <c r="F71" s="563"/>
      <c r="G71" s="563"/>
      <c r="H71" s="556"/>
      <c r="I71" s="556"/>
      <c r="J71" s="13" t="s">
        <v>599</v>
      </c>
      <c r="K71" s="172"/>
      <c r="L71" s="172"/>
      <c r="M71" s="172"/>
      <c r="N71" s="329"/>
      <c r="O71" s="329"/>
      <c r="P71" s="1348">
        <f>P75/P74</f>
        <v>46714.285714285717</v>
      </c>
      <c r="Q71" s="1348">
        <f>Q75/Q74</f>
        <v>104714.28571428572</v>
      </c>
      <c r="R71" s="1348">
        <f>R75/R74</f>
        <v>179285.71428571429</v>
      </c>
      <c r="S71" s="1348">
        <f>S75/S74</f>
        <v>371714.28571428574</v>
      </c>
      <c r="T71" s="1348">
        <f>T75/T74</f>
        <v>661000</v>
      </c>
      <c r="U71" s="1457">
        <f>SUM(BF71:BI71)</f>
        <v>939100</v>
      </c>
      <c r="V71" s="1458">
        <f>SUM(BJ71:BM71)</f>
        <v>1294400</v>
      </c>
      <c r="W71" s="1348">
        <f>W75/W74</f>
        <v>1697573.2399999998</v>
      </c>
      <c r="X71" s="1348">
        <f>X75/X74</f>
        <v>2117170.9055969995</v>
      </c>
      <c r="Y71" s="1348">
        <f t="shared" ref="Y71:AD71" si="63">Y75/Y74</f>
        <v>2541875.3892597575</v>
      </c>
      <c r="Z71" s="1348">
        <f t="shared" si="63"/>
        <v>2893925.1306722336</v>
      </c>
      <c r="AA71" s="1348">
        <f t="shared" si="63"/>
        <v>3115021.0106555927</v>
      </c>
      <c r="AB71" s="1348">
        <f t="shared" si="63"/>
        <v>3353008.6158696795</v>
      </c>
      <c r="AC71" s="1348">
        <f t="shared" si="63"/>
        <v>3609178.4741221229</v>
      </c>
      <c r="AD71" s="1348">
        <f t="shared" si="63"/>
        <v>3884919.7095450535</v>
      </c>
      <c r="AE71" s="28"/>
      <c r="AF71" s="79"/>
      <c r="AG71" s="96"/>
      <c r="AH71" s="202"/>
      <c r="AI71" s="202"/>
      <c r="AJ71" s="202"/>
      <c r="AK71" s="202"/>
      <c r="AL71" s="753"/>
      <c r="AM71" s="202"/>
      <c r="AN71" s="202"/>
      <c r="AO71" s="202"/>
      <c r="AP71" s="1715"/>
      <c r="AQ71" s="329"/>
      <c r="AR71" s="329"/>
      <c r="AS71" s="329"/>
      <c r="AT71" s="1602"/>
      <c r="AU71" s="1288"/>
      <c r="AV71" s="942"/>
      <c r="AW71" s="942"/>
      <c r="AX71" s="1602"/>
      <c r="AY71" s="1288"/>
      <c r="AZ71" s="942"/>
      <c r="BA71" s="942"/>
      <c r="BB71" s="1690"/>
      <c r="BC71" s="942"/>
      <c r="BD71" s="942"/>
      <c r="BE71" s="942"/>
      <c r="BF71" s="1602">
        <v>178600</v>
      </c>
      <c r="BG71" s="1288">
        <v>228900</v>
      </c>
      <c r="BH71" s="1288">
        <v>228600</v>
      </c>
      <c r="BI71" s="1288">
        <v>303000</v>
      </c>
      <c r="BJ71" s="1602">
        <v>253200</v>
      </c>
      <c r="BK71" s="1288">
        <v>335300</v>
      </c>
      <c r="BL71" s="1288">
        <v>302500</v>
      </c>
      <c r="BM71" s="1288">
        <v>403400</v>
      </c>
      <c r="BN71" s="1450">
        <f>BN75/BN74</f>
        <v>340177.72693278827</v>
      </c>
      <c r="BO71" s="844">
        <f>BO75/BO74</f>
        <v>431893.96612072474</v>
      </c>
      <c r="BP71" s="844">
        <f>BP75/BP74</f>
        <v>378857.31951849256</v>
      </c>
      <c r="BQ71" s="1368">
        <f>W71-SUM(BN71:BP71)</f>
        <v>546644.22742799413</v>
      </c>
      <c r="CR71"/>
      <c r="CS71"/>
      <c r="CT71"/>
      <c r="CU71"/>
      <c r="CV71"/>
      <c r="CW71"/>
    </row>
    <row r="72" spans="1:101" s="382" customFormat="1" outlineLevel="1">
      <c r="A72" s="563"/>
      <c r="B72" s="563"/>
      <c r="C72" s="563"/>
      <c r="D72" s="563"/>
      <c r="E72" s="563"/>
      <c r="F72" s="563"/>
      <c r="G72" s="563"/>
      <c r="H72" s="556"/>
      <c r="I72" s="556"/>
      <c r="J72" s="186" t="s">
        <v>601</v>
      </c>
      <c r="K72" s="172"/>
      <c r="L72" s="172"/>
      <c r="M72" s="172"/>
      <c r="N72" s="329"/>
      <c r="O72" s="329"/>
      <c r="P72" s="1288"/>
      <c r="Q72" s="1288"/>
      <c r="R72" s="942"/>
      <c r="S72" s="942"/>
      <c r="T72" s="942"/>
      <c r="U72" s="942"/>
      <c r="V72" s="93">
        <f>V71/U71-1</f>
        <v>0.37834096475348744</v>
      </c>
      <c r="W72" s="93">
        <f>W71/V71-1</f>
        <v>0.31147499999999972</v>
      </c>
      <c r="X72" s="93">
        <f t="shared" ref="X72:AD72" si="64">X71/W71-1</f>
        <v>0.24717499999999992</v>
      </c>
      <c r="Y72" s="93">
        <f t="shared" si="64"/>
        <v>0.20059999999999989</v>
      </c>
      <c r="Z72" s="93">
        <f t="shared" si="64"/>
        <v>0.13849999999999985</v>
      </c>
      <c r="AA72" s="93">
        <f t="shared" si="64"/>
        <v>7.6400000000000023E-2</v>
      </c>
      <c r="AB72" s="93">
        <f t="shared" si="64"/>
        <v>7.6399999999999801E-2</v>
      </c>
      <c r="AC72" s="93">
        <f t="shared" si="64"/>
        <v>7.6400000000000023E-2</v>
      </c>
      <c r="AD72" s="93">
        <f t="shared" si="64"/>
        <v>7.6400000000000245E-2</v>
      </c>
      <c r="AE72" s="28"/>
      <c r="AF72" s="79"/>
      <c r="AG72" s="96"/>
      <c r="AH72" s="202"/>
      <c r="AI72" s="202"/>
      <c r="AJ72" s="202"/>
      <c r="AK72" s="202"/>
      <c r="AL72" s="753"/>
      <c r="AM72" s="202"/>
      <c r="AN72" s="202"/>
      <c r="AO72" s="202"/>
      <c r="AP72" s="1715"/>
      <c r="AQ72" s="329"/>
      <c r="AR72" s="329"/>
      <c r="AS72" s="329"/>
      <c r="AT72" s="1602"/>
      <c r="AU72" s="1288"/>
      <c r="AV72" s="942"/>
      <c r="AW72" s="942"/>
      <c r="AX72" s="1602"/>
      <c r="AY72" s="1288"/>
      <c r="AZ72" s="942"/>
      <c r="BA72" s="942"/>
      <c r="BB72" s="1690"/>
      <c r="BC72" s="942"/>
      <c r="BD72" s="942"/>
      <c r="BE72" s="942"/>
      <c r="BF72" s="674"/>
      <c r="BG72" s="93"/>
      <c r="BH72" s="93"/>
      <c r="BI72" s="93"/>
      <c r="BJ72" s="674">
        <f t="shared" ref="BJ72:BQ72" si="65">BJ71/BF71-1</f>
        <v>0.41769316909294507</v>
      </c>
      <c r="BK72" s="93">
        <f t="shared" si="65"/>
        <v>0.46483180428134552</v>
      </c>
      <c r="BL72" s="93">
        <f t="shared" si="65"/>
        <v>0.32327209098862641</v>
      </c>
      <c r="BM72" s="93">
        <f t="shared" si="65"/>
        <v>0.33135313531353128</v>
      </c>
      <c r="BN72" s="674">
        <f t="shared" si="65"/>
        <v>0.34351392943439274</v>
      </c>
      <c r="BO72" s="93">
        <f t="shared" si="65"/>
        <v>0.28808221330368244</v>
      </c>
      <c r="BP72" s="93">
        <f t="shared" si="65"/>
        <v>0.25242089097022324</v>
      </c>
      <c r="BQ72" s="93">
        <f t="shared" si="65"/>
        <v>0.35509228415467065</v>
      </c>
      <c r="CR72"/>
      <c r="CS72"/>
      <c r="CT72"/>
      <c r="CU72"/>
      <c r="CV72"/>
      <c r="CW72"/>
    </row>
    <row r="73" spans="1:101" s="382" customFormat="1" outlineLevel="1">
      <c r="A73" s="563"/>
      <c r="B73" s="563"/>
      <c r="C73" s="563"/>
      <c r="D73" s="563"/>
      <c r="E73" s="563"/>
      <c r="F73" s="563"/>
      <c r="G73" s="563"/>
      <c r="H73" s="556"/>
      <c r="I73" s="556"/>
      <c r="J73" s="186" t="s">
        <v>602</v>
      </c>
      <c r="K73" s="172"/>
      <c r="L73" s="172"/>
      <c r="M73" s="172"/>
      <c r="N73" s="329"/>
      <c r="O73" s="329"/>
      <c r="P73" s="1288"/>
      <c r="Q73" s="1288"/>
      <c r="R73" s="942"/>
      <c r="S73" s="942"/>
      <c r="T73" s="942"/>
      <c r="U73" s="942"/>
      <c r="V73" s="1289"/>
      <c r="W73" s="1289"/>
      <c r="X73" s="1289"/>
      <c r="Y73" s="1289"/>
      <c r="Z73" s="1289"/>
      <c r="AA73" s="1289"/>
      <c r="AB73" s="1289"/>
      <c r="AC73" s="1289"/>
      <c r="AD73" s="1289"/>
      <c r="AE73" s="28"/>
      <c r="AF73" s="79"/>
      <c r="AG73" s="96"/>
      <c r="AH73" s="202"/>
      <c r="AI73" s="202"/>
      <c r="AJ73" s="202"/>
      <c r="AK73" s="202"/>
      <c r="AL73" s="753"/>
      <c r="AM73" s="202"/>
      <c r="AN73" s="202"/>
      <c r="AO73" s="202"/>
      <c r="AP73" s="1715"/>
      <c r="AQ73" s="329"/>
      <c r="AR73" s="329"/>
      <c r="AS73" s="329"/>
      <c r="AT73" s="1602"/>
      <c r="AU73" s="1288"/>
      <c r="AV73" s="942"/>
      <c r="AW73" s="942"/>
      <c r="AX73" s="1602"/>
      <c r="AY73" s="1288"/>
      <c r="AZ73" s="942"/>
      <c r="BA73" s="942"/>
      <c r="BB73" s="1690"/>
      <c r="BC73" s="942"/>
      <c r="BD73" s="942"/>
      <c r="BE73" s="942"/>
      <c r="BF73" s="674"/>
      <c r="BG73" s="93">
        <f>BG71/BF71-1</f>
        <v>0.28163493840985443</v>
      </c>
      <c r="BH73" s="93">
        <f t="shared" ref="BH73:BQ73" si="66">BH71/BG71-1</f>
        <v>-1.3106159895150959E-3</v>
      </c>
      <c r="BI73" s="93">
        <f t="shared" si="66"/>
        <v>0.32545931758530178</v>
      </c>
      <c r="BJ73" s="674">
        <f t="shared" si="66"/>
        <v>-0.16435643564356439</v>
      </c>
      <c r="BK73" s="93">
        <f t="shared" si="66"/>
        <v>0.32424960505529232</v>
      </c>
      <c r="BL73" s="93">
        <f t="shared" si="66"/>
        <v>-9.7822845213241916E-2</v>
      </c>
      <c r="BM73" s="93">
        <f t="shared" si="66"/>
        <v>0.33355371900826447</v>
      </c>
      <c r="BN73" s="674">
        <f t="shared" si="66"/>
        <v>-0.15672353264058436</v>
      </c>
      <c r="BO73" s="93">
        <f t="shared" si="66"/>
        <v>0.26961271102284012</v>
      </c>
      <c r="BP73" s="93">
        <f t="shared" si="66"/>
        <v>-0.12280015643332043</v>
      </c>
      <c r="BQ73" s="93">
        <f t="shared" si="66"/>
        <v>0.44287624724460861</v>
      </c>
      <c r="CR73"/>
      <c r="CS73"/>
      <c r="CT73"/>
      <c r="CU73"/>
      <c r="CV73"/>
      <c r="CW73"/>
    </row>
    <row r="74" spans="1:101" s="382" customFormat="1" outlineLevel="1">
      <c r="A74" s="563"/>
      <c r="B74" s="563"/>
      <c r="C74" s="563"/>
      <c r="D74" s="563"/>
      <c r="E74" s="563"/>
      <c r="F74" s="563"/>
      <c r="G74" s="563"/>
      <c r="H74" s="556"/>
      <c r="I74" s="556"/>
      <c r="J74" s="186" t="s">
        <v>600</v>
      </c>
      <c r="K74" s="28"/>
      <c r="L74" s="28"/>
      <c r="M74" s="28"/>
      <c r="N74" s="221"/>
      <c r="O74" s="221"/>
      <c r="P74" s="1301">
        <v>0.7</v>
      </c>
      <c r="Q74" s="1301">
        <v>0.7</v>
      </c>
      <c r="R74" s="1301">
        <v>0.7</v>
      </c>
      <c r="S74" s="1301">
        <v>0.7</v>
      </c>
      <c r="T74" s="1301">
        <v>0.7</v>
      </c>
      <c r="U74" s="855"/>
      <c r="V74" s="1301">
        <v>0.7</v>
      </c>
      <c r="W74" s="1301">
        <v>0.7</v>
      </c>
      <c r="X74" s="1301">
        <v>0.7</v>
      </c>
      <c r="Y74" s="1301">
        <f t="shared" ref="Y74:AD74" si="67">X74</f>
        <v>0.7</v>
      </c>
      <c r="Z74" s="1301">
        <f t="shared" si="67"/>
        <v>0.7</v>
      </c>
      <c r="AA74" s="1301">
        <f t="shared" si="67"/>
        <v>0.7</v>
      </c>
      <c r="AB74" s="1301">
        <f t="shared" si="67"/>
        <v>0.7</v>
      </c>
      <c r="AC74" s="1301">
        <f t="shared" si="67"/>
        <v>0.7</v>
      </c>
      <c r="AD74" s="1301">
        <f t="shared" si="67"/>
        <v>0.7</v>
      </c>
      <c r="AE74" s="28"/>
      <c r="AF74" s="79"/>
      <c r="AG74" s="96"/>
      <c r="AH74" s="310"/>
      <c r="AI74" s="310"/>
      <c r="AJ74" s="310"/>
      <c r="AK74" s="310"/>
      <c r="AL74" s="760"/>
      <c r="AM74" s="310"/>
      <c r="AN74" s="310"/>
      <c r="AO74" s="310"/>
      <c r="AP74" s="1717"/>
      <c r="AQ74" s="221"/>
      <c r="AR74" s="221"/>
      <c r="AS74" s="221"/>
      <c r="AT74" s="1459"/>
      <c r="AU74" s="1264"/>
      <c r="AV74" s="855"/>
      <c r="AW74" s="855"/>
      <c r="AX74" s="1459"/>
      <c r="AY74" s="1264"/>
      <c r="AZ74" s="855"/>
      <c r="BA74" s="855"/>
      <c r="BB74" s="941"/>
      <c r="BC74" s="855"/>
      <c r="BD74" s="855"/>
      <c r="BE74" s="855"/>
      <c r="BF74" s="674">
        <f t="shared" ref="BF74:BK74" si="68">BF75/BF71</f>
        <v>0.72396416573348266</v>
      </c>
      <c r="BG74" s="93">
        <f t="shared" si="68"/>
        <v>0.70074268239405857</v>
      </c>
      <c r="BH74" s="93">
        <f t="shared" si="68"/>
        <v>0.69466316710411202</v>
      </c>
      <c r="BI74" s="93">
        <f t="shared" si="68"/>
        <v>0.69207920792079203</v>
      </c>
      <c r="BJ74" s="674">
        <f t="shared" si="68"/>
        <v>0.72709320695102686</v>
      </c>
      <c r="BK74" s="93">
        <f t="shared" si="68"/>
        <v>0.70026841634357295</v>
      </c>
      <c r="BL74" s="1302">
        <f>AVERAGE(BH74:BK74)</f>
        <v>0.70352599957987594</v>
      </c>
      <c r="BM74" s="1303">
        <f>BL74</f>
        <v>0.70352599957987594</v>
      </c>
      <c r="BN74" s="1653">
        <f>BM74</f>
        <v>0.70352599957987594</v>
      </c>
      <c r="BO74" s="1303">
        <f>BN74</f>
        <v>0.70352599957987594</v>
      </c>
      <c r="BP74" s="1303">
        <f>BO74</f>
        <v>0.70352599957987594</v>
      </c>
      <c r="BQ74" s="93">
        <f>BQ75/BQ71</f>
        <v>0.69257620402598963</v>
      </c>
      <c r="CR74"/>
      <c r="CS74"/>
      <c r="CT74"/>
      <c r="CU74"/>
      <c r="CV74"/>
      <c r="CW74"/>
    </row>
    <row r="75" spans="1:101" s="382" customFormat="1" outlineLevel="1">
      <c r="A75" s="563"/>
      <c r="B75" s="563"/>
      <c r="C75" s="563"/>
      <c r="D75" s="563"/>
      <c r="E75" s="563"/>
      <c r="F75" s="563"/>
      <c r="G75" s="563"/>
      <c r="H75" s="556"/>
      <c r="I75" s="556"/>
      <c r="J75" s="13" t="s">
        <v>295</v>
      </c>
      <c r="K75" s="172"/>
      <c r="L75" s="172"/>
      <c r="M75" s="172"/>
      <c r="N75" s="329"/>
      <c r="O75" s="329"/>
      <c r="P75" s="1288">
        <v>32700</v>
      </c>
      <c r="Q75" s="1288">
        <v>73300</v>
      </c>
      <c r="R75" s="1288">
        <v>125500</v>
      </c>
      <c r="S75" s="1288">
        <v>260200</v>
      </c>
      <c r="T75" s="1288">
        <v>462700</v>
      </c>
      <c r="U75" s="1288">
        <v>658200</v>
      </c>
      <c r="V75" s="1348">
        <f>V71*V74</f>
        <v>906080</v>
      </c>
      <c r="W75" s="1289">
        <f t="shared" ref="W75:AD75" si="69">W47*W48/1000</f>
        <v>1188301.2679999997</v>
      </c>
      <c r="X75" s="1289">
        <f t="shared" si="69"/>
        <v>1482019.6339178996</v>
      </c>
      <c r="Y75" s="1289">
        <f t="shared" si="69"/>
        <v>1779312.7724818301</v>
      </c>
      <c r="Z75" s="1289">
        <f t="shared" si="69"/>
        <v>2025747.5914705636</v>
      </c>
      <c r="AA75" s="1289">
        <f t="shared" si="69"/>
        <v>2180514.7074589147</v>
      </c>
      <c r="AB75" s="1289">
        <f t="shared" si="69"/>
        <v>2347106.0311087756</v>
      </c>
      <c r="AC75" s="1289">
        <f t="shared" si="69"/>
        <v>2526424.931885486</v>
      </c>
      <c r="AD75" s="1289">
        <f t="shared" si="69"/>
        <v>2719443.7966815373</v>
      </c>
      <c r="AE75" s="28"/>
      <c r="AF75" s="79">
        <f>(Y75/V75)^(1/3)-1</f>
        <v>0.25226214009218939</v>
      </c>
      <c r="AG75" s="96"/>
      <c r="AH75" s="202"/>
      <c r="AI75" s="202"/>
      <c r="AJ75" s="202"/>
      <c r="AK75" s="202"/>
      <c r="AL75" s="753"/>
      <c r="AM75" s="202"/>
      <c r="AN75" s="202"/>
      <c r="AO75" s="202"/>
      <c r="AP75" s="1715"/>
      <c r="AQ75" s="329"/>
      <c r="AR75" s="329"/>
      <c r="AS75" s="329"/>
      <c r="AT75" s="1602">
        <v>24000</v>
      </c>
      <c r="AU75" s="1288">
        <v>30435</v>
      </c>
      <c r="AV75" s="1288">
        <v>31900</v>
      </c>
      <c r="AW75" s="1288">
        <v>39178.082191780821</v>
      </c>
      <c r="AX75" s="1602">
        <v>44100</v>
      </c>
      <c r="AY75" s="1288">
        <v>63000</v>
      </c>
      <c r="AZ75" s="1288">
        <v>67300</v>
      </c>
      <c r="BA75" s="1288">
        <v>85800</v>
      </c>
      <c r="BB75" s="1602">
        <v>87800</v>
      </c>
      <c r="BC75" s="1288">
        <v>114500</v>
      </c>
      <c r="BD75" s="1288">
        <v>115000</v>
      </c>
      <c r="BE75" s="1288">
        <v>145300</v>
      </c>
      <c r="BF75" s="1602">
        <v>129300</v>
      </c>
      <c r="BG75" s="1288">
        <v>160400</v>
      </c>
      <c r="BH75" s="1288">
        <v>158800</v>
      </c>
      <c r="BI75" s="1288">
        <v>209700</v>
      </c>
      <c r="BJ75" s="1602">
        <v>184100</v>
      </c>
      <c r="BK75" s="1288">
        <v>234800</v>
      </c>
      <c r="BL75" s="459">
        <f>BL71*BL74</f>
        <v>212816.61487291247</v>
      </c>
      <c r="BM75" s="844">
        <f>SUM(BM76:BM77)</f>
        <v>274363.38512708759</v>
      </c>
      <c r="BN75" s="1625">
        <f>SUM(BN76:BN77)</f>
        <v>239323.87537519995</v>
      </c>
      <c r="BO75" s="459">
        <f>SUM(BO76:BO77)</f>
        <v>303848.63422759995</v>
      </c>
      <c r="BP75" s="459">
        <f>SUM(BP76:BP77)</f>
        <v>266535.97441239993</v>
      </c>
      <c r="BQ75" s="844">
        <f>SUM(BQ76:BQ77)</f>
        <v>378592.78398479993</v>
      </c>
      <c r="CR75"/>
      <c r="CS75"/>
      <c r="CT75"/>
      <c r="CU75"/>
      <c r="CV75"/>
      <c r="CW75"/>
    </row>
    <row r="76" spans="1:101" s="382" customFormat="1" outlineLevel="1">
      <c r="A76" s="563"/>
      <c r="B76" s="563"/>
      <c r="C76" s="563"/>
      <c r="D76" s="563"/>
      <c r="E76" s="563"/>
      <c r="F76" s="563"/>
      <c r="G76" s="563"/>
      <c r="H76" s="556"/>
      <c r="I76" s="556"/>
      <c r="J76" s="17" t="s">
        <v>313</v>
      </c>
      <c r="K76" s="28"/>
      <c r="L76" s="28"/>
      <c r="M76" s="28"/>
      <c r="N76" s="221"/>
      <c r="O76" s="221"/>
      <c r="P76" s="1264">
        <v>29800</v>
      </c>
      <c r="Q76" s="1264">
        <v>56700</v>
      </c>
      <c r="R76" s="1264">
        <v>93705.882352941175</v>
      </c>
      <c r="S76" s="1264">
        <v>159300</v>
      </c>
      <c r="T76" s="1264">
        <v>255600</v>
      </c>
      <c r="U76" s="1264">
        <v>372300</v>
      </c>
      <c r="V76" s="857">
        <f t="shared" ref="V76:AD76" si="70">V$75*V83</f>
        <v>527338.56000000006</v>
      </c>
      <c r="W76" s="857">
        <f t="shared" si="70"/>
        <v>677331.72275999992</v>
      </c>
      <c r="X76" s="857">
        <f t="shared" si="70"/>
        <v>837341.09316361323</v>
      </c>
      <c r="Y76" s="857">
        <f t="shared" si="70"/>
        <v>996415.15258982498</v>
      </c>
      <c r="Z76" s="857">
        <f t="shared" si="70"/>
        <v>1114161.1753088101</v>
      </c>
      <c r="AA76" s="857">
        <f t="shared" si="70"/>
        <v>1199283.0891024033</v>
      </c>
      <c r="AB76" s="857">
        <f t="shared" si="70"/>
        <v>1290908.3171098267</v>
      </c>
      <c r="AC76" s="857">
        <f t="shared" si="70"/>
        <v>1389533.7125370174</v>
      </c>
      <c r="AD76" s="857">
        <f t="shared" si="70"/>
        <v>1495694.0881748456</v>
      </c>
      <c r="AE76" s="28"/>
      <c r="AF76" s="79">
        <f>(Y76/V76)^(1/3)-1</f>
        <v>0.23628025043074885</v>
      </c>
      <c r="AG76" s="96"/>
      <c r="AH76" s="310"/>
      <c r="AI76" s="310"/>
      <c r="AJ76" s="310"/>
      <c r="AK76" s="310"/>
      <c r="AL76" s="760"/>
      <c r="AM76" s="310"/>
      <c r="AN76" s="310"/>
      <c r="AO76" s="310"/>
      <c r="AP76" s="1717"/>
      <c r="AQ76" s="221"/>
      <c r="AR76" s="221"/>
      <c r="AS76" s="221"/>
      <c r="AT76" s="1459">
        <v>18400</v>
      </c>
      <c r="AU76" s="1264">
        <v>23600</v>
      </c>
      <c r="AV76" s="1264">
        <v>24200</v>
      </c>
      <c r="AW76" s="1264">
        <v>27344.632768361582</v>
      </c>
      <c r="AX76" s="1459">
        <v>31200</v>
      </c>
      <c r="AY76" s="1264">
        <v>39200</v>
      </c>
      <c r="AZ76" s="1264">
        <v>40500</v>
      </c>
      <c r="BA76" s="1264">
        <v>48400</v>
      </c>
      <c r="BB76" s="1459">
        <v>50900</v>
      </c>
      <c r="BC76" s="1264">
        <v>64700</v>
      </c>
      <c r="BD76" s="1264">
        <v>61300</v>
      </c>
      <c r="BE76" s="1264">
        <v>78700</v>
      </c>
      <c r="BF76" s="1459">
        <v>76200</v>
      </c>
      <c r="BG76" s="1264">
        <v>94700</v>
      </c>
      <c r="BH76" s="1264">
        <v>86800</v>
      </c>
      <c r="BI76" s="1264">
        <v>114700</v>
      </c>
      <c r="BJ76" s="1459">
        <v>107900</v>
      </c>
      <c r="BK76" s="1264">
        <v>136600</v>
      </c>
      <c r="BL76" s="875">
        <f>$V76*BL57</f>
        <v>121287.86880000001</v>
      </c>
      <c r="BM76" s="350">
        <f>V76-SUM(BJ76:BL76)</f>
        <v>161550.69120000006</v>
      </c>
      <c r="BN76" s="874">
        <f t="shared" ref="BN76:BP77" si="71">$W76*BN57</f>
        <v>142239.66177959996</v>
      </c>
      <c r="BO76" s="875">
        <f t="shared" si="71"/>
        <v>176106.24791759998</v>
      </c>
      <c r="BP76" s="875">
        <f t="shared" si="71"/>
        <v>149012.97900719999</v>
      </c>
      <c r="BQ76" s="1369">
        <f>W76-SUM(BN76:BP76)</f>
        <v>209972.83405559999</v>
      </c>
      <c r="CR76"/>
      <c r="CS76"/>
      <c r="CT76"/>
      <c r="CU76"/>
      <c r="CV76"/>
      <c r="CW76"/>
    </row>
    <row r="77" spans="1:101" s="382" customFormat="1" outlineLevel="1">
      <c r="A77" s="563"/>
      <c r="B77" s="563"/>
      <c r="C77" s="563"/>
      <c r="D77" s="563"/>
      <c r="E77" s="563"/>
      <c r="F77" s="563"/>
      <c r="G77" s="563"/>
      <c r="H77" s="556"/>
      <c r="I77" s="556"/>
      <c r="J77" s="33" t="s">
        <v>312</v>
      </c>
      <c r="K77" s="28"/>
      <c r="L77" s="28"/>
      <c r="M77" s="28"/>
      <c r="N77" s="221"/>
      <c r="O77" s="221"/>
      <c r="P77" s="1264">
        <v>2900</v>
      </c>
      <c r="Q77" s="1264">
        <v>16600</v>
      </c>
      <c r="R77" s="1264">
        <v>31829.652996845427</v>
      </c>
      <c r="S77" s="1264">
        <v>100900</v>
      </c>
      <c r="T77" s="1264">
        <v>207100</v>
      </c>
      <c r="U77" s="1264">
        <v>285900</v>
      </c>
      <c r="V77" s="857">
        <f t="shared" ref="V77:AD77" si="72">V$75*V84</f>
        <v>378741.44</v>
      </c>
      <c r="W77" s="857">
        <f t="shared" si="72"/>
        <v>510969.54523999983</v>
      </c>
      <c r="X77" s="857">
        <f t="shared" si="72"/>
        <v>644678.54075428634</v>
      </c>
      <c r="Y77" s="857">
        <f t="shared" si="72"/>
        <v>782897.61989200523</v>
      </c>
      <c r="Z77" s="857">
        <f t="shared" si="72"/>
        <v>911586.41616175359</v>
      </c>
      <c r="AA77" s="857">
        <f t="shared" si="72"/>
        <v>981231.6183565117</v>
      </c>
      <c r="AB77" s="857">
        <f t="shared" si="72"/>
        <v>1056197.7139989492</v>
      </c>
      <c r="AC77" s="857">
        <f t="shared" si="72"/>
        <v>1136891.2193484688</v>
      </c>
      <c r="AD77" s="857">
        <f t="shared" si="72"/>
        <v>1223749.7085066917</v>
      </c>
      <c r="AE77" s="28"/>
      <c r="AF77" s="79">
        <f>(Y77/V77)^(1/3)-1</f>
        <v>0.2738571104125711</v>
      </c>
      <c r="AG77" s="96"/>
      <c r="AH77" s="310"/>
      <c r="AI77" s="310"/>
      <c r="AJ77" s="310"/>
      <c r="AK77" s="310"/>
      <c r="AL77" s="760"/>
      <c r="AM77" s="310"/>
      <c r="AN77" s="310"/>
      <c r="AO77" s="310"/>
      <c r="AP77" s="1717"/>
      <c r="AQ77" s="221"/>
      <c r="AR77" s="221"/>
      <c r="AS77" s="221"/>
      <c r="AT77" s="1459">
        <v>5600</v>
      </c>
      <c r="AU77" s="1264">
        <v>6900</v>
      </c>
      <c r="AV77" s="1264">
        <v>7700</v>
      </c>
      <c r="AW77" s="1264">
        <v>11687.5</v>
      </c>
      <c r="AX77" s="1459">
        <v>12900</v>
      </c>
      <c r="AY77" s="1264">
        <v>23800</v>
      </c>
      <c r="AZ77" s="1264">
        <v>26800</v>
      </c>
      <c r="BA77" s="1264">
        <v>37400</v>
      </c>
      <c r="BB77" s="1459">
        <v>36900</v>
      </c>
      <c r="BC77" s="1264">
        <v>49800</v>
      </c>
      <c r="BD77" s="1264">
        <v>53700</v>
      </c>
      <c r="BE77" s="1264">
        <v>66700</v>
      </c>
      <c r="BF77" s="1459">
        <v>53100</v>
      </c>
      <c r="BG77" s="1264">
        <v>65700</v>
      </c>
      <c r="BH77" s="1264">
        <v>72000</v>
      </c>
      <c r="BI77" s="1264">
        <v>95000</v>
      </c>
      <c r="BJ77" s="1459">
        <v>76200</v>
      </c>
      <c r="BK77" s="1264">
        <v>98200</v>
      </c>
      <c r="BL77" s="734">
        <f>BL75-BL76</f>
        <v>91528.746072912458</v>
      </c>
      <c r="BM77" s="350">
        <f>V77-SUM(BJ77:BL77)</f>
        <v>112812.69392708753</v>
      </c>
      <c r="BN77" s="874">
        <f t="shared" si="71"/>
        <v>97084.213595599969</v>
      </c>
      <c r="BO77" s="875">
        <f t="shared" si="71"/>
        <v>127742.38630999996</v>
      </c>
      <c r="BP77" s="875">
        <f t="shared" si="71"/>
        <v>117522.99540519997</v>
      </c>
      <c r="BQ77" s="1369">
        <f>W77-SUM(BN77:BP77)</f>
        <v>168619.94992919994</v>
      </c>
      <c r="CR77"/>
      <c r="CS77"/>
      <c r="CT77"/>
      <c r="CU77"/>
      <c r="CV77"/>
      <c r="CW77"/>
    </row>
    <row r="78" spans="1:101" s="382" customFormat="1" outlineLevel="1">
      <c r="A78" s="563"/>
      <c r="B78" s="563"/>
      <c r="C78" s="563"/>
      <c r="D78" s="563"/>
      <c r="E78" s="563"/>
      <c r="F78" s="563"/>
      <c r="G78" s="563"/>
      <c r="H78" s="556"/>
      <c r="I78" s="556"/>
      <c r="J78" s="33"/>
      <c r="K78" s="28"/>
      <c r="L78" s="28"/>
      <c r="M78" s="28"/>
      <c r="N78" s="221"/>
      <c r="O78" s="221"/>
      <c r="P78" s="1264"/>
      <c r="Q78" s="1264"/>
      <c r="R78" s="855"/>
      <c r="S78" s="855"/>
      <c r="T78" s="855"/>
      <c r="U78" s="855"/>
      <c r="V78" s="857"/>
      <c r="W78" s="857"/>
      <c r="X78" s="857"/>
      <c r="Y78" s="857"/>
      <c r="Z78" s="857"/>
      <c r="AA78" s="857"/>
      <c r="AB78" s="857"/>
      <c r="AC78" s="857"/>
      <c r="AD78" s="857"/>
      <c r="AE78" s="28"/>
      <c r="AF78" s="79"/>
      <c r="AG78" s="96"/>
      <c r="AH78" s="310"/>
      <c r="AI78" s="310"/>
      <c r="AJ78" s="310"/>
      <c r="AK78" s="310"/>
      <c r="AL78" s="760"/>
      <c r="AM78" s="310"/>
      <c r="AN78" s="310"/>
      <c r="AO78" s="310"/>
      <c r="AP78" s="1717"/>
      <c r="AQ78" s="221"/>
      <c r="AR78" s="221"/>
      <c r="AS78" s="221"/>
      <c r="AT78" s="1459"/>
      <c r="AU78" s="1264"/>
      <c r="AV78" s="855"/>
      <c r="AW78" s="855"/>
      <c r="AX78" s="1459"/>
      <c r="AY78" s="1264"/>
      <c r="AZ78" s="855"/>
      <c r="BA78" s="855"/>
      <c r="BB78" s="941"/>
      <c r="BC78" s="855"/>
      <c r="BD78" s="855"/>
      <c r="BE78" s="855"/>
      <c r="BF78" s="941"/>
      <c r="BG78" s="855"/>
      <c r="BH78" s="855"/>
      <c r="BI78" s="855"/>
      <c r="BJ78" s="941"/>
      <c r="BK78" s="855"/>
      <c r="BL78" s="734"/>
      <c r="BM78" s="350"/>
      <c r="BN78" s="874"/>
      <c r="BO78" s="875"/>
      <c r="BP78" s="875"/>
      <c r="BQ78" s="350"/>
      <c r="CR78"/>
      <c r="CS78"/>
      <c r="CT78"/>
      <c r="CU78"/>
      <c r="CV78"/>
      <c r="CW78"/>
    </row>
    <row r="79" spans="1:101" s="580" customFormat="1" outlineLevel="1">
      <c r="A79" s="378"/>
      <c r="B79" s="378"/>
      <c r="C79" s="378"/>
      <c r="D79" s="378"/>
      <c r="E79" s="378"/>
      <c r="F79" s="378"/>
      <c r="G79" s="378"/>
      <c r="H79" s="565"/>
      <c r="I79" s="565"/>
      <c r="J79" s="306" t="s">
        <v>531</v>
      </c>
      <c r="K79" s="13"/>
      <c r="L79" s="13"/>
      <c r="M79" s="13"/>
      <c r="N79" s="329"/>
      <c r="O79" s="329"/>
      <c r="P79" s="329"/>
      <c r="Q79" s="330">
        <f t="shared" ref="Q79:AD79" si="73">Q75/P75-1</f>
        <v>1.2415902140672781</v>
      </c>
      <c r="R79" s="330">
        <f t="shared" si="73"/>
        <v>0.71214188267394274</v>
      </c>
      <c r="S79" s="856">
        <f t="shared" si="73"/>
        <v>1.0733067729083667</v>
      </c>
      <c r="T79" s="856">
        <f t="shared" si="73"/>
        <v>0.77824750192159886</v>
      </c>
      <c r="U79" s="856">
        <f t="shared" si="73"/>
        <v>0.42251999135508966</v>
      </c>
      <c r="V79" s="856">
        <f t="shared" si="73"/>
        <v>0.37660285627468859</v>
      </c>
      <c r="W79" s="856">
        <f t="shared" si="73"/>
        <v>0.31147499999999972</v>
      </c>
      <c r="X79" s="856">
        <f t="shared" si="73"/>
        <v>0.24717499999999992</v>
      </c>
      <c r="Y79" s="856">
        <f t="shared" si="73"/>
        <v>0.20059999999999989</v>
      </c>
      <c r="Z79" s="856">
        <f t="shared" si="73"/>
        <v>0.13850000000000007</v>
      </c>
      <c r="AA79" s="856">
        <f t="shared" si="73"/>
        <v>7.6400000000000023E-2</v>
      </c>
      <c r="AB79" s="856">
        <f t="shared" si="73"/>
        <v>7.6400000000000023E-2</v>
      </c>
      <c r="AC79" s="856">
        <f t="shared" si="73"/>
        <v>7.6400000000000023E-2</v>
      </c>
      <c r="AD79" s="856">
        <f t="shared" si="73"/>
        <v>7.6400000000000023E-2</v>
      </c>
      <c r="AE79" s="13"/>
      <c r="AF79" s="13"/>
      <c r="AG79" s="97"/>
      <c r="AH79" s="333"/>
      <c r="AI79" s="333"/>
      <c r="AJ79" s="333"/>
      <c r="AK79" s="333"/>
      <c r="AL79" s="766"/>
      <c r="AM79" s="333"/>
      <c r="AN79" s="333"/>
      <c r="AO79" s="333"/>
      <c r="AP79" s="1715"/>
      <c r="AQ79" s="329"/>
      <c r="AR79" s="329"/>
      <c r="AS79" s="329"/>
      <c r="AT79" s="1715"/>
      <c r="AU79" s="329"/>
      <c r="AV79" s="329"/>
      <c r="AW79" s="329"/>
      <c r="AX79" s="677">
        <f t="shared" ref="AX79:BG81" si="74">AX75/AT75-1</f>
        <v>0.83749999999999991</v>
      </c>
      <c r="AY79" s="330">
        <f t="shared" si="74"/>
        <v>1.069985214391326</v>
      </c>
      <c r="AZ79" s="330">
        <f t="shared" si="74"/>
        <v>1.1097178683385578</v>
      </c>
      <c r="BA79" s="330">
        <f t="shared" si="74"/>
        <v>1.19</v>
      </c>
      <c r="BB79" s="677">
        <f t="shared" si="74"/>
        <v>0.99092970521541957</v>
      </c>
      <c r="BC79" s="330">
        <f t="shared" si="74"/>
        <v>0.81746031746031744</v>
      </c>
      <c r="BD79" s="330">
        <f t="shared" si="74"/>
        <v>0.70876671619613663</v>
      </c>
      <c r="BE79" s="330">
        <f t="shared" si="74"/>
        <v>0.69347319347319347</v>
      </c>
      <c r="BF79" s="677">
        <f t="shared" si="74"/>
        <v>0.47266514806378135</v>
      </c>
      <c r="BG79" s="330">
        <f t="shared" si="74"/>
        <v>0.40087336244541483</v>
      </c>
      <c r="BH79" s="330">
        <f t="shared" ref="BH79:BQ81" si="75">BH75/BD75-1</f>
        <v>0.38086956521739124</v>
      </c>
      <c r="BI79" s="330">
        <f t="shared" si="75"/>
        <v>0.44322092222986931</v>
      </c>
      <c r="BJ79" s="677">
        <f t="shared" si="75"/>
        <v>0.42382057231245174</v>
      </c>
      <c r="BK79" s="330">
        <f t="shared" si="75"/>
        <v>0.46384039900249374</v>
      </c>
      <c r="BL79" s="330">
        <f t="shared" si="75"/>
        <v>0.34015500549693001</v>
      </c>
      <c r="BM79" s="330">
        <f t="shared" si="75"/>
        <v>0.3083613978401889</v>
      </c>
      <c r="BN79" s="677">
        <f t="shared" si="75"/>
        <v>0.29996673207604529</v>
      </c>
      <c r="BO79" s="330">
        <f t="shared" si="75"/>
        <v>0.29407425139522969</v>
      </c>
      <c r="BP79" s="330">
        <f t="shared" si="75"/>
        <v>0.25242089097022347</v>
      </c>
      <c r="BQ79" s="330">
        <f t="shared" si="75"/>
        <v>0.3798954397994192</v>
      </c>
      <c r="CR79"/>
      <c r="CS79"/>
      <c r="CT79"/>
      <c r="CU79"/>
      <c r="CV79"/>
      <c r="CW79"/>
    </row>
    <row r="80" spans="1:101" s="382" customFormat="1" outlineLevel="1">
      <c r="A80" s="563"/>
      <c r="B80" s="563"/>
      <c r="C80" s="563"/>
      <c r="D80" s="563"/>
      <c r="E80" s="563"/>
      <c r="F80" s="563"/>
      <c r="G80" s="563"/>
      <c r="H80" s="556"/>
      <c r="I80" s="556"/>
      <c r="J80" s="33" t="s">
        <v>313</v>
      </c>
      <c r="K80" s="28"/>
      <c r="L80" s="28"/>
      <c r="M80" s="28"/>
      <c r="N80" s="79"/>
      <c r="O80" s="79"/>
      <c r="P80" s="77"/>
      <c r="Q80" s="77">
        <f t="shared" ref="Q80:AD80" si="76">Q76/P76-1</f>
        <v>0.90268456375838935</v>
      </c>
      <c r="R80" s="77">
        <f t="shared" si="76"/>
        <v>0.65266106442577021</v>
      </c>
      <c r="S80" s="440">
        <f t="shared" si="76"/>
        <v>0.7</v>
      </c>
      <c r="T80" s="440">
        <f t="shared" si="76"/>
        <v>0.60451977401129953</v>
      </c>
      <c r="U80" s="440">
        <f t="shared" si="76"/>
        <v>0.45657276995305174</v>
      </c>
      <c r="V80" s="440">
        <f t="shared" si="76"/>
        <v>0.41643448831587437</v>
      </c>
      <c r="W80" s="440">
        <f t="shared" si="76"/>
        <v>0.28443427835051516</v>
      </c>
      <c r="X80" s="440">
        <f t="shared" si="76"/>
        <v>0.23623486842105246</v>
      </c>
      <c r="Y80" s="440">
        <f t="shared" si="76"/>
        <v>0.18997522123893806</v>
      </c>
      <c r="Z80" s="440">
        <f t="shared" si="76"/>
        <v>0.11816964285714282</v>
      </c>
      <c r="AA80" s="440">
        <f t="shared" si="76"/>
        <v>7.6400000000000023E-2</v>
      </c>
      <c r="AB80" s="440">
        <f t="shared" si="76"/>
        <v>7.6399999999999801E-2</v>
      </c>
      <c r="AC80" s="440">
        <f t="shared" si="76"/>
        <v>7.6400000000000023E-2</v>
      </c>
      <c r="AD80" s="440">
        <f t="shared" si="76"/>
        <v>7.6400000000000023E-2</v>
      </c>
      <c r="AE80" s="28"/>
      <c r="AF80" s="28"/>
      <c r="AG80" s="96"/>
      <c r="AH80" s="79"/>
      <c r="AI80" s="79"/>
      <c r="AJ80" s="79"/>
      <c r="AK80" s="79"/>
      <c r="AL80" s="673"/>
      <c r="AM80" s="79"/>
      <c r="AN80" s="79"/>
      <c r="AO80" s="79"/>
      <c r="AP80" s="675"/>
      <c r="AQ80" s="77"/>
      <c r="AR80" s="77"/>
      <c r="AS80" s="77"/>
      <c r="AT80" s="675"/>
      <c r="AU80" s="77"/>
      <c r="AV80" s="77"/>
      <c r="AW80" s="77"/>
      <c r="AX80" s="675">
        <f t="shared" si="74"/>
        <v>0.69565217391304346</v>
      </c>
      <c r="AY80" s="77">
        <f t="shared" si="74"/>
        <v>0.66101694915254239</v>
      </c>
      <c r="AZ80" s="77">
        <f t="shared" si="74"/>
        <v>0.67355371900826455</v>
      </c>
      <c r="BA80" s="77">
        <f t="shared" si="74"/>
        <v>0.77</v>
      </c>
      <c r="BB80" s="675">
        <f t="shared" si="74"/>
        <v>0.63141025641025639</v>
      </c>
      <c r="BC80" s="77">
        <f t="shared" si="74"/>
        <v>0.65051020408163263</v>
      </c>
      <c r="BD80" s="77">
        <f t="shared" si="74"/>
        <v>0.51358024691358017</v>
      </c>
      <c r="BE80" s="77">
        <f t="shared" si="74"/>
        <v>0.62603305785123964</v>
      </c>
      <c r="BF80" s="675">
        <f t="shared" si="74"/>
        <v>0.4970530451866404</v>
      </c>
      <c r="BG80" s="77">
        <f t="shared" si="74"/>
        <v>0.46367851622874801</v>
      </c>
      <c r="BH80" s="77">
        <f t="shared" si="75"/>
        <v>0.41598694942903758</v>
      </c>
      <c r="BI80" s="77">
        <f t="shared" si="75"/>
        <v>0.45743329097839891</v>
      </c>
      <c r="BJ80" s="675">
        <f t="shared" si="75"/>
        <v>0.41601049868766404</v>
      </c>
      <c r="BK80" s="77">
        <f t="shared" si="75"/>
        <v>0.44244984160506862</v>
      </c>
      <c r="BL80" s="77">
        <f t="shared" si="75"/>
        <v>0.39732567741935498</v>
      </c>
      <c r="BM80" s="77">
        <f t="shared" si="75"/>
        <v>0.40846287009590276</v>
      </c>
      <c r="BN80" s="675">
        <f t="shared" si="75"/>
        <v>0.31825451139573646</v>
      </c>
      <c r="BO80" s="77">
        <f t="shared" si="75"/>
        <v>0.28921118534114187</v>
      </c>
      <c r="BP80" s="77">
        <f t="shared" si="75"/>
        <v>0.22858930972657987</v>
      </c>
      <c r="BQ80" s="77">
        <f t="shared" si="75"/>
        <v>0.29973343039215616</v>
      </c>
      <c r="CR80"/>
      <c r="CS80"/>
      <c r="CT80"/>
      <c r="CU80"/>
      <c r="CV80"/>
      <c r="CW80"/>
    </row>
    <row r="81" spans="1:101" s="382" customFormat="1" outlineLevel="1">
      <c r="A81" s="563"/>
      <c r="B81" s="563"/>
      <c r="C81" s="563"/>
      <c r="D81" s="563"/>
      <c r="E81" s="563"/>
      <c r="F81" s="563"/>
      <c r="G81" s="563"/>
      <c r="H81" s="556"/>
      <c r="I81" s="556"/>
      <c r="J81" s="33" t="s">
        <v>312</v>
      </c>
      <c r="K81" s="28"/>
      <c r="L81" s="28"/>
      <c r="M81" s="28"/>
      <c r="N81" s="79"/>
      <c r="O81" s="79"/>
      <c r="P81" s="77"/>
      <c r="Q81" s="77">
        <f t="shared" ref="Q81:AD81" si="77">Q77/P77-1</f>
        <v>4.7241379310344831</v>
      </c>
      <c r="R81" s="77">
        <f t="shared" si="77"/>
        <v>0.91744897571357997</v>
      </c>
      <c r="S81" s="440">
        <f t="shared" si="77"/>
        <v>2.17</v>
      </c>
      <c r="T81" s="440">
        <f t="shared" si="77"/>
        <v>1.0525272547076314</v>
      </c>
      <c r="U81" s="440">
        <f t="shared" si="77"/>
        <v>0.38049251569290199</v>
      </c>
      <c r="V81" s="440">
        <f t="shared" si="77"/>
        <v>0.32473396292409928</v>
      </c>
      <c r="W81" s="440">
        <f t="shared" si="77"/>
        <v>0.34912499999999946</v>
      </c>
      <c r="X81" s="440">
        <f t="shared" si="77"/>
        <v>0.26167703488372096</v>
      </c>
      <c r="Y81" s="440">
        <f t="shared" si="77"/>
        <v>0.21439999999999992</v>
      </c>
      <c r="Z81" s="440">
        <f t="shared" si="77"/>
        <v>0.16437499999999994</v>
      </c>
      <c r="AA81" s="440">
        <f t="shared" si="77"/>
        <v>7.6400000000000245E-2</v>
      </c>
      <c r="AB81" s="440">
        <f t="shared" si="77"/>
        <v>7.6400000000000023E-2</v>
      </c>
      <c r="AC81" s="440">
        <f t="shared" si="77"/>
        <v>7.6400000000000023E-2</v>
      </c>
      <c r="AD81" s="440">
        <f t="shared" si="77"/>
        <v>7.6399999999999801E-2</v>
      </c>
      <c r="AE81" s="28"/>
      <c r="AF81" s="28"/>
      <c r="AG81" s="96"/>
      <c r="AH81" s="79"/>
      <c r="AI81" s="79"/>
      <c r="AJ81" s="79"/>
      <c r="AK81" s="79"/>
      <c r="AL81" s="673"/>
      <c r="AM81" s="79"/>
      <c r="AN81" s="79"/>
      <c r="AO81" s="79"/>
      <c r="AP81" s="675"/>
      <c r="AQ81" s="77"/>
      <c r="AR81" s="77"/>
      <c r="AS81" s="77"/>
      <c r="AT81" s="675"/>
      <c r="AU81" s="77"/>
      <c r="AV81" s="77"/>
      <c r="AW81" s="77"/>
      <c r="AX81" s="675">
        <f t="shared" si="74"/>
        <v>1.3035714285714284</v>
      </c>
      <c r="AY81" s="77">
        <f t="shared" si="74"/>
        <v>2.4492753623188408</v>
      </c>
      <c r="AZ81" s="77">
        <f t="shared" si="74"/>
        <v>2.4805194805194803</v>
      </c>
      <c r="BA81" s="77">
        <f t="shared" si="74"/>
        <v>2.2000000000000002</v>
      </c>
      <c r="BB81" s="675">
        <f t="shared" si="74"/>
        <v>1.86046511627907</v>
      </c>
      <c r="BC81" s="77">
        <f t="shared" si="74"/>
        <v>1.0924369747899161</v>
      </c>
      <c r="BD81" s="77">
        <f t="shared" si="74"/>
        <v>1.0037313432835822</v>
      </c>
      <c r="BE81" s="77">
        <f t="shared" si="74"/>
        <v>0.78342245989304815</v>
      </c>
      <c r="BF81" s="675">
        <f t="shared" si="74"/>
        <v>0.43902439024390238</v>
      </c>
      <c r="BG81" s="77">
        <f t="shared" si="74"/>
        <v>0.31927710843373491</v>
      </c>
      <c r="BH81" s="77">
        <f t="shared" si="75"/>
        <v>0.34078212290502785</v>
      </c>
      <c r="BI81" s="77">
        <f t="shared" si="75"/>
        <v>0.42428785607196406</v>
      </c>
      <c r="BJ81" s="675">
        <f t="shared" si="75"/>
        <v>0.43502824858757072</v>
      </c>
      <c r="BK81" s="77">
        <f t="shared" si="75"/>
        <v>0.49467275494672758</v>
      </c>
      <c r="BL81" s="77">
        <f t="shared" si="75"/>
        <v>0.27123258434600639</v>
      </c>
      <c r="BM81" s="77">
        <f t="shared" si="75"/>
        <v>0.18750204133776349</v>
      </c>
      <c r="BN81" s="675">
        <f t="shared" si="75"/>
        <v>0.27407104456167941</v>
      </c>
      <c r="BO81" s="77">
        <f t="shared" si="75"/>
        <v>0.30083896446028469</v>
      </c>
      <c r="BP81" s="77">
        <f t="shared" si="75"/>
        <v>0.28400093356004574</v>
      </c>
      <c r="BQ81" s="77">
        <f t="shared" si="75"/>
        <v>0.49468950753167418</v>
      </c>
      <c r="CR81"/>
      <c r="CS81"/>
      <c r="CT81"/>
      <c r="CU81"/>
      <c r="CV81"/>
      <c r="CW81"/>
    </row>
    <row r="82" spans="1:101" s="580" customFormat="1" outlineLevel="1">
      <c r="A82" s="378"/>
      <c r="B82" s="378"/>
      <c r="C82" s="378"/>
      <c r="D82" s="378"/>
      <c r="E82" s="378"/>
      <c r="F82" s="378"/>
      <c r="G82" s="378"/>
      <c r="H82" s="565"/>
      <c r="I82" s="565"/>
      <c r="J82" s="306" t="s">
        <v>564</v>
      </c>
      <c r="K82" s="13"/>
      <c r="L82" s="13"/>
      <c r="M82" s="13"/>
      <c r="N82" s="329"/>
      <c r="O82" s="329"/>
      <c r="P82" s="329"/>
      <c r="Q82" s="938"/>
      <c r="R82" s="938"/>
      <c r="S82" s="938"/>
      <c r="T82" s="938"/>
      <c r="U82" s="938"/>
      <c r="V82" s="331"/>
      <c r="W82" s="331"/>
      <c r="X82" s="331"/>
      <c r="Y82" s="331"/>
      <c r="Z82" s="331"/>
      <c r="AA82" s="332"/>
      <c r="AB82" s="332"/>
      <c r="AC82" s="332"/>
      <c r="AD82" s="332"/>
      <c r="AE82" s="13"/>
      <c r="AF82" s="13"/>
      <c r="AG82" s="97"/>
      <c r="AH82" s="333"/>
      <c r="AI82" s="333"/>
      <c r="AJ82" s="333"/>
      <c r="AK82" s="333"/>
      <c r="AL82" s="766"/>
      <c r="AM82" s="333"/>
      <c r="AN82" s="333"/>
      <c r="AO82" s="333"/>
      <c r="AP82" s="1715"/>
      <c r="AQ82" s="329"/>
      <c r="AR82" s="329"/>
      <c r="AS82" s="329"/>
      <c r="AT82" s="1715"/>
      <c r="AU82" s="329"/>
      <c r="AV82" s="329"/>
      <c r="AW82" s="329"/>
      <c r="AX82" s="1715"/>
      <c r="AY82" s="329"/>
      <c r="AZ82" s="333"/>
      <c r="BA82" s="333"/>
      <c r="BB82" s="677"/>
      <c r="BC82" s="330"/>
      <c r="BD82" s="330"/>
      <c r="BE82" s="330"/>
      <c r="BF82" s="766"/>
      <c r="BG82" s="333"/>
      <c r="BH82" s="333"/>
      <c r="BI82" s="333"/>
      <c r="BJ82" s="766"/>
      <c r="BK82" s="333"/>
      <c r="BL82" s="333"/>
      <c r="BM82" s="333"/>
      <c r="BN82" s="766"/>
      <c r="BO82" s="333"/>
      <c r="BP82" s="333"/>
      <c r="BQ82" s="333"/>
      <c r="CR82"/>
      <c r="CS82"/>
      <c r="CT82"/>
      <c r="CU82"/>
      <c r="CV82"/>
      <c r="CW82"/>
    </row>
    <row r="83" spans="1:101" s="382" customFormat="1" outlineLevel="1">
      <c r="A83" s="563"/>
      <c r="B83" s="563"/>
      <c r="C83" s="563"/>
      <c r="D83" s="563"/>
      <c r="E83" s="563"/>
      <c r="F83" s="563"/>
      <c r="G83" s="563"/>
      <c r="H83" s="556"/>
      <c r="I83" s="556"/>
      <c r="J83" s="33" t="s">
        <v>313</v>
      </c>
      <c r="K83" s="28"/>
      <c r="L83" s="28"/>
      <c r="M83" s="28"/>
      <c r="N83" s="79"/>
      <c r="O83" s="79"/>
      <c r="P83" s="77">
        <f>1-P84</f>
        <v>0.91131498470948014</v>
      </c>
      <c r="Q83" s="77">
        <f>1-Q84</f>
        <v>0.77353342428376537</v>
      </c>
      <c r="R83" s="77">
        <f>1-R84</f>
        <v>0.74637726695740692</v>
      </c>
      <c r="S83" s="77">
        <f>1-S84</f>
        <v>0.6122213681783244</v>
      </c>
      <c r="T83" s="77">
        <f t="shared" ref="T83:AD83" si="78">1-T84</f>
        <v>0.55240976874864922</v>
      </c>
      <c r="U83" s="77">
        <f t="shared" si="78"/>
        <v>0.56563354603464</v>
      </c>
      <c r="V83" s="77">
        <f t="shared" si="78"/>
        <v>0.58200000000000007</v>
      </c>
      <c r="W83" s="77">
        <f t="shared" si="78"/>
        <v>0.57000000000000006</v>
      </c>
      <c r="X83" s="77">
        <f t="shared" si="78"/>
        <v>0.56499999999999995</v>
      </c>
      <c r="Y83" s="77">
        <f t="shared" si="78"/>
        <v>0.56000000000000005</v>
      </c>
      <c r="Z83" s="77">
        <f t="shared" si="78"/>
        <v>0.55000000000000004</v>
      </c>
      <c r="AA83" s="77">
        <f t="shared" si="78"/>
        <v>0.55000000000000004</v>
      </c>
      <c r="AB83" s="77">
        <f t="shared" si="78"/>
        <v>0.55000000000000004</v>
      </c>
      <c r="AC83" s="77">
        <f t="shared" si="78"/>
        <v>0.55000000000000004</v>
      </c>
      <c r="AD83" s="77">
        <f t="shared" si="78"/>
        <v>0.55000000000000004</v>
      </c>
      <c r="AE83" s="28"/>
      <c r="AF83" s="28"/>
      <c r="AG83" s="96"/>
      <c r="AH83" s="79"/>
      <c r="AI83" s="79"/>
      <c r="AJ83" s="79"/>
      <c r="AK83" s="79"/>
      <c r="AL83" s="673"/>
      <c r="AM83" s="79"/>
      <c r="AN83" s="79"/>
      <c r="AO83" s="79"/>
      <c r="AP83" s="675"/>
      <c r="AQ83" s="77"/>
      <c r="AR83" s="77"/>
      <c r="AS83" s="77"/>
      <c r="AT83" s="675">
        <f t="shared" ref="AT83:BQ83" si="79">1-AT84</f>
        <v>0.76666666666666661</v>
      </c>
      <c r="AU83" s="77">
        <f t="shared" si="79"/>
        <v>0.77328733366190239</v>
      </c>
      <c r="AV83" s="77">
        <f t="shared" si="79"/>
        <v>0.75862068965517238</v>
      </c>
      <c r="AW83" s="77">
        <f t="shared" si="79"/>
        <v>0.70168269230769231</v>
      </c>
      <c r="AX83" s="675">
        <f t="shared" si="79"/>
        <v>0.70748299319727892</v>
      </c>
      <c r="AY83" s="77">
        <f t="shared" si="79"/>
        <v>0.62222222222222223</v>
      </c>
      <c r="AZ83" s="77">
        <f t="shared" si="79"/>
        <v>0.60178306092124823</v>
      </c>
      <c r="BA83" s="77">
        <f t="shared" si="79"/>
        <v>0.5641025641025641</v>
      </c>
      <c r="BB83" s="675">
        <f t="shared" si="79"/>
        <v>0.57972665148063784</v>
      </c>
      <c r="BC83" s="77">
        <f t="shared" si="79"/>
        <v>0.56506550218340612</v>
      </c>
      <c r="BD83" s="77">
        <f t="shared" si="79"/>
        <v>0.53304347826086951</v>
      </c>
      <c r="BE83" s="77">
        <f t="shared" si="79"/>
        <v>0.54094975911906396</v>
      </c>
      <c r="BF83" s="675">
        <f t="shared" si="79"/>
        <v>0.58932714617169379</v>
      </c>
      <c r="BG83" s="77">
        <f t="shared" si="79"/>
        <v>0.59039900249376553</v>
      </c>
      <c r="BH83" s="77">
        <f t="shared" si="79"/>
        <v>0.54659949622166248</v>
      </c>
      <c r="BI83" s="77">
        <f t="shared" si="79"/>
        <v>0.54697186456843117</v>
      </c>
      <c r="BJ83" s="675">
        <f t="shared" si="79"/>
        <v>0.58609451385116784</v>
      </c>
      <c r="BK83" s="77">
        <f t="shared" si="79"/>
        <v>0.58177172061328797</v>
      </c>
      <c r="BL83" s="77">
        <f t="shared" si="79"/>
        <v>0.5699172918074531</v>
      </c>
      <c r="BM83" s="77">
        <f t="shared" si="79"/>
        <v>0.58882015588621028</v>
      </c>
      <c r="BN83" s="675">
        <f t="shared" si="79"/>
        <v>0.59433962264150941</v>
      </c>
      <c r="BO83" s="77">
        <f t="shared" si="79"/>
        <v>0.57958545170121245</v>
      </c>
      <c r="BP83" s="77">
        <f t="shared" si="79"/>
        <v>0.55907267053053944</v>
      </c>
      <c r="BQ83" s="77">
        <f t="shared" si="79"/>
        <v>0.5546139359698683</v>
      </c>
      <c r="CR83"/>
      <c r="CS83"/>
      <c r="CT83"/>
      <c r="CU83"/>
      <c r="CV83"/>
      <c r="CW83"/>
    </row>
    <row r="84" spans="1:101" s="382" customFormat="1" outlineLevel="1">
      <c r="A84" s="563"/>
      <c r="B84" s="563"/>
      <c r="C84" s="563"/>
      <c r="D84" s="563"/>
      <c r="E84" s="563"/>
      <c r="F84" s="563"/>
      <c r="G84" s="563"/>
      <c r="H84" s="556"/>
      <c r="I84" s="566"/>
      <c r="J84" s="33" t="s">
        <v>312</v>
      </c>
      <c r="K84" s="28"/>
      <c r="L84" s="28"/>
      <c r="M84" s="28"/>
      <c r="N84" s="79"/>
      <c r="O84" s="79"/>
      <c r="P84" s="77">
        <f t="shared" ref="P84:U84" si="80">IF(ISERROR(P77/P$75),"--",(P77/P$75))</f>
        <v>8.8685015290519878E-2</v>
      </c>
      <c r="Q84" s="77">
        <f t="shared" si="80"/>
        <v>0.22646657571623466</v>
      </c>
      <c r="R84" s="77">
        <f t="shared" si="80"/>
        <v>0.25362273304259303</v>
      </c>
      <c r="S84" s="77">
        <f t="shared" si="80"/>
        <v>0.38777863182167566</v>
      </c>
      <c r="T84" s="77">
        <f t="shared" si="80"/>
        <v>0.44759023125135078</v>
      </c>
      <c r="U84" s="77">
        <f t="shared" si="80"/>
        <v>0.43436645396536006</v>
      </c>
      <c r="V84" s="926">
        <v>0.41799999999999998</v>
      </c>
      <c r="W84" s="926">
        <v>0.43</v>
      </c>
      <c r="X84" s="926">
        <f>W84+0.5%</f>
        <v>0.435</v>
      </c>
      <c r="Y84" s="926">
        <f>X84+0.5%</f>
        <v>0.44</v>
      </c>
      <c r="Z84" s="926">
        <v>0.45</v>
      </c>
      <c r="AA84" s="926">
        <f>Z84</f>
        <v>0.45</v>
      </c>
      <c r="AB84" s="926">
        <f>AA84</f>
        <v>0.45</v>
      </c>
      <c r="AC84" s="926">
        <f>AB84</f>
        <v>0.45</v>
      </c>
      <c r="AD84" s="926">
        <f>AC84</f>
        <v>0.45</v>
      </c>
      <c r="AE84" s="28"/>
      <c r="AF84" s="28"/>
      <c r="AG84" s="96"/>
      <c r="AH84" s="79"/>
      <c r="AI84" s="79"/>
      <c r="AJ84" s="79"/>
      <c r="AK84" s="79"/>
      <c r="AL84" s="673"/>
      <c r="AM84" s="79"/>
      <c r="AN84" s="79"/>
      <c r="AO84" s="79"/>
      <c r="AP84" s="675"/>
      <c r="AQ84" s="77"/>
      <c r="AR84" s="77"/>
      <c r="AS84" s="77"/>
      <c r="AT84" s="675">
        <f t="shared" ref="AT84:BQ84" si="81">IF(ISERROR(AT77/AT$75),"--",(AT77/AT$75))</f>
        <v>0.23333333333333334</v>
      </c>
      <c r="AU84" s="77">
        <f t="shared" si="81"/>
        <v>0.22671266633809758</v>
      </c>
      <c r="AV84" s="77">
        <f t="shared" si="81"/>
        <v>0.2413793103448276</v>
      </c>
      <c r="AW84" s="77">
        <f t="shared" si="81"/>
        <v>0.29831730769230769</v>
      </c>
      <c r="AX84" s="675">
        <f t="shared" si="81"/>
        <v>0.29251700680272108</v>
      </c>
      <c r="AY84" s="77">
        <f t="shared" si="81"/>
        <v>0.37777777777777777</v>
      </c>
      <c r="AZ84" s="77">
        <f t="shared" si="81"/>
        <v>0.39821693907875183</v>
      </c>
      <c r="BA84" s="77">
        <f t="shared" si="81"/>
        <v>0.4358974358974359</v>
      </c>
      <c r="BB84" s="675">
        <f t="shared" si="81"/>
        <v>0.42027334851936221</v>
      </c>
      <c r="BC84" s="77">
        <f t="shared" si="81"/>
        <v>0.43493449781659388</v>
      </c>
      <c r="BD84" s="77">
        <f t="shared" si="81"/>
        <v>0.46695652173913044</v>
      </c>
      <c r="BE84" s="77">
        <f t="shared" si="81"/>
        <v>0.45905024088093599</v>
      </c>
      <c r="BF84" s="675">
        <f t="shared" si="81"/>
        <v>0.41067285382830626</v>
      </c>
      <c r="BG84" s="77">
        <f t="shared" si="81"/>
        <v>0.40960099750623441</v>
      </c>
      <c r="BH84" s="77">
        <f t="shared" si="81"/>
        <v>0.45340050377833752</v>
      </c>
      <c r="BI84" s="77">
        <f t="shared" si="81"/>
        <v>0.45302813543156889</v>
      </c>
      <c r="BJ84" s="675">
        <f t="shared" si="81"/>
        <v>0.41390548614883216</v>
      </c>
      <c r="BK84" s="77">
        <f t="shared" si="81"/>
        <v>0.41822827938671209</v>
      </c>
      <c r="BL84" s="77">
        <f t="shared" si="81"/>
        <v>0.43008270819254696</v>
      </c>
      <c r="BM84" s="77">
        <f t="shared" si="81"/>
        <v>0.41117984411378972</v>
      </c>
      <c r="BN84" s="675">
        <f t="shared" si="81"/>
        <v>0.40566037735849053</v>
      </c>
      <c r="BO84" s="77">
        <f t="shared" si="81"/>
        <v>0.42041454829878755</v>
      </c>
      <c r="BP84" s="77">
        <f t="shared" si="81"/>
        <v>0.44092732946946056</v>
      </c>
      <c r="BQ84" s="77">
        <f t="shared" si="81"/>
        <v>0.44538606403013176</v>
      </c>
      <c r="CR84"/>
      <c r="CS84"/>
      <c r="CT84"/>
      <c r="CU84"/>
      <c r="CV84"/>
      <c r="CW84"/>
    </row>
    <row r="85" spans="1:101" s="580" customFormat="1" outlineLevel="1">
      <c r="A85" s="789"/>
      <c r="B85" s="378"/>
      <c r="C85" s="378"/>
      <c r="D85" s="378"/>
      <c r="E85" s="378"/>
      <c r="F85" s="378"/>
      <c r="G85" s="378"/>
      <c r="H85" s="565"/>
      <c r="I85" s="565"/>
      <c r="J85" s="316"/>
      <c r="K85" s="13"/>
      <c r="L85" s="13"/>
      <c r="M85" s="13"/>
      <c r="N85" s="364"/>
      <c r="O85" s="364"/>
      <c r="P85" s="452"/>
      <c r="Q85" s="452"/>
      <c r="R85" s="452"/>
      <c r="S85" s="451"/>
      <c r="T85" s="635"/>
      <c r="U85" s="635"/>
      <c r="V85" s="635"/>
      <c r="W85" s="635"/>
      <c r="X85" s="635"/>
      <c r="Y85" s="635"/>
      <c r="Z85" s="635"/>
      <c r="AA85" s="635"/>
      <c r="AB85" s="635"/>
      <c r="AC85" s="635"/>
      <c r="AD85" s="635"/>
      <c r="AE85" s="13"/>
      <c r="AF85" s="13"/>
      <c r="AG85" s="97"/>
      <c r="AH85" s="364"/>
      <c r="AI85" s="364"/>
      <c r="AJ85" s="364"/>
      <c r="AK85" s="364"/>
      <c r="AL85" s="672"/>
      <c r="AM85" s="364"/>
      <c r="AN85" s="364"/>
      <c r="AO85" s="364"/>
      <c r="AP85" s="676"/>
      <c r="AQ85" s="418"/>
      <c r="AR85" s="418"/>
      <c r="AS85" s="418"/>
      <c r="AT85" s="676"/>
      <c r="AU85" s="418"/>
      <c r="AV85" s="418"/>
      <c r="AW85" s="418"/>
      <c r="AX85" s="1716"/>
      <c r="AY85" s="634"/>
      <c r="AZ85" s="634"/>
      <c r="BA85" s="857"/>
      <c r="BB85" s="741"/>
      <c r="BC85" s="451"/>
      <c r="BD85" s="451"/>
      <c r="BE85" s="451"/>
      <c r="BF85" s="741"/>
      <c r="BG85" s="451"/>
      <c r="BH85" s="451"/>
      <c r="BI85" s="451"/>
      <c r="BJ85" s="741"/>
      <c r="BK85" s="451"/>
      <c r="BL85" s="451"/>
      <c r="BM85" s="451"/>
      <c r="BN85" s="741"/>
      <c r="BO85" s="451"/>
      <c r="BP85" s="451"/>
      <c r="BQ85" s="451"/>
      <c r="CR85"/>
      <c r="CS85"/>
      <c r="CT85"/>
      <c r="CU85"/>
      <c r="CV85"/>
      <c r="CW85"/>
    </row>
    <row r="86" spans="1:101" s="382" customFormat="1" outlineLevel="2">
      <c r="A86" s="788"/>
      <c r="B86" s="563"/>
      <c r="C86" s="563"/>
      <c r="D86" s="563"/>
      <c r="E86" s="563"/>
      <c r="F86" s="563"/>
      <c r="G86" s="563"/>
      <c r="H86" s="556"/>
      <c r="I86" s="567"/>
      <c r="J86" s="1364" t="s">
        <v>631</v>
      </c>
      <c r="K86" s="28"/>
      <c r="L86" s="28"/>
      <c r="M86" s="28"/>
      <c r="N86" s="79"/>
      <c r="O86" s="79"/>
      <c r="P86" s="353"/>
      <c r="Q86" s="353"/>
      <c r="R86" s="353"/>
      <c r="S86" s="353"/>
      <c r="T86" s="77"/>
      <c r="U86" s="77"/>
      <c r="V86" s="77"/>
      <c r="W86" s="77"/>
      <c r="X86" s="77"/>
      <c r="Y86" s="77"/>
      <c r="Z86" s="77"/>
      <c r="AA86" s="77"/>
      <c r="AB86" s="77"/>
      <c r="AC86" s="77"/>
      <c r="AD86" s="77"/>
      <c r="AE86" s="28"/>
      <c r="AF86" s="28"/>
      <c r="AG86" s="96"/>
      <c r="AH86" s="79"/>
      <c r="AI86" s="79"/>
      <c r="AJ86" s="79"/>
      <c r="AK86" s="79"/>
      <c r="AL86" s="673"/>
      <c r="AM86" s="79"/>
      <c r="AN86" s="79"/>
      <c r="AO86" s="79"/>
      <c r="AP86" s="675"/>
      <c r="AQ86" s="77"/>
      <c r="AR86" s="77"/>
      <c r="AS86" s="77"/>
      <c r="AT86" s="675"/>
      <c r="AU86" s="77"/>
      <c r="AV86" s="77"/>
      <c r="AW86" s="77"/>
      <c r="AX86" s="675"/>
      <c r="AY86" s="77"/>
      <c r="AZ86" s="77"/>
      <c r="BA86" s="77"/>
      <c r="BB86" s="675"/>
      <c r="BC86" s="77"/>
      <c r="BD86" s="77"/>
      <c r="BE86" s="77"/>
      <c r="BF86" s="675"/>
      <c r="BG86" s="77"/>
      <c r="BH86" s="77"/>
      <c r="BI86" s="77"/>
      <c r="BJ86" s="675"/>
      <c r="BK86" s="77"/>
      <c r="BL86" s="77"/>
      <c r="BM86" s="77"/>
      <c r="BN86" s="675"/>
      <c r="BO86" s="77"/>
      <c r="BP86" s="77"/>
      <c r="BQ86" s="77"/>
      <c r="CR86"/>
      <c r="CS86"/>
      <c r="CT86"/>
      <c r="CU86"/>
      <c r="CV86"/>
      <c r="CW86"/>
    </row>
    <row r="87" spans="1:101" s="580" customFormat="1" outlineLevel="2">
      <c r="A87" s="789"/>
      <c r="B87" s="378"/>
      <c r="C87" s="378"/>
      <c r="D87" s="378"/>
      <c r="E87" s="378"/>
      <c r="F87" s="378"/>
      <c r="G87" s="378"/>
      <c r="H87" s="565"/>
      <c r="I87" s="567"/>
      <c r="J87" s="316" t="s">
        <v>431</v>
      </c>
      <c r="K87" s="13"/>
      <c r="L87" s="13"/>
      <c r="M87" s="13"/>
      <c r="N87" s="364"/>
      <c r="O87" s="364"/>
      <c r="P87" s="451">
        <f>SUM(P88:P89)</f>
        <v>32700</v>
      </c>
      <c r="Q87" s="451">
        <f t="shared" ref="Q87:AB87" si="82">SUM(Q88:Q89)</f>
        <v>73300</v>
      </c>
      <c r="R87" s="451">
        <f t="shared" si="82"/>
        <v>125535.5353497866</v>
      </c>
      <c r="S87" s="451" t="e">
        <f>SUM(S88:S89)</f>
        <v>#REF!</v>
      </c>
      <c r="T87" s="451">
        <f t="shared" si="82"/>
        <v>446500</v>
      </c>
      <c r="U87" s="451">
        <f>SUM(U88:U89)</f>
        <v>658200</v>
      </c>
      <c r="V87" s="451">
        <f t="shared" si="82"/>
        <v>906080</v>
      </c>
      <c r="W87" s="451">
        <f t="shared" si="82"/>
        <v>1188301.2679999997</v>
      </c>
      <c r="X87" s="451">
        <f t="shared" si="82"/>
        <v>1482019.6339178996</v>
      </c>
      <c r="Y87" s="451">
        <f t="shared" si="82"/>
        <v>1779312.7724818303</v>
      </c>
      <c r="Z87" s="451">
        <f t="shared" si="82"/>
        <v>2025747.5914705638</v>
      </c>
      <c r="AA87" s="451">
        <f t="shared" si="82"/>
        <v>2180514.7074589152</v>
      </c>
      <c r="AB87" s="451">
        <f t="shared" si="82"/>
        <v>2347106.0311087761</v>
      </c>
      <c r="AC87" s="451">
        <f>SUM(AC88:AC89)</f>
        <v>2526424.9318854865</v>
      </c>
      <c r="AD87" s="451">
        <f>SUM(AD88:AD89)</f>
        <v>2719443.7966815373</v>
      </c>
      <c r="AE87" s="13"/>
      <c r="AF87" s="13"/>
      <c r="AG87" s="97"/>
      <c r="AH87" s="364"/>
      <c r="AI87" s="364"/>
      <c r="AJ87" s="364"/>
      <c r="AK87" s="364"/>
      <c r="AL87" s="672"/>
      <c r="AM87" s="364"/>
      <c r="AN87" s="364"/>
      <c r="AO87" s="364"/>
      <c r="AP87" s="676"/>
      <c r="AQ87" s="418"/>
      <c r="AR87" s="418"/>
      <c r="AS87" s="418"/>
      <c r="AT87" s="741">
        <f t="shared" ref="AT87:BI87" si="83">SUM(AT88:AT89)</f>
        <v>24000</v>
      </c>
      <c r="AU87" s="451">
        <f t="shared" si="83"/>
        <v>30500</v>
      </c>
      <c r="AV87" s="451">
        <f t="shared" si="83"/>
        <v>31900</v>
      </c>
      <c r="AW87" s="451">
        <f t="shared" si="83"/>
        <v>39032.132768361582</v>
      </c>
      <c r="AX87" s="741">
        <f t="shared" si="83"/>
        <v>44100</v>
      </c>
      <c r="AY87" s="451">
        <f t="shared" si="83"/>
        <v>63000</v>
      </c>
      <c r="AZ87" s="451" t="e">
        <f t="shared" si="83"/>
        <v>#REF!</v>
      </c>
      <c r="BA87" s="1264">
        <f>AW87*(1+105%)</f>
        <v>80015.872175141238</v>
      </c>
      <c r="BB87" s="741">
        <f t="shared" ref="BB87:BG87" si="84">SUM(BB88:BB89)</f>
        <v>83600</v>
      </c>
      <c r="BC87" s="451">
        <f t="shared" si="84"/>
        <v>108700</v>
      </c>
      <c r="BD87" s="451">
        <f t="shared" si="84"/>
        <v>111000</v>
      </c>
      <c r="BE87" s="451">
        <f t="shared" si="84"/>
        <v>143200</v>
      </c>
      <c r="BF87" s="741">
        <f t="shared" si="84"/>
        <v>129300</v>
      </c>
      <c r="BG87" s="451">
        <f t="shared" si="84"/>
        <v>160400</v>
      </c>
      <c r="BH87" s="451">
        <f t="shared" si="83"/>
        <v>158800</v>
      </c>
      <c r="BI87" s="451">
        <f t="shared" si="83"/>
        <v>209700</v>
      </c>
      <c r="BJ87" s="741">
        <f t="shared" ref="BJ87:BQ87" si="85">SUM(BJ88:BJ89)</f>
        <v>184100</v>
      </c>
      <c r="BK87" s="451">
        <f t="shared" si="85"/>
        <v>234800</v>
      </c>
      <c r="BL87" s="451">
        <f t="shared" si="85"/>
        <v>212816.61487291247</v>
      </c>
      <c r="BM87" s="451">
        <f t="shared" si="85"/>
        <v>274363.38512708759</v>
      </c>
      <c r="BN87" s="741">
        <f t="shared" si="85"/>
        <v>239323.87537519995</v>
      </c>
      <c r="BO87" s="451">
        <f t="shared" si="85"/>
        <v>303848.63422759995</v>
      </c>
      <c r="BP87" s="451">
        <f t="shared" si="85"/>
        <v>266535.97441239993</v>
      </c>
      <c r="BQ87" s="451">
        <f t="shared" si="85"/>
        <v>378592.78398479993</v>
      </c>
      <c r="CR87"/>
      <c r="CS87"/>
      <c r="CT87"/>
      <c r="CU87"/>
      <c r="CV87"/>
      <c r="CW87"/>
    </row>
    <row r="88" spans="1:101" s="382" customFormat="1" outlineLevel="2">
      <c r="A88" s="788"/>
      <c r="B88" s="563"/>
      <c r="C88" s="563"/>
      <c r="D88" s="563"/>
      <c r="E88" s="563"/>
      <c r="F88" s="563"/>
      <c r="G88" s="563"/>
      <c r="H88" s="556"/>
      <c r="I88" s="556"/>
      <c r="J88" s="186" t="s">
        <v>433</v>
      </c>
      <c r="K88" s="28"/>
      <c r="L88" s="28"/>
      <c r="M88" s="28"/>
      <c r="N88" s="79"/>
      <c r="O88" s="79"/>
      <c r="P88" s="352">
        <f>P76</f>
        <v>29800</v>
      </c>
      <c r="Q88" s="352">
        <f>Q76</f>
        <v>56700</v>
      </c>
      <c r="R88" s="352">
        <f>R76</f>
        <v>93705.882352941175</v>
      </c>
      <c r="S88" s="352">
        <f>S76</f>
        <v>159300</v>
      </c>
      <c r="T88" s="1451">
        <f>SUM(BB88:BE88)</f>
        <v>255600</v>
      </c>
      <c r="U88" s="1451">
        <f>SUM(BF88:BI88)</f>
        <v>372400</v>
      </c>
      <c r="V88" s="352">
        <f t="shared" ref="V88:AD88" si="86">V76</f>
        <v>527338.56000000006</v>
      </c>
      <c r="W88" s="352">
        <f t="shared" si="86"/>
        <v>677331.72275999992</v>
      </c>
      <c r="X88" s="352">
        <f t="shared" si="86"/>
        <v>837341.09316361323</v>
      </c>
      <c r="Y88" s="352">
        <f t="shared" si="86"/>
        <v>996415.15258982498</v>
      </c>
      <c r="Z88" s="352">
        <f t="shared" si="86"/>
        <v>1114161.1753088101</v>
      </c>
      <c r="AA88" s="352">
        <f t="shared" si="86"/>
        <v>1199283.0891024033</v>
      </c>
      <c r="AB88" s="352">
        <f t="shared" si="86"/>
        <v>1290908.3171098267</v>
      </c>
      <c r="AC88" s="352">
        <f t="shared" si="86"/>
        <v>1389533.7125370174</v>
      </c>
      <c r="AD88" s="352">
        <f t="shared" si="86"/>
        <v>1495694.0881748456</v>
      </c>
      <c r="AE88" s="28"/>
      <c r="AF88" s="28"/>
      <c r="AG88" s="96"/>
      <c r="AH88" s="79"/>
      <c r="AI88" s="79"/>
      <c r="AJ88" s="79"/>
      <c r="AK88" s="79"/>
      <c r="AL88" s="673"/>
      <c r="AM88" s="79"/>
      <c r="AN88" s="79"/>
      <c r="AO88" s="79"/>
      <c r="AP88" s="675"/>
      <c r="AQ88" s="77"/>
      <c r="AR88" s="77"/>
      <c r="AS88" s="77"/>
      <c r="AT88" s="742">
        <f t="shared" ref="AT88:AY88" si="87">AT76</f>
        <v>18400</v>
      </c>
      <c r="AU88" s="352">
        <f t="shared" si="87"/>
        <v>23600</v>
      </c>
      <c r="AV88" s="352">
        <f t="shared" si="87"/>
        <v>24200</v>
      </c>
      <c r="AW88" s="352">
        <f t="shared" si="87"/>
        <v>27344.632768361582</v>
      </c>
      <c r="AX88" s="742">
        <f t="shared" si="87"/>
        <v>31200</v>
      </c>
      <c r="AY88" s="352">
        <f t="shared" si="87"/>
        <v>39200</v>
      </c>
      <c r="AZ88" s="1269" t="e">
        <f>#REF!</f>
        <v>#REF!</v>
      </c>
      <c r="BA88" s="352">
        <f t="shared" ref="BA88:BF88" si="88">BA76</f>
        <v>48400</v>
      </c>
      <c r="BB88" s="742">
        <f t="shared" si="88"/>
        <v>50900</v>
      </c>
      <c r="BC88" s="912">
        <f t="shared" si="88"/>
        <v>64700</v>
      </c>
      <c r="BD88" s="912">
        <f t="shared" si="88"/>
        <v>61300</v>
      </c>
      <c r="BE88" s="912">
        <f t="shared" si="88"/>
        <v>78700</v>
      </c>
      <c r="BF88" s="742">
        <f t="shared" si="88"/>
        <v>76200</v>
      </c>
      <c r="BG88" s="352">
        <f t="shared" ref="BG88:BQ88" si="89">BG76</f>
        <v>94700</v>
      </c>
      <c r="BH88" s="352">
        <f t="shared" si="89"/>
        <v>86800</v>
      </c>
      <c r="BI88" s="352">
        <f t="shared" si="89"/>
        <v>114700</v>
      </c>
      <c r="BJ88" s="742">
        <f t="shared" si="89"/>
        <v>107900</v>
      </c>
      <c r="BK88" s="352">
        <f t="shared" si="89"/>
        <v>136600</v>
      </c>
      <c r="BL88" s="352">
        <f t="shared" si="89"/>
        <v>121287.86880000001</v>
      </c>
      <c r="BM88" s="352">
        <f t="shared" si="89"/>
        <v>161550.69120000006</v>
      </c>
      <c r="BN88" s="742">
        <f t="shared" si="89"/>
        <v>142239.66177959996</v>
      </c>
      <c r="BO88" s="352">
        <f t="shared" si="89"/>
        <v>176106.24791759998</v>
      </c>
      <c r="BP88" s="352">
        <f t="shared" si="89"/>
        <v>149012.97900719999</v>
      </c>
      <c r="BQ88" s="352">
        <f t="shared" si="89"/>
        <v>209972.83405559999</v>
      </c>
      <c r="CR88"/>
      <c r="CS88"/>
      <c r="CT88"/>
      <c r="CU88"/>
      <c r="CV88"/>
      <c r="CW88"/>
    </row>
    <row r="89" spans="1:101" s="382" customFormat="1" outlineLevel="2">
      <c r="A89" s="788"/>
      <c r="B89" s="563"/>
      <c r="C89" s="563"/>
      <c r="D89" s="563"/>
      <c r="E89" s="563"/>
      <c r="F89" s="563"/>
      <c r="G89" s="563"/>
      <c r="H89" s="556"/>
      <c r="I89" s="556"/>
      <c r="J89" s="186" t="s">
        <v>434</v>
      </c>
      <c r="K89" s="28"/>
      <c r="L89" s="28"/>
      <c r="M89" s="28"/>
      <c r="N89" s="79"/>
      <c r="O89" s="79"/>
      <c r="P89" s="352">
        <f>P77</f>
        <v>2900</v>
      </c>
      <c r="Q89" s="352">
        <f>Q77</f>
        <v>16600</v>
      </c>
      <c r="R89" s="352">
        <f>R77</f>
        <v>31829.652996845427</v>
      </c>
      <c r="S89" s="1451" t="e">
        <f>SUM(AX89:BA89)</f>
        <v>#REF!</v>
      </c>
      <c r="T89" s="1451">
        <f>SUM(BB89:BE89)</f>
        <v>190900</v>
      </c>
      <c r="U89" s="1451">
        <f>SUM(BF89:BI89)</f>
        <v>285800</v>
      </c>
      <c r="V89" s="352">
        <f t="shared" ref="V89:AD89" si="90">V77-V90</f>
        <v>378741.44</v>
      </c>
      <c r="W89" s="352">
        <f t="shared" si="90"/>
        <v>510969.54523999983</v>
      </c>
      <c r="X89" s="352">
        <f t="shared" si="90"/>
        <v>644678.54075428634</v>
      </c>
      <c r="Y89" s="352">
        <f t="shared" si="90"/>
        <v>782897.61989200523</v>
      </c>
      <c r="Z89" s="352">
        <f t="shared" si="90"/>
        <v>911586.41616175359</v>
      </c>
      <c r="AA89" s="352">
        <f t="shared" si="90"/>
        <v>981231.6183565117</v>
      </c>
      <c r="AB89" s="352">
        <f t="shared" si="90"/>
        <v>1056197.7139989492</v>
      </c>
      <c r="AC89" s="352">
        <f t="shared" si="90"/>
        <v>1136891.2193484688</v>
      </c>
      <c r="AD89" s="352">
        <f t="shared" si="90"/>
        <v>1223749.7085066917</v>
      </c>
      <c r="AE89" s="28"/>
      <c r="AF89" s="28"/>
      <c r="AG89" s="96"/>
      <c r="AH89" s="79"/>
      <c r="AI89" s="79"/>
      <c r="AJ89" s="79"/>
      <c r="AK89" s="79"/>
      <c r="AL89" s="673"/>
      <c r="AM89" s="79"/>
      <c r="AN89" s="79"/>
      <c r="AO89" s="79"/>
      <c r="AP89" s="675"/>
      <c r="AQ89" s="77"/>
      <c r="AR89" s="77"/>
      <c r="AS89" s="77"/>
      <c r="AT89" s="742">
        <f>AT77-AT90</f>
        <v>5600</v>
      </c>
      <c r="AU89" s="352">
        <f>AU77-AU90</f>
        <v>6900</v>
      </c>
      <c r="AV89" s="352">
        <f>AV77-AV90</f>
        <v>7700</v>
      </c>
      <c r="AW89" s="352">
        <f>AW77-AW90</f>
        <v>11687.5</v>
      </c>
      <c r="AX89" s="742">
        <f>AX77</f>
        <v>12900</v>
      </c>
      <c r="AY89" s="352">
        <f>AY77</f>
        <v>23800</v>
      </c>
      <c r="AZ89" s="1269" t="e">
        <f>#REF!</f>
        <v>#REF!</v>
      </c>
      <c r="BA89" s="352">
        <f>BA87-BA88</f>
        <v>31615.872175141238</v>
      </c>
      <c r="BB89" s="1459">
        <v>32700</v>
      </c>
      <c r="BC89" s="1264">
        <v>44000</v>
      </c>
      <c r="BD89" s="1269">
        <v>49700</v>
      </c>
      <c r="BE89" s="1269">
        <v>64500</v>
      </c>
      <c r="BF89" s="669">
        <f>BF77</f>
        <v>53100</v>
      </c>
      <c r="BG89" s="94">
        <f t="shared" ref="BG89:BQ89" si="91">BG77</f>
        <v>65700</v>
      </c>
      <c r="BH89" s="94">
        <f t="shared" si="91"/>
        <v>72000</v>
      </c>
      <c r="BI89" s="94">
        <f t="shared" si="91"/>
        <v>95000</v>
      </c>
      <c r="BJ89" s="669">
        <f t="shared" si="91"/>
        <v>76200</v>
      </c>
      <c r="BK89" s="94">
        <f t="shared" si="91"/>
        <v>98200</v>
      </c>
      <c r="BL89" s="94">
        <f t="shared" si="91"/>
        <v>91528.746072912458</v>
      </c>
      <c r="BM89" s="94">
        <f t="shared" si="91"/>
        <v>112812.69392708753</v>
      </c>
      <c r="BN89" s="669">
        <f t="shared" si="91"/>
        <v>97084.213595599969</v>
      </c>
      <c r="BO89" s="94">
        <f t="shared" si="91"/>
        <v>127742.38630999996</v>
      </c>
      <c r="BP89" s="94">
        <f t="shared" si="91"/>
        <v>117522.99540519997</v>
      </c>
      <c r="BQ89" s="94">
        <f t="shared" si="91"/>
        <v>168619.94992919994</v>
      </c>
      <c r="CR89"/>
      <c r="CS89"/>
      <c r="CT89"/>
      <c r="CU89"/>
      <c r="CV89"/>
      <c r="CW89"/>
    </row>
    <row r="90" spans="1:101" s="580" customFormat="1" outlineLevel="2">
      <c r="A90" s="789"/>
      <c r="B90" s="378"/>
      <c r="C90" s="378"/>
      <c r="D90" s="378"/>
      <c r="E90" s="378"/>
      <c r="F90" s="378"/>
      <c r="G90" s="378"/>
      <c r="H90" s="565"/>
      <c r="I90" s="565"/>
      <c r="J90" s="316" t="s">
        <v>432</v>
      </c>
      <c r="K90" s="13"/>
      <c r="L90" s="13"/>
      <c r="M90" s="13"/>
      <c r="N90" s="364"/>
      <c r="O90" s="364"/>
      <c r="P90" s="452"/>
      <c r="Q90" s="452"/>
      <c r="R90" s="452"/>
      <c r="S90" s="1451" t="e">
        <f>SUM(AX90:BA90)</f>
        <v>#REF!</v>
      </c>
      <c r="T90" s="1467">
        <f>SUM(BB90:BE90)</f>
        <v>16100</v>
      </c>
      <c r="U90" s="635"/>
      <c r="V90" s="635"/>
      <c r="W90" s="635"/>
      <c r="X90" s="635"/>
      <c r="Y90" s="635"/>
      <c r="Z90" s="635">
        <f>Z95*Z75</f>
        <v>0</v>
      </c>
      <c r="AA90" s="635">
        <f>AA95*AA75</f>
        <v>0</v>
      </c>
      <c r="AB90" s="635">
        <f>AB95*AB75</f>
        <v>0</v>
      </c>
      <c r="AC90" s="635">
        <f>AC95*AC75</f>
        <v>0</v>
      </c>
      <c r="AD90" s="635">
        <f>AD95*AD75</f>
        <v>0</v>
      </c>
      <c r="AE90" s="13"/>
      <c r="AF90" s="13"/>
      <c r="AG90" s="97"/>
      <c r="AH90" s="364"/>
      <c r="AI90" s="364"/>
      <c r="AJ90" s="364"/>
      <c r="AK90" s="364"/>
      <c r="AL90" s="672"/>
      <c r="AM90" s="364"/>
      <c r="AN90" s="364"/>
      <c r="AO90" s="364"/>
      <c r="AP90" s="676"/>
      <c r="AQ90" s="418"/>
      <c r="AR90" s="418"/>
      <c r="AS90" s="418"/>
      <c r="AT90" s="676"/>
      <c r="AU90" s="418"/>
      <c r="AV90" s="418"/>
      <c r="AW90" s="418"/>
      <c r="AX90" s="1716"/>
      <c r="AY90" s="634"/>
      <c r="AZ90" s="352" t="e">
        <f t="shared" ref="AZ90:BE90" si="92">AZ75-AZ88-AZ89</f>
        <v>#REF!</v>
      </c>
      <c r="BA90" s="352">
        <f t="shared" si="92"/>
        <v>5784.1278248587623</v>
      </c>
      <c r="BB90" s="742">
        <f t="shared" si="92"/>
        <v>4200</v>
      </c>
      <c r="BC90" s="352">
        <f t="shared" si="92"/>
        <v>5800</v>
      </c>
      <c r="BD90" s="352">
        <f t="shared" si="92"/>
        <v>4000</v>
      </c>
      <c r="BE90" s="352">
        <f t="shared" si="92"/>
        <v>2100</v>
      </c>
      <c r="BF90" s="741"/>
      <c r="BG90" s="451"/>
      <c r="BH90" s="451"/>
      <c r="BI90" s="451"/>
      <c r="BJ90" s="741"/>
      <c r="BK90" s="451"/>
      <c r="BL90" s="451"/>
      <c r="BM90" s="451"/>
      <c r="BN90" s="741"/>
      <c r="BO90" s="451"/>
      <c r="BP90" s="451"/>
      <c r="BQ90" s="451"/>
      <c r="CR90"/>
      <c r="CS90"/>
      <c r="CT90"/>
      <c r="CU90"/>
      <c r="CV90"/>
      <c r="CW90"/>
    </row>
    <row r="91" spans="1:101" s="382" customFormat="1" outlineLevel="2">
      <c r="A91" s="788"/>
      <c r="B91" s="563"/>
      <c r="C91" s="563"/>
      <c r="D91" s="563"/>
      <c r="E91" s="563"/>
      <c r="F91" s="563"/>
      <c r="G91" s="563"/>
      <c r="H91" s="556"/>
      <c r="I91" s="556"/>
      <c r="J91" s="306" t="s">
        <v>629</v>
      </c>
      <c r="K91" s="28"/>
      <c r="L91" s="28"/>
      <c r="M91" s="28"/>
      <c r="N91" s="79"/>
      <c r="O91" s="79"/>
      <c r="P91" s="353"/>
      <c r="Q91" s="353"/>
      <c r="R91" s="353"/>
      <c r="S91" s="353"/>
      <c r="T91" s="77"/>
      <c r="U91" s="77"/>
      <c r="V91" s="77"/>
      <c r="W91" s="77"/>
      <c r="X91" s="77"/>
      <c r="Y91" s="77"/>
      <c r="Z91" s="77"/>
      <c r="AA91" s="77"/>
      <c r="AB91" s="77"/>
      <c r="AC91" s="77"/>
      <c r="AD91" s="77"/>
      <c r="AE91" s="28"/>
      <c r="AF91" s="28"/>
      <c r="AG91" s="96"/>
      <c r="AH91" s="79"/>
      <c r="AI91" s="79"/>
      <c r="AJ91" s="79"/>
      <c r="AK91" s="79"/>
      <c r="AL91" s="673"/>
      <c r="AM91" s="79"/>
      <c r="AN91" s="79"/>
      <c r="AO91" s="79"/>
      <c r="AP91" s="675"/>
      <c r="AQ91" s="77"/>
      <c r="AR91" s="77"/>
      <c r="AS91" s="77"/>
      <c r="AT91" s="675"/>
      <c r="AU91" s="77"/>
      <c r="AV91" s="77"/>
      <c r="AW91" s="77"/>
      <c r="AX91" s="675"/>
      <c r="AY91" s="77"/>
      <c r="AZ91" s="77"/>
      <c r="BA91" s="77"/>
      <c r="BB91" s="675"/>
      <c r="BC91" s="77"/>
      <c r="BD91" s="77"/>
      <c r="BE91" s="77"/>
      <c r="BF91" s="675"/>
      <c r="BG91" s="77"/>
      <c r="BH91" s="77"/>
      <c r="BI91" s="77"/>
      <c r="BJ91" s="675"/>
      <c r="BK91" s="77"/>
      <c r="BL91" s="77"/>
      <c r="BM91" s="77"/>
      <c r="BN91" s="675"/>
      <c r="BO91" s="77"/>
      <c r="BP91" s="77"/>
      <c r="BQ91" s="77"/>
      <c r="CR91"/>
      <c r="CS91"/>
      <c r="CT91"/>
      <c r="CU91"/>
      <c r="CV91"/>
      <c r="CW91"/>
    </row>
    <row r="92" spans="1:101" s="580" customFormat="1" outlineLevel="2">
      <c r="A92" s="789"/>
      <c r="B92" s="378"/>
      <c r="C92" s="378"/>
      <c r="D92" s="378"/>
      <c r="E92" s="378"/>
      <c r="F92" s="378"/>
      <c r="G92" s="378"/>
      <c r="H92" s="565"/>
      <c r="I92" s="565"/>
      <c r="J92" s="316" t="s">
        <v>431</v>
      </c>
      <c r="K92" s="13"/>
      <c r="L92" s="13"/>
      <c r="M92" s="13"/>
      <c r="N92" s="364"/>
      <c r="O92" s="364"/>
      <c r="P92" s="450"/>
      <c r="Q92" s="450"/>
      <c r="R92" s="862">
        <f>SUM(R93:R94)</f>
        <v>1.0002831501975027</v>
      </c>
      <c r="S92" s="862" t="e">
        <f t="shared" ref="S92:AD92" si="93">SUM(S93:S94)</f>
        <v>#REF!</v>
      </c>
      <c r="T92" s="364">
        <f t="shared" si="93"/>
        <v>0.96498811324832512</v>
      </c>
      <c r="U92" s="364">
        <f>SUM(U93:U94)</f>
        <v>1</v>
      </c>
      <c r="V92" s="364">
        <f t="shared" si="93"/>
        <v>1</v>
      </c>
      <c r="W92" s="364">
        <f t="shared" si="93"/>
        <v>1</v>
      </c>
      <c r="X92" s="364">
        <f t="shared" si="93"/>
        <v>1</v>
      </c>
      <c r="Y92" s="364">
        <f t="shared" si="93"/>
        <v>1</v>
      </c>
      <c r="Z92" s="364">
        <f t="shared" si="93"/>
        <v>1</v>
      </c>
      <c r="AA92" s="364">
        <f t="shared" si="93"/>
        <v>1</v>
      </c>
      <c r="AB92" s="364">
        <f t="shared" si="93"/>
        <v>1</v>
      </c>
      <c r="AC92" s="364">
        <f t="shared" si="93"/>
        <v>1</v>
      </c>
      <c r="AD92" s="364">
        <f t="shared" si="93"/>
        <v>1</v>
      </c>
      <c r="AE92" s="13"/>
      <c r="AF92" s="13"/>
      <c r="AG92" s="97"/>
      <c r="AH92" s="364"/>
      <c r="AI92" s="364"/>
      <c r="AJ92" s="364"/>
      <c r="AK92" s="364"/>
      <c r="AL92" s="672"/>
      <c r="AM92" s="364"/>
      <c r="AN92" s="364"/>
      <c r="AO92" s="364"/>
      <c r="AP92" s="676"/>
      <c r="AQ92" s="418"/>
      <c r="AR92" s="418"/>
      <c r="AS92" s="418"/>
      <c r="AT92" s="676"/>
      <c r="AU92" s="418"/>
      <c r="AV92" s="418"/>
      <c r="AW92" s="418"/>
      <c r="AX92" s="676"/>
      <c r="AY92" s="418">
        <f t="shared" ref="AY92:BI92" si="94">SUM(AY93:AY94)</f>
        <v>1</v>
      </c>
      <c r="AZ92" s="364" t="e">
        <f t="shared" si="94"/>
        <v>#REF!</v>
      </c>
      <c r="BA92" s="364">
        <f t="shared" si="94"/>
        <v>0.93258592278719399</v>
      </c>
      <c r="BB92" s="672">
        <f t="shared" si="94"/>
        <v>0.95216400911161736</v>
      </c>
      <c r="BC92" s="364">
        <f t="shared" si="94"/>
        <v>0.94934497816593888</v>
      </c>
      <c r="BD92" s="364">
        <f t="shared" si="94"/>
        <v>0.9652173913043478</v>
      </c>
      <c r="BE92" s="364">
        <f t="shared" si="94"/>
        <v>0.98554714384033038</v>
      </c>
      <c r="BF92" s="672">
        <f t="shared" si="94"/>
        <v>1</v>
      </c>
      <c r="BG92" s="364">
        <f t="shared" si="94"/>
        <v>1</v>
      </c>
      <c r="BH92" s="364">
        <f t="shared" si="94"/>
        <v>1</v>
      </c>
      <c r="BI92" s="364">
        <f t="shared" si="94"/>
        <v>1</v>
      </c>
      <c r="BJ92" s="672">
        <f t="shared" ref="BJ92:BQ92" si="95">SUM(BJ93:BJ94)</f>
        <v>1</v>
      </c>
      <c r="BK92" s="364">
        <f t="shared" si="95"/>
        <v>1</v>
      </c>
      <c r="BL92" s="364">
        <f t="shared" si="95"/>
        <v>1</v>
      </c>
      <c r="BM92" s="364">
        <f t="shared" si="95"/>
        <v>1</v>
      </c>
      <c r="BN92" s="672">
        <f t="shared" si="95"/>
        <v>1</v>
      </c>
      <c r="BO92" s="364">
        <f t="shared" si="95"/>
        <v>0.99999999999999989</v>
      </c>
      <c r="BP92" s="364">
        <f t="shared" si="95"/>
        <v>1</v>
      </c>
      <c r="BQ92" s="364">
        <f t="shared" si="95"/>
        <v>1</v>
      </c>
      <c r="CR92"/>
      <c r="CS92"/>
      <c r="CT92"/>
      <c r="CU92"/>
      <c r="CV92"/>
      <c r="CW92"/>
    </row>
    <row r="93" spans="1:101" s="382" customFormat="1" outlineLevel="2">
      <c r="A93" s="788"/>
      <c r="B93" s="563"/>
      <c r="C93" s="563"/>
      <c r="D93" s="563"/>
      <c r="E93" s="563"/>
      <c r="F93" s="563"/>
      <c r="G93" s="563"/>
      <c r="H93" s="556"/>
      <c r="I93" s="556"/>
      <c r="J93" s="186" t="s">
        <v>433</v>
      </c>
      <c r="K93" s="28"/>
      <c r="L93" s="28"/>
      <c r="M93" s="28"/>
      <c r="N93" s="79"/>
      <c r="O93" s="79"/>
      <c r="P93" s="353"/>
      <c r="Q93" s="353"/>
      <c r="R93" s="434">
        <f t="shared" ref="R93:AD93" si="96">R88/R$75</f>
        <v>0.74666041715490972</v>
      </c>
      <c r="S93" s="434">
        <f t="shared" si="96"/>
        <v>0.6122213681783244</v>
      </c>
      <c r="T93" s="79">
        <f t="shared" si="96"/>
        <v>0.55240976874864922</v>
      </c>
      <c r="U93" s="79">
        <f t="shared" si="96"/>
        <v>0.56578547553934977</v>
      </c>
      <c r="V93" s="79">
        <f t="shared" si="96"/>
        <v>0.58200000000000007</v>
      </c>
      <c r="W93" s="79">
        <f t="shared" si="96"/>
        <v>0.57000000000000006</v>
      </c>
      <c r="X93" s="79">
        <f t="shared" si="96"/>
        <v>0.56499999999999995</v>
      </c>
      <c r="Y93" s="79">
        <f t="shared" si="96"/>
        <v>0.56000000000000005</v>
      </c>
      <c r="Z93" s="79">
        <f t="shared" si="96"/>
        <v>0.55000000000000004</v>
      </c>
      <c r="AA93" s="79">
        <f t="shared" si="96"/>
        <v>0.55000000000000004</v>
      </c>
      <c r="AB93" s="79">
        <f t="shared" si="96"/>
        <v>0.55000000000000004</v>
      </c>
      <c r="AC93" s="79">
        <f t="shared" si="96"/>
        <v>0.55000000000000004</v>
      </c>
      <c r="AD93" s="79">
        <f t="shared" si="96"/>
        <v>0.55000000000000004</v>
      </c>
      <c r="AE93" s="28"/>
      <c r="AF93" s="28"/>
      <c r="AG93" s="96"/>
      <c r="AH93" s="79"/>
      <c r="AI93" s="79"/>
      <c r="AJ93" s="79"/>
      <c r="AK93" s="79"/>
      <c r="AL93" s="673"/>
      <c r="AM93" s="79"/>
      <c r="AN93" s="79"/>
      <c r="AO93" s="79"/>
      <c r="AP93" s="675"/>
      <c r="AQ93" s="77"/>
      <c r="AR93" s="77"/>
      <c r="AS93" s="77"/>
      <c r="AT93" s="675"/>
      <c r="AU93" s="77"/>
      <c r="AV93" s="77"/>
      <c r="AW93" s="77"/>
      <c r="AX93" s="675"/>
      <c r="AY93" s="77">
        <f t="shared" ref="AY93:BQ93" si="97">AY88/AY$75</f>
        <v>0.62222222222222223</v>
      </c>
      <c r="AZ93" s="79" t="e">
        <f t="shared" si="97"/>
        <v>#REF!</v>
      </c>
      <c r="BA93" s="79">
        <f t="shared" si="97"/>
        <v>0.5641025641025641</v>
      </c>
      <c r="BB93" s="673">
        <f t="shared" si="97"/>
        <v>0.57972665148063784</v>
      </c>
      <c r="BC93" s="79">
        <f t="shared" si="97"/>
        <v>0.56506550218340612</v>
      </c>
      <c r="BD93" s="79">
        <f t="shared" si="97"/>
        <v>0.53304347826086962</v>
      </c>
      <c r="BE93" s="79">
        <f t="shared" si="97"/>
        <v>0.54163799036476257</v>
      </c>
      <c r="BF93" s="673">
        <f t="shared" si="97"/>
        <v>0.58932714617169368</v>
      </c>
      <c r="BG93" s="79">
        <f t="shared" si="97"/>
        <v>0.59039900249376553</v>
      </c>
      <c r="BH93" s="79">
        <f t="shared" si="97"/>
        <v>0.54659949622166248</v>
      </c>
      <c r="BI93" s="79">
        <f t="shared" si="97"/>
        <v>0.54697186456843105</v>
      </c>
      <c r="BJ93" s="673">
        <f t="shared" si="97"/>
        <v>0.58609451385116784</v>
      </c>
      <c r="BK93" s="79">
        <f t="shared" si="97"/>
        <v>0.58177172061328786</v>
      </c>
      <c r="BL93" s="79">
        <f t="shared" si="97"/>
        <v>0.5699172918074531</v>
      </c>
      <c r="BM93" s="79">
        <f t="shared" si="97"/>
        <v>0.58882015588621028</v>
      </c>
      <c r="BN93" s="673">
        <f t="shared" si="97"/>
        <v>0.59433962264150941</v>
      </c>
      <c r="BO93" s="79">
        <f t="shared" si="97"/>
        <v>0.57958545170121234</v>
      </c>
      <c r="BP93" s="79">
        <f t="shared" si="97"/>
        <v>0.55907267053053955</v>
      </c>
      <c r="BQ93" s="79">
        <f t="shared" si="97"/>
        <v>0.5546139359698683</v>
      </c>
      <c r="CR93"/>
      <c r="CS93"/>
      <c r="CT93"/>
      <c r="CU93"/>
      <c r="CV93"/>
      <c r="CW93"/>
    </row>
    <row r="94" spans="1:101" s="382" customFormat="1" outlineLevel="2">
      <c r="A94" s="788"/>
      <c r="B94" s="563"/>
      <c r="C94" s="563"/>
      <c r="D94" s="563"/>
      <c r="E94" s="563"/>
      <c r="F94" s="563"/>
      <c r="G94" s="563"/>
      <c r="H94" s="556"/>
      <c r="I94" s="556"/>
      <c r="J94" s="186" t="s">
        <v>434</v>
      </c>
      <c r="K94" s="28"/>
      <c r="L94" s="28"/>
      <c r="M94" s="28"/>
      <c r="N94" s="79"/>
      <c r="O94" s="79"/>
      <c r="P94" s="353"/>
      <c r="Q94" s="353"/>
      <c r="R94" s="434">
        <f t="shared" ref="R94:AD94" si="98">R89/R$75</f>
        <v>0.25362273304259303</v>
      </c>
      <c r="S94" s="434" t="e">
        <f t="shared" si="98"/>
        <v>#REF!</v>
      </c>
      <c r="T94" s="79">
        <f t="shared" si="98"/>
        <v>0.41257834449967584</v>
      </c>
      <c r="U94" s="79">
        <f t="shared" si="98"/>
        <v>0.43421452446065023</v>
      </c>
      <c r="V94" s="79">
        <f t="shared" si="98"/>
        <v>0.41799999999999998</v>
      </c>
      <c r="W94" s="79">
        <f t="shared" si="98"/>
        <v>0.43</v>
      </c>
      <c r="X94" s="79">
        <f t="shared" si="98"/>
        <v>0.435</v>
      </c>
      <c r="Y94" s="79">
        <f t="shared" si="98"/>
        <v>0.44</v>
      </c>
      <c r="Z94" s="79">
        <f t="shared" si="98"/>
        <v>0.45</v>
      </c>
      <c r="AA94" s="79">
        <f t="shared" si="98"/>
        <v>0.45</v>
      </c>
      <c r="AB94" s="79">
        <f t="shared" si="98"/>
        <v>0.45000000000000007</v>
      </c>
      <c r="AC94" s="79">
        <f t="shared" si="98"/>
        <v>0.45000000000000007</v>
      </c>
      <c r="AD94" s="79">
        <f t="shared" si="98"/>
        <v>0.44999999999999996</v>
      </c>
      <c r="AE94" s="28"/>
      <c r="AF94" s="28"/>
      <c r="AG94" s="96"/>
      <c r="AH94" s="79"/>
      <c r="AI94" s="79"/>
      <c r="AJ94" s="79"/>
      <c r="AK94" s="79"/>
      <c r="AL94" s="673"/>
      <c r="AM94" s="79"/>
      <c r="AN94" s="79"/>
      <c r="AO94" s="79"/>
      <c r="AP94" s="675"/>
      <c r="AQ94" s="77"/>
      <c r="AR94" s="77"/>
      <c r="AS94" s="77"/>
      <c r="AT94" s="675"/>
      <c r="AU94" s="77"/>
      <c r="AV94" s="77"/>
      <c r="AW94" s="77"/>
      <c r="AX94" s="675"/>
      <c r="AY94" s="77">
        <f t="shared" ref="AY94:BQ94" si="99">AY89/AY$75</f>
        <v>0.37777777777777777</v>
      </c>
      <c r="AZ94" s="79" t="e">
        <f t="shared" si="99"/>
        <v>#REF!</v>
      </c>
      <c r="BA94" s="79">
        <f t="shared" si="99"/>
        <v>0.36848335868462984</v>
      </c>
      <c r="BB94" s="673">
        <f t="shared" si="99"/>
        <v>0.37243735763097952</v>
      </c>
      <c r="BC94" s="79">
        <f t="shared" si="99"/>
        <v>0.38427947598253276</v>
      </c>
      <c r="BD94" s="79">
        <f t="shared" si="99"/>
        <v>0.43217391304347824</v>
      </c>
      <c r="BE94" s="79">
        <f t="shared" si="99"/>
        <v>0.44390915347556781</v>
      </c>
      <c r="BF94" s="673">
        <f t="shared" si="99"/>
        <v>0.41067285382830626</v>
      </c>
      <c r="BG94" s="79">
        <f t="shared" si="99"/>
        <v>0.40960099750623441</v>
      </c>
      <c r="BH94" s="79">
        <f t="shared" si="99"/>
        <v>0.45340050377833752</v>
      </c>
      <c r="BI94" s="79">
        <f t="shared" si="99"/>
        <v>0.45302813543156889</v>
      </c>
      <c r="BJ94" s="673">
        <f t="shared" si="99"/>
        <v>0.41390548614883216</v>
      </c>
      <c r="BK94" s="79">
        <f t="shared" si="99"/>
        <v>0.41822827938671209</v>
      </c>
      <c r="BL94" s="79">
        <f t="shared" si="99"/>
        <v>0.43008270819254696</v>
      </c>
      <c r="BM94" s="79">
        <f t="shared" si="99"/>
        <v>0.41117984411378972</v>
      </c>
      <c r="BN94" s="673">
        <f t="shared" si="99"/>
        <v>0.40566037735849053</v>
      </c>
      <c r="BO94" s="79">
        <f t="shared" si="99"/>
        <v>0.42041454829878755</v>
      </c>
      <c r="BP94" s="79">
        <f t="shared" si="99"/>
        <v>0.44092732946946056</v>
      </c>
      <c r="BQ94" s="79">
        <f t="shared" si="99"/>
        <v>0.44538606403013176</v>
      </c>
      <c r="CR94"/>
      <c r="CS94"/>
      <c r="CT94"/>
      <c r="CU94"/>
      <c r="CV94"/>
      <c r="CW94"/>
    </row>
    <row r="95" spans="1:101" s="580" customFormat="1" outlineLevel="2">
      <c r="A95" s="789"/>
      <c r="B95" s="378"/>
      <c r="C95" s="378"/>
      <c r="D95" s="378"/>
      <c r="E95" s="378"/>
      <c r="F95" s="378"/>
      <c r="G95" s="378"/>
      <c r="H95" s="565"/>
      <c r="I95" s="565"/>
      <c r="J95" s="316" t="s">
        <v>432</v>
      </c>
      <c r="K95" s="13"/>
      <c r="L95" s="13"/>
      <c r="M95" s="13"/>
      <c r="N95" s="364"/>
      <c r="O95" s="364"/>
      <c r="P95" s="450"/>
      <c r="Q95" s="450"/>
      <c r="R95" s="862">
        <f>R90/R$75</f>
        <v>0</v>
      </c>
      <c r="S95" s="862" t="e">
        <f>S90/S$75</f>
        <v>#REF!</v>
      </c>
      <c r="T95" s="862">
        <f>T90/T$75</f>
        <v>3.4795763993948563E-2</v>
      </c>
      <c r="U95" s="966"/>
      <c r="V95" s="966"/>
      <c r="W95" s="966"/>
      <c r="X95" s="966"/>
      <c r="Y95" s="966"/>
      <c r="Z95" s="966"/>
      <c r="AA95" s="966"/>
      <c r="AB95" s="966"/>
      <c r="AC95" s="966"/>
      <c r="AD95" s="966"/>
      <c r="AE95" s="13"/>
      <c r="AF95" s="13"/>
      <c r="AG95" s="97"/>
      <c r="AH95" s="364"/>
      <c r="AI95" s="364"/>
      <c r="AJ95" s="364"/>
      <c r="AK95" s="364"/>
      <c r="AL95" s="672"/>
      <c r="AM95" s="364"/>
      <c r="AN95" s="364"/>
      <c r="AO95" s="364"/>
      <c r="AP95" s="676"/>
      <c r="AQ95" s="418"/>
      <c r="AR95" s="418"/>
      <c r="AS95" s="418"/>
      <c r="AT95" s="676"/>
      <c r="AU95" s="418"/>
      <c r="AV95" s="418"/>
      <c r="AW95" s="418"/>
      <c r="AX95" s="676"/>
      <c r="AY95" s="418">
        <f t="shared" ref="AY95:BQ95" si="100">AY90/AY$75</f>
        <v>0</v>
      </c>
      <c r="AZ95" s="418" t="e">
        <f t="shared" si="100"/>
        <v>#REF!</v>
      </c>
      <c r="BA95" s="418">
        <f t="shared" si="100"/>
        <v>6.7414077212806081E-2</v>
      </c>
      <c r="BB95" s="676">
        <f t="shared" si="100"/>
        <v>4.7835990888382689E-2</v>
      </c>
      <c r="BC95" s="418">
        <f t="shared" si="100"/>
        <v>5.0655021834061134E-2</v>
      </c>
      <c r="BD95" s="418">
        <f t="shared" si="100"/>
        <v>3.4782608695652174E-2</v>
      </c>
      <c r="BE95" s="418">
        <f t="shared" si="100"/>
        <v>1.4452856159669649E-2</v>
      </c>
      <c r="BF95" s="676">
        <f t="shared" si="100"/>
        <v>0</v>
      </c>
      <c r="BG95" s="418">
        <f t="shared" si="100"/>
        <v>0</v>
      </c>
      <c r="BH95" s="418">
        <f t="shared" si="100"/>
        <v>0</v>
      </c>
      <c r="BI95" s="418">
        <f t="shared" si="100"/>
        <v>0</v>
      </c>
      <c r="BJ95" s="676">
        <f t="shared" si="100"/>
        <v>0</v>
      </c>
      <c r="BK95" s="418">
        <f t="shared" si="100"/>
        <v>0</v>
      </c>
      <c r="BL95" s="418">
        <f t="shared" si="100"/>
        <v>0</v>
      </c>
      <c r="BM95" s="418">
        <f t="shared" si="100"/>
        <v>0</v>
      </c>
      <c r="BN95" s="676">
        <f t="shared" si="100"/>
        <v>0</v>
      </c>
      <c r="BO95" s="418">
        <f t="shared" si="100"/>
        <v>0</v>
      </c>
      <c r="BP95" s="418">
        <f t="shared" si="100"/>
        <v>0</v>
      </c>
      <c r="BQ95" s="418">
        <f t="shared" si="100"/>
        <v>0</v>
      </c>
      <c r="CR95"/>
      <c r="CS95"/>
      <c r="CT95"/>
      <c r="CU95"/>
      <c r="CV95"/>
      <c r="CW95"/>
    </row>
    <row r="96" spans="1:101" s="580" customFormat="1" outlineLevel="2">
      <c r="A96" s="789"/>
      <c r="B96" s="378"/>
      <c r="C96" s="378"/>
      <c r="D96" s="378"/>
      <c r="E96" s="378"/>
      <c r="F96" s="378"/>
      <c r="G96" s="378"/>
      <c r="H96" s="565"/>
      <c r="I96" s="565"/>
      <c r="J96" s="316"/>
      <c r="K96" s="13"/>
      <c r="L96" s="13"/>
      <c r="M96" s="13"/>
      <c r="N96" s="364"/>
      <c r="O96" s="364"/>
      <c r="P96" s="450"/>
      <c r="Q96" s="450"/>
      <c r="R96" s="862"/>
      <c r="S96" s="862"/>
      <c r="T96" s="862"/>
      <c r="U96" s="966"/>
      <c r="V96" s="966"/>
      <c r="W96" s="966"/>
      <c r="X96" s="966"/>
      <c r="Y96" s="966"/>
      <c r="Z96" s="966"/>
      <c r="AA96" s="966"/>
      <c r="AB96" s="966"/>
      <c r="AC96" s="966"/>
      <c r="AD96" s="966"/>
      <c r="AE96" s="13"/>
      <c r="AF96" s="13"/>
      <c r="AG96" s="97"/>
      <c r="AH96" s="364"/>
      <c r="AI96" s="364"/>
      <c r="AJ96" s="364"/>
      <c r="AK96" s="364"/>
      <c r="AL96" s="672"/>
      <c r="AM96" s="364"/>
      <c r="AN96" s="364"/>
      <c r="AO96" s="364"/>
      <c r="AP96" s="676"/>
      <c r="AQ96" s="418"/>
      <c r="AR96" s="418"/>
      <c r="AS96" s="418"/>
      <c r="AT96" s="676"/>
      <c r="AU96" s="418"/>
      <c r="AV96" s="418"/>
      <c r="AW96" s="418"/>
      <c r="AX96" s="676"/>
      <c r="AY96" s="418"/>
      <c r="AZ96" s="418"/>
      <c r="BA96" s="418"/>
      <c r="BB96" s="676"/>
      <c r="BC96" s="418"/>
      <c r="BD96" s="418"/>
      <c r="BE96" s="418"/>
      <c r="BF96" s="676"/>
      <c r="BG96" s="418"/>
      <c r="BH96" s="418"/>
      <c r="BI96" s="418"/>
      <c r="BJ96" s="676"/>
      <c r="BK96" s="418"/>
      <c r="BL96" s="418"/>
      <c r="BM96" s="418"/>
      <c r="BN96" s="676"/>
      <c r="BO96" s="418"/>
      <c r="BP96" s="418"/>
      <c r="BQ96" s="418"/>
      <c r="CR96"/>
      <c r="CS96"/>
      <c r="CT96"/>
      <c r="CU96"/>
      <c r="CV96"/>
      <c r="CW96"/>
    </row>
    <row r="97" spans="1:101" s="382" customFormat="1" outlineLevel="2">
      <c r="A97" s="788"/>
      <c r="B97" s="563"/>
      <c r="C97" s="563"/>
      <c r="D97" s="563"/>
      <c r="E97" s="563"/>
      <c r="F97" s="563"/>
      <c r="G97" s="563"/>
      <c r="H97" s="556"/>
      <c r="I97" s="556"/>
      <c r="J97" s="306" t="s">
        <v>317</v>
      </c>
      <c r="K97" s="28"/>
      <c r="L97" s="28"/>
      <c r="M97" s="28"/>
      <c r="N97" s="79"/>
      <c r="O97" s="79"/>
      <c r="P97" s="353"/>
      <c r="Q97" s="353"/>
      <c r="R97" s="87"/>
      <c r="S97" s="87"/>
      <c r="T97" s="77"/>
      <c r="U97" s="77"/>
      <c r="V97" s="77"/>
      <c r="W97" s="77"/>
      <c r="X97" s="77"/>
      <c r="Y97" s="77"/>
      <c r="Z97" s="77"/>
      <c r="AA97" s="77"/>
      <c r="AB97" s="77"/>
      <c r="AC97" s="77"/>
      <c r="AD97" s="77"/>
      <c r="AE97" s="28"/>
      <c r="AF97" s="28"/>
      <c r="AG97" s="96"/>
      <c r="AH97" s="79"/>
      <c r="AI97" s="79"/>
      <c r="AJ97" s="79"/>
      <c r="AK97" s="79"/>
      <c r="AL97" s="673"/>
      <c r="AM97" s="79"/>
      <c r="AN97" s="79"/>
      <c r="AO97" s="79"/>
      <c r="AP97" s="675"/>
      <c r="AQ97" s="77"/>
      <c r="AR97" s="77"/>
      <c r="AS97" s="77"/>
      <c r="AT97" s="675"/>
      <c r="AU97" s="77"/>
      <c r="AV97" s="77"/>
      <c r="AW97" s="77"/>
      <c r="AX97" s="675"/>
      <c r="AY97" s="77"/>
      <c r="AZ97" s="77"/>
      <c r="BA97" s="77"/>
      <c r="BB97" s="675"/>
      <c r="BC97" s="77"/>
      <c r="BD97" s="77"/>
      <c r="BE97" s="77"/>
      <c r="BF97" s="675"/>
      <c r="BG97" s="77"/>
      <c r="BH97" s="77"/>
      <c r="BI97" s="77"/>
      <c r="BJ97" s="675"/>
      <c r="BK97" s="77"/>
      <c r="BL97" s="77"/>
      <c r="BM97" s="77"/>
      <c r="BN97" s="675"/>
      <c r="BO97" s="77"/>
      <c r="BP97" s="77"/>
      <c r="BQ97" s="77"/>
      <c r="CR97"/>
      <c r="CS97"/>
      <c r="CT97"/>
      <c r="CU97"/>
      <c r="CV97"/>
      <c r="CW97"/>
    </row>
    <row r="98" spans="1:101" s="580" customFormat="1" outlineLevel="2">
      <c r="A98" s="789"/>
      <c r="B98" s="378"/>
      <c r="C98" s="378"/>
      <c r="D98" s="378"/>
      <c r="E98" s="378"/>
      <c r="F98" s="378"/>
      <c r="G98" s="378"/>
      <c r="H98" s="565"/>
      <c r="I98" s="566"/>
      <c r="J98" s="316" t="s">
        <v>431</v>
      </c>
      <c r="K98" s="13"/>
      <c r="L98" s="13"/>
      <c r="M98" s="13"/>
      <c r="N98" s="364"/>
      <c r="O98" s="364"/>
      <c r="P98" s="450"/>
      <c r="Q98" s="450"/>
      <c r="R98" s="336"/>
      <c r="S98" s="364" t="e">
        <f t="shared" ref="S98:AD98" si="101">S87/R87-1</f>
        <v>#REF!</v>
      </c>
      <c r="T98" s="418" t="e">
        <f t="shared" si="101"/>
        <v>#REF!</v>
      </c>
      <c r="U98" s="418">
        <f t="shared" si="101"/>
        <v>0.47413213885778283</v>
      </c>
      <c r="V98" s="418">
        <f t="shared" si="101"/>
        <v>0.37660285627468859</v>
      </c>
      <c r="W98" s="418">
        <f t="shared" si="101"/>
        <v>0.31147499999999972</v>
      </c>
      <c r="X98" s="418">
        <f t="shared" si="101"/>
        <v>0.24717499999999992</v>
      </c>
      <c r="Y98" s="418">
        <f t="shared" si="101"/>
        <v>0.20060000000000011</v>
      </c>
      <c r="Z98" s="418">
        <f t="shared" si="101"/>
        <v>0.13850000000000007</v>
      </c>
      <c r="AA98" s="418">
        <f t="shared" si="101"/>
        <v>7.6400000000000245E-2</v>
      </c>
      <c r="AB98" s="418">
        <f t="shared" si="101"/>
        <v>7.6399999999999801E-2</v>
      </c>
      <c r="AC98" s="418">
        <f t="shared" si="101"/>
        <v>7.6400000000000023E-2</v>
      </c>
      <c r="AD98" s="418">
        <f t="shared" si="101"/>
        <v>7.6399999999999801E-2</v>
      </c>
      <c r="AE98" s="13"/>
      <c r="AF98" s="13"/>
      <c r="AG98" s="97"/>
      <c r="AH98" s="364"/>
      <c r="AI98" s="364"/>
      <c r="AJ98" s="364"/>
      <c r="AK98" s="364"/>
      <c r="AL98" s="672"/>
      <c r="AM98" s="364"/>
      <c r="AN98" s="364"/>
      <c r="AO98" s="364"/>
      <c r="AP98" s="676"/>
      <c r="AQ98" s="418"/>
      <c r="AR98" s="418"/>
      <c r="AS98" s="418"/>
      <c r="AT98" s="676"/>
      <c r="AU98" s="418"/>
      <c r="AV98" s="418"/>
      <c r="AW98" s="418"/>
      <c r="AX98" s="676">
        <f t="shared" ref="AX98:AY100" si="102">AX87/AT87-1</f>
        <v>0.83749999999999991</v>
      </c>
      <c r="AY98" s="418">
        <f t="shared" si="102"/>
        <v>1.0655737704918034</v>
      </c>
      <c r="AZ98" s="1468">
        <v>0.97</v>
      </c>
      <c r="BA98" s="1468">
        <v>1.05</v>
      </c>
      <c r="BB98" s="676">
        <f>BB87/AX87-1</f>
        <v>0.89569160997732422</v>
      </c>
      <c r="BC98" s="1468">
        <v>0.92</v>
      </c>
      <c r="BD98" s="1468">
        <v>0.76</v>
      </c>
      <c r="BE98" s="1468">
        <v>0.79</v>
      </c>
      <c r="BF98" s="1679">
        <v>0.55000000000000004</v>
      </c>
      <c r="BG98" s="418">
        <f t="shared" ref="BG98:BQ100" si="103">BG87/BC87-1</f>
        <v>0.47562097516099366</v>
      </c>
      <c r="BH98" s="418">
        <f t="shared" si="103"/>
        <v>0.43063063063063067</v>
      </c>
      <c r="BI98" s="418">
        <f t="shared" si="103"/>
        <v>0.4643854748603351</v>
      </c>
      <c r="BJ98" s="676">
        <f t="shared" si="103"/>
        <v>0.42382057231245174</v>
      </c>
      <c r="BK98" s="418">
        <f t="shared" si="103"/>
        <v>0.46384039900249374</v>
      </c>
      <c r="BL98" s="418">
        <f t="shared" si="103"/>
        <v>0.34015500549693001</v>
      </c>
      <c r="BM98" s="418">
        <f t="shared" si="103"/>
        <v>0.3083613978401889</v>
      </c>
      <c r="BN98" s="676">
        <f t="shared" si="103"/>
        <v>0.29996673207604529</v>
      </c>
      <c r="BO98" s="418">
        <f t="shared" si="103"/>
        <v>0.29407425139522969</v>
      </c>
      <c r="BP98" s="418">
        <f t="shared" si="103"/>
        <v>0.25242089097022347</v>
      </c>
      <c r="BQ98" s="418">
        <f t="shared" si="103"/>
        <v>0.3798954397994192</v>
      </c>
      <c r="CR98"/>
      <c r="CS98"/>
      <c r="CT98"/>
      <c r="CU98"/>
      <c r="CV98"/>
      <c r="CW98"/>
    </row>
    <row r="99" spans="1:101" s="382" customFormat="1" outlineLevel="2">
      <c r="A99" s="788"/>
      <c r="B99" s="563"/>
      <c r="C99" s="563"/>
      <c r="D99" s="563"/>
      <c r="E99" s="563"/>
      <c r="F99" s="563"/>
      <c r="G99" s="563"/>
      <c r="H99" s="556"/>
      <c r="I99" s="556"/>
      <c r="J99" s="186" t="s">
        <v>433</v>
      </c>
      <c r="K99" s="28"/>
      <c r="L99" s="28"/>
      <c r="M99" s="28"/>
      <c r="N99" s="79"/>
      <c r="O99" s="79"/>
      <c r="P99" s="353"/>
      <c r="Q99" s="353"/>
      <c r="R99" s="87"/>
      <c r="S99" s="79">
        <f t="shared" ref="S99:AD99" si="104">S88/R88-1</f>
        <v>0.7</v>
      </c>
      <c r="T99" s="77">
        <f t="shared" si="104"/>
        <v>0.60451977401129953</v>
      </c>
      <c r="U99" s="77">
        <f t="shared" si="104"/>
        <v>0.45696400625978084</v>
      </c>
      <c r="V99" s="77">
        <f t="shared" si="104"/>
        <v>0.41605413533834601</v>
      </c>
      <c r="W99" s="77">
        <f t="shared" si="104"/>
        <v>0.28443427835051516</v>
      </c>
      <c r="X99" s="77">
        <f t="shared" si="104"/>
        <v>0.23623486842105246</v>
      </c>
      <c r="Y99" s="77">
        <f t="shared" si="104"/>
        <v>0.18997522123893806</v>
      </c>
      <c r="Z99" s="77">
        <f t="shared" si="104"/>
        <v>0.11816964285714282</v>
      </c>
      <c r="AA99" s="77">
        <f t="shared" si="104"/>
        <v>7.6400000000000023E-2</v>
      </c>
      <c r="AB99" s="77">
        <f t="shared" si="104"/>
        <v>7.6399999999999801E-2</v>
      </c>
      <c r="AC99" s="77">
        <f t="shared" si="104"/>
        <v>7.6400000000000023E-2</v>
      </c>
      <c r="AD99" s="77">
        <f t="shared" si="104"/>
        <v>7.6400000000000023E-2</v>
      </c>
      <c r="AE99" s="28"/>
      <c r="AF99" s="28"/>
      <c r="AG99" s="96"/>
      <c r="AH99" s="79"/>
      <c r="AI99" s="79"/>
      <c r="AJ99" s="79"/>
      <c r="AK99" s="79"/>
      <c r="AL99" s="673"/>
      <c r="AM99" s="79"/>
      <c r="AN99" s="79"/>
      <c r="AO99" s="79"/>
      <c r="AP99" s="675"/>
      <c r="AQ99" s="77"/>
      <c r="AR99" s="77"/>
      <c r="AS99" s="77"/>
      <c r="AT99" s="675"/>
      <c r="AU99" s="77"/>
      <c r="AV99" s="77"/>
      <c r="AW99" s="77"/>
      <c r="AX99" s="675">
        <f t="shared" si="102"/>
        <v>0.69565217391304346</v>
      </c>
      <c r="AY99" s="77">
        <f t="shared" si="102"/>
        <v>0.66101694915254239</v>
      </c>
      <c r="AZ99" s="77" t="e">
        <f>AZ88/AV88-1</f>
        <v>#REF!</v>
      </c>
      <c r="BA99" s="77">
        <f>BA88/AW88-1</f>
        <v>0.77</v>
      </c>
      <c r="BB99" s="675">
        <f>BB88/AX88-1</f>
        <v>0.63141025641025639</v>
      </c>
      <c r="BC99" s="77">
        <f t="shared" ref="BC99:BE100" si="105">BC88/AY88-1</f>
        <v>0.65051020408163263</v>
      </c>
      <c r="BD99" s="77" t="e">
        <f t="shared" si="105"/>
        <v>#REF!</v>
      </c>
      <c r="BE99" s="77">
        <f t="shared" si="105"/>
        <v>0.62603305785123964</v>
      </c>
      <c r="BF99" s="1680">
        <v>0.5</v>
      </c>
      <c r="BG99" s="77">
        <f t="shared" si="103"/>
        <v>0.46367851622874801</v>
      </c>
      <c r="BH99" s="77">
        <f t="shared" si="103"/>
        <v>0.41598694942903758</v>
      </c>
      <c r="BI99" s="77">
        <f t="shared" si="103"/>
        <v>0.45743329097839891</v>
      </c>
      <c r="BJ99" s="675">
        <f t="shared" si="103"/>
        <v>0.41601049868766404</v>
      </c>
      <c r="BK99" s="77">
        <f t="shared" si="103"/>
        <v>0.44244984160506862</v>
      </c>
      <c r="BL99" s="77">
        <f t="shared" si="103"/>
        <v>0.39732567741935498</v>
      </c>
      <c r="BM99" s="77">
        <f t="shared" si="103"/>
        <v>0.40846287009590276</v>
      </c>
      <c r="BN99" s="675">
        <f t="shared" si="103"/>
        <v>0.31825451139573646</v>
      </c>
      <c r="BO99" s="77">
        <f t="shared" si="103"/>
        <v>0.28921118534114187</v>
      </c>
      <c r="BP99" s="77">
        <f t="shared" si="103"/>
        <v>0.22858930972657987</v>
      </c>
      <c r="BQ99" s="77">
        <f t="shared" si="103"/>
        <v>0.29973343039215616</v>
      </c>
      <c r="CR99"/>
      <c r="CS99"/>
      <c r="CT99"/>
      <c r="CU99"/>
      <c r="CV99"/>
      <c r="CW99"/>
    </row>
    <row r="100" spans="1:101" s="382" customFormat="1" outlineLevel="2">
      <c r="A100" s="788"/>
      <c r="B100" s="563"/>
      <c r="C100" s="563"/>
      <c r="D100" s="563"/>
      <c r="E100" s="563"/>
      <c r="F100" s="563"/>
      <c r="G100" s="563"/>
      <c r="H100" s="556"/>
      <c r="I100" s="556"/>
      <c r="J100" s="186" t="s">
        <v>434</v>
      </c>
      <c r="K100" s="28"/>
      <c r="L100" s="28"/>
      <c r="M100" s="28"/>
      <c r="N100" s="79"/>
      <c r="O100" s="79"/>
      <c r="P100" s="353"/>
      <c r="Q100" s="353"/>
      <c r="R100" s="87"/>
      <c r="S100" s="79" t="e">
        <f t="shared" ref="S100:AD100" si="106">S89/R89-1</f>
        <v>#REF!</v>
      </c>
      <c r="T100" s="77" t="e">
        <f t="shared" si="106"/>
        <v>#REF!</v>
      </c>
      <c r="U100" s="77">
        <f t="shared" si="106"/>
        <v>0.49711891042430589</v>
      </c>
      <c r="V100" s="77">
        <f t="shared" si="106"/>
        <v>0.32519748075577337</v>
      </c>
      <c r="W100" s="77">
        <f t="shared" si="106"/>
        <v>0.34912499999999946</v>
      </c>
      <c r="X100" s="77">
        <f t="shared" si="106"/>
        <v>0.26167703488372096</v>
      </c>
      <c r="Y100" s="77">
        <f t="shared" si="106"/>
        <v>0.21439999999999992</v>
      </c>
      <c r="Z100" s="77">
        <f t="shared" si="106"/>
        <v>0.16437499999999994</v>
      </c>
      <c r="AA100" s="77">
        <f t="shared" si="106"/>
        <v>7.6400000000000245E-2</v>
      </c>
      <c r="AB100" s="77">
        <f t="shared" si="106"/>
        <v>7.6400000000000023E-2</v>
      </c>
      <c r="AC100" s="77">
        <f t="shared" si="106"/>
        <v>7.6400000000000023E-2</v>
      </c>
      <c r="AD100" s="77">
        <f t="shared" si="106"/>
        <v>7.6399999999999801E-2</v>
      </c>
      <c r="AE100" s="28"/>
      <c r="AF100" s="28"/>
      <c r="AG100" s="96"/>
      <c r="AH100" s="79"/>
      <c r="AI100" s="79"/>
      <c r="AJ100" s="79"/>
      <c r="AK100" s="79"/>
      <c r="AL100" s="673"/>
      <c r="AM100" s="79"/>
      <c r="AN100" s="79"/>
      <c r="AO100" s="79"/>
      <c r="AP100" s="675"/>
      <c r="AQ100" s="77"/>
      <c r="AR100" s="77"/>
      <c r="AS100" s="77"/>
      <c r="AT100" s="675"/>
      <c r="AU100" s="77"/>
      <c r="AV100" s="77"/>
      <c r="AW100" s="77"/>
      <c r="AX100" s="675">
        <f t="shared" si="102"/>
        <v>1.3035714285714284</v>
      </c>
      <c r="AY100" s="77">
        <f t="shared" si="102"/>
        <v>2.4492753623188408</v>
      </c>
      <c r="AZ100" s="77" t="e">
        <f>AZ89/AV89-1</f>
        <v>#REF!</v>
      </c>
      <c r="BA100" s="77">
        <f>BA89/AW89-1</f>
        <v>1.7051013625789295</v>
      </c>
      <c r="BB100" s="675">
        <f>BB89/AX89-1</f>
        <v>1.5348837209302326</v>
      </c>
      <c r="BC100" s="77">
        <f t="shared" si="105"/>
        <v>0.84873949579831942</v>
      </c>
      <c r="BD100" s="77" t="e">
        <f t="shared" si="105"/>
        <v>#REF!</v>
      </c>
      <c r="BE100" s="77">
        <f t="shared" si="105"/>
        <v>1.0401145235751148</v>
      </c>
      <c r="BF100" s="1680">
        <v>0.63</v>
      </c>
      <c r="BG100" s="77">
        <f t="shared" si="103"/>
        <v>0.49318181818181817</v>
      </c>
      <c r="BH100" s="77">
        <f t="shared" si="103"/>
        <v>0.44869215291750497</v>
      </c>
      <c r="BI100" s="77">
        <f t="shared" si="103"/>
        <v>0.47286821705426352</v>
      </c>
      <c r="BJ100" s="675">
        <f t="shared" si="103"/>
        <v>0.43502824858757072</v>
      </c>
      <c r="BK100" s="77">
        <f t="shared" si="103"/>
        <v>0.49467275494672758</v>
      </c>
      <c r="BL100" s="77">
        <f t="shared" si="103"/>
        <v>0.27123258434600639</v>
      </c>
      <c r="BM100" s="77">
        <f t="shared" si="103"/>
        <v>0.18750204133776349</v>
      </c>
      <c r="BN100" s="675">
        <f t="shared" si="103"/>
        <v>0.27407104456167941</v>
      </c>
      <c r="BO100" s="77">
        <f t="shared" si="103"/>
        <v>0.30083896446028469</v>
      </c>
      <c r="BP100" s="77">
        <f t="shared" si="103"/>
        <v>0.28400093356004574</v>
      </c>
      <c r="BQ100" s="77">
        <f t="shared" si="103"/>
        <v>0.49468950753167418</v>
      </c>
      <c r="CR100"/>
      <c r="CS100"/>
      <c r="CT100"/>
      <c r="CU100"/>
      <c r="CV100"/>
      <c r="CW100"/>
    </row>
    <row r="101" spans="1:101" s="580" customFormat="1" outlineLevel="2">
      <c r="A101" s="789"/>
      <c r="B101" s="378"/>
      <c r="C101" s="378"/>
      <c r="D101" s="378"/>
      <c r="E101" s="378"/>
      <c r="F101" s="378"/>
      <c r="G101" s="378"/>
      <c r="H101" s="565"/>
      <c r="I101" s="565"/>
      <c r="J101" s="316" t="s">
        <v>432</v>
      </c>
      <c r="K101" s="13"/>
      <c r="L101" s="13"/>
      <c r="M101" s="13"/>
      <c r="N101" s="364"/>
      <c r="O101" s="364"/>
      <c r="P101" s="450"/>
      <c r="Q101" s="450"/>
      <c r="R101" s="336"/>
      <c r="S101" s="336"/>
      <c r="T101" s="418" t="e">
        <f>T90/S90-1</f>
        <v>#REF!</v>
      </c>
      <c r="U101" s="967"/>
      <c r="V101" s="968"/>
      <c r="W101" s="968"/>
      <c r="X101" s="968"/>
      <c r="Y101" s="968"/>
      <c r="Z101" s="968"/>
      <c r="AA101" s="968"/>
      <c r="AB101" s="968"/>
      <c r="AC101" s="968"/>
      <c r="AD101" s="968"/>
      <c r="AE101" s="13"/>
      <c r="AF101" s="13"/>
      <c r="AG101" s="97"/>
      <c r="AH101" s="364"/>
      <c r="AI101" s="364"/>
      <c r="AJ101" s="364"/>
      <c r="AK101" s="364"/>
      <c r="AL101" s="672"/>
      <c r="AM101" s="364"/>
      <c r="AN101" s="364"/>
      <c r="AO101" s="364"/>
      <c r="AP101" s="676"/>
      <c r="AQ101" s="418"/>
      <c r="AR101" s="418"/>
      <c r="AS101" s="418"/>
      <c r="AT101" s="676"/>
      <c r="AU101" s="418"/>
      <c r="AV101" s="418"/>
      <c r="AW101" s="418"/>
      <c r="AX101" s="676"/>
      <c r="AY101" s="418"/>
      <c r="AZ101" s="418"/>
      <c r="BA101" s="418"/>
      <c r="BB101" s="676"/>
      <c r="BC101" s="418"/>
      <c r="BD101" s="418" t="e">
        <f>BD90/AZ90-1</f>
        <v>#REF!</v>
      </c>
      <c r="BE101" s="418"/>
      <c r="BF101" s="676"/>
      <c r="BG101" s="418"/>
      <c r="BH101" s="418"/>
      <c r="BI101" s="418"/>
      <c r="BJ101" s="676"/>
      <c r="BK101" s="418"/>
      <c r="BL101" s="418"/>
      <c r="BM101" s="418"/>
      <c r="BN101" s="676"/>
      <c r="BO101" s="418"/>
      <c r="BP101" s="418"/>
      <c r="BQ101" s="418"/>
      <c r="CR101"/>
      <c r="CS101"/>
      <c r="CT101"/>
      <c r="CU101"/>
      <c r="CV101"/>
      <c r="CW101"/>
    </row>
    <row r="102" spans="1:101" s="584" customFormat="1" outlineLevel="1">
      <c r="A102" s="788"/>
      <c r="B102" s="568"/>
      <c r="C102" s="568"/>
      <c r="D102" s="568"/>
      <c r="E102" s="568"/>
      <c r="F102" s="568"/>
      <c r="G102" s="568"/>
      <c r="H102" s="569"/>
      <c r="I102" s="567"/>
      <c r="J102" s="455"/>
      <c r="K102" s="454"/>
      <c r="L102" s="454"/>
      <c r="M102" s="454"/>
      <c r="N102" s="454"/>
      <c r="O102" s="454"/>
      <c r="P102" s="354"/>
      <c r="Q102" s="456"/>
      <c r="R102" s="456"/>
      <c r="S102" s="456"/>
      <c r="T102" s="457"/>
      <c r="U102" s="457"/>
      <c r="V102" s="457"/>
      <c r="W102" s="457"/>
      <c r="X102" s="457"/>
      <c r="Y102" s="457"/>
      <c r="Z102" s="457"/>
      <c r="AA102" s="457"/>
      <c r="AB102" s="457"/>
      <c r="AC102" s="457"/>
      <c r="AD102" s="457"/>
      <c r="AE102" s="454"/>
      <c r="AF102" s="454"/>
      <c r="AG102" s="454"/>
      <c r="AH102" s="454"/>
      <c r="AI102" s="454"/>
      <c r="AJ102" s="454"/>
      <c r="AK102" s="454"/>
      <c r="AL102" s="1760"/>
      <c r="AM102" s="458"/>
      <c r="AN102" s="458"/>
      <c r="AO102" s="458"/>
      <c r="AP102" s="1760"/>
      <c r="AQ102" s="458"/>
      <c r="AR102" s="458"/>
      <c r="AS102" s="454"/>
      <c r="AT102" s="743"/>
      <c r="AU102" s="454"/>
      <c r="AV102" s="454"/>
      <c r="AW102" s="454"/>
      <c r="AX102" s="743"/>
      <c r="AY102" s="454"/>
      <c r="AZ102" s="524"/>
      <c r="BA102" s="524"/>
      <c r="BB102" s="743"/>
      <c r="BC102" s="454"/>
      <c r="BD102" s="454"/>
      <c r="BE102" s="454"/>
      <c r="BF102" s="743"/>
      <c r="BG102" s="454"/>
      <c r="BH102" s="454"/>
      <c r="BI102" s="454"/>
      <c r="BJ102" s="743"/>
      <c r="BK102" s="454"/>
      <c r="BL102" s="454"/>
      <c r="BM102" s="454"/>
      <c r="BN102" s="743"/>
      <c r="BO102" s="454"/>
      <c r="BP102" s="454"/>
      <c r="BQ102" s="454"/>
      <c r="CR102"/>
      <c r="CS102"/>
      <c r="CT102"/>
      <c r="CU102"/>
      <c r="CV102"/>
      <c r="CW102"/>
    </row>
    <row r="103" spans="1:101" s="382" customFormat="1" outlineLevel="1">
      <c r="A103" s="563"/>
      <c r="B103" s="563"/>
      <c r="C103" s="563"/>
      <c r="D103" s="563"/>
      <c r="E103" s="563"/>
      <c r="F103" s="563"/>
      <c r="G103" s="563"/>
      <c r="H103" s="556"/>
      <c r="I103" s="556"/>
      <c r="J103" s="1365" t="s">
        <v>630</v>
      </c>
      <c r="K103" s="28"/>
      <c r="L103" s="28"/>
      <c r="M103" s="28"/>
      <c r="N103" s="221"/>
      <c r="O103" s="221"/>
      <c r="P103" s="179"/>
      <c r="Q103" s="179"/>
      <c r="R103" s="179"/>
      <c r="S103" s="179"/>
      <c r="T103" s="68"/>
      <c r="U103" s="68"/>
      <c r="V103" s="940"/>
      <c r="W103" s="69"/>
      <c r="X103" s="861"/>
      <c r="Y103" s="861"/>
      <c r="Z103" s="69"/>
      <c r="AA103" s="69"/>
      <c r="AB103" s="69"/>
      <c r="AC103" s="69"/>
      <c r="AD103" s="69"/>
      <c r="AE103" s="86"/>
      <c r="AF103" s="28"/>
      <c r="AG103" s="96"/>
      <c r="AH103" s="310"/>
      <c r="AI103" s="310"/>
      <c r="AJ103" s="310"/>
      <c r="AK103" s="310"/>
      <c r="AL103" s="760"/>
      <c r="AM103" s="310"/>
      <c r="AN103" s="310"/>
      <c r="AO103" s="310"/>
      <c r="AP103" s="690"/>
      <c r="AQ103" s="179"/>
      <c r="AR103" s="179"/>
      <c r="AS103" s="179"/>
      <c r="AT103" s="690"/>
      <c r="AU103" s="179"/>
      <c r="AV103" s="179"/>
      <c r="AW103" s="179"/>
      <c r="AX103" s="690"/>
      <c r="AY103" s="179"/>
      <c r="AZ103" s="179"/>
      <c r="BA103" s="179"/>
      <c r="BB103" s="690"/>
      <c r="BC103" s="179"/>
      <c r="BD103" s="632"/>
      <c r="BE103" s="179"/>
      <c r="BF103" s="690"/>
      <c r="BG103" s="179"/>
      <c r="BH103" s="179"/>
      <c r="BI103" s="179"/>
      <c r="BJ103" s="690"/>
      <c r="BK103" s="179"/>
      <c r="BL103" s="179"/>
      <c r="BM103" s="179"/>
      <c r="BN103" s="690"/>
      <c r="BO103" s="179"/>
      <c r="BP103" s="179"/>
      <c r="BQ103" s="179"/>
      <c r="CR103"/>
      <c r="CS103"/>
      <c r="CT103"/>
      <c r="CU103"/>
      <c r="CV103"/>
      <c r="CW103"/>
    </row>
    <row r="104" spans="1:101" s="382" customFormat="1" outlineLevel="1">
      <c r="A104" s="563"/>
      <c r="B104" s="563"/>
      <c r="C104" s="563"/>
      <c r="D104" s="563"/>
      <c r="E104" s="563"/>
      <c r="F104" s="563"/>
      <c r="G104" s="563"/>
      <c r="H104" s="556"/>
      <c r="I104" s="556"/>
      <c r="J104" s="33" t="s">
        <v>290</v>
      </c>
      <c r="K104" s="28"/>
      <c r="L104" s="28"/>
      <c r="M104" s="28"/>
      <c r="N104" s="221"/>
      <c r="O104" s="855"/>
      <c r="P104" s="1265">
        <v>26200</v>
      </c>
      <c r="Q104" s="1265">
        <v>47800</v>
      </c>
      <c r="R104" s="1265">
        <v>79101.123595505618</v>
      </c>
      <c r="S104" s="1265">
        <v>140800</v>
      </c>
      <c r="T104" s="1265">
        <v>228900</v>
      </c>
      <c r="U104" s="1265">
        <v>327800</v>
      </c>
      <c r="V104" s="350">
        <f>V75*V110</f>
        <v>443979.2</v>
      </c>
      <c r="W104" s="350">
        <f>W75*W110</f>
        <v>570384.60863999987</v>
      </c>
      <c r="X104" s="350">
        <f>X75*X110</f>
        <v>696549.22794141271</v>
      </c>
      <c r="Y104" s="350">
        <f t="shared" ref="Y104:AD104" si="107">Y75*Y110</f>
        <v>836277.00306646014</v>
      </c>
      <c r="Z104" s="350">
        <f t="shared" si="107"/>
        <v>952101.36799116479</v>
      </c>
      <c r="AA104" s="350">
        <f t="shared" si="107"/>
        <v>1024841.9125056899</v>
      </c>
      <c r="AB104" s="350">
        <f t="shared" si="107"/>
        <v>1103139.8346211244</v>
      </c>
      <c r="AC104" s="350">
        <f t="shared" si="107"/>
        <v>1187419.7179861784</v>
      </c>
      <c r="AD104" s="350">
        <f t="shared" si="107"/>
        <v>1278138.5844403224</v>
      </c>
      <c r="AE104" s="28"/>
      <c r="AF104" s="28"/>
      <c r="AG104" s="96"/>
      <c r="AH104" s="310"/>
      <c r="AI104" s="310"/>
      <c r="AJ104" s="310"/>
      <c r="AK104" s="310"/>
      <c r="AL104" s="760"/>
      <c r="AM104" s="310"/>
      <c r="AN104" s="310"/>
      <c r="AO104" s="310"/>
      <c r="AP104" s="1717"/>
      <c r="AQ104" s="221"/>
      <c r="AR104" s="221"/>
      <c r="AS104" s="221"/>
      <c r="AT104" s="1459">
        <v>15600</v>
      </c>
      <c r="AU104" s="1264">
        <v>20000</v>
      </c>
      <c r="AV104" s="1264">
        <v>20700</v>
      </c>
      <c r="AW104" s="1264">
        <v>23387.978142076503</v>
      </c>
      <c r="AX104" s="1459">
        <v>26900</v>
      </c>
      <c r="AY104" s="1264">
        <v>34800</v>
      </c>
      <c r="AZ104" s="1264">
        <v>36300</v>
      </c>
      <c r="BA104" s="1264">
        <v>42800</v>
      </c>
      <c r="BB104" s="1459">
        <v>44400</v>
      </c>
      <c r="BC104" s="1264">
        <v>59000</v>
      </c>
      <c r="BD104" s="1264">
        <v>56838.23529411765</v>
      </c>
      <c r="BE104" s="1264">
        <v>71128.002793296095</v>
      </c>
      <c r="BF104" s="1459">
        <v>67500</v>
      </c>
      <c r="BG104" s="1264">
        <v>83100</v>
      </c>
      <c r="BH104" s="1264">
        <v>77300</v>
      </c>
      <c r="BI104" s="1264">
        <v>99900</v>
      </c>
      <c r="BJ104" s="1459">
        <v>92600</v>
      </c>
      <c r="BK104" s="1264">
        <v>115200</v>
      </c>
      <c r="BL104" s="855"/>
      <c r="BM104" s="855"/>
      <c r="BN104" s="943"/>
      <c r="BO104" s="179"/>
      <c r="BP104" s="179"/>
      <c r="BQ104" s="179"/>
      <c r="BW104" s="382">
        <f>42.5/1.59</f>
        <v>26.729559748427672</v>
      </c>
      <c r="CR104"/>
      <c r="CS104"/>
      <c r="CT104"/>
      <c r="CU104"/>
      <c r="CV104"/>
      <c r="CW104"/>
    </row>
    <row r="105" spans="1:101" s="382" customFormat="1" outlineLevel="1">
      <c r="A105" s="563"/>
      <c r="B105" s="563"/>
      <c r="C105" s="563"/>
      <c r="D105" s="563"/>
      <c r="E105" s="563"/>
      <c r="F105" s="563"/>
      <c r="G105" s="563"/>
      <c r="H105" s="556"/>
      <c r="I105" s="556"/>
      <c r="J105" s="33" t="s">
        <v>456</v>
      </c>
      <c r="K105" s="28"/>
      <c r="L105" s="28"/>
      <c r="M105" s="28"/>
      <c r="N105" s="221"/>
      <c r="O105" s="855"/>
      <c r="P105" s="1265">
        <v>6500</v>
      </c>
      <c r="Q105" s="1265">
        <v>25500</v>
      </c>
      <c r="R105" s="1265">
        <v>46279.069767441862</v>
      </c>
      <c r="S105" s="1265">
        <v>119400</v>
      </c>
      <c r="T105" s="1265">
        <v>217600</v>
      </c>
      <c r="U105" s="1265">
        <v>316600</v>
      </c>
      <c r="V105" s="350">
        <f>V75*V111</f>
        <v>462100.8</v>
      </c>
      <c r="W105" s="350">
        <f>W75*W111</f>
        <v>617916.65935999982</v>
      </c>
      <c r="X105" s="350">
        <f>X75*X111</f>
        <v>785470.40597648686</v>
      </c>
      <c r="Y105" s="350">
        <f t="shared" ref="Y105:AD105" si="108">Y75*Y111</f>
        <v>943035.76941536996</v>
      </c>
      <c r="Z105" s="350">
        <f t="shared" si="108"/>
        <v>1073646.2234793988</v>
      </c>
      <c r="AA105" s="350">
        <f t="shared" si="108"/>
        <v>1155672.7949532249</v>
      </c>
      <c r="AB105" s="350">
        <f t="shared" si="108"/>
        <v>1243966.1964876512</v>
      </c>
      <c r="AC105" s="350">
        <f t="shared" si="108"/>
        <v>1339005.2138993077</v>
      </c>
      <c r="AD105" s="350">
        <f t="shared" si="108"/>
        <v>1441305.2122412149</v>
      </c>
      <c r="AE105" s="28"/>
      <c r="AF105" s="28"/>
      <c r="AG105" s="96"/>
      <c r="AH105" s="310"/>
      <c r="AI105" s="310"/>
      <c r="AJ105" s="310"/>
      <c r="AK105" s="310"/>
      <c r="AL105" s="760"/>
      <c r="AM105" s="310"/>
      <c r="AN105" s="310"/>
      <c r="AO105" s="310"/>
      <c r="AP105" s="1717"/>
      <c r="AQ105" s="221"/>
      <c r="AR105" s="221"/>
      <c r="AS105" s="221"/>
      <c r="AT105" s="1459">
        <v>8400</v>
      </c>
      <c r="AU105" s="1264">
        <v>10500</v>
      </c>
      <c r="AV105" s="1264">
        <v>11200</v>
      </c>
      <c r="AW105" s="1264">
        <v>15750.91575091575</v>
      </c>
      <c r="AX105" s="1459">
        <v>17200</v>
      </c>
      <c r="AY105" s="1264">
        <v>28200</v>
      </c>
      <c r="AZ105" s="1264">
        <v>31000</v>
      </c>
      <c r="BA105" s="1264">
        <v>43000</v>
      </c>
      <c r="BB105" s="1459">
        <v>43400</v>
      </c>
      <c r="BC105" s="1264">
        <v>55500</v>
      </c>
      <c r="BD105" s="1264">
        <v>58161.76470588235</v>
      </c>
      <c r="BE105" s="1264">
        <v>74171.997206703905</v>
      </c>
      <c r="BF105" s="1459">
        <v>61800</v>
      </c>
      <c r="BG105" s="1264">
        <v>77300</v>
      </c>
      <c r="BH105" s="1264">
        <v>81500</v>
      </c>
      <c r="BI105" s="1264">
        <v>109800</v>
      </c>
      <c r="BJ105" s="1459">
        <v>91500</v>
      </c>
      <c r="BK105" s="1264">
        <v>119600</v>
      </c>
      <c r="BL105" s="855"/>
      <c r="BM105" s="855"/>
      <c r="BN105" s="669"/>
      <c r="BO105" s="310"/>
      <c r="BP105" s="310"/>
      <c r="BQ105" s="310"/>
      <c r="BW105" s="382">
        <f>BW104/145</f>
        <v>0.18434179136846671</v>
      </c>
      <c r="CR105"/>
      <c r="CS105"/>
      <c r="CT105"/>
      <c r="CU105"/>
      <c r="CV105"/>
      <c r="CW105"/>
    </row>
    <row r="106" spans="1:101" s="382" customFormat="1" outlineLevel="1">
      <c r="A106" s="563"/>
      <c r="B106" s="563"/>
      <c r="C106" s="563"/>
      <c r="D106" s="563"/>
      <c r="E106" s="563"/>
      <c r="F106" s="563"/>
      <c r="G106" s="563"/>
      <c r="H106" s="556"/>
      <c r="I106" s="556"/>
      <c r="J106" s="306" t="s">
        <v>317</v>
      </c>
      <c r="K106" s="28"/>
      <c r="L106" s="28"/>
      <c r="M106" s="28"/>
      <c r="N106" s="79"/>
      <c r="O106" s="79"/>
      <c r="P106" s="79"/>
      <c r="Q106" s="79"/>
      <c r="R106" s="79"/>
      <c r="S106" s="79"/>
      <c r="T106" s="79"/>
      <c r="U106" s="79"/>
      <c r="V106" s="79"/>
      <c r="W106" s="77"/>
      <c r="X106" s="77"/>
      <c r="Y106" s="77"/>
      <c r="Z106" s="77"/>
      <c r="AA106" s="77"/>
      <c r="AB106" s="77"/>
      <c r="AC106" s="77"/>
      <c r="AD106" s="77"/>
      <c r="AE106" s="28"/>
      <c r="AF106" s="28"/>
      <c r="AG106" s="96"/>
      <c r="AH106" s="79"/>
      <c r="AI106" s="79"/>
      <c r="AJ106" s="79"/>
      <c r="AK106" s="79"/>
      <c r="AL106" s="673"/>
      <c r="AM106" s="79"/>
      <c r="AN106" s="79"/>
      <c r="AO106" s="79"/>
      <c r="AP106" s="675"/>
      <c r="AQ106" s="77"/>
      <c r="AR106" s="77"/>
      <c r="AS106" s="77"/>
      <c r="AT106" s="675"/>
      <c r="AU106" s="77"/>
      <c r="AV106" s="77"/>
      <c r="AW106" s="77"/>
      <c r="AX106" s="675"/>
      <c r="AY106" s="77"/>
      <c r="AZ106" s="77"/>
      <c r="BA106" s="77"/>
      <c r="BB106" s="675"/>
      <c r="BC106" s="77"/>
      <c r="BD106" s="77"/>
      <c r="BE106" s="77"/>
      <c r="BF106" s="675"/>
      <c r="BG106" s="77"/>
      <c r="BH106" s="77"/>
      <c r="BI106" s="77"/>
      <c r="BJ106" s="675"/>
      <c r="BK106" s="77"/>
      <c r="BL106" s="77"/>
      <c r="BM106" s="77"/>
      <c r="BN106" s="675"/>
      <c r="BO106" s="77"/>
      <c r="BP106" s="77"/>
      <c r="BQ106" s="77"/>
      <c r="CR106"/>
      <c r="CS106"/>
      <c r="CT106"/>
      <c r="CU106"/>
      <c r="CV106"/>
      <c r="CW106"/>
    </row>
    <row r="107" spans="1:101" s="382" customFormat="1" outlineLevel="1">
      <c r="A107" s="563"/>
      <c r="B107" s="563"/>
      <c r="C107" s="563"/>
      <c r="D107" s="563"/>
      <c r="E107" s="563"/>
      <c r="F107" s="563"/>
      <c r="G107" s="563"/>
      <c r="H107" s="556"/>
      <c r="I107" s="556"/>
      <c r="J107" s="33" t="s">
        <v>290</v>
      </c>
      <c r="K107" s="28"/>
      <c r="L107" s="28"/>
      <c r="M107" s="28"/>
      <c r="N107" s="79"/>
      <c r="O107" s="79"/>
      <c r="P107" s="79"/>
      <c r="Q107" s="79">
        <f t="shared" ref="Q107:X108" si="109">Q104/P104-1</f>
        <v>0.82442748091603058</v>
      </c>
      <c r="R107" s="79">
        <f t="shared" si="109"/>
        <v>0.65483522166329755</v>
      </c>
      <c r="S107" s="79">
        <f t="shared" si="109"/>
        <v>0.78</v>
      </c>
      <c r="T107" s="79">
        <f t="shared" si="109"/>
        <v>0.62571022727272729</v>
      </c>
      <c r="U107" s="79">
        <f t="shared" si="109"/>
        <v>0.43206640454346878</v>
      </c>
      <c r="V107" s="79">
        <f t="shared" si="109"/>
        <v>0.35442098840756553</v>
      </c>
      <c r="W107" s="79">
        <f t="shared" si="109"/>
        <v>0.28471020408163228</v>
      </c>
      <c r="X107" s="79">
        <f t="shared" si="109"/>
        <v>0.2211921874999998</v>
      </c>
      <c r="Y107" s="79">
        <f t="shared" ref="Y107:AD108" si="110">Y104/X104-1</f>
        <v>0.20060000000000011</v>
      </c>
      <c r="Z107" s="79">
        <f t="shared" si="110"/>
        <v>0.13849999999999985</v>
      </c>
      <c r="AA107" s="79">
        <f t="shared" si="110"/>
        <v>7.6400000000000023E-2</v>
      </c>
      <c r="AB107" s="79">
        <f t="shared" si="110"/>
        <v>7.6399999999999801E-2</v>
      </c>
      <c r="AC107" s="79">
        <f t="shared" si="110"/>
        <v>7.6400000000000023E-2</v>
      </c>
      <c r="AD107" s="79">
        <f t="shared" si="110"/>
        <v>7.6400000000000023E-2</v>
      </c>
      <c r="AE107" s="28"/>
      <c r="AF107" s="28"/>
      <c r="AG107" s="96"/>
      <c r="AH107" s="79"/>
      <c r="AI107" s="79"/>
      <c r="AJ107" s="79"/>
      <c r="AK107" s="79"/>
      <c r="AL107" s="673"/>
      <c r="AM107" s="79"/>
      <c r="AN107" s="79"/>
      <c r="AO107" s="79"/>
      <c r="AP107" s="675"/>
      <c r="AQ107" s="77"/>
      <c r="AR107" s="77"/>
      <c r="AS107" s="77"/>
      <c r="AT107" s="675"/>
      <c r="AU107" s="77"/>
      <c r="AV107" s="77"/>
      <c r="AW107" s="77"/>
      <c r="AX107" s="675">
        <f t="shared" ref="AX107:BC108" si="111">AX104/AT104-1</f>
        <v>0.72435897435897445</v>
      </c>
      <c r="AY107" s="77">
        <f t="shared" si="111"/>
        <v>0.74</v>
      </c>
      <c r="AZ107" s="77">
        <f t="shared" si="111"/>
        <v>0.75362318840579712</v>
      </c>
      <c r="BA107" s="77">
        <f t="shared" si="111"/>
        <v>0.83000000000000007</v>
      </c>
      <c r="BB107" s="675">
        <f t="shared" si="111"/>
        <v>0.65055762081784385</v>
      </c>
      <c r="BC107" s="77">
        <f t="shared" si="111"/>
        <v>0.69540229885057481</v>
      </c>
      <c r="BD107" s="77">
        <f t="shared" ref="BD107:BK108" si="112">BD104/AZ104-1</f>
        <v>0.56579160589855793</v>
      </c>
      <c r="BE107" s="77">
        <f t="shared" si="112"/>
        <v>0.66186922414243221</v>
      </c>
      <c r="BF107" s="675">
        <f t="shared" si="112"/>
        <v>0.52027027027027017</v>
      </c>
      <c r="BG107" s="77">
        <f t="shared" si="112"/>
        <v>0.40847457627118655</v>
      </c>
      <c r="BH107" s="77">
        <f t="shared" si="112"/>
        <v>0.35999999999999988</v>
      </c>
      <c r="BI107" s="77">
        <f t="shared" si="112"/>
        <v>0.40451012367544936</v>
      </c>
      <c r="BJ107" s="675">
        <f t="shared" si="112"/>
        <v>0.37185185185185188</v>
      </c>
      <c r="BK107" s="77">
        <f t="shared" si="112"/>
        <v>0.38628158844765337</v>
      </c>
      <c r="BL107" s="77"/>
      <c r="BM107" s="77"/>
      <c r="BN107" s="675"/>
      <c r="BO107" s="77"/>
      <c r="BP107" s="77"/>
      <c r="BQ107" s="77"/>
      <c r="CR107"/>
      <c r="CS107"/>
      <c r="CT107"/>
      <c r="CU107"/>
      <c r="CV107"/>
      <c r="CW107"/>
    </row>
    <row r="108" spans="1:101" s="382" customFormat="1" outlineLevel="1">
      <c r="A108" s="563"/>
      <c r="B108" s="563"/>
      <c r="C108" s="563"/>
      <c r="D108" s="563"/>
      <c r="E108" s="563"/>
      <c r="F108" s="563"/>
      <c r="G108" s="563"/>
      <c r="H108" s="556"/>
      <c r="I108" s="556"/>
      <c r="J108" s="33" t="s">
        <v>456</v>
      </c>
      <c r="K108" s="28"/>
      <c r="L108" s="28"/>
      <c r="M108" s="28"/>
      <c r="N108" s="79"/>
      <c r="O108" s="79"/>
      <c r="P108" s="79"/>
      <c r="Q108" s="79">
        <f t="shared" si="109"/>
        <v>2.9230769230769229</v>
      </c>
      <c r="R108" s="79">
        <f t="shared" si="109"/>
        <v>0.81486548107615153</v>
      </c>
      <c r="S108" s="79">
        <f t="shared" si="109"/>
        <v>1.58</v>
      </c>
      <c r="T108" s="79">
        <f t="shared" si="109"/>
        <v>0.82244556113902845</v>
      </c>
      <c r="U108" s="79">
        <f t="shared" si="109"/>
        <v>0.45496323529411775</v>
      </c>
      <c r="V108" s="79">
        <f t="shared" si="109"/>
        <v>0.4595729627289955</v>
      </c>
      <c r="W108" s="79">
        <f t="shared" si="109"/>
        <v>0.33719019607843093</v>
      </c>
      <c r="X108" s="79">
        <f t="shared" si="109"/>
        <v>0.27115913461538477</v>
      </c>
      <c r="Y108" s="79">
        <f t="shared" si="110"/>
        <v>0.20059999999999989</v>
      </c>
      <c r="Z108" s="79">
        <f t="shared" si="110"/>
        <v>0.13850000000000007</v>
      </c>
      <c r="AA108" s="79">
        <f t="shared" si="110"/>
        <v>7.6400000000000023E-2</v>
      </c>
      <c r="AB108" s="79">
        <f t="shared" si="110"/>
        <v>7.6399999999999801E-2</v>
      </c>
      <c r="AC108" s="79">
        <f t="shared" si="110"/>
        <v>7.6400000000000023E-2</v>
      </c>
      <c r="AD108" s="79">
        <f t="shared" si="110"/>
        <v>7.6400000000000023E-2</v>
      </c>
      <c r="AE108" s="28"/>
      <c r="AF108" s="28"/>
      <c r="AG108" s="96"/>
      <c r="AH108" s="79"/>
      <c r="AI108" s="79"/>
      <c r="AJ108" s="79"/>
      <c r="AK108" s="79"/>
      <c r="AL108" s="673"/>
      <c r="AM108" s="79"/>
      <c r="AN108" s="79"/>
      <c r="AO108" s="79"/>
      <c r="AP108" s="675"/>
      <c r="AQ108" s="77"/>
      <c r="AR108" s="77"/>
      <c r="AS108" s="77"/>
      <c r="AT108" s="675"/>
      <c r="AU108" s="77"/>
      <c r="AV108" s="77"/>
      <c r="AW108" s="77"/>
      <c r="AX108" s="675">
        <f t="shared" si="111"/>
        <v>1.0476190476190474</v>
      </c>
      <c r="AY108" s="77">
        <f t="shared" si="111"/>
        <v>1.6857142857142855</v>
      </c>
      <c r="AZ108" s="77">
        <f t="shared" si="111"/>
        <v>1.7678571428571428</v>
      </c>
      <c r="BA108" s="77">
        <f t="shared" si="111"/>
        <v>1.73</v>
      </c>
      <c r="BB108" s="675">
        <f t="shared" si="111"/>
        <v>1.5232558139534884</v>
      </c>
      <c r="BC108" s="77">
        <f t="shared" si="111"/>
        <v>0.96808510638297873</v>
      </c>
      <c r="BD108" s="77">
        <f t="shared" si="112"/>
        <v>0.87618595825426926</v>
      </c>
      <c r="BE108" s="77">
        <f t="shared" si="112"/>
        <v>0.7249301675977653</v>
      </c>
      <c r="BF108" s="675">
        <f t="shared" si="112"/>
        <v>0.42396313364055294</v>
      </c>
      <c r="BG108" s="77">
        <f t="shared" si="112"/>
        <v>0.39279279279279278</v>
      </c>
      <c r="BH108" s="77">
        <f t="shared" si="112"/>
        <v>0.40126422250316063</v>
      </c>
      <c r="BI108" s="77">
        <f t="shared" si="112"/>
        <v>0.48034304232104352</v>
      </c>
      <c r="BJ108" s="675">
        <f t="shared" si="112"/>
        <v>0.48058252427184467</v>
      </c>
      <c r="BK108" s="77">
        <f t="shared" si="112"/>
        <v>0.54721862871927551</v>
      </c>
      <c r="BL108" s="77"/>
      <c r="BM108" s="77"/>
      <c r="BN108" s="675"/>
      <c r="BO108" s="77"/>
      <c r="BP108" s="77"/>
      <c r="BQ108" s="77"/>
      <c r="CR108"/>
      <c r="CS108"/>
      <c r="CT108"/>
      <c r="CU108"/>
      <c r="CV108"/>
      <c r="CW108"/>
    </row>
    <row r="109" spans="1:101" s="382" customFormat="1" outlineLevel="1">
      <c r="A109" s="563"/>
      <c r="B109" s="563"/>
      <c r="C109" s="563"/>
      <c r="D109" s="563"/>
      <c r="E109" s="563"/>
      <c r="F109" s="563"/>
      <c r="G109" s="563"/>
      <c r="H109" s="556"/>
      <c r="I109" s="556"/>
      <c r="J109" s="306" t="s">
        <v>629</v>
      </c>
      <c r="K109" s="28"/>
      <c r="L109" s="28"/>
      <c r="M109" s="28"/>
      <c r="N109" s="221"/>
      <c r="O109" s="221"/>
      <c r="P109" s="858"/>
      <c r="Q109" s="858"/>
      <c r="R109" s="858"/>
      <c r="S109" s="858"/>
      <c r="T109" s="858"/>
      <c r="U109" s="859"/>
      <c r="V109" s="859"/>
      <c r="W109" s="314"/>
      <c r="X109" s="314"/>
      <c r="Y109" s="314"/>
      <c r="Z109" s="314"/>
      <c r="AA109" s="314"/>
      <c r="AB109" s="314"/>
      <c r="AC109" s="314"/>
      <c r="AD109" s="314"/>
      <c r="AE109" s="28"/>
      <c r="AF109" s="28"/>
      <c r="AG109" s="96"/>
      <c r="AH109" s="310"/>
      <c r="AI109" s="310"/>
      <c r="AJ109" s="310"/>
      <c r="AK109" s="310"/>
      <c r="AL109" s="760"/>
      <c r="AM109" s="310"/>
      <c r="AN109" s="310"/>
      <c r="AO109" s="310"/>
      <c r="AP109" s="1717"/>
      <c r="AQ109" s="221"/>
      <c r="AR109" s="221"/>
      <c r="AS109" s="221"/>
      <c r="AT109" s="1717"/>
      <c r="AU109" s="221"/>
      <c r="AV109" s="221"/>
      <c r="AW109" s="221"/>
      <c r="AX109" s="1717"/>
      <c r="AY109" s="221"/>
      <c r="AZ109" s="310"/>
      <c r="BA109" s="310"/>
      <c r="BB109" s="760"/>
      <c r="BC109" s="310"/>
      <c r="BD109" s="310"/>
      <c r="BE109" s="310"/>
      <c r="BF109" s="760"/>
      <c r="BG109" s="310"/>
      <c r="BH109" s="310"/>
      <c r="BI109" s="310"/>
      <c r="BJ109" s="760"/>
      <c r="BK109" s="310"/>
      <c r="BL109" s="310"/>
      <c r="BM109" s="310"/>
      <c r="BN109" s="760"/>
      <c r="BO109" s="310"/>
      <c r="BP109" s="310"/>
      <c r="BQ109" s="310"/>
      <c r="CR109"/>
      <c r="CS109"/>
      <c r="CT109"/>
      <c r="CU109"/>
      <c r="CV109"/>
      <c r="CW109"/>
    </row>
    <row r="110" spans="1:101" s="382" customFormat="1" outlineLevel="1">
      <c r="A110" s="563"/>
      <c r="B110" s="563"/>
      <c r="C110" s="563"/>
      <c r="D110" s="563"/>
      <c r="E110" s="563"/>
      <c r="F110" s="563"/>
      <c r="G110" s="563"/>
      <c r="H110" s="556"/>
      <c r="I110" s="556"/>
      <c r="J110" s="33" t="s">
        <v>290</v>
      </c>
      <c r="K110" s="28"/>
      <c r="L110" s="28"/>
      <c r="M110" s="28"/>
      <c r="N110" s="79"/>
      <c r="O110" s="79"/>
      <c r="P110" s="79">
        <f t="shared" ref="P110:U111" si="113">IF(ISERROR(P104/P$75),"--",(P104/P$75))</f>
        <v>0.80122324159021407</v>
      </c>
      <c r="Q110" s="79">
        <f t="shared" si="113"/>
        <v>0.65211459754433831</v>
      </c>
      <c r="R110" s="79">
        <f t="shared" si="113"/>
        <v>0.63028783741438743</v>
      </c>
      <c r="S110" s="79">
        <f t="shared" si="113"/>
        <v>0.54112221368178326</v>
      </c>
      <c r="T110" s="79">
        <f t="shared" si="113"/>
        <v>0.49470499243570348</v>
      </c>
      <c r="U110" s="79">
        <f t="shared" si="113"/>
        <v>0.49802491643877239</v>
      </c>
      <c r="V110" s="79">
        <f>1-V111</f>
        <v>0.49</v>
      </c>
      <c r="W110" s="79">
        <f t="shared" ref="W110:AD110" si="114">1-W111</f>
        <v>0.48</v>
      </c>
      <c r="X110" s="79">
        <f t="shared" si="114"/>
        <v>0.47</v>
      </c>
      <c r="Y110" s="79">
        <f t="shared" si="114"/>
        <v>0.47</v>
      </c>
      <c r="Z110" s="79">
        <f t="shared" si="114"/>
        <v>0.47</v>
      </c>
      <c r="AA110" s="79">
        <f t="shared" si="114"/>
        <v>0.47</v>
      </c>
      <c r="AB110" s="79">
        <f t="shared" si="114"/>
        <v>0.47</v>
      </c>
      <c r="AC110" s="79">
        <f t="shared" si="114"/>
        <v>0.47</v>
      </c>
      <c r="AD110" s="79">
        <f t="shared" si="114"/>
        <v>0.47</v>
      </c>
      <c r="AE110" s="28"/>
      <c r="AF110" s="28"/>
      <c r="AG110" s="96"/>
      <c r="AH110" s="79"/>
      <c r="AI110" s="79"/>
      <c r="AJ110" s="79"/>
      <c r="AK110" s="79"/>
      <c r="AL110" s="673"/>
      <c r="AM110" s="79"/>
      <c r="AN110" s="79"/>
      <c r="AO110" s="79"/>
      <c r="AP110" s="675"/>
      <c r="AQ110" s="77"/>
      <c r="AR110" s="77"/>
      <c r="AS110" s="77"/>
      <c r="AT110" s="675">
        <f t="shared" ref="AT110:BC110" si="115">IF(ISERROR(AT104/AT$75),"--",(AT104/AT$75))</f>
        <v>0.65</v>
      </c>
      <c r="AU110" s="77">
        <f t="shared" si="115"/>
        <v>0.65713816329883357</v>
      </c>
      <c r="AV110" s="77">
        <f t="shared" si="115"/>
        <v>0.64890282131661448</v>
      </c>
      <c r="AW110" s="77">
        <f t="shared" si="115"/>
        <v>0.59696587565440029</v>
      </c>
      <c r="AX110" s="675">
        <f t="shared" si="115"/>
        <v>0.60997732426303852</v>
      </c>
      <c r="AY110" s="77">
        <f t="shared" si="115"/>
        <v>0.55238095238095242</v>
      </c>
      <c r="AZ110" s="77">
        <f t="shared" si="115"/>
        <v>0.53937592867756312</v>
      </c>
      <c r="BA110" s="77">
        <f t="shared" si="115"/>
        <v>0.49883449883449882</v>
      </c>
      <c r="BB110" s="675">
        <f t="shared" si="115"/>
        <v>0.50569476082004561</v>
      </c>
      <c r="BC110" s="77">
        <f t="shared" si="115"/>
        <v>0.51528384279475981</v>
      </c>
      <c r="BD110" s="77">
        <f t="shared" ref="BD110:BK110" si="116">IF(ISERROR(BD104/BD$75),"--",(BD104/BD$75))</f>
        <v>0.49424552429667523</v>
      </c>
      <c r="BE110" s="77">
        <f t="shared" si="116"/>
        <v>0.48952513966480449</v>
      </c>
      <c r="BF110" s="675">
        <f t="shared" si="116"/>
        <v>0.52204176334106733</v>
      </c>
      <c r="BG110" s="77">
        <f t="shared" si="116"/>
        <v>0.51807980049875313</v>
      </c>
      <c r="BH110" s="77">
        <f t="shared" si="116"/>
        <v>0.48677581863979846</v>
      </c>
      <c r="BI110" s="77">
        <f t="shared" si="116"/>
        <v>0.47639484978540775</v>
      </c>
      <c r="BJ110" s="675">
        <f t="shared" si="116"/>
        <v>0.50298750678978821</v>
      </c>
      <c r="BK110" s="77">
        <f t="shared" si="116"/>
        <v>0.49063032367972742</v>
      </c>
      <c r="BL110" s="77"/>
      <c r="BM110" s="77"/>
      <c r="BN110" s="675"/>
      <c r="BO110" s="77"/>
      <c r="BP110" s="77"/>
      <c r="BQ110" s="77"/>
      <c r="CR110"/>
      <c r="CS110"/>
      <c r="CT110"/>
      <c r="CU110"/>
      <c r="CV110"/>
      <c r="CW110"/>
    </row>
    <row r="111" spans="1:101" s="382" customFormat="1" outlineLevel="1">
      <c r="A111" s="563"/>
      <c r="B111" s="563"/>
      <c r="C111" s="563"/>
      <c r="D111" s="563"/>
      <c r="E111" s="563"/>
      <c r="F111" s="563"/>
      <c r="G111" s="563"/>
      <c r="H111" s="556"/>
      <c r="I111" s="556"/>
      <c r="J111" s="33" t="s">
        <v>456</v>
      </c>
      <c r="K111" s="28"/>
      <c r="L111" s="28"/>
      <c r="M111" s="28"/>
      <c r="N111" s="79"/>
      <c r="O111" s="79"/>
      <c r="P111" s="79">
        <f t="shared" si="113"/>
        <v>0.19877675840978593</v>
      </c>
      <c r="Q111" s="79">
        <f t="shared" si="113"/>
        <v>0.34788540245566169</v>
      </c>
      <c r="R111" s="79">
        <f t="shared" si="113"/>
        <v>0.36875752802742517</v>
      </c>
      <c r="S111" s="79">
        <f t="shared" si="113"/>
        <v>0.45887778631821674</v>
      </c>
      <c r="T111" s="79">
        <f t="shared" si="113"/>
        <v>0.47028312081262158</v>
      </c>
      <c r="U111" s="79">
        <f t="shared" si="113"/>
        <v>0.48100881191127315</v>
      </c>
      <c r="V111" s="1293">
        <v>0.51</v>
      </c>
      <c r="W111" s="1293">
        <v>0.52</v>
      </c>
      <c r="X111" s="1293">
        <v>0.53</v>
      </c>
      <c r="Y111" s="1293">
        <f t="shared" ref="Y111:AD111" si="117">X111</f>
        <v>0.53</v>
      </c>
      <c r="Z111" s="1293">
        <f t="shared" si="117"/>
        <v>0.53</v>
      </c>
      <c r="AA111" s="1293">
        <f t="shared" si="117"/>
        <v>0.53</v>
      </c>
      <c r="AB111" s="1293">
        <f t="shared" si="117"/>
        <v>0.53</v>
      </c>
      <c r="AC111" s="1293">
        <f t="shared" si="117"/>
        <v>0.53</v>
      </c>
      <c r="AD111" s="1293">
        <f t="shared" si="117"/>
        <v>0.53</v>
      </c>
      <c r="AE111" s="28"/>
      <c r="AF111" s="28"/>
      <c r="AG111" s="96"/>
      <c r="AH111" s="79"/>
      <c r="AI111" s="79"/>
      <c r="AJ111" s="79"/>
      <c r="AK111" s="79"/>
      <c r="AL111" s="673"/>
      <c r="AM111" s="79"/>
      <c r="AN111" s="79"/>
      <c r="AO111" s="79"/>
      <c r="AP111" s="675"/>
      <c r="AQ111" s="77"/>
      <c r="AR111" s="77"/>
      <c r="AS111" s="77"/>
      <c r="AT111" s="675">
        <f t="shared" ref="AT111:BC111" si="118">IF(ISERROR(AT105/AT$75),"--",(AT105/AT$75))</f>
        <v>0.35</v>
      </c>
      <c r="AU111" s="77">
        <f t="shared" si="118"/>
        <v>0.34499753573188763</v>
      </c>
      <c r="AV111" s="77">
        <f t="shared" si="118"/>
        <v>0.35109717868338558</v>
      </c>
      <c r="AW111" s="77">
        <f t="shared" si="118"/>
        <v>0.40203386357232512</v>
      </c>
      <c r="AX111" s="675">
        <f t="shared" si="118"/>
        <v>0.39002267573696148</v>
      </c>
      <c r="AY111" s="77">
        <f t="shared" si="118"/>
        <v>0.44761904761904764</v>
      </c>
      <c r="AZ111" s="77">
        <f t="shared" si="118"/>
        <v>0.46062407132243682</v>
      </c>
      <c r="BA111" s="77">
        <f t="shared" si="118"/>
        <v>0.50116550116550118</v>
      </c>
      <c r="BB111" s="675">
        <f t="shared" si="118"/>
        <v>0.49430523917995445</v>
      </c>
      <c r="BC111" s="77">
        <f t="shared" si="118"/>
        <v>0.48471615720524019</v>
      </c>
      <c r="BD111" s="77">
        <f t="shared" ref="BD111:BK111" si="119">IF(ISERROR(BD105/BD$75),"--",(BD105/BD$75))</f>
        <v>0.50575447570332477</v>
      </c>
      <c r="BE111" s="77">
        <f t="shared" si="119"/>
        <v>0.51047486033519551</v>
      </c>
      <c r="BF111" s="675">
        <f t="shared" si="119"/>
        <v>0.47795823665893272</v>
      </c>
      <c r="BG111" s="77">
        <f t="shared" si="119"/>
        <v>0.48192019950124687</v>
      </c>
      <c r="BH111" s="77">
        <f t="shared" si="119"/>
        <v>0.51322418136020154</v>
      </c>
      <c r="BI111" s="77">
        <f t="shared" si="119"/>
        <v>0.52360515021459231</v>
      </c>
      <c r="BJ111" s="675">
        <f t="shared" si="119"/>
        <v>0.49701249321021185</v>
      </c>
      <c r="BK111" s="77">
        <f t="shared" si="119"/>
        <v>0.50936967632027252</v>
      </c>
      <c r="BL111" s="77"/>
      <c r="BM111" s="77"/>
      <c r="BN111" s="675"/>
      <c r="BO111" s="77"/>
      <c r="BP111" s="77"/>
      <c r="BQ111" s="77"/>
      <c r="CR111"/>
      <c r="CS111"/>
      <c r="CT111"/>
      <c r="CU111"/>
      <c r="CV111"/>
      <c r="CW111"/>
    </row>
    <row r="112" spans="1:101" s="382" customFormat="1" outlineLevel="1">
      <c r="A112" s="563"/>
      <c r="B112" s="563"/>
      <c r="C112" s="563"/>
      <c r="D112" s="563"/>
      <c r="E112" s="563"/>
      <c r="F112" s="563"/>
      <c r="G112" s="563"/>
      <c r="H112" s="556"/>
      <c r="I112" s="556"/>
      <c r="J112" s="306" t="s">
        <v>521</v>
      </c>
      <c r="K112" s="28"/>
      <c r="L112" s="28"/>
      <c r="M112" s="28"/>
      <c r="N112" s="79"/>
      <c r="O112" s="79"/>
      <c r="P112" s="614"/>
      <c r="Q112" s="614"/>
      <c r="R112" s="77"/>
      <c r="S112" s="77"/>
      <c r="T112" s="77"/>
      <c r="U112" s="77"/>
      <c r="V112" s="77"/>
      <c r="W112" s="77"/>
      <c r="X112" s="77"/>
      <c r="Y112" s="77"/>
      <c r="Z112" s="77"/>
      <c r="AA112" s="77"/>
      <c r="AB112" s="77"/>
      <c r="AC112" s="77"/>
      <c r="AD112" s="77"/>
      <c r="AE112" s="28"/>
      <c r="AF112" s="28"/>
      <c r="AG112" s="96"/>
      <c r="AH112" s="79"/>
      <c r="AI112" s="79"/>
      <c r="AJ112" s="79"/>
      <c r="AK112" s="79"/>
      <c r="AL112" s="673"/>
      <c r="AM112" s="79"/>
      <c r="AN112" s="79"/>
      <c r="AO112" s="79"/>
      <c r="AP112" s="675"/>
      <c r="AQ112" s="77"/>
      <c r="AR112" s="77"/>
      <c r="AS112" s="77"/>
      <c r="AT112" s="675"/>
      <c r="AU112" s="77"/>
      <c r="AV112" s="77"/>
      <c r="AW112" s="77"/>
      <c r="AX112" s="675"/>
      <c r="AY112" s="77"/>
      <c r="AZ112" s="77"/>
      <c r="BA112" s="77"/>
      <c r="BB112" s="675"/>
      <c r="BC112" s="77"/>
      <c r="BD112" s="77"/>
      <c r="BE112" s="77"/>
      <c r="BF112" s="675"/>
      <c r="BG112" s="77"/>
      <c r="BH112" s="77"/>
      <c r="BI112" s="77"/>
      <c r="BJ112" s="675"/>
      <c r="BK112" s="77"/>
      <c r="BL112" s="77"/>
      <c r="BM112" s="77"/>
      <c r="BN112" s="675"/>
      <c r="BO112" s="77"/>
      <c r="BP112" s="77"/>
      <c r="BQ112" s="77"/>
      <c r="CR112"/>
      <c r="CS112"/>
      <c r="CT112"/>
      <c r="CU112"/>
      <c r="CV112"/>
      <c r="CW112"/>
    </row>
    <row r="113" spans="1:101" s="382" customFormat="1" outlineLevel="1">
      <c r="A113" s="563"/>
      <c r="B113" s="563"/>
      <c r="C113" s="563"/>
      <c r="D113" s="563"/>
      <c r="E113" s="563"/>
      <c r="F113" s="563"/>
      <c r="G113" s="563"/>
      <c r="H113" s="556"/>
      <c r="I113" s="556"/>
      <c r="J113" s="33" t="s">
        <v>290</v>
      </c>
      <c r="K113" s="28"/>
      <c r="L113" s="28"/>
      <c r="M113" s="28"/>
      <c r="N113" s="79"/>
      <c r="O113" s="79"/>
      <c r="P113" s="614"/>
      <c r="Q113" s="627">
        <f>1-Q114</f>
        <v>0.82200000000000006</v>
      </c>
      <c r="R113" s="627">
        <f>1-R114</f>
        <v>0.81899999999999995</v>
      </c>
      <c r="S113" s="627">
        <f>1-S114</f>
        <v>0.79</v>
      </c>
      <c r="T113" s="611">
        <v>0.73</v>
      </c>
      <c r="U113" s="611">
        <v>0.72</v>
      </c>
      <c r="V113" s="930">
        <v>0.7</v>
      </c>
      <c r="W113" s="77"/>
      <c r="X113" s="77"/>
      <c r="Y113" s="77"/>
      <c r="Z113" s="77"/>
      <c r="AA113" s="77"/>
      <c r="AB113" s="77"/>
      <c r="AC113" s="77"/>
      <c r="AD113" s="77"/>
      <c r="AE113" s="28"/>
      <c r="AF113" s="28"/>
      <c r="AG113" s="96"/>
      <c r="AH113" s="79"/>
      <c r="AI113" s="79"/>
      <c r="AJ113" s="79"/>
      <c r="AK113" s="79"/>
      <c r="AL113" s="673"/>
      <c r="AM113" s="79"/>
      <c r="AN113" s="79"/>
      <c r="AO113" s="79"/>
      <c r="AP113" s="675"/>
      <c r="AQ113" s="77"/>
      <c r="AR113" s="77"/>
      <c r="AS113" s="77"/>
      <c r="AT113" s="675"/>
      <c r="AU113" s="77"/>
      <c r="AV113" s="77"/>
      <c r="AW113" s="77"/>
      <c r="AX113" s="675"/>
      <c r="AY113" s="77"/>
      <c r="AZ113" s="77"/>
      <c r="BA113" s="77"/>
      <c r="BB113" s="675"/>
      <c r="BC113" s="77"/>
      <c r="BD113" s="77"/>
      <c r="BE113" s="77"/>
      <c r="BF113" s="675"/>
      <c r="BG113" s="77"/>
      <c r="BH113" s="77"/>
      <c r="BI113" s="77"/>
      <c r="BJ113" s="675"/>
      <c r="BK113" s="77"/>
      <c r="BL113" s="77"/>
      <c r="BM113" s="77"/>
      <c r="BN113" s="675"/>
      <c r="BO113" s="77"/>
      <c r="BP113" s="77"/>
      <c r="BQ113" s="77"/>
      <c r="CR113"/>
      <c r="CS113"/>
      <c r="CT113"/>
      <c r="CU113"/>
      <c r="CV113"/>
      <c r="CW113"/>
    </row>
    <row r="114" spans="1:101" s="382" customFormat="1" outlineLevel="1">
      <c r="A114" s="563"/>
      <c r="B114" s="563"/>
      <c r="C114" s="563"/>
      <c r="D114" s="563"/>
      <c r="E114" s="563"/>
      <c r="F114" s="563"/>
      <c r="G114" s="563"/>
      <c r="H114" s="556"/>
      <c r="I114" s="556"/>
      <c r="J114" s="33" t="s">
        <v>456</v>
      </c>
      <c r="K114" s="28"/>
      <c r="L114" s="28"/>
      <c r="M114" s="28"/>
      <c r="N114" s="79"/>
      <c r="O114" s="79"/>
      <c r="P114" s="614"/>
      <c r="Q114" s="627">
        <v>0.17799999999999999</v>
      </c>
      <c r="R114" s="627">
        <v>0.18099999999999999</v>
      </c>
      <c r="S114" s="627">
        <v>0.21</v>
      </c>
      <c r="T114" s="77">
        <f>1-T113</f>
        <v>0.27</v>
      </c>
      <c r="U114" s="77">
        <f>1-U113</f>
        <v>0.28000000000000003</v>
      </c>
      <c r="V114" s="77">
        <f>1-V113</f>
        <v>0.30000000000000004</v>
      </c>
      <c r="W114" s="77"/>
      <c r="X114" s="77"/>
      <c r="Y114" s="77"/>
      <c r="Z114" s="77"/>
      <c r="AA114" s="77"/>
      <c r="AB114" s="77"/>
      <c r="AC114" s="77"/>
      <c r="AD114" s="77"/>
      <c r="AE114" s="28"/>
      <c r="AF114" s="28"/>
      <c r="AG114" s="96"/>
      <c r="AH114" s="79"/>
      <c r="AI114" s="79"/>
      <c r="AJ114" s="79"/>
      <c r="AK114" s="79"/>
      <c r="AL114" s="673"/>
      <c r="AM114" s="79"/>
      <c r="AN114" s="79"/>
      <c r="AO114" s="79"/>
      <c r="AP114" s="675"/>
      <c r="AQ114" s="77"/>
      <c r="AR114" s="77"/>
      <c r="AS114" s="77"/>
      <c r="AT114" s="675"/>
      <c r="AU114" s="77"/>
      <c r="AV114" s="77"/>
      <c r="AW114" s="77"/>
      <c r="AX114" s="675"/>
      <c r="AY114" s="77"/>
      <c r="AZ114" s="77"/>
      <c r="BA114" s="77"/>
      <c r="BB114" s="675"/>
      <c r="BC114" s="77"/>
      <c r="BD114" s="77"/>
      <c r="BE114" s="77"/>
      <c r="BF114" s="675"/>
      <c r="BG114" s="77"/>
      <c r="BH114" s="77"/>
      <c r="BI114" s="77"/>
      <c r="BJ114" s="675"/>
      <c r="BK114" s="77"/>
      <c r="BL114" s="77"/>
      <c r="BM114" s="77"/>
      <c r="BN114" s="675"/>
      <c r="BO114" s="77"/>
      <c r="BP114" s="77"/>
      <c r="BQ114" s="77"/>
      <c r="CR114"/>
      <c r="CS114"/>
      <c r="CT114"/>
      <c r="CU114"/>
      <c r="CV114"/>
      <c r="CW114"/>
    </row>
    <row r="115" spans="1:101" s="382" customFormat="1" outlineLevel="1">
      <c r="A115" s="563"/>
      <c r="B115" s="563"/>
      <c r="C115" s="563"/>
      <c r="D115" s="563"/>
      <c r="E115" s="563"/>
      <c r="F115" s="563"/>
      <c r="G115" s="563"/>
      <c r="H115" s="556"/>
      <c r="I115" s="556"/>
      <c r="J115" s="306" t="s">
        <v>522</v>
      </c>
      <c r="K115" s="28"/>
      <c r="L115" s="28"/>
      <c r="M115" s="28"/>
      <c r="N115" s="79"/>
      <c r="O115" s="79"/>
      <c r="P115" s="614"/>
      <c r="Q115" s="627"/>
      <c r="R115" s="627"/>
      <c r="S115" s="627"/>
      <c r="T115" s="77"/>
      <c r="U115" s="77"/>
      <c r="V115" s="77"/>
      <c r="W115" s="77"/>
      <c r="X115" s="77"/>
      <c r="Y115" s="77"/>
      <c r="Z115" s="77"/>
      <c r="AA115" s="77"/>
      <c r="AB115" s="77"/>
      <c r="AC115" s="77"/>
      <c r="AD115" s="77"/>
      <c r="AE115" s="28"/>
      <c r="AF115" s="28"/>
      <c r="AG115" s="96"/>
      <c r="AH115" s="79"/>
      <c r="AI115" s="79"/>
      <c r="AJ115" s="79"/>
      <c r="AK115" s="79"/>
      <c r="AL115" s="673"/>
      <c r="AM115" s="79"/>
      <c r="AN115" s="79"/>
      <c r="AO115" s="79"/>
      <c r="AP115" s="675"/>
      <c r="AQ115" s="77"/>
      <c r="AR115" s="77"/>
      <c r="AS115" s="77"/>
      <c r="AT115" s="675"/>
      <c r="AU115" s="77"/>
      <c r="AV115" s="77"/>
      <c r="AW115" s="77"/>
      <c r="AX115" s="675"/>
      <c r="AY115" s="77"/>
      <c r="AZ115" s="77"/>
      <c r="BA115" s="77"/>
      <c r="BB115" s="675"/>
      <c r="BC115" s="77"/>
      <c r="BD115" s="77"/>
      <c r="BE115" s="77"/>
      <c r="BF115" s="675"/>
      <c r="BG115" s="77"/>
      <c r="BH115" s="77"/>
      <c r="BI115" s="77"/>
      <c r="BJ115" s="675"/>
      <c r="BK115" s="77"/>
      <c r="BL115" s="77"/>
      <c r="BM115" s="77"/>
      <c r="BN115" s="675"/>
      <c r="BO115" s="77"/>
      <c r="BP115" s="77"/>
      <c r="BQ115" s="77"/>
      <c r="CR115"/>
      <c r="CS115"/>
      <c r="CT115"/>
      <c r="CU115"/>
      <c r="CV115"/>
      <c r="CW115"/>
    </row>
    <row r="116" spans="1:101" s="382" customFormat="1" outlineLevel="1">
      <c r="A116" s="563"/>
      <c r="B116" s="563"/>
      <c r="C116" s="563"/>
      <c r="D116" s="563"/>
      <c r="E116" s="563"/>
      <c r="F116" s="563"/>
      <c r="G116" s="563"/>
      <c r="H116" s="556"/>
      <c r="I116" s="556"/>
      <c r="J116" s="33" t="s">
        <v>290</v>
      </c>
      <c r="K116" s="28"/>
      <c r="L116" s="28"/>
      <c r="M116" s="28"/>
      <c r="N116" s="79"/>
      <c r="O116" s="79"/>
      <c r="P116" s="614"/>
      <c r="Q116" s="77">
        <f>(Q104-Q76*Q113)/Q77</f>
        <v>7.1843373493975821E-2</v>
      </c>
      <c r="R116" s="77">
        <f>(R104-R76*R113)/R77</f>
        <v>7.4019215625137552E-2</v>
      </c>
      <c r="S116" s="77">
        <f>(S104-S76*S113)/S77</f>
        <v>0.14819623389494549</v>
      </c>
      <c r="T116" s="77">
        <f>(T104-T76*T113)/T77</f>
        <v>0.20430709802028005</v>
      </c>
      <c r="U116" s="77">
        <f>(U104-U76*U113)/U77</f>
        <v>0.20896817068905213</v>
      </c>
      <c r="V116" s="77"/>
      <c r="W116" s="77"/>
      <c r="X116" s="77"/>
      <c r="Y116" s="77"/>
      <c r="Z116" s="77"/>
      <c r="AA116" s="77"/>
      <c r="AB116" s="77"/>
      <c r="AC116" s="77"/>
      <c r="AD116" s="77"/>
      <c r="AE116" s="28"/>
      <c r="AF116" s="28"/>
      <c r="AG116" s="96"/>
      <c r="AH116" s="79"/>
      <c r="AI116" s="79"/>
      <c r="AJ116" s="79"/>
      <c r="AK116" s="79"/>
      <c r="AL116" s="673"/>
      <c r="AM116" s="79"/>
      <c r="AN116" s="79"/>
      <c r="AO116" s="79"/>
      <c r="AP116" s="675"/>
      <c r="AQ116" s="77"/>
      <c r="AR116" s="77"/>
      <c r="AS116" s="77"/>
      <c r="AT116" s="675"/>
      <c r="AU116" s="77"/>
      <c r="AV116" s="77"/>
      <c r="AW116" s="77"/>
      <c r="AX116" s="675"/>
      <c r="AY116" s="77"/>
      <c r="AZ116" s="77"/>
      <c r="BA116" s="77"/>
      <c r="BB116" s="675"/>
      <c r="BC116" s="77"/>
      <c r="BD116" s="77"/>
      <c r="BE116" s="77"/>
      <c r="BF116" s="675"/>
      <c r="BG116" s="77"/>
      <c r="BH116" s="77"/>
      <c r="BI116" s="77"/>
      <c r="BJ116" s="675"/>
      <c r="BK116" s="77"/>
      <c r="BL116" s="77"/>
      <c r="BM116" s="77"/>
      <c r="BN116" s="675"/>
      <c r="BO116" s="77"/>
      <c r="BP116" s="77"/>
      <c r="BQ116" s="77"/>
      <c r="CR116"/>
      <c r="CS116"/>
      <c r="CT116"/>
      <c r="CU116"/>
      <c r="CV116"/>
      <c r="CW116"/>
    </row>
    <row r="117" spans="1:101" s="382" customFormat="1" outlineLevel="1">
      <c r="A117" s="563"/>
      <c r="B117" s="563"/>
      <c r="C117" s="563"/>
      <c r="D117" s="563"/>
      <c r="E117" s="563"/>
      <c r="F117" s="563"/>
      <c r="G117" s="563"/>
      <c r="H117" s="556"/>
      <c r="I117" s="556"/>
      <c r="J117" s="33" t="s">
        <v>456</v>
      </c>
      <c r="K117" s="28"/>
      <c r="L117" s="28"/>
      <c r="M117" s="28"/>
      <c r="N117" s="79"/>
      <c r="O117" s="79"/>
      <c r="P117" s="614"/>
      <c r="Q117" s="77">
        <f>1-Q116</f>
        <v>0.92815662650602415</v>
      </c>
      <c r="R117" s="77">
        <f>1-R116</f>
        <v>0.92598078437486242</v>
      </c>
      <c r="S117" s="77">
        <f>1-S116</f>
        <v>0.85180376610505448</v>
      </c>
      <c r="T117" s="77">
        <f>1-T116</f>
        <v>0.79569290197971998</v>
      </c>
      <c r="U117" s="77">
        <f>1-U116</f>
        <v>0.79103182931094784</v>
      </c>
      <c r="V117" s="77"/>
      <c r="W117" s="77"/>
      <c r="X117" s="77"/>
      <c r="Y117" s="77"/>
      <c r="Z117" s="77"/>
      <c r="AA117" s="77"/>
      <c r="AB117" s="77"/>
      <c r="AC117" s="77"/>
      <c r="AD117" s="77"/>
      <c r="AE117" s="28"/>
      <c r="AF117" s="28"/>
      <c r="AG117" s="96"/>
      <c r="AH117" s="79"/>
      <c r="AI117" s="79"/>
      <c r="AJ117" s="79"/>
      <c r="AK117" s="79"/>
      <c r="AL117" s="673"/>
      <c r="AM117" s="79"/>
      <c r="AN117" s="79"/>
      <c r="AO117" s="79"/>
      <c r="AP117" s="675"/>
      <c r="AQ117" s="77"/>
      <c r="AR117" s="77"/>
      <c r="AS117" s="77"/>
      <c r="AT117" s="675"/>
      <c r="AU117" s="77"/>
      <c r="AV117" s="77"/>
      <c r="AW117" s="77"/>
      <c r="AX117" s="675"/>
      <c r="AY117" s="77"/>
      <c r="AZ117" s="77"/>
      <c r="BA117" s="77"/>
      <c r="BB117" s="675"/>
      <c r="BC117" s="77"/>
      <c r="BD117" s="77"/>
      <c r="BE117" s="77"/>
      <c r="BF117" s="675"/>
      <c r="BG117" s="77"/>
      <c r="BH117" s="77"/>
      <c r="BI117" s="77"/>
      <c r="BJ117" s="675"/>
      <c r="BK117" s="77"/>
      <c r="BL117" s="77"/>
      <c r="BM117" s="77"/>
      <c r="BN117" s="675"/>
      <c r="BO117" s="77"/>
      <c r="BP117" s="77"/>
      <c r="BQ117" s="77"/>
      <c r="CR117"/>
      <c r="CS117"/>
      <c r="CT117"/>
      <c r="CU117"/>
      <c r="CV117"/>
      <c r="CW117"/>
    </row>
    <row r="118" spans="1:101" s="382" customFormat="1" outlineLevel="1">
      <c r="A118" s="563"/>
      <c r="B118" s="563"/>
      <c r="C118" s="563"/>
      <c r="D118" s="563"/>
      <c r="E118" s="563"/>
      <c r="F118" s="563"/>
      <c r="G118" s="563"/>
      <c r="H118" s="556"/>
      <c r="I118" s="556"/>
      <c r="J118" s="33"/>
      <c r="K118" s="28"/>
      <c r="L118" s="28"/>
      <c r="M118" s="28"/>
      <c r="N118" s="79"/>
      <c r="O118" s="79"/>
      <c r="P118" s="79"/>
      <c r="Q118" s="79"/>
      <c r="R118" s="79"/>
      <c r="S118" s="79"/>
      <c r="T118" s="79"/>
      <c r="U118" s="79"/>
      <c r="V118" s="357"/>
      <c r="W118" s="356"/>
      <c r="X118" s="356"/>
      <c r="Y118" s="356"/>
      <c r="Z118" s="356"/>
      <c r="AA118" s="356"/>
      <c r="AB118" s="356"/>
      <c r="AC118" s="356"/>
      <c r="AD118" s="356"/>
      <c r="AE118" s="28"/>
      <c r="AF118" s="28"/>
      <c r="AG118" s="96"/>
      <c r="AH118" s="79"/>
      <c r="AI118" s="79"/>
      <c r="AJ118" s="79"/>
      <c r="AK118" s="79"/>
      <c r="AL118" s="673"/>
      <c r="AM118" s="79"/>
      <c r="AN118" s="79"/>
      <c r="AO118" s="79"/>
      <c r="AP118" s="675"/>
      <c r="AQ118" s="77"/>
      <c r="AR118" s="77"/>
      <c r="AS118" s="77"/>
      <c r="AT118" s="675"/>
      <c r="AU118" s="77"/>
      <c r="AV118" s="77"/>
      <c r="AW118" s="77"/>
      <c r="AX118" s="675"/>
      <c r="AY118" s="77"/>
      <c r="AZ118" s="77"/>
      <c r="BA118" s="77"/>
      <c r="BB118" s="675"/>
      <c r="BC118" s="77"/>
      <c r="BD118" s="77"/>
      <c r="BE118" s="77"/>
      <c r="BF118" s="675"/>
      <c r="BG118" s="77"/>
      <c r="BH118" s="77"/>
      <c r="BI118" s="77"/>
      <c r="BJ118" s="675"/>
      <c r="BK118" s="77"/>
      <c r="BL118" s="77"/>
      <c r="BM118" s="77"/>
      <c r="BN118" s="675"/>
      <c r="BO118" s="77"/>
      <c r="BP118" s="77"/>
      <c r="BQ118" s="77"/>
      <c r="CR118"/>
      <c r="CS118"/>
      <c r="CT118"/>
      <c r="CU118"/>
      <c r="CV118"/>
      <c r="CW118"/>
    </row>
    <row r="119" spans="1:101" s="382" customFormat="1" outlineLevel="1">
      <c r="A119" s="563"/>
      <c r="B119" s="563"/>
      <c r="C119" s="563"/>
      <c r="D119" s="563"/>
      <c r="E119" s="563"/>
      <c r="F119" s="563"/>
      <c r="G119" s="563"/>
      <c r="H119" s="556"/>
      <c r="I119" s="556"/>
      <c r="J119" s="870" t="s">
        <v>31</v>
      </c>
      <c r="K119" s="870"/>
      <c r="L119" s="870"/>
      <c r="M119" s="870"/>
      <c r="N119" s="1378">
        <f>SUM(N120:N121)</f>
        <v>2919</v>
      </c>
      <c r="O119" s="1378">
        <f>SUM(O120:O121)</f>
        <v>8583</v>
      </c>
      <c r="P119" s="1378">
        <f>SUM(P120:P121)</f>
        <v>21128.958999999999</v>
      </c>
      <c r="Q119" s="1378">
        <f>SUM(Q120:Q121)</f>
        <v>41380.521000000001</v>
      </c>
      <c r="R119" s="1378">
        <f>SUM(R120:R121)</f>
        <v>69340</v>
      </c>
      <c r="S119" s="1378">
        <f t="shared" ref="S119:AD119" si="120">SUM(S120:S121)</f>
        <v>115002</v>
      </c>
      <c r="T119" s="1378">
        <f>SUM(T120:T121)</f>
        <v>181287</v>
      </c>
      <c r="U119" s="1378">
        <f t="shared" si="120"/>
        <v>258289.94700000001</v>
      </c>
      <c r="V119" s="1378">
        <f t="shared" si="120"/>
        <v>362331.75399999996</v>
      </c>
      <c r="W119" s="1378">
        <f t="shared" si="120"/>
        <v>464067.51194759191</v>
      </c>
      <c r="X119" s="1378">
        <f t="shared" si="120"/>
        <v>576753.03048880468</v>
      </c>
      <c r="Y119" s="1378">
        <f t="shared" si="120"/>
        <v>691643.20833726285</v>
      </c>
      <c r="Z119" s="1378">
        <f t="shared" si="120"/>
        <v>780433.7812198078</v>
      </c>
      <c r="AA119" s="1378">
        <f t="shared" si="120"/>
        <v>843983.84857842722</v>
      </c>
      <c r="AB119" s="1378">
        <f t="shared" si="120"/>
        <v>912689.00546581484</v>
      </c>
      <c r="AC119" s="1378">
        <f t="shared" si="120"/>
        <v>986966.01036079682</v>
      </c>
      <c r="AD119" s="1378">
        <f t="shared" si="120"/>
        <v>1067265.2123863883</v>
      </c>
      <c r="AE119" s="871"/>
      <c r="AF119" s="1910">
        <f>(Y119/V119)^(1/3)-1</f>
        <v>0.24048611295209232</v>
      </c>
      <c r="AG119" s="1379"/>
      <c r="AH119" s="1380">
        <f t="shared" ref="AH119:AW119" si="121">SUM(AH120:AH121)</f>
        <v>0</v>
      </c>
      <c r="AI119" s="1380">
        <f t="shared" si="121"/>
        <v>0</v>
      </c>
      <c r="AJ119" s="1380">
        <f t="shared" si="121"/>
        <v>0</v>
      </c>
      <c r="AK119" s="1380">
        <f t="shared" si="121"/>
        <v>0</v>
      </c>
      <c r="AL119" s="1771">
        <f t="shared" si="121"/>
        <v>0</v>
      </c>
      <c r="AM119" s="1380">
        <f t="shared" si="121"/>
        <v>0</v>
      </c>
      <c r="AN119" s="1380">
        <f t="shared" si="121"/>
        <v>0</v>
      </c>
      <c r="AO119" s="1380">
        <f t="shared" si="121"/>
        <v>0</v>
      </c>
      <c r="AP119" s="1603">
        <f t="shared" si="121"/>
        <v>7940</v>
      </c>
      <c r="AQ119" s="1378">
        <f t="shared" si="121"/>
        <v>9749</v>
      </c>
      <c r="AR119" s="1378">
        <f t="shared" si="121"/>
        <v>11118</v>
      </c>
      <c r="AS119" s="1378">
        <f t="shared" si="121"/>
        <v>12574</v>
      </c>
      <c r="AT119" s="1603">
        <f t="shared" si="121"/>
        <v>13725</v>
      </c>
      <c r="AU119" s="1378">
        <f t="shared" si="121"/>
        <v>17453.165999999997</v>
      </c>
      <c r="AV119" s="1378">
        <f t="shared" si="121"/>
        <v>18038.518</v>
      </c>
      <c r="AW119" s="1378">
        <f t="shared" si="121"/>
        <v>20124</v>
      </c>
      <c r="AX119" s="1603">
        <f>SUM(AX120:AX121)</f>
        <v>22657.415999999997</v>
      </c>
      <c r="AY119" s="1378">
        <f>SUM(AY120:AY121)</f>
        <v>28612.85</v>
      </c>
      <c r="AZ119" s="1378">
        <f>SUM(AZ120:AZ121)</f>
        <v>29012.003000000001</v>
      </c>
      <c r="BA119" s="1378">
        <f>SUM(BA120:BA121)</f>
        <v>34720.048000000003</v>
      </c>
      <c r="BB119" s="1603">
        <f t="shared" ref="BB119:BG119" si="122">SUM(BB120:BB121)</f>
        <v>36640.575000000004</v>
      </c>
      <c r="BC119" s="1378">
        <f t="shared" si="122"/>
        <v>45928.686999999998</v>
      </c>
      <c r="BD119" s="1378">
        <f t="shared" si="122"/>
        <v>44110.15</v>
      </c>
      <c r="BE119" s="1378">
        <f t="shared" si="122"/>
        <v>54607.543000000005</v>
      </c>
      <c r="BF119" s="1603">
        <f t="shared" si="122"/>
        <v>53808.159</v>
      </c>
      <c r="BG119" s="1378">
        <f t="shared" si="122"/>
        <v>64896.934999999998</v>
      </c>
      <c r="BH119" s="1378">
        <f>SUM(BH120:BH121)</f>
        <v>60173.724999999999</v>
      </c>
      <c r="BI119" s="1381">
        <f>U119-SUM(BF119:BH119)</f>
        <v>79411.128000000026</v>
      </c>
      <c r="BJ119" s="1603">
        <f t="shared" ref="BJ119:BP119" si="123">SUM(BJ120:BJ121)</f>
        <v>75218.186999999991</v>
      </c>
      <c r="BK119" s="1378">
        <f t="shared" si="123"/>
        <v>93201.975000000006</v>
      </c>
      <c r="BL119" s="1378">
        <f t="shared" si="123"/>
        <v>83746.258000000002</v>
      </c>
      <c r="BM119" s="1378">
        <f t="shared" si="123"/>
        <v>110165.334</v>
      </c>
      <c r="BN119" s="1603">
        <f t="shared" si="123"/>
        <v>98583.704370820633</v>
      </c>
      <c r="BO119" s="1378">
        <f t="shared" si="123"/>
        <v>120375.12071373292</v>
      </c>
      <c r="BP119" s="1378">
        <f t="shared" si="123"/>
        <v>103185.76637624086</v>
      </c>
      <c r="BQ119" s="1381">
        <f>W119-SUM(BN119:BP119)</f>
        <v>141922.92048679746</v>
      </c>
      <c r="CR119"/>
      <c r="CS119"/>
      <c r="CT119"/>
      <c r="CU119"/>
      <c r="CV119"/>
      <c r="CW119"/>
    </row>
    <row r="120" spans="1:101" outlineLevel="1">
      <c r="A120" s="289"/>
      <c r="B120" s="289"/>
      <c r="C120" s="289"/>
      <c r="D120" s="289"/>
      <c r="E120" s="289"/>
      <c r="F120" s="289"/>
      <c r="G120" s="289"/>
      <c r="H120" s="555"/>
      <c r="I120" s="555"/>
      <c r="J120" s="28" t="s">
        <v>653</v>
      </c>
      <c r="K120" s="11"/>
      <c r="L120" s="11"/>
      <c r="M120" s="11"/>
      <c r="N120" s="734">
        <f t="shared" ref="N120:V120" si="124">N407</f>
        <v>2906</v>
      </c>
      <c r="O120" s="734">
        <f t="shared" si="124"/>
        <v>8566</v>
      </c>
      <c r="P120" s="734">
        <f t="shared" si="124"/>
        <v>20888.010999999999</v>
      </c>
      <c r="Q120" s="734">
        <f t="shared" si="124"/>
        <v>40334.550999999999</v>
      </c>
      <c r="R120" s="734">
        <f t="shared" si="124"/>
        <v>67018</v>
      </c>
      <c r="S120" s="734">
        <f t="shared" si="124"/>
        <v>108549</v>
      </c>
      <c r="T120" s="734">
        <f t="shared" si="124"/>
        <v>167721</v>
      </c>
      <c r="U120" s="734">
        <f t="shared" si="124"/>
        <v>237943.63200000001</v>
      </c>
      <c r="V120" s="734">
        <f t="shared" si="124"/>
        <v>331824.40999999997</v>
      </c>
      <c r="W120" s="875">
        <f t="shared" ref="W120:AD120" si="125">W76*W129</f>
        <v>419945.66811119992</v>
      </c>
      <c r="X120" s="875">
        <f t="shared" si="125"/>
        <v>519151.47776144021</v>
      </c>
      <c r="Y120" s="875">
        <f t="shared" si="125"/>
        <v>617777.39460569143</v>
      </c>
      <c r="Z120" s="875">
        <f t="shared" si="125"/>
        <v>690779.92869146226</v>
      </c>
      <c r="AA120" s="875">
        <f t="shared" si="125"/>
        <v>743555.51524348999</v>
      </c>
      <c r="AB120" s="875">
        <f t="shared" si="125"/>
        <v>800363.1566080926</v>
      </c>
      <c r="AC120" s="875">
        <f t="shared" si="125"/>
        <v>861510.90177295078</v>
      </c>
      <c r="AD120" s="875">
        <f t="shared" si="125"/>
        <v>927330.33466840419</v>
      </c>
      <c r="AE120" s="11"/>
      <c r="AF120" s="79">
        <f>(Y120/V120)^(1/3)-1</f>
        <v>0.23019670832718453</v>
      </c>
      <c r="AG120" s="95"/>
      <c r="AH120" s="192"/>
      <c r="AI120" s="192"/>
      <c r="AJ120" s="192"/>
      <c r="AK120" s="192"/>
      <c r="AL120" s="1717">
        <f>Model!AL407</f>
        <v>0</v>
      </c>
      <c r="AM120" s="221">
        <f>Model!AM407</f>
        <v>0</v>
      </c>
      <c r="AN120" s="221">
        <f>Model!AN407</f>
        <v>0</v>
      </c>
      <c r="AO120" s="221">
        <f>Model!AO407</f>
        <v>0</v>
      </c>
      <c r="AP120" s="767">
        <f t="shared" ref="AP120:BD120" si="126">AP407</f>
        <v>7804</v>
      </c>
      <c r="AQ120" s="734">
        <f t="shared" si="126"/>
        <v>9501</v>
      </c>
      <c r="AR120" s="734">
        <f t="shared" si="126"/>
        <v>10850</v>
      </c>
      <c r="AS120" s="734">
        <f t="shared" si="126"/>
        <v>12180</v>
      </c>
      <c r="AT120" s="767">
        <f t="shared" si="126"/>
        <v>13322</v>
      </c>
      <c r="AU120" s="734">
        <f t="shared" si="126"/>
        <v>16895.281999999999</v>
      </c>
      <c r="AV120" s="734">
        <f t="shared" si="126"/>
        <v>17460.641</v>
      </c>
      <c r="AW120" s="734">
        <f t="shared" si="126"/>
        <v>19340</v>
      </c>
      <c r="AX120" s="767">
        <f t="shared" si="126"/>
        <v>21781.456999999999</v>
      </c>
      <c r="AY120" s="734">
        <f t="shared" si="126"/>
        <v>27018.303</v>
      </c>
      <c r="AZ120" s="734">
        <f t="shared" si="126"/>
        <v>27368.87</v>
      </c>
      <c r="BA120" s="734">
        <f t="shared" si="126"/>
        <v>32380.628000000001</v>
      </c>
      <c r="BB120" s="767">
        <f t="shared" si="126"/>
        <v>34548.516000000003</v>
      </c>
      <c r="BC120" s="734">
        <f t="shared" si="126"/>
        <v>42616.447</v>
      </c>
      <c r="BD120" s="734">
        <f t="shared" si="126"/>
        <v>40641.370999999999</v>
      </c>
      <c r="BE120" s="734">
        <f>BE407</f>
        <v>49914.65</v>
      </c>
      <c r="BF120" s="767">
        <f t="shared" ref="BF120:BM120" si="127">BF407</f>
        <v>50061.334999999999</v>
      </c>
      <c r="BG120" s="734">
        <f t="shared" si="127"/>
        <v>59752.504000000001</v>
      </c>
      <c r="BH120" s="734">
        <f t="shared" si="127"/>
        <v>55195.489000000001</v>
      </c>
      <c r="BI120" s="734">
        <f t="shared" si="127"/>
        <v>72934.304000000004</v>
      </c>
      <c r="BJ120" s="767">
        <f t="shared" si="127"/>
        <v>69825.448999999993</v>
      </c>
      <c r="BK120" s="734">
        <f t="shared" si="127"/>
        <v>85386.013000000006</v>
      </c>
      <c r="BL120" s="734">
        <f t="shared" si="127"/>
        <v>76466.266000000003</v>
      </c>
      <c r="BM120" s="734">
        <f t="shared" si="127"/>
        <v>100146.682</v>
      </c>
      <c r="BN120" s="874">
        <f>BN76*BN129</f>
        <v>91033.383538943977</v>
      </c>
      <c r="BO120" s="875">
        <f>BO76*BO129</f>
        <v>109185.87370891198</v>
      </c>
      <c r="BP120" s="875">
        <f>BP76*BP129</f>
        <v>93133.111879499993</v>
      </c>
      <c r="BQ120" s="949">
        <f>W120-SUM(BN120:BP120)</f>
        <v>126593.298983844</v>
      </c>
    </row>
    <row r="121" spans="1:101" outlineLevel="1">
      <c r="A121" s="289"/>
      <c r="B121" s="289"/>
      <c r="C121" s="289"/>
      <c r="D121" s="289"/>
      <c r="E121" s="289"/>
      <c r="F121" s="289"/>
      <c r="G121" s="289"/>
      <c r="H121" s="555"/>
      <c r="I121" s="555"/>
      <c r="J121" s="28" t="s">
        <v>654</v>
      </c>
      <c r="K121" s="11"/>
      <c r="L121" s="11"/>
      <c r="M121" s="11"/>
      <c r="N121" s="734">
        <f t="shared" ref="N121:V121" si="128">N408</f>
        <v>13</v>
      </c>
      <c r="O121" s="734">
        <f t="shared" si="128"/>
        <v>17</v>
      </c>
      <c r="P121" s="734">
        <f t="shared" si="128"/>
        <v>240.94800000000001</v>
      </c>
      <c r="Q121" s="734">
        <f t="shared" si="128"/>
        <v>1045.97</v>
      </c>
      <c r="R121" s="734">
        <f t="shared" si="128"/>
        <v>2322</v>
      </c>
      <c r="S121" s="734">
        <f t="shared" si="128"/>
        <v>6453</v>
      </c>
      <c r="T121" s="734">
        <f t="shared" si="128"/>
        <v>13566</v>
      </c>
      <c r="U121" s="734">
        <f t="shared" si="128"/>
        <v>20346.314999999999</v>
      </c>
      <c r="V121" s="734">
        <f t="shared" si="128"/>
        <v>30507.344000000001</v>
      </c>
      <c r="W121" s="875">
        <f t="shared" ref="W121:AD121" si="129">W77*W131</f>
        <v>44121.843836391992</v>
      </c>
      <c r="X121" s="875">
        <f t="shared" si="129"/>
        <v>57601.552727364491</v>
      </c>
      <c r="Y121" s="875">
        <f t="shared" si="129"/>
        <v>73865.813731571456</v>
      </c>
      <c r="Z121" s="875">
        <f t="shared" si="129"/>
        <v>89653.852528345524</v>
      </c>
      <c r="AA121" s="875">
        <f t="shared" si="129"/>
        <v>100428.3333349372</v>
      </c>
      <c r="AB121" s="875">
        <f t="shared" si="129"/>
        <v>112325.84885772219</v>
      </c>
      <c r="AC121" s="875">
        <f t="shared" si="129"/>
        <v>125455.10858784604</v>
      </c>
      <c r="AD121" s="875">
        <f t="shared" si="129"/>
        <v>139934.87771798423</v>
      </c>
      <c r="AE121" s="86"/>
      <c r="AF121" s="79">
        <f>(Y121/V121)^(1/3)-1</f>
        <v>0.3428052455679238</v>
      </c>
      <c r="AG121" s="95"/>
      <c r="AH121" s="86"/>
      <c r="AI121" s="86"/>
      <c r="AJ121" s="86"/>
      <c r="AK121" s="86"/>
      <c r="AL121" s="1717">
        <f>Model!AL408</f>
        <v>0</v>
      </c>
      <c r="AM121" s="221">
        <f>Model!AM408</f>
        <v>0</v>
      </c>
      <c r="AN121" s="221">
        <f>Model!AN408</f>
        <v>0</v>
      </c>
      <c r="AO121" s="221">
        <f>Model!AO408</f>
        <v>0</v>
      </c>
      <c r="AP121" s="767">
        <f t="shared" ref="AP121:BD121" si="130">AP408</f>
        <v>136</v>
      </c>
      <c r="AQ121" s="734">
        <f t="shared" si="130"/>
        <v>248</v>
      </c>
      <c r="AR121" s="734">
        <f t="shared" si="130"/>
        <v>268</v>
      </c>
      <c r="AS121" s="734">
        <f t="shared" si="130"/>
        <v>394</v>
      </c>
      <c r="AT121" s="767">
        <f t="shared" si="130"/>
        <v>403</v>
      </c>
      <c r="AU121" s="734">
        <f t="shared" si="130"/>
        <v>557.88400000000001</v>
      </c>
      <c r="AV121" s="734">
        <f t="shared" si="130"/>
        <v>577.87699999999995</v>
      </c>
      <c r="AW121" s="734">
        <f t="shared" si="130"/>
        <v>784</v>
      </c>
      <c r="AX121" s="767">
        <f t="shared" si="130"/>
        <v>875.95899999999995</v>
      </c>
      <c r="AY121" s="734">
        <f t="shared" si="130"/>
        <v>1594.547</v>
      </c>
      <c r="AZ121" s="734">
        <f t="shared" si="130"/>
        <v>1643.133</v>
      </c>
      <c r="BA121" s="734">
        <f t="shared" si="130"/>
        <v>2339.42</v>
      </c>
      <c r="BB121" s="767">
        <f t="shared" si="130"/>
        <v>2092.0590000000002</v>
      </c>
      <c r="BC121" s="734">
        <f t="shared" si="130"/>
        <v>3312.24</v>
      </c>
      <c r="BD121" s="734">
        <f t="shared" si="130"/>
        <v>3468.779</v>
      </c>
      <c r="BE121" s="734">
        <f>BE408</f>
        <v>4692.893</v>
      </c>
      <c r="BF121" s="767">
        <f t="shared" ref="BF121:BM121" si="131">BF408</f>
        <v>3746.8240000000001</v>
      </c>
      <c r="BG121" s="734">
        <f t="shared" si="131"/>
        <v>5144.4309999999996</v>
      </c>
      <c r="BH121" s="734">
        <f t="shared" si="131"/>
        <v>4978.2359999999999</v>
      </c>
      <c r="BI121" s="734">
        <f t="shared" si="131"/>
        <v>6476.8239999999996</v>
      </c>
      <c r="BJ121" s="767">
        <f t="shared" si="131"/>
        <v>5392.7380000000003</v>
      </c>
      <c r="BK121" s="734">
        <f t="shared" si="131"/>
        <v>7815.9620000000004</v>
      </c>
      <c r="BL121" s="734">
        <f t="shared" si="131"/>
        <v>7279.9920000000002</v>
      </c>
      <c r="BM121" s="734">
        <f t="shared" si="131"/>
        <v>10018.652</v>
      </c>
      <c r="BN121" s="874">
        <f>BN77*BN131</f>
        <v>7550.3208318766619</v>
      </c>
      <c r="BO121" s="875">
        <f>BO77*BO131</f>
        <v>11189.247004820936</v>
      </c>
      <c r="BP121" s="875">
        <f>BP77*BP131</f>
        <v>10052.654496740864</v>
      </c>
      <c r="BQ121" s="949">
        <f>W121-SUM(BN121:BP121)</f>
        <v>15329.621502953531</v>
      </c>
    </row>
    <row r="122" spans="1:101" outlineLevel="1">
      <c r="A122" s="289"/>
      <c r="B122" s="289"/>
      <c r="C122" s="289"/>
      <c r="D122" s="289"/>
      <c r="E122" s="289"/>
      <c r="F122" s="289"/>
      <c r="G122" s="289"/>
      <c r="H122" s="555"/>
      <c r="I122" s="555"/>
      <c r="J122" s="195" t="s">
        <v>520</v>
      </c>
      <c r="K122" s="11"/>
      <c r="L122" s="11"/>
      <c r="M122" s="11"/>
      <c r="N122" s="835"/>
      <c r="O122" s="835"/>
      <c r="P122" s="835"/>
      <c r="Q122" s="835"/>
      <c r="R122" s="835"/>
      <c r="S122" s="835"/>
      <c r="T122" s="835"/>
      <c r="U122" s="863">
        <f>U121*U138</f>
        <v>10987.0101</v>
      </c>
      <c r="V122" s="863">
        <f t="shared" ref="V122:AD122" si="132">U122*(1+V144)</f>
        <v>14554.865430460104</v>
      </c>
      <c r="W122" s="863">
        <f t="shared" si="132"/>
        <v>19636.332823869481</v>
      </c>
      <c r="X122" s="863">
        <f t="shared" si="132"/>
        <v>24774.710173209529</v>
      </c>
      <c r="Y122" s="863">
        <f t="shared" si="132"/>
        <v>30086.408034345652</v>
      </c>
      <c r="Z122" s="863">
        <f t="shared" si="132"/>
        <v>35031.861354991219</v>
      </c>
      <c r="AA122" s="863">
        <f t="shared" si="132"/>
        <v>37708.295562512554</v>
      </c>
      <c r="AB122" s="863">
        <f t="shared" si="132"/>
        <v>40589.209343488517</v>
      </c>
      <c r="AC122" s="863">
        <f t="shared" si="132"/>
        <v>43690.224937331041</v>
      </c>
      <c r="AD122" s="863">
        <f t="shared" si="132"/>
        <v>47028.158122543122</v>
      </c>
      <c r="AE122" s="86"/>
      <c r="AF122" s="79"/>
      <c r="AG122" s="95"/>
      <c r="AH122" s="86"/>
      <c r="AI122" s="86"/>
      <c r="AJ122" s="86"/>
      <c r="AK122" s="86"/>
      <c r="AL122" s="1717"/>
      <c r="AM122" s="221"/>
      <c r="AN122" s="221"/>
      <c r="AO122" s="221"/>
      <c r="AP122" s="948"/>
      <c r="AQ122" s="835"/>
      <c r="AR122" s="835"/>
      <c r="AS122" s="835"/>
      <c r="AT122" s="948"/>
      <c r="AU122" s="835"/>
      <c r="AV122" s="835"/>
      <c r="AW122" s="835"/>
      <c r="AX122" s="948"/>
      <c r="AY122" s="835"/>
      <c r="AZ122" s="835"/>
      <c r="BA122" s="835"/>
      <c r="BB122" s="948"/>
      <c r="BC122" s="835"/>
      <c r="BD122" s="835"/>
      <c r="BE122" s="835"/>
      <c r="BF122" s="1604">
        <f t="shared" ref="BF122:BQ122" si="133">BF$121*BF138</f>
        <v>2023.2849600000002</v>
      </c>
      <c r="BG122" s="863">
        <f t="shared" si="133"/>
        <v>2777.9927400000001</v>
      </c>
      <c r="BH122" s="863">
        <f t="shared" si="133"/>
        <v>2688.2474400000001</v>
      </c>
      <c r="BI122" s="863">
        <f t="shared" si="133"/>
        <v>3497.4849600000002</v>
      </c>
      <c r="BJ122" s="1604">
        <f t="shared" si="133"/>
        <v>2572.8419980359013</v>
      </c>
      <c r="BK122" s="863">
        <f t="shared" si="133"/>
        <v>3728.9472043056194</v>
      </c>
      <c r="BL122" s="863">
        <f t="shared" si="133"/>
        <v>3473.2392270800797</v>
      </c>
      <c r="BM122" s="863">
        <f t="shared" si="133"/>
        <v>4779.8370010385033</v>
      </c>
      <c r="BN122" s="1604">
        <f t="shared" si="133"/>
        <v>3360.2542389545129</v>
      </c>
      <c r="BO122" s="863">
        <f t="shared" si="133"/>
        <v>4979.750598136282</v>
      </c>
      <c r="BP122" s="863">
        <f t="shared" si="133"/>
        <v>4473.9125181019108</v>
      </c>
      <c r="BQ122" s="863">
        <f t="shared" si="133"/>
        <v>6822.415468676777</v>
      </c>
    </row>
    <row r="123" spans="1:101" outlineLevel="1">
      <c r="A123" s="289"/>
      <c r="B123" s="289"/>
      <c r="C123" s="289"/>
      <c r="D123" s="289"/>
      <c r="E123" s="289"/>
      <c r="F123" s="289"/>
      <c r="G123" s="289"/>
      <c r="H123" s="555"/>
      <c r="I123" s="555"/>
      <c r="J123" s="195" t="s">
        <v>617</v>
      </c>
      <c r="K123" s="11"/>
      <c r="L123" s="11"/>
      <c r="M123" s="11"/>
      <c r="N123" s="835"/>
      <c r="O123" s="835"/>
      <c r="P123" s="835"/>
      <c r="Q123" s="835"/>
      <c r="R123" s="835"/>
      <c r="S123" s="835"/>
      <c r="T123" s="835"/>
      <c r="U123" s="863">
        <f t="shared" ref="U123:AD123" si="134">U121*U139</f>
        <v>5086.5787499999997</v>
      </c>
      <c r="V123" s="863">
        <f t="shared" si="134"/>
        <v>9762.3500800000002</v>
      </c>
      <c r="W123" s="863">
        <f t="shared" si="134"/>
        <v>14560.208466009359</v>
      </c>
      <c r="X123" s="863">
        <f t="shared" si="134"/>
        <v>19584.527927303927</v>
      </c>
      <c r="Y123" s="863">
        <f t="shared" si="134"/>
        <v>25114.376668734298</v>
      </c>
      <c r="Z123" s="863">
        <f t="shared" si="134"/>
        <v>30482.30985963748</v>
      </c>
      <c r="AA123" s="863">
        <f t="shared" si="134"/>
        <v>34145.63333387865</v>
      </c>
      <c r="AB123" s="863">
        <f t="shared" si="134"/>
        <v>38190.788611625547</v>
      </c>
      <c r="AC123" s="863">
        <f t="shared" si="134"/>
        <v>42654.736919867661</v>
      </c>
      <c r="AD123" s="863">
        <f t="shared" si="134"/>
        <v>47577.858424114638</v>
      </c>
      <c r="AE123" s="86"/>
      <c r="AF123" s="79"/>
      <c r="AG123" s="95"/>
      <c r="AH123" s="86"/>
      <c r="AI123" s="86"/>
      <c r="AJ123" s="86"/>
      <c r="AK123" s="86"/>
      <c r="AL123" s="1717"/>
      <c r="AM123" s="221"/>
      <c r="AN123" s="221"/>
      <c r="AO123" s="221"/>
      <c r="AP123" s="948"/>
      <c r="AQ123" s="835"/>
      <c r="AR123" s="835"/>
      <c r="AS123" s="835"/>
      <c r="AT123" s="948"/>
      <c r="AU123" s="835"/>
      <c r="AV123" s="835"/>
      <c r="AW123" s="835"/>
      <c r="AX123" s="948"/>
      <c r="AY123" s="835"/>
      <c r="AZ123" s="835"/>
      <c r="BA123" s="835"/>
      <c r="BB123" s="948"/>
      <c r="BC123" s="835"/>
      <c r="BD123" s="835"/>
      <c r="BE123" s="835"/>
      <c r="BF123" s="1604">
        <f t="shared" ref="BF123:BQ123" si="135">BF$121*BF139</f>
        <v>936.70600000000002</v>
      </c>
      <c r="BG123" s="863">
        <f t="shared" si="135"/>
        <v>1286.1077499999999</v>
      </c>
      <c r="BH123" s="863">
        <f t="shared" si="135"/>
        <v>1244.559</v>
      </c>
      <c r="BI123" s="863">
        <f t="shared" si="135"/>
        <v>1619.2059999999999</v>
      </c>
      <c r="BJ123" s="1604">
        <f t="shared" si="135"/>
        <v>1725.6761600000002</v>
      </c>
      <c r="BK123" s="863">
        <f t="shared" si="135"/>
        <v>2501.1078400000001</v>
      </c>
      <c r="BL123" s="863">
        <f t="shared" si="135"/>
        <v>2329.59744</v>
      </c>
      <c r="BM123" s="863">
        <f t="shared" si="135"/>
        <v>3205.9686400000001</v>
      </c>
      <c r="BN123" s="1604">
        <f t="shared" si="135"/>
        <v>2491.6058745192986</v>
      </c>
      <c r="BO123" s="863">
        <f t="shared" si="135"/>
        <v>3692.4515115909089</v>
      </c>
      <c r="BP123" s="863">
        <f t="shared" si="135"/>
        <v>3317.3759839244854</v>
      </c>
      <c r="BQ123" s="863">
        <f t="shared" si="135"/>
        <v>5058.7750959746654</v>
      </c>
    </row>
    <row r="124" spans="1:101" outlineLevel="1">
      <c r="A124" s="289"/>
      <c r="B124" s="289"/>
      <c r="C124" s="289"/>
      <c r="D124" s="289"/>
      <c r="E124" s="289"/>
      <c r="F124" s="289"/>
      <c r="G124" s="289"/>
      <c r="H124" s="555"/>
      <c r="I124" s="555"/>
      <c r="J124" s="195" t="s">
        <v>618</v>
      </c>
      <c r="K124" s="11"/>
      <c r="L124" s="11"/>
      <c r="M124" s="11"/>
      <c r="N124" s="835"/>
      <c r="O124" s="835"/>
      <c r="P124" s="835"/>
      <c r="Q124" s="835"/>
      <c r="R124" s="835"/>
      <c r="S124" s="835"/>
      <c r="T124" s="835"/>
      <c r="U124" s="863">
        <f t="shared" ref="U124:AD124" si="136">U121*U140</f>
        <v>4272.7261499999986</v>
      </c>
      <c r="V124" s="863">
        <f t="shared" si="136"/>
        <v>6190.1284895398949</v>
      </c>
      <c r="W124" s="863">
        <f t="shared" si="136"/>
        <v>9925.3025465131504</v>
      </c>
      <c r="X124" s="863">
        <f t="shared" si="136"/>
        <v>13242.31462685103</v>
      </c>
      <c r="Y124" s="863">
        <f t="shared" si="136"/>
        <v>18665.029028491503</v>
      </c>
      <c r="Z124" s="863">
        <f>Z121*Z140</f>
        <v>24139.681313716821</v>
      </c>
      <c r="AA124" s="863">
        <f t="shared" si="136"/>
        <v>28574.404438545986</v>
      </c>
      <c r="AB124" s="863">
        <f t="shared" si="136"/>
        <v>33545.850902608116</v>
      </c>
      <c r="AC124" s="863">
        <f t="shared" si="136"/>
        <v>39110.146730647335</v>
      </c>
      <c r="AD124" s="863">
        <f t="shared" si="136"/>
        <v>45328.861171326462</v>
      </c>
      <c r="AE124" s="86"/>
      <c r="AF124" s="79"/>
      <c r="AG124" s="95"/>
      <c r="AH124" s="86"/>
      <c r="AI124" s="86"/>
      <c r="AJ124" s="86"/>
      <c r="AK124" s="86"/>
      <c r="AL124" s="1717"/>
      <c r="AM124" s="221"/>
      <c r="AN124" s="221"/>
      <c r="AO124" s="221"/>
      <c r="AP124" s="948"/>
      <c r="AQ124" s="835"/>
      <c r="AR124" s="835"/>
      <c r="AS124" s="835"/>
      <c r="AT124" s="948"/>
      <c r="AU124" s="835"/>
      <c r="AV124" s="835"/>
      <c r="AW124" s="835"/>
      <c r="AX124" s="948"/>
      <c r="AY124" s="835"/>
      <c r="AZ124" s="835"/>
      <c r="BA124" s="835"/>
      <c r="BB124" s="948"/>
      <c r="BC124" s="835"/>
      <c r="BD124" s="835"/>
      <c r="BE124" s="835"/>
      <c r="BF124" s="1604">
        <f t="shared" ref="BF124:BQ124" si="137">BF$121*BF140</f>
        <v>786.83303999999987</v>
      </c>
      <c r="BG124" s="863">
        <f t="shared" si="137"/>
        <v>1080.3305099999998</v>
      </c>
      <c r="BH124" s="863">
        <f t="shared" si="137"/>
        <v>1045.4295599999998</v>
      </c>
      <c r="BI124" s="863">
        <f t="shared" si="137"/>
        <v>1360.1330399999997</v>
      </c>
      <c r="BJ124" s="1604">
        <f t="shared" si="137"/>
        <v>1094.2198419640988</v>
      </c>
      <c r="BK124" s="863">
        <f t="shared" si="137"/>
        <v>1585.9069556943803</v>
      </c>
      <c r="BL124" s="863">
        <f t="shared" si="137"/>
        <v>1477.1553329199198</v>
      </c>
      <c r="BM124" s="863">
        <f t="shared" si="137"/>
        <v>2032.8463589614962</v>
      </c>
      <c r="BN124" s="1604">
        <f t="shared" si="137"/>
        <v>1698.4607184028503</v>
      </c>
      <c r="BO124" s="863">
        <f t="shared" si="137"/>
        <v>2517.0448950937448</v>
      </c>
      <c r="BP124" s="863">
        <f t="shared" si="137"/>
        <v>2261.3659947144674</v>
      </c>
      <c r="BQ124" s="863">
        <f t="shared" si="137"/>
        <v>3448.4309383020877</v>
      </c>
    </row>
    <row r="125" spans="1:101" s="585" customFormat="1" hidden="1" outlineLevel="4">
      <c r="A125" s="577"/>
      <c r="B125" s="577"/>
      <c r="C125" s="577"/>
      <c r="D125" s="577"/>
      <c r="E125" s="577"/>
      <c r="F125" s="577"/>
      <c r="G125" s="577"/>
      <c r="H125" s="578"/>
      <c r="I125" s="578"/>
      <c r="J125" s="552" t="s">
        <v>560</v>
      </c>
      <c r="K125" s="553"/>
      <c r="L125" s="553"/>
      <c r="M125" s="553"/>
      <c r="N125" s="872"/>
      <c r="O125" s="872"/>
      <c r="P125" s="872"/>
      <c r="Q125" s="872"/>
      <c r="R125" s="872"/>
      <c r="S125" s="872"/>
      <c r="T125" s="1369">
        <f>SUM(BB125:BE125)</f>
        <v>520.351</v>
      </c>
      <c r="U125" s="1369">
        <f>SUM(BF125:BI125)</f>
        <v>824.28699999999992</v>
      </c>
      <c r="V125" s="1369">
        <f>SUM(BJ125:BM125)</f>
        <v>859.29700000000003</v>
      </c>
      <c r="W125" s="350">
        <v>846.49387966193092</v>
      </c>
      <c r="X125" s="350">
        <v>846.49387966193092</v>
      </c>
      <c r="Y125" s="350">
        <v>315.91084306807005</v>
      </c>
      <c r="Z125" s="350">
        <v>65.284736620722683</v>
      </c>
      <c r="AA125" s="350">
        <v>65.284736620722683</v>
      </c>
      <c r="AB125" s="350">
        <v>21.971835674285067</v>
      </c>
      <c r="AC125" s="350">
        <v>0</v>
      </c>
      <c r="AD125" s="350">
        <v>0</v>
      </c>
      <c r="AE125" s="519"/>
      <c r="AF125" s="519"/>
      <c r="AG125" s="519"/>
      <c r="AH125" s="554"/>
      <c r="AI125" s="554"/>
      <c r="AJ125" s="554"/>
      <c r="AK125" s="554"/>
      <c r="AL125" s="1772"/>
      <c r="AM125" s="554"/>
      <c r="AN125" s="554"/>
      <c r="AO125" s="554"/>
      <c r="AP125" s="1691"/>
      <c r="AQ125" s="872"/>
      <c r="AR125" s="872"/>
      <c r="AS125" s="872"/>
      <c r="AT125" s="1691"/>
      <c r="AU125" s="872"/>
      <c r="AV125" s="872"/>
      <c r="AW125" s="872"/>
      <c r="AX125" s="1691"/>
      <c r="AY125" s="872"/>
      <c r="AZ125" s="872"/>
      <c r="BA125" s="872"/>
      <c r="BB125" s="1691"/>
      <c r="BC125" s="1404">
        <v>145.72399999999999</v>
      </c>
      <c r="BD125" s="1404">
        <v>186.577</v>
      </c>
      <c r="BE125" s="1404">
        <v>188.05</v>
      </c>
      <c r="BF125" s="1614">
        <v>210.46199999999999</v>
      </c>
      <c r="BG125" s="1404">
        <v>216.02099999999999</v>
      </c>
      <c r="BH125" s="1404">
        <v>227.96600000000001</v>
      </c>
      <c r="BI125" s="1404">
        <v>169.83799999999999</v>
      </c>
      <c r="BJ125" s="1605">
        <v>232.38900000000001</v>
      </c>
      <c r="BK125" s="1404">
        <v>204.96799999999999</v>
      </c>
      <c r="BL125" s="1404">
        <v>210.97</v>
      </c>
      <c r="BM125" s="1404">
        <v>210.97</v>
      </c>
      <c r="BN125" s="1259">
        <f>$W125/4</f>
        <v>211.62346991548273</v>
      </c>
      <c r="BO125" s="950">
        <f>$W125/4</f>
        <v>211.62346991548273</v>
      </c>
      <c r="BP125" s="950">
        <f>$W125/4</f>
        <v>211.62346991548273</v>
      </c>
      <c r="BQ125" s="949">
        <f>W125-SUM(BN125:BP125)</f>
        <v>211.6234699154827</v>
      </c>
      <c r="BR125" s="1677"/>
      <c r="CR125"/>
      <c r="CS125"/>
      <c r="CT125"/>
      <c r="CU125"/>
      <c r="CV125"/>
      <c r="CW125"/>
    </row>
    <row r="126" spans="1:101" s="585" customFormat="1" hidden="1" outlineLevel="4">
      <c r="A126" s="577"/>
      <c r="B126" s="577"/>
      <c r="C126" s="577"/>
      <c r="D126" s="577"/>
      <c r="E126" s="577"/>
      <c r="F126" s="577"/>
      <c r="G126" s="577"/>
      <c r="H126" s="578"/>
      <c r="I126" s="578"/>
      <c r="J126" s="552" t="s">
        <v>561</v>
      </c>
      <c r="K126" s="553"/>
      <c r="L126" s="553"/>
      <c r="M126" s="553"/>
      <c r="N126" s="872"/>
      <c r="O126" s="872"/>
      <c r="P126" s="872"/>
      <c r="Q126" s="872"/>
      <c r="R126" s="872"/>
      <c r="S126" s="872"/>
      <c r="T126" s="350">
        <f>T121-T125</f>
        <v>13045.648999999999</v>
      </c>
      <c r="U126" s="350">
        <f t="shared" ref="U126:AD126" si="138">U121-U125</f>
        <v>19522.027999999998</v>
      </c>
      <c r="V126" s="350">
        <f t="shared" si="138"/>
        <v>29648.047000000002</v>
      </c>
      <c r="W126" s="350">
        <f t="shared" si="138"/>
        <v>43275.349956730061</v>
      </c>
      <c r="X126" s="350">
        <f t="shared" si="138"/>
        <v>56755.058847702559</v>
      </c>
      <c r="Y126" s="350">
        <f t="shared" si="138"/>
        <v>73549.902888503391</v>
      </c>
      <c r="Z126" s="350">
        <f t="shared" si="138"/>
        <v>89588.567791724796</v>
      </c>
      <c r="AA126" s="350">
        <f t="shared" si="138"/>
        <v>100363.04859831647</v>
      </c>
      <c r="AB126" s="350">
        <f t="shared" si="138"/>
        <v>112303.87702204791</v>
      </c>
      <c r="AC126" s="350">
        <f t="shared" si="138"/>
        <v>125455.10858784604</v>
      </c>
      <c r="AD126" s="350">
        <f t="shared" si="138"/>
        <v>139934.87771798423</v>
      </c>
      <c r="AE126" s="519"/>
      <c r="AF126" s="519"/>
      <c r="AG126" s="519"/>
      <c r="AH126" s="554"/>
      <c r="AI126" s="554"/>
      <c r="AJ126" s="554"/>
      <c r="AK126" s="554"/>
      <c r="AL126" s="1772"/>
      <c r="AM126" s="554"/>
      <c r="AN126" s="554"/>
      <c r="AO126" s="554"/>
      <c r="AP126" s="1691"/>
      <c r="AQ126" s="872"/>
      <c r="AR126" s="872"/>
      <c r="AS126" s="872"/>
      <c r="AT126" s="1691"/>
      <c r="AU126" s="872"/>
      <c r="AV126" s="872"/>
      <c r="AW126" s="734"/>
      <c r="AX126" s="767"/>
      <c r="AY126" s="734"/>
      <c r="AZ126" s="734"/>
      <c r="BA126" s="734"/>
      <c r="BB126" s="767"/>
      <c r="BC126" s="734">
        <f>BC121-BC125</f>
        <v>3166.5159999999996</v>
      </c>
      <c r="BD126" s="734">
        <f t="shared" ref="BD126:BM126" si="139">BD121-BD125</f>
        <v>3282.2020000000002</v>
      </c>
      <c r="BE126" s="734">
        <f t="shared" si="139"/>
        <v>4504.8429999999998</v>
      </c>
      <c r="BF126" s="767">
        <f t="shared" si="139"/>
        <v>3536.3620000000001</v>
      </c>
      <c r="BG126" s="734">
        <f t="shared" si="139"/>
        <v>4928.41</v>
      </c>
      <c r="BH126" s="734">
        <f t="shared" si="139"/>
        <v>4750.2699999999995</v>
      </c>
      <c r="BI126" s="734">
        <f t="shared" si="139"/>
        <v>6306.9859999999999</v>
      </c>
      <c r="BJ126" s="1604">
        <f>BJ$121*BJ142</f>
        <v>2129.0420761678047</v>
      </c>
      <c r="BK126" s="734">
        <f>BK121-BK125</f>
        <v>7610.9940000000006</v>
      </c>
      <c r="BL126" s="734">
        <f>BL121-BL125</f>
        <v>7069.0219999999999</v>
      </c>
      <c r="BM126" s="734">
        <f t="shared" si="139"/>
        <v>9807.6820000000007</v>
      </c>
      <c r="BN126" s="767">
        <f>BN121-BN125</f>
        <v>7338.697361961179</v>
      </c>
      <c r="BO126" s="734">
        <f>BO121-BO125</f>
        <v>10977.623534905453</v>
      </c>
      <c r="BP126" s="734">
        <f>BP121-BP125</f>
        <v>9841.0310268253816</v>
      </c>
      <c r="BQ126" s="734">
        <f>BQ121-BQ125</f>
        <v>15117.998033038048</v>
      </c>
      <c r="BR126" s="1677"/>
      <c r="CR126"/>
      <c r="CS126"/>
      <c r="CT126"/>
      <c r="CU126"/>
      <c r="CV126"/>
      <c r="CW126"/>
    </row>
    <row r="127" spans="1:101" outlineLevel="1" collapsed="1">
      <c r="A127" s="289"/>
      <c r="B127" s="289"/>
      <c r="C127" s="289"/>
      <c r="D127" s="289"/>
      <c r="E127" s="289"/>
      <c r="F127" s="289"/>
      <c r="G127" s="289"/>
      <c r="H127" s="555"/>
      <c r="I127" s="555"/>
      <c r="J127" s="305"/>
      <c r="K127" s="172"/>
      <c r="L127" s="172"/>
      <c r="M127" s="172"/>
      <c r="N127" s="221"/>
      <c r="O127" s="221"/>
      <c r="P127" s="347"/>
      <c r="Q127" s="347"/>
      <c r="R127" s="347"/>
      <c r="S127" s="347"/>
      <c r="T127" s="520"/>
      <c r="U127" s="520"/>
      <c r="V127" s="520"/>
      <c r="W127" s="520"/>
      <c r="X127" s="520"/>
      <c r="Y127" s="520"/>
      <c r="Z127" s="520"/>
      <c r="AA127" s="520"/>
      <c r="AB127" s="520"/>
      <c r="AC127" s="520"/>
      <c r="AD127" s="520"/>
      <c r="AE127" s="521"/>
      <c r="AF127" s="521"/>
      <c r="AG127" s="522"/>
      <c r="AH127" s="86"/>
      <c r="AI127" s="86"/>
      <c r="AJ127" s="86"/>
      <c r="AK127" s="86"/>
      <c r="AL127" s="682"/>
      <c r="AM127" s="86"/>
      <c r="AN127" s="86"/>
      <c r="AO127" s="86"/>
      <c r="AP127" s="682"/>
      <c r="AQ127" s="86"/>
      <c r="AR127" s="86"/>
      <c r="AS127" s="86"/>
      <c r="AT127" s="682"/>
      <c r="AU127" s="86"/>
      <c r="AV127" s="86"/>
      <c r="AW127" s="86"/>
      <c r="AX127" s="682"/>
      <c r="AY127" s="86"/>
      <c r="AZ127" s="86"/>
      <c r="BA127" s="86"/>
      <c r="BB127" s="682"/>
      <c r="BC127" s="86"/>
      <c r="BD127" s="86"/>
      <c r="BE127" s="86"/>
      <c r="BF127" s="682"/>
      <c r="BG127" s="86"/>
      <c r="BH127" s="86"/>
      <c r="BI127" s="86"/>
      <c r="BJ127" s="682"/>
      <c r="BK127" s="86"/>
      <c r="BL127" s="86"/>
      <c r="BM127" s="86"/>
      <c r="BN127" s="682"/>
      <c r="BO127" s="86"/>
      <c r="BP127" s="86"/>
      <c r="BQ127" s="86"/>
    </row>
    <row r="128" spans="1:101" outlineLevel="1">
      <c r="I128" s="566"/>
      <c r="J128" s="229" t="s">
        <v>651</v>
      </c>
      <c r="K128" s="11"/>
      <c r="L128" s="11"/>
      <c r="M128" s="11"/>
      <c r="N128" s="345"/>
      <c r="O128" s="345"/>
      <c r="P128" s="345"/>
      <c r="Q128" s="345"/>
      <c r="R128" s="345"/>
      <c r="S128" s="345"/>
      <c r="T128" s="343"/>
      <c r="U128" s="343"/>
      <c r="V128" s="343"/>
      <c r="W128" s="343"/>
      <c r="X128" s="343"/>
      <c r="Y128" s="343"/>
      <c r="Z128" s="343"/>
      <c r="AA128" s="343"/>
      <c r="AB128" s="343"/>
      <c r="AC128" s="343"/>
      <c r="AD128" s="343"/>
      <c r="AE128" s="223"/>
      <c r="AF128" s="77"/>
      <c r="AG128" s="99"/>
      <c r="AH128" s="346"/>
      <c r="AI128" s="346"/>
      <c r="AJ128" s="346"/>
      <c r="AK128" s="346"/>
      <c r="AL128" s="678"/>
      <c r="AM128" s="345"/>
      <c r="AN128" s="345"/>
      <c r="AO128" s="345"/>
      <c r="AP128" s="678"/>
      <c r="AQ128" s="345"/>
      <c r="AR128" s="345"/>
      <c r="AS128" s="345"/>
      <c r="AT128" s="678"/>
      <c r="AU128" s="345"/>
      <c r="AV128" s="345"/>
      <c r="AW128" s="345"/>
      <c r="AX128" s="678"/>
      <c r="AY128" s="345"/>
      <c r="AZ128" s="343"/>
      <c r="BA128" s="343"/>
      <c r="BB128" s="761"/>
      <c r="BC128" s="343"/>
      <c r="BD128" s="343"/>
      <c r="BE128" s="343"/>
      <c r="BF128" s="761"/>
      <c r="BG128" s="343"/>
      <c r="BH128" s="343"/>
      <c r="BI128" s="343"/>
      <c r="BJ128" s="761"/>
      <c r="BK128" s="343"/>
      <c r="BL128" s="343"/>
      <c r="BM128" s="343"/>
      <c r="BN128" s="761"/>
      <c r="BO128" s="343"/>
      <c r="BP128" s="343"/>
      <c r="BQ128" s="343"/>
    </row>
    <row r="129" spans="1:101" outlineLevel="1">
      <c r="A129" s="289"/>
      <c r="B129" s="289"/>
      <c r="C129" s="289"/>
      <c r="D129" s="289"/>
      <c r="E129" s="289"/>
      <c r="F129" s="289"/>
      <c r="G129" s="289"/>
      <c r="H129" s="873"/>
      <c r="I129" s="566"/>
      <c r="J129" s="335" t="s">
        <v>513</v>
      </c>
      <c r="K129" s="172"/>
      <c r="L129" s="172"/>
      <c r="M129" s="172"/>
      <c r="N129" s="179"/>
      <c r="O129" s="179"/>
      <c r="P129" s="179">
        <f t="shared" ref="P129:V129" si="140">P120/P76</f>
        <v>0.70093996644295298</v>
      </c>
      <c r="Q129" s="179">
        <f t="shared" si="140"/>
        <v>0.71136774250440915</v>
      </c>
      <c r="R129" s="179">
        <f t="shared" si="140"/>
        <v>0.7151952291274325</v>
      </c>
      <c r="S129" s="179">
        <f t="shared" si="140"/>
        <v>0.68141242937853108</v>
      </c>
      <c r="T129" s="179">
        <f t="shared" si="140"/>
        <v>0.65618544600938966</v>
      </c>
      <c r="U129" s="179">
        <f t="shared" si="140"/>
        <v>0.63911800161160359</v>
      </c>
      <c r="V129" s="179">
        <f t="shared" si="140"/>
        <v>0.62924359257930984</v>
      </c>
      <c r="W129" s="926">
        <v>0.62</v>
      </c>
      <c r="X129" s="926">
        <v>0.62</v>
      </c>
      <c r="Y129" s="926">
        <f t="shared" ref="Y129:AD129" si="141">X129</f>
        <v>0.62</v>
      </c>
      <c r="Z129" s="926">
        <f t="shared" si="141"/>
        <v>0.62</v>
      </c>
      <c r="AA129" s="926">
        <f t="shared" si="141"/>
        <v>0.62</v>
      </c>
      <c r="AB129" s="926">
        <f t="shared" si="141"/>
        <v>0.62</v>
      </c>
      <c r="AC129" s="926">
        <f t="shared" si="141"/>
        <v>0.62</v>
      </c>
      <c r="AD129" s="926">
        <f t="shared" si="141"/>
        <v>0.62</v>
      </c>
      <c r="AE129" s="86"/>
      <c r="AF129" s="11"/>
      <c r="AG129" s="95"/>
      <c r="AH129" s="86"/>
      <c r="AI129" s="86"/>
      <c r="AJ129" s="86"/>
      <c r="AK129" s="86"/>
      <c r="AL129" s="682"/>
      <c r="AM129" s="86"/>
      <c r="AN129" s="86"/>
      <c r="AO129" s="86"/>
      <c r="AP129" s="682"/>
      <c r="AQ129" s="86"/>
      <c r="AR129" s="86"/>
      <c r="AS129" s="86"/>
      <c r="AT129" s="690">
        <f t="shared" ref="AT129:BM129" si="142">AT120/AT76</f>
        <v>0.72402173913043477</v>
      </c>
      <c r="AU129" s="179">
        <f t="shared" si="142"/>
        <v>0.71590177966101687</v>
      </c>
      <c r="AV129" s="179">
        <f t="shared" si="142"/>
        <v>0.72151409090909091</v>
      </c>
      <c r="AW129" s="179">
        <f t="shared" si="142"/>
        <v>0.70726859504132233</v>
      </c>
      <c r="AX129" s="690">
        <f t="shared" si="142"/>
        <v>0.69812362179487175</v>
      </c>
      <c r="AY129" s="179">
        <f t="shared" si="142"/>
        <v>0.6892424234693878</v>
      </c>
      <c r="AZ129" s="179">
        <f t="shared" si="142"/>
        <v>0.67577456790123458</v>
      </c>
      <c r="BA129" s="179">
        <f t="shared" si="142"/>
        <v>0.66902123966942151</v>
      </c>
      <c r="BB129" s="690">
        <f t="shared" si="142"/>
        <v>0.67875277013752466</v>
      </c>
      <c r="BC129" s="179">
        <f t="shared" si="142"/>
        <v>0.65867769706336943</v>
      </c>
      <c r="BD129" s="179">
        <f t="shared" si="142"/>
        <v>0.66299137030995103</v>
      </c>
      <c r="BE129" s="179">
        <f t="shared" si="142"/>
        <v>0.63423951715374838</v>
      </c>
      <c r="BF129" s="690">
        <f t="shared" si="142"/>
        <v>0.65697290026246713</v>
      </c>
      <c r="BG129" s="179">
        <f t="shared" si="142"/>
        <v>0.63096625131995776</v>
      </c>
      <c r="BH129" s="179">
        <f t="shared" si="142"/>
        <v>0.63589273041474659</v>
      </c>
      <c r="BI129" s="179">
        <f t="shared" si="142"/>
        <v>0.63587013077593724</v>
      </c>
      <c r="BJ129" s="690">
        <f t="shared" si="142"/>
        <v>0.64713113067655226</v>
      </c>
      <c r="BK129" s="179">
        <f t="shared" si="142"/>
        <v>0.62508062225475847</v>
      </c>
      <c r="BL129" s="179">
        <f t="shared" si="142"/>
        <v>0.63045271350336396</v>
      </c>
      <c r="BM129" s="179">
        <f t="shared" si="142"/>
        <v>0.61990871878114229</v>
      </c>
      <c r="BN129" s="925">
        <v>0.64</v>
      </c>
      <c r="BO129" s="926">
        <v>0.62</v>
      </c>
      <c r="BP129" s="926">
        <v>0.625</v>
      </c>
      <c r="BQ129" s="179">
        <f>BQ120/BQ76</f>
        <v>0.60290322580645161</v>
      </c>
    </row>
    <row r="130" spans="1:101" outlineLevel="1">
      <c r="I130" s="566"/>
      <c r="J130" s="229" t="s">
        <v>652</v>
      </c>
      <c r="K130" s="11"/>
      <c r="L130" s="11"/>
      <c r="M130" s="11"/>
      <c r="N130" s="345"/>
      <c r="O130" s="345"/>
      <c r="P130" s="345"/>
      <c r="Q130" s="345"/>
      <c r="R130" s="345"/>
      <c r="S130" s="345"/>
      <c r="T130" s="343"/>
      <c r="U130" s="343"/>
      <c r="V130" s="343"/>
      <c r="W130" s="343"/>
      <c r="X130" s="343"/>
      <c r="Y130" s="343"/>
      <c r="Z130" s="343"/>
      <c r="AA130" s="343"/>
      <c r="AB130" s="343"/>
      <c r="AC130" s="343"/>
      <c r="AD130" s="343"/>
      <c r="AE130" s="223"/>
      <c r="AF130" s="77"/>
      <c r="AG130" s="99"/>
      <c r="AH130" s="346"/>
      <c r="AI130" s="346"/>
      <c r="AJ130" s="346"/>
      <c r="AK130" s="346"/>
      <c r="AL130" s="678"/>
      <c r="AM130" s="345"/>
      <c r="AN130" s="345"/>
      <c r="AO130" s="345"/>
      <c r="AP130" s="678"/>
      <c r="AQ130" s="345"/>
      <c r="AR130" s="345"/>
      <c r="AS130" s="345"/>
      <c r="AT130" s="678"/>
      <c r="AU130" s="345"/>
      <c r="AV130" s="345"/>
      <c r="AW130" s="345"/>
      <c r="AX130" s="678"/>
      <c r="AY130" s="345"/>
      <c r="AZ130" s="343"/>
      <c r="BA130" s="343"/>
      <c r="BB130" s="761"/>
      <c r="BC130" s="343"/>
      <c r="BD130" s="343"/>
      <c r="BE130" s="343"/>
      <c r="BF130" s="761"/>
      <c r="BG130" s="343"/>
      <c r="BH130" s="343"/>
      <c r="BI130" s="343"/>
      <c r="BJ130" s="761"/>
      <c r="BK130" s="343"/>
      <c r="BL130" s="343"/>
      <c r="BM130" s="343"/>
      <c r="BN130" s="761"/>
      <c r="BO130" s="343"/>
      <c r="BP130" s="343"/>
      <c r="BQ130" s="343"/>
    </row>
    <row r="131" spans="1:101" outlineLevel="1">
      <c r="I131" s="566"/>
      <c r="J131" s="185" t="str">
        <f>"GPM: 3P Take Rate (%) - Gross GMV: "&amp;IF(Scenario!$J$79=1,Scenario!$K$80,(IF(Scenario!$J$79=2,Scenario!$K$81,(IF(Scenario!$J$79=3,Scenario!$K$82,(IF(Scenario!$J$79=4,Scenario!$K$83)))))))</f>
        <v>GPM: 3P Take Rate (%) - Gross GMV: Base Case</v>
      </c>
      <c r="K131" s="11"/>
      <c r="L131" s="11"/>
      <c r="M131" s="11"/>
      <c r="N131" s="345"/>
      <c r="O131" s="345"/>
      <c r="P131" s="345">
        <f t="shared" ref="P131:V131" si="143">P132</f>
        <v>8.3085517241379317E-2</v>
      </c>
      <c r="Q131" s="345">
        <f t="shared" si="143"/>
        <v>6.3010240963855421E-2</v>
      </c>
      <c r="R131" s="345">
        <f t="shared" si="143"/>
        <v>7.2950842418235878E-2</v>
      </c>
      <c r="S131" s="345">
        <f t="shared" si="143"/>
        <v>6.395441030723488E-2</v>
      </c>
      <c r="T131" s="345">
        <f t="shared" si="143"/>
        <v>6.5504587155963301E-2</v>
      </c>
      <c r="U131" s="345">
        <f t="shared" si="143"/>
        <v>7.1165844700944378E-2</v>
      </c>
      <c r="V131" s="345">
        <f t="shared" si="143"/>
        <v>8.0549263370810448E-2</v>
      </c>
      <c r="W131" s="876">
        <f>CHOOSE(Scenario!$J$79,W132,Scenario!W25,Scenario!W36,Scenario!W47)</f>
        <v>8.6349263370810447E-2</v>
      </c>
      <c r="X131" s="876">
        <f>CHOOSE(Scenario!$J$79,X132,Scenario!X25,Scenario!X36,Scenario!X47)</f>
        <v>8.934926337081045E-2</v>
      </c>
      <c r="Y131" s="876">
        <f>CHOOSE(Scenario!$J$79,Y132,Scenario!Y25,Scenario!Y36,Scenario!Y47)</f>
        <v>9.4349263370810454E-2</v>
      </c>
      <c r="Z131" s="876">
        <f>CHOOSE(Scenario!$J$79,Z132,Scenario!Z25,Scenario!Z36,Scenario!Z47)</f>
        <v>9.8349263370810458E-2</v>
      </c>
      <c r="AA131" s="876">
        <f>CHOOSE(Scenario!$J$79,AA132,Scenario!AA25,Scenario!AA36,Scenario!AA47)</f>
        <v>0.10234926337081046</v>
      </c>
      <c r="AB131" s="876">
        <f>CHOOSE(Scenario!$J$79,AB132,Scenario!AB25,Scenario!AB36,Scenario!AB47)</f>
        <v>0.10634926337081047</v>
      </c>
      <c r="AC131" s="876">
        <f>CHOOSE(Scenario!$J$79,AC132,Scenario!AC25,Scenario!AC36,Scenario!AC47)</f>
        <v>0.11034926337081047</v>
      </c>
      <c r="AD131" s="876">
        <f>CHOOSE(Scenario!$J$79,AD132,Scenario!AD25,Scenario!AD36,Scenario!AD47)</f>
        <v>0.11434926337081047</v>
      </c>
      <c r="AE131" s="223"/>
      <c r="AF131" s="77"/>
      <c r="AG131" s="99"/>
      <c r="AH131" s="346"/>
      <c r="AI131" s="346"/>
      <c r="AJ131" s="346"/>
      <c r="AK131" s="346"/>
      <c r="AL131" s="678"/>
      <c r="AM131" s="345"/>
      <c r="AN131" s="345"/>
      <c r="AO131" s="345"/>
      <c r="AP131" s="678"/>
      <c r="AQ131" s="345"/>
      <c r="AR131" s="345"/>
      <c r="AS131" s="345"/>
      <c r="AT131" s="678">
        <f t="shared" ref="AT131:AZ131" si="144">AT132</f>
        <v>7.1964285714285717E-2</v>
      </c>
      <c r="AU131" s="345">
        <f t="shared" si="144"/>
        <v>8.0852753623188403E-2</v>
      </c>
      <c r="AV131" s="345">
        <f t="shared" si="144"/>
        <v>7.5048961038961026E-2</v>
      </c>
      <c r="AW131" s="345">
        <f t="shared" si="144"/>
        <v>6.7080213903743316E-2</v>
      </c>
      <c r="AX131" s="678">
        <f t="shared" si="144"/>
        <v>6.7903798449612404E-2</v>
      </c>
      <c r="AY131" s="345">
        <f t="shared" si="144"/>
        <v>6.6997773109243694E-2</v>
      </c>
      <c r="AZ131" s="345">
        <f t="shared" si="144"/>
        <v>6.1310932835820897E-2</v>
      </c>
      <c r="BA131" s="345">
        <f t="shared" ref="BA131:BL131" si="145">BA132</f>
        <v>6.2551336898395718E-2</v>
      </c>
      <c r="BB131" s="678">
        <f t="shared" si="145"/>
        <v>5.6695365853658544E-2</v>
      </c>
      <c r="BC131" s="345">
        <f t="shared" si="145"/>
        <v>6.6510843373493972E-2</v>
      </c>
      <c r="BD131" s="345">
        <f t="shared" si="145"/>
        <v>6.4595512104283048E-2</v>
      </c>
      <c r="BE131" s="345">
        <f t="shared" si="145"/>
        <v>7.0358215892053974E-2</v>
      </c>
      <c r="BF131" s="678">
        <f t="shared" si="145"/>
        <v>7.0561657250470811E-2</v>
      </c>
      <c r="BG131" s="345">
        <f t="shared" si="145"/>
        <v>7.8301841704718406E-2</v>
      </c>
      <c r="BH131" s="345">
        <f t="shared" si="145"/>
        <v>6.9142166666666671E-2</v>
      </c>
      <c r="BI131" s="345">
        <f>BI132</f>
        <v>6.8177094736842095E-2</v>
      </c>
      <c r="BJ131" s="678">
        <f t="shared" si="145"/>
        <v>7.0770839895013121E-2</v>
      </c>
      <c r="BK131" s="345">
        <f t="shared" si="145"/>
        <v>7.9592281059063144E-2</v>
      </c>
      <c r="BL131" s="345">
        <f t="shared" si="145"/>
        <v>7.9537766137435184E-2</v>
      </c>
      <c r="BM131" s="345">
        <f>BM132</f>
        <v>8.8807842905295739E-2</v>
      </c>
      <c r="BN131" s="1260">
        <f>BJ131+BN133</f>
        <v>7.7770839895013127E-2</v>
      </c>
      <c r="BO131" s="951">
        <f>BK131+BO133</f>
        <v>8.7592281059063137E-2</v>
      </c>
      <c r="BP131" s="951">
        <f>BL131+BP133</f>
        <v>8.5537766137435189E-2</v>
      </c>
      <c r="BQ131" s="345">
        <f>BQ132</f>
        <v>9.0912264589036618E-2</v>
      </c>
    </row>
    <row r="132" spans="1:101" outlineLevel="1">
      <c r="I132" s="566"/>
      <c r="J132" s="59" t="s">
        <v>316</v>
      </c>
      <c r="K132" s="11"/>
      <c r="L132" s="11"/>
      <c r="M132" s="11"/>
      <c r="N132" s="345"/>
      <c r="O132" s="345"/>
      <c r="P132" s="345">
        <f t="shared" ref="P132:V132" si="146">P121/P77</f>
        <v>8.3085517241379317E-2</v>
      </c>
      <c r="Q132" s="345">
        <f t="shared" si="146"/>
        <v>6.3010240963855421E-2</v>
      </c>
      <c r="R132" s="345">
        <f t="shared" si="146"/>
        <v>7.2950842418235878E-2</v>
      </c>
      <c r="S132" s="345">
        <f t="shared" si="146"/>
        <v>6.395441030723488E-2</v>
      </c>
      <c r="T132" s="345">
        <f t="shared" si="146"/>
        <v>6.5504587155963301E-2</v>
      </c>
      <c r="U132" s="345">
        <f t="shared" si="146"/>
        <v>7.1165844700944378E-2</v>
      </c>
      <c r="V132" s="345">
        <f t="shared" si="146"/>
        <v>8.0549263370810448E-2</v>
      </c>
      <c r="W132" s="1150">
        <f t="shared" ref="W132:AD132" si="147">V132+W133</f>
        <v>8.6349263370810447E-2</v>
      </c>
      <c r="X132" s="1150">
        <f t="shared" si="147"/>
        <v>8.934926337081045E-2</v>
      </c>
      <c r="Y132" s="1150">
        <f t="shared" si="147"/>
        <v>9.4349263370810454E-2</v>
      </c>
      <c r="Z132" s="1150">
        <f t="shared" si="147"/>
        <v>9.8349263370810458E-2</v>
      </c>
      <c r="AA132" s="1150">
        <f t="shared" si="147"/>
        <v>0.10234926337081046</v>
      </c>
      <c r="AB132" s="1150">
        <f t="shared" si="147"/>
        <v>0.10634926337081047</v>
      </c>
      <c r="AC132" s="1150">
        <f t="shared" si="147"/>
        <v>0.11034926337081047</v>
      </c>
      <c r="AD132" s="1150">
        <f t="shared" si="147"/>
        <v>0.11434926337081047</v>
      </c>
      <c r="AE132" s="223"/>
      <c r="AF132" s="77"/>
      <c r="AG132" s="99"/>
      <c r="AH132" s="449"/>
      <c r="AI132" s="449"/>
      <c r="AJ132" s="449"/>
      <c r="AK132" s="449"/>
      <c r="AL132" s="1606"/>
      <c r="AM132" s="262"/>
      <c r="AN132" s="262"/>
      <c r="AO132" s="262"/>
      <c r="AP132" s="1606"/>
      <c r="AQ132" s="262"/>
      <c r="AR132" s="262"/>
      <c r="AS132" s="262"/>
      <c r="AT132" s="1606">
        <f t="shared" ref="AT132:AY132" si="148">AT163/AT77</f>
        <v>7.1964285714285717E-2</v>
      </c>
      <c r="AU132" s="262">
        <f t="shared" si="148"/>
        <v>8.0852753623188403E-2</v>
      </c>
      <c r="AV132" s="262">
        <f t="shared" si="148"/>
        <v>7.5048961038961026E-2</v>
      </c>
      <c r="AW132" s="262">
        <f t="shared" si="148"/>
        <v>6.7080213903743316E-2</v>
      </c>
      <c r="AX132" s="1606">
        <f t="shared" si="148"/>
        <v>6.7903798449612404E-2</v>
      </c>
      <c r="AY132" s="262">
        <f t="shared" si="148"/>
        <v>6.6997773109243694E-2</v>
      </c>
      <c r="AZ132" s="262">
        <f t="shared" ref="AZ132:BQ132" si="149">AZ121/AZ77</f>
        <v>6.1310932835820897E-2</v>
      </c>
      <c r="BA132" s="262">
        <f t="shared" si="149"/>
        <v>6.2551336898395718E-2</v>
      </c>
      <c r="BB132" s="1606">
        <f t="shared" si="149"/>
        <v>5.6695365853658544E-2</v>
      </c>
      <c r="BC132" s="262">
        <f t="shared" si="149"/>
        <v>6.6510843373493972E-2</v>
      </c>
      <c r="BD132" s="262">
        <f t="shared" si="149"/>
        <v>6.4595512104283048E-2</v>
      </c>
      <c r="BE132" s="262">
        <f t="shared" si="149"/>
        <v>7.0358215892053974E-2</v>
      </c>
      <c r="BF132" s="1606">
        <f t="shared" si="149"/>
        <v>7.0561657250470811E-2</v>
      </c>
      <c r="BG132" s="262">
        <f t="shared" si="149"/>
        <v>7.8301841704718406E-2</v>
      </c>
      <c r="BH132" s="262">
        <f t="shared" si="149"/>
        <v>6.9142166666666671E-2</v>
      </c>
      <c r="BI132" s="262">
        <f t="shared" si="149"/>
        <v>6.8177094736842095E-2</v>
      </c>
      <c r="BJ132" s="1606">
        <f t="shared" si="149"/>
        <v>7.0770839895013121E-2</v>
      </c>
      <c r="BK132" s="262">
        <f t="shared" si="149"/>
        <v>7.9592281059063144E-2</v>
      </c>
      <c r="BL132" s="262">
        <f t="shared" si="149"/>
        <v>7.9537766137435184E-2</v>
      </c>
      <c r="BM132" s="262">
        <f t="shared" si="149"/>
        <v>8.8807842905295739E-2</v>
      </c>
      <c r="BN132" s="1606">
        <f t="shared" si="149"/>
        <v>7.7770839895013127E-2</v>
      </c>
      <c r="BO132" s="262">
        <f t="shared" si="149"/>
        <v>8.7592281059063137E-2</v>
      </c>
      <c r="BP132" s="262">
        <f t="shared" si="149"/>
        <v>8.5537766137435189E-2</v>
      </c>
      <c r="BQ132" s="262">
        <f t="shared" si="149"/>
        <v>9.0912264589036618E-2</v>
      </c>
    </row>
    <row r="133" spans="1:101" outlineLevel="1">
      <c r="I133" s="566"/>
      <c r="J133" s="17" t="s">
        <v>254</v>
      </c>
      <c r="K133" s="11"/>
      <c r="L133" s="11"/>
      <c r="M133" s="11"/>
      <c r="N133" s="345"/>
      <c r="O133" s="345"/>
      <c r="P133" s="345"/>
      <c r="Q133" s="346">
        <f t="shared" ref="Q133:V133" si="150">Q132-P132</f>
        <v>-2.0075276277523896E-2</v>
      </c>
      <c r="R133" s="346">
        <f t="shared" si="150"/>
        <v>9.9406014543804572E-3</v>
      </c>
      <c r="S133" s="347">
        <f t="shared" si="150"/>
        <v>-8.9964321110009987E-3</v>
      </c>
      <c r="T133" s="347">
        <f t="shared" si="150"/>
        <v>1.5501768487284212E-3</v>
      </c>
      <c r="U133" s="347">
        <f t="shared" si="150"/>
        <v>5.661257544981077E-3</v>
      </c>
      <c r="V133" s="347">
        <f t="shared" si="150"/>
        <v>9.3834186698660699E-3</v>
      </c>
      <c r="W133" s="932">
        <v>5.7999999999999996E-3</v>
      </c>
      <c r="X133" s="932">
        <v>3.0000000000000001E-3</v>
      </c>
      <c r="Y133" s="932">
        <v>5.0000000000000001E-3</v>
      </c>
      <c r="Z133" s="932">
        <v>4.0000000000000001E-3</v>
      </c>
      <c r="AA133" s="932">
        <f>Z133</f>
        <v>4.0000000000000001E-3</v>
      </c>
      <c r="AB133" s="932">
        <f>AA133</f>
        <v>4.0000000000000001E-3</v>
      </c>
      <c r="AC133" s="932">
        <f>AB133</f>
        <v>4.0000000000000001E-3</v>
      </c>
      <c r="AD133" s="932">
        <f>AC133</f>
        <v>4.0000000000000001E-3</v>
      </c>
      <c r="AE133" s="223"/>
      <c r="AF133" s="77"/>
      <c r="AG133" s="99"/>
      <c r="AH133" s="346"/>
      <c r="AI133" s="346"/>
      <c r="AJ133" s="346"/>
      <c r="AK133" s="346"/>
      <c r="AL133" s="678"/>
      <c r="AM133" s="345"/>
      <c r="AN133" s="345"/>
      <c r="AO133" s="345"/>
      <c r="AP133" s="750"/>
      <c r="AQ133" s="346"/>
      <c r="AR133" s="346"/>
      <c r="AS133" s="346"/>
      <c r="AT133" s="750"/>
      <c r="AU133" s="346"/>
      <c r="AV133" s="346">
        <f>AV132-AR132</f>
        <v>7.5048961038961026E-2</v>
      </c>
      <c r="AW133" s="347">
        <f>AW132-AS132</f>
        <v>6.7080213903743316E-2</v>
      </c>
      <c r="AX133" s="750">
        <f>AX132-AT132</f>
        <v>-4.0604872646733126E-3</v>
      </c>
      <c r="AY133" s="347">
        <f>AY132-AU132</f>
        <v>-1.3854980513944709E-2</v>
      </c>
      <c r="AZ133" s="347">
        <f t="shared" ref="AZ133:BL133" si="151">AZ132-AV132</f>
        <v>-1.3738028203140129E-2</v>
      </c>
      <c r="BA133" s="347">
        <f t="shared" si="151"/>
        <v>-4.528877005347598E-3</v>
      </c>
      <c r="BB133" s="750">
        <f t="shared" si="151"/>
        <v>-1.120843259595386E-2</v>
      </c>
      <c r="BC133" s="347">
        <f t="shared" si="151"/>
        <v>-4.8692973574972209E-4</v>
      </c>
      <c r="BD133" s="347">
        <f t="shared" si="151"/>
        <v>3.2845792684621511E-3</v>
      </c>
      <c r="BE133" s="347">
        <f t="shared" si="151"/>
        <v>7.8068789936582561E-3</v>
      </c>
      <c r="BF133" s="750">
        <f t="shared" si="151"/>
        <v>1.3866291396812266E-2</v>
      </c>
      <c r="BG133" s="347">
        <f t="shared" si="151"/>
        <v>1.1790998331224434E-2</v>
      </c>
      <c r="BH133" s="347">
        <f t="shared" si="151"/>
        <v>4.546654562383623E-3</v>
      </c>
      <c r="BI133" s="347">
        <f t="shared" si="151"/>
        <v>-2.1811211552118792E-3</v>
      </c>
      <c r="BJ133" s="750">
        <f t="shared" si="151"/>
        <v>2.0918264454231061E-4</v>
      </c>
      <c r="BK133" s="347">
        <f t="shared" si="151"/>
        <v>1.2904393543447384E-3</v>
      </c>
      <c r="BL133" s="347">
        <f t="shared" si="151"/>
        <v>1.0395599470768513E-2</v>
      </c>
      <c r="BM133" s="347">
        <f>BM132-BI132</f>
        <v>2.0630748168453644E-2</v>
      </c>
      <c r="BN133" s="931">
        <v>7.0000000000000001E-3</v>
      </c>
      <c r="BO133" s="952">
        <v>8.0000000000000002E-3</v>
      </c>
      <c r="BP133" s="952">
        <v>6.0000000000000001E-3</v>
      </c>
      <c r="BQ133" s="347">
        <f>BQ132-BM132</f>
        <v>2.1044216837408786E-3</v>
      </c>
    </row>
    <row r="134" spans="1:101" s="500" customFormat="1" outlineLevel="1">
      <c r="A134" s="290"/>
      <c r="B134" s="290"/>
      <c r="C134" s="290"/>
      <c r="D134" s="290"/>
      <c r="E134" s="290"/>
      <c r="F134" s="290"/>
      <c r="G134" s="290"/>
      <c r="H134" s="557"/>
      <c r="I134" s="566"/>
      <c r="J134" s="795"/>
      <c r="K134" s="521"/>
      <c r="L134" s="521"/>
      <c r="M134" s="521"/>
      <c r="N134" s="1444"/>
      <c r="O134" s="1444"/>
      <c r="P134" s="1444"/>
      <c r="Q134" s="1474"/>
      <c r="R134" s="1474"/>
      <c r="S134" s="951"/>
      <c r="T134" s="951"/>
      <c r="U134" s="951"/>
      <c r="V134" s="951"/>
      <c r="W134" s="1474"/>
      <c r="X134" s="1474"/>
      <c r="Y134" s="1474"/>
      <c r="Z134" s="1474"/>
      <c r="AA134" s="1474"/>
      <c r="AB134" s="1474"/>
      <c r="AC134" s="1474"/>
      <c r="AD134" s="1474"/>
      <c r="AE134" s="813"/>
      <c r="AF134" s="944"/>
      <c r="AG134" s="1475"/>
      <c r="AH134" s="1474"/>
      <c r="AI134" s="1474"/>
      <c r="AJ134" s="1474"/>
      <c r="AK134" s="1474"/>
      <c r="AL134" s="1773"/>
      <c r="AM134" s="1444"/>
      <c r="AN134" s="1444"/>
      <c r="AO134" s="1444"/>
      <c r="AP134" s="1260"/>
      <c r="AQ134" s="1474"/>
      <c r="AR134" s="1474"/>
      <c r="AS134" s="1474"/>
      <c r="AT134" s="1260"/>
      <c r="AU134" s="1474"/>
      <c r="AV134" s="1474"/>
      <c r="AW134" s="951"/>
      <c r="AX134" s="1260"/>
      <c r="AY134" s="951"/>
      <c r="AZ134" s="951"/>
      <c r="BA134" s="951"/>
      <c r="BB134" s="1260"/>
      <c r="BC134" s="951"/>
      <c r="BD134" s="951"/>
      <c r="BE134" s="951"/>
      <c r="BF134" s="1260"/>
      <c r="BG134" s="951"/>
      <c r="BH134" s="951"/>
      <c r="BI134" s="951"/>
      <c r="BJ134" s="1260"/>
      <c r="BK134" s="951"/>
      <c r="BL134" s="951"/>
      <c r="BM134" s="951"/>
      <c r="BN134" s="1260"/>
      <c r="BO134" s="951"/>
      <c r="BP134" s="951"/>
      <c r="BQ134" s="951"/>
      <c r="BR134" s="506"/>
      <c r="CR134"/>
      <c r="CS134"/>
      <c r="CT134"/>
      <c r="CU134"/>
      <c r="CV134"/>
      <c r="CW134"/>
    </row>
    <row r="135" spans="1:101" outlineLevel="1">
      <c r="A135" s="289"/>
      <c r="B135" s="289"/>
      <c r="C135" s="289"/>
      <c r="D135" s="289"/>
      <c r="E135" s="289"/>
      <c r="F135" s="289"/>
      <c r="G135" s="289"/>
      <c r="H135" s="555"/>
      <c r="I135" s="555"/>
      <c r="J135" s="229" t="s">
        <v>565</v>
      </c>
      <c r="K135" s="172"/>
      <c r="L135" s="172"/>
      <c r="M135" s="172"/>
      <c r="N135" s="221"/>
      <c r="O135" s="221"/>
      <c r="P135" s="347"/>
      <c r="Q135" s="347"/>
      <c r="R135" s="347"/>
      <c r="S135" s="347"/>
      <c r="T135" s="377"/>
      <c r="U135" s="377"/>
      <c r="V135" s="377"/>
      <c r="W135" s="377"/>
      <c r="X135" s="377"/>
      <c r="Y135" s="377"/>
      <c r="Z135" s="377"/>
      <c r="AA135" s="377"/>
      <c r="AB135" s="377"/>
      <c r="AC135" s="377"/>
      <c r="AD135" s="377"/>
      <c r="AE135" s="11"/>
      <c r="AF135" s="11"/>
      <c r="AG135" s="95"/>
      <c r="AH135" s="86"/>
      <c r="AI135" s="86"/>
      <c r="AJ135" s="86"/>
      <c r="AK135" s="86"/>
      <c r="AL135" s="682"/>
      <c r="AM135" s="86"/>
      <c r="AN135" s="86"/>
      <c r="AO135" s="86"/>
      <c r="AP135" s="682"/>
      <c r="AQ135" s="86"/>
      <c r="AR135" s="86"/>
      <c r="AS135" s="86"/>
      <c r="AT135" s="682"/>
      <c r="AU135" s="86"/>
      <c r="AV135" s="86"/>
      <c r="AW135" s="86"/>
      <c r="AX135" s="682"/>
      <c r="AY135" s="86"/>
      <c r="AZ135" s="86"/>
      <c r="BA135" s="86"/>
      <c r="BB135" s="682"/>
      <c r="BC135" s="86"/>
      <c r="BD135" s="86"/>
      <c r="BE135" s="86"/>
      <c r="BF135" s="682"/>
      <c r="BG135" s="86"/>
      <c r="BH135" s="86"/>
      <c r="BI135" s="86"/>
      <c r="BJ135" s="682"/>
      <c r="BK135" s="86"/>
      <c r="BL135" s="86"/>
      <c r="BM135" s="86"/>
      <c r="BN135" s="682"/>
      <c r="BO135" s="86"/>
      <c r="BP135" s="86"/>
      <c r="BQ135" s="86"/>
    </row>
    <row r="136" spans="1:101" outlineLevel="1">
      <c r="I136" s="566"/>
      <c r="J136" s="17" t="s">
        <v>91</v>
      </c>
      <c r="K136" s="28"/>
      <c r="L136" s="28"/>
      <c r="M136" s="28"/>
      <c r="N136" s="79">
        <f t="shared" ref="N136:AD136" si="152">IF(ISERROR(N120/N$119),"--",N120/N$119)</f>
        <v>0.99554642000685167</v>
      </c>
      <c r="O136" s="79">
        <f t="shared" si="152"/>
        <v>0.99801934055691488</v>
      </c>
      <c r="P136" s="79">
        <f t="shared" si="152"/>
        <v>0.98859631465989406</v>
      </c>
      <c r="Q136" s="79">
        <f t="shared" si="152"/>
        <v>0.97472313120465537</v>
      </c>
      <c r="R136" s="79">
        <f t="shared" si="152"/>
        <v>0.96651283530429766</v>
      </c>
      <c r="S136" s="79">
        <f t="shared" si="152"/>
        <v>0.94388793238378466</v>
      </c>
      <c r="T136" s="79">
        <f t="shared" si="152"/>
        <v>0.92516837942047692</v>
      </c>
      <c r="U136" s="79">
        <f t="shared" si="152"/>
        <v>0.92122684124442522</v>
      </c>
      <c r="V136" s="79">
        <f t="shared" si="152"/>
        <v>0.91580273143821678</v>
      </c>
      <c r="W136" s="79">
        <f t="shared" si="152"/>
        <v>0.90492365291588273</v>
      </c>
      <c r="X136" s="79">
        <f t="shared" si="152"/>
        <v>0.90012787158041196</v>
      </c>
      <c r="Y136" s="79">
        <f t="shared" si="152"/>
        <v>0.89320243032654412</v>
      </c>
      <c r="Z136" s="79">
        <f t="shared" si="152"/>
        <v>0.88512304991690938</v>
      </c>
      <c r="AA136" s="79">
        <f t="shared" si="152"/>
        <v>0.88100680658273889</v>
      </c>
      <c r="AB136" s="79">
        <f t="shared" si="152"/>
        <v>0.87692867100947081</v>
      </c>
      <c r="AC136" s="79">
        <f t="shared" si="152"/>
        <v>0.8728881164387976</v>
      </c>
      <c r="AD136" s="79">
        <f t="shared" si="152"/>
        <v>0.86888462577629422</v>
      </c>
      <c r="AE136" s="11"/>
      <c r="AF136" s="11"/>
      <c r="AG136" s="95"/>
      <c r="AH136" s="93" t="str">
        <f t="shared" ref="AH136:BQ136" si="153">IF(ISERROR(AH120/AH$119),"--",(AH120/AH$119))</f>
        <v>--</v>
      </c>
      <c r="AI136" s="93" t="str">
        <f t="shared" si="153"/>
        <v>--</v>
      </c>
      <c r="AJ136" s="93" t="str">
        <f t="shared" si="153"/>
        <v>--</v>
      </c>
      <c r="AK136" s="93" t="str">
        <f t="shared" si="153"/>
        <v>--</v>
      </c>
      <c r="AL136" s="674" t="str">
        <f t="shared" si="153"/>
        <v>--</v>
      </c>
      <c r="AM136" s="93" t="str">
        <f t="shared" si="153"/>
        <v>--</v>
      </c>
      <c r="AN136" s="93" t="str">
        <f t="shared" si="153"/>
        <v>--</v>
      </c>
      <c r="AO136" s="93" t="str">
        <f t="shared" si="153"/>
        <v>--</v>
      </c>
      <c r="AP136" s="674">
        <f t="shared" si="153"/>
        <v>0.98287153652392945</v>
      </c>
      <c r="AQ136" s="93">
        <f t="shared" si="153"/>
        <v>0.97456149348651144</v>
      </c>
      <c r="AR136" s="93">
        <f t="shared" si="153"/>
        <v>0.97589494513401687</v>
      </c>
      <c r="AS136" s="93">
        <f t="shared" si="153"/>
        <v>0.96866550023858755</v>
      </c>
      <c r="AT136" s="674">
        <f t="shared" si="153"/>
        <v>0.97063752276867032</v>
      </c>
      <c r="AU136" s="93">
        <f t="shared" si="153"/>
        <v>0.96803536962863934</v>
      </c>
      <c r="AV136" s="93">
        <f t="shared" si="153"/>
        <v>0.96796427511395333</v>
      </c>
      <c r="AW136" s="93">
        <f t="shared" si="153"/>
        <v>0.96104154243689133</v>
      </c>
      <c r="AX136" s="674">
        <f t="shared" si="153"/>
        <v>0.96133897175211869</v>
      </c>
      <c r="AY136" s="93">
        <f t="shared" si="153"/>
        <v>0.94427164717950152</v>
      </c>
      <c r="AZ136" s="93">
        <f t="shared" si="153"/>
        <v>0.94336368295563733</v>
      </c>
      <c r="BA136" s="93">
        <f t="shared" si="153"/>
        <v>0.93262048485647253</v>
      </c>
      <c r="BB136" s="674">
        <f t="shared" si="153"/>
        <v>0.94290321590204296</v>
      </c>
      <c r="BC136" s="93">
        <f t="shared" si="153"/>
        <v>0.9278829808481136</v>
      </c>
      <c r="BD136" s="93">
        <f t="shared" si="153"/>
        <v>0.9213609792757449</v>
      </c>
      <c r="BE136" s="93">
        <f t="shared" si="153"/>
        <v>0.9140614511808377</v>
      </c>
      <c r="BF136" s="674">
        <f t="shared" si="153"/>
        <v>0.93036699137021206</v>
      </c>
      <c r="BG136" s="93">
        <f t="shared" si="153"/>
        <v>0.92072921471561031</v>
      </c>
      <c r="BH136" s="93">
        <f t="shared" si="153"/>
        <v>0.91726894088740563</v>
      </c>
      <c r="BI136" s="93">
        <f t="shared" si="153"/>
        <v>0.91843934013882766</v>
      </c>
      <c r="BJ136" s="674">
        <f t="shared" si="153"/>
        <v>0.92830539773578968</v>
      </c>
      <c r="BK136" s="93">
        <f t="shared" si="153"/>
        <v>0.91613952386738584</v>
      </c>
      <c r="BL136" s="93">
        <f t="shared" si="153"/>
        <v>0.91307083834121883</v>
      </c>
      <c r="BM136" s="93">
        <f t="shared" si="153"/>
        <v>0.90905803453561895</v>
      </c>
      <c r="BN136" s="674">
        <f t="shared" si="153"/>
        <v>0.92341208032235966</v>
      </c>
      <c r="BO136" s="93">
        <f t="shared" si="153"/>
        <v>0.90704684706875294</v>
      </c>
      <c r="BP136" s="93">
        <f t="shared" si="153"/>
        <v>0.90257712037446713</v>
      </c>
      <c r="BQ136" s="93">
        <f t="shared" si="153"/>
        <v>0.8919862876949497</v>
      </c>
    </row>
    <row r="137" spans="1:101" s="382" customFormat="1" outlineLevel="1">
      <c r="H137" s="570"/>
      <c r="I137" s="570"/>
      <c r="J137" s="33" t="s">
        <v>92</v>
      </c>
      <c r="K137" s="28"/>
      <c r="L137" s="28"/>
      <c r="M137" s="28"/>
      <c r="N137" s="79">
        <f t="shared" ref="N137:AD137" si="154">IF(ISERROR(N121/N$119),"--",(N121/N$119))</f>
        <v>4.4535799931483388E-3</v>
      </c>
      <c r="O137" s="79">
        <f t="shared" si="154"/>
        <v>1.9806594430851684E-3</v>
      </c>
      <c r="P137" s="79">
        <f t="shared" si="154"/>
        <v>1.1403685340105966E-2</v>
      </c>
      <c r="Q137" s="79">
        <f t="shared" si="154"/>
        <v>2.5276868795344555E-2</v>
      </c>
      <c r="R137" s="79">
        <f t="shared" si="154"/>
        <v>3.3487164695702336E-2</v>
      </c>
      <c r="S137" s="79">
        <f t="shared" si="154"/>
        <v>5.6112067616215372E-2</v>
      </c>
      <c r="T137" s="79">
        <f t="shared" si="154"/>
        <v>7.483162057952307E-2</v>
      </c>
      <c r="U137" s="79">
        <f t="shared" si="154"/>
        <v>7.8773158755574793E-2</v>
      </c>
      <c r="V137" s="79">
        <f t="shared" si="154"/>
        <v>8.4197268561783306E-2</v>
      </c>
      <c r="W137" s="79">
        <f t="shared" si="154"/>
        <v>9.5076347084117288E-2</v>
      </c>
      <c r="X137" s="79">
        <f t="shared" si="154"/>
        <v>9.9872128419588063E-2</v>
      </c>
      <c r="Y137" s="79">
        <f t="shared" si="154"/>
        <v>0.10679756967345598</v>
      </c>
      <c r="Z137" s="79">
        <f t="shared" si="154"/>
        <v>0.11487695008309061</v>
      </c>
      <c r="AA137" s="79">
        <f t="shared" si="154"/>
        <v>0.1189931934172611</v>
      </c>
      <c r="AB137" s="79">
        <f t="shared" si="154"/>
        <v>0.12307132899052918</v>
      </c>
      <c r="AC137" s="79">
        <f t="shared" si="154"/>
        <v>0.12711188356120234</v>
      </c>
      <c r="AD137" s="79">
        <f t="shared" si="154"/>
        <v>0.13111537422370587</v>
      </c>
      <c r="AE137" s="28"/>
      <c r="AF137" s="28"/>
      <c r="AG137" s="96"/>
      <c r="AH137" s="93" t="str">
        <f t="shared" ref="AH137:BQ137" si="155">IF(ISERROR(AH121/AH$119),"--",AH121/AH$119)</f>
        <v>--</v>
      </c>
      <c r="AI137" s="93" t="str">
        <f t="shared" si="155"/>
        <v>--</v>
      </c>
      <c r="AJ137" s="93" t="str">
        <f t="shared" si="155"/>
        <v>--</v>
      </c>
      <c r="AK137" s="93" t="str">
        <f t="shared" si="155"/>
        <v>--</v>
      </c>
      <c r="AL137" s="674" t="str">
        <f t="shared" si="155"/>
        <v>--</v>
      </c>
      <c r="AM137" s="93" t="str">
        <f t="shared" si="155"/>
        <v>--</v>
      </c>
      <c r="AN137" s="93" t="str">
        <f t="shared" si="155"/>
        <v>--</v>
      </c>
      <c r="AO137" s="93" t="str">
        <f t="shared" si="155"/>
        <v>--</v>
      </c>
      <c r="AP137" s="674">
        <f t="shared" si="155"/>
        <v>1.712846347607053E-2</v>
      </c>
      <c r="AQ137" s="93">
        <f t="shared" si="155"/>
        <v>2.5438506513488564E-2</v>
      </c>
      <c r="AR137" s="93">
        <f t="shared" si="155"/>
        <v>2.4105054865983092E-2</v>
      </c>
      <c r="AS137" s="93">
        <f t="shared" si="155"/>
        <v>3.1334499761412442E-2</v>
      </c>
      <c r="AT137" s="674">
        <f t="shared" si="155"/>
        <v>2.9362477231329689E-2</v>
      </c>
      <c r="AU137" s="93">
        <f t="shared" si="155"/>
        <v>3.1964630371360707E-2</v>
      </c>
      <c r="AV137" s="93">
        <f t="shared" si="155"/>
        <v>3.203572488604662E-2</v>
      </c>
      <c r="AW137" s="93">
        <f t="shared" si="155"/>
        <v>3.8958457563108728E-2</v>
      </c>
      <c r="AX137" s="674">
        <f t="shared" si="155"/>
        <v>3.8661028247881403E-2</v>
      </c>
      <c r="AY137" s="93">
        <f t="shared" si="155"/>
        <v>5.5728352820498483E-2</v>
      </c>
      <c r="AZ137" s="93">
        <f t="shared" si="155"/>
        <v>5.6636317044362637E-2</v>
      </c>
      <c r="BA137" s="93">
        <f t="shared" si="155"/>
        <v>6.7379515143527455E-2</v>
      </c>
      <c r="BB137" s="674">
        <f t="shared" si="155"/>
        <v>5.7096784097956974E-2</v>
      </c>
      <c r="BC137" s="93">
        <f t="shared" si="155"/>
        <v>7.211701915188648E-2</v>
      </c>
      <c r="BD137" s="93">
        <f t="shared" si="155"/>
        <v>7.8639020724255076E-2</v>
      </c>
      <c r="BE137" s="93">
        <f t="shared" si="155"/>
        <v>8.5938548819162214E-2</v>
      </c>
      <c r="BF137" s="674">
        <f t="shared" si="155"/>
        <v>6.9633008629787913E-2</v>
      </c>
      <c r="BG137" s="651">
        <f t="shared" si="155"/>
        <v>7.9270785284389772E-2</v>
      </c>
      <c r="BH137" s="93">
        <f t="shared" si="155"/>
        <v>8.2731059112594416E-2</v>
      </c>
      <c r="BI137" s="93">
        <f t="shared" si="155"/>
        <v>8.1560659861172072E-2</v>
      </c>
      <c r="BJ137" s="674">
        <f t="shared" si="155"/>
        <v>7.16946022642104E-2</v>
      </c>
      <c r="BK137" s="651">
        <f t="shared" si="155"/>
        <v>8.3860476132614145E-2</v>
      </c>
      <c r="BL137" s="93">
        <f t="shared" si="155"/>
        <v>8.6929161658781215E-2</v>
      </c>
      <c r="BM137" s="93">
        <f t="shared" si="155"/>
        <v>9.0941965464381019E-2</v>
      </c>
      <c r="BN137" s="674">
        <f t="shared" si="155"/>
        <v>7.6587919677640448E-2</v>
      </c>
      <c r="BO137" s="93">
        <f t="shared" si="155"/>
        <v>9.2953152931247007E-2</v>
      </c>
      <c r="BP137" s="93">
        <f t="shared" si="155"/>
        <v>9.742287962553281E-2</v>
      </c>
      <c r="BQ137" s="93">
        <f t="shared" si="155"/>
        <v>0.10801371230505072</v>
      </c>
      <c r="CR137"/>
      <c r="CS137"/>
      <c r="CT137"/>
      <c r="CU137"/>
      <c r="CV137"/>
      <c r="CW137"/>
    </row>
    <row r="138" spans="1:101" outlineLevel="1">
      <c r="A138" s="289"/>
      <c r="B138" s="289"/>
      <c r="C138" s="289"/>
      <c r="D138" s="289"/>
      <c r="E138" s="289"/>
      <c r="F138" s="289"/>
      <c r="G138" s="289"/>
      <c r="H138" s="555"/>
      <c r="I138" s="555"/>
      <c r="J138" s="195" t="s">
        <v>619</v>
      </c>
      <c r="K138" s="11"/>
      <c r="L138" s="11"/>
      <c r="M138" s="11"/>
      <c r="N138" s="835"/>
      <c r="O138" s="835"/>
      <c r="P138" s="835"/>
      <c r="Q138" s="835"/>
      <c r="R138" s="835"/>
      <c r="S138" s="835"/>
      <c r="T138" s="835"/>
      <c r="U138" s="1294">
        <v>0.54</v>
      </c>
      <c r="V138" s="1295">
        <f t="shared" ref="V138:AD138" si="156">V122/V121</f>
        <v>0.47709382470201611</v>
      </c>
      <c r="W138" s="1295">
        <f t="shared" si="156"/>
        <v>0.44504787462380035</v>
      </c>
      <c r="X138" s="1295">
        <f t="shared" si="156"/>
        <v>0.43010490169373383</v>
      </c>
      <c r="Y138" s="1295">
        <f t="shared" si="156"/>
        <v>0.40731167118363754</v>
      </c>
      <c r="Z138" s="1295">
        <f t="shared" si="156"/>
        <v>0.39074574451683852</v>
      </c>
      <c r="AA138" s="1295">
        <f t="shared" si="156"/>
        <v>0.37547467243882382</v>
      </c>
      <c r="AB138" s="1295">
        <f t="shared" si="156"/>
        <v>0.36135234904746583</v>
      </c>
      <c r="AC138" s="1295">
        <f t="shared" si="156"/>
        <v>0.34825385294484296</v>
      </c>
      <c r="AD138" s="1295">
        <f t="shared" si="156"/>
        <v>0.33607174200931272</v>
      </c>
      <c r="AE138" s="86"/>
      <c r="AF138" s="79"/>
      <c r="AG138" s="95"/>
      <c r="AH138" s="86"/>
      <c r="AI138" s="86"/>
      <c r="AJ138" s="86"/>
      <c r="AK138" s="86"/>
      <c r="AL138" s="1717"/>
      <c r="AM138" s="221"/>
      <c r="AN138" s="221"/>
      <c r="AO138" s="221"/>
      <c r="AP138" s="948"/>
      <c r="AQ138" s="835"/>
      <c r="AR138" s="835"/>
      <c r="AS138" s="835"/>
      <c r="AT138" s="948"/>
      <c r="AU138" s="835"/>
      <c r="AV138" s="835"/>
      <c r="AW138" s="835"/>
      <c r="AX138" s="948"/>
      <c r="AY138" s="835"/>
      <c r="AZ138" s="835"/>
      <c r="BA138" s="835"/>
      <c r="BB138" s="948"/>
      <c r="BC138" s="835"/>
      <c r="BD138" s="835"/>
      <c r="BE138" s="835"/>
      <c r="BF138" s="1430">
        <f>$U138</f>
        <v>0.54</v>
      </c>
      <c r="BG138" s="1429">
        <f>$U138</f>
        <v>0.54</v>
      </c>
      <c r="BH138" s="1429">
        <f>$U138</f>
        <v>0.54</v>
      </c>
      <c r="BI138" s="1429">
        <f>$U138</f>
        <v>0.54</v>
      </c>
      <c r="BJ138" s="1430">
        <f>$V138</f>
        <v>0.47709382470201611</v>
      </c>
      <c r="BK138" s="1429">
        <f>$V138</f>
        <v>0.47709382470201611</v>
      </c>
      <c r="BL138" s="1429">
        <f>$V138</f>
        <v>0.47709382470201611</v>
      </c>
      <c r="BM138" s="1429">
        <f>$V138</f>
        <v>0.47709382470201611</v>
      </c>
      <c r="BN138" s="1308">
        <f>$W138</f>
        <v>0.44504787462380035</v>
      </c>
      <c r="BO138" s="1309">
        <f>$W138</f>
        <v>0.44504787462380035</v>
      </c>
      <c r="BP138" s="1309">
        <f>$W138</f>
        <v>0.44504787462380035</v>
      </c>
      <c r="BQ138" s="1309">
        <f>$W138</f>
        <v>0.44504787462380035</v>
      </c>
    </row>
    <row r="139" spans="1:101" outlineLevel="1">
      <c r="A139" s="289"/>
      <c r="B139" s="289"/>
      <c r="C139" s="289"/>
      <c r="D139" s="289"/>
      <c r="E139" s="289"/>
      <c r="F139" s="289"/>
      <c r="G139" s="289"/>
      <c r="H139" s="555"/>
      <c r="I139" s="555"/>
      <c r="J139" s="195" t="s">
        <v>620</v>
      </c>
      <c r="K139" s="11"/>
      <c r="L139" s="11"/>
      <c r="M139" s="11"/>
      <c r="N139" s="835"/>
      <c r="O139" s="835"/>
      <c r="P139" s="835"/>
      <c r="Q139" s="835"/>
      <c r="R139" s="835"/>
      <c r="S139" s="835"/>
      <c r="T139" s="835"/>
      <c r="U139" s="1294">
        <v>0.25</v>
      </c>
      <c r="V139" s="1294">
        <v>0.32</v>
      </c>
      <c r="W139" s="1294">
        <v>0.33</v>
      </c>
      <c r="X139" s="1294">
        <v>0.34</v>
      </c>
      <c r="Y139" s="1294">
        <f t="shared" ref="Y139:AD139" si="157">X139</f>
        <v>0.34</v>
      </c>
      <c r="Z139" s="1294">
        <f t="shared" si="157"/>
        <v>0.34</v>
      </c>
      <c r="AA139" s="1294">
        <f t="shared" si="157"/>
        <v>0.34</v>
      </c>
      <c r="AB139" s="1294">
        <f t="shared" si="157"/>
        <v>0.34</v>
      </c>
      <c r="AC139" s="1294">
        <f t="shared" si="157"/>
        <v>0.34</v>
      </c>
      <c r="AD139" s="1294">
        <f t="shared" si="157"/>
        <v>0.34</v>
      </c>
      <c r="AE139" s="86"/>
      <c r="AF139" s="79"/>
      <c r="AG139" s="95"/>
      <c r="AH139" s="86"/>
      <c r="AI139" s="86"/>
      <c r="AJ139" s="86"/>
      <c r="AK139" s="86"/>
      <c r="AL139" s="1717"/>
      <c r="AM139" s="221"/>
      <c r="AN139" s="221"/>
      <c r="AO139" s="221"/>
      <c r="AP139" s="948"/>
      <c r="AQ139" s="835"/>
      <c r="AR139" s="835"/>
      <c r="AS139" s="835"/>
      <c r="AT139" s="948"/>
      <c r="AU139" s="835"/>
      <c r="AV139" s="835"/>
      <c r="AW139" s="835"/>
      <c r="AX139" s="948"/>
      <c r="AY139" s="835"/>
      <c r="AZ139" s="835"/>
      <c r="BA139" s="835"/>
      <c r="BB139" s="948"/>
      <c r="BC139" s="835"/>
      <c r="BD139" s="835"/>
      <c r="BE139" s="835"/>
      <c r="BF139" s="1430">
        <f t="shared" ref="BF139:BI140" si="158">$U139</f>
        <v>0.25</v>
      </c>
      <c r="BG139" s="1429">
        <f t="shared" si="158"/>
        <v>0.25</v>
      </c>
      <c r="BH139" s="1429">
        <f t="shared" si="158"/>
        <v>0.25</v>
      </c>
      <c r="BI139" s="1429">
        <f t="shared" si="158"/>
        <v>0.25</v>
      </c>
      <c r="BJ139" s="1430">
        <f t="shared" ref="BJ139:BM140" si="159">$V139</f>
        <v>0.32</v>
      </c>
      <c r="BK139" s="1429">
        <f t="shared" si="159"/>
        <v>0.32</v>
      </c>
      <c r="BL139" s="1429">
        <f t="shared" si="159"/>
        <v>0.32</v>
      </c>
      <c r="BM139" s="1429">
        <f t="shared" si="159"/>
        <v>0.32</v>
      </c>
      <c r="BN139" s="1308">
        <f t="shared" ref="BN139:BQ140" si="160">$W139</f>
        <v>0.33</v>
      </c>
      <c r="BO139" s="1309">
        <f t="shared" si="160"/>
        <v>0.33</v>
      </c>
      <c r="BP139" s="1309">
        <f t="shared" si="160"/>
        <v>0.33</v>
      </c>
      <c r="BQ139" s="1309">
        <f t="shared" si="160"/>
        <v>0.33</v>
      </c>
    </row>
    <row r="140" spans="1:101" outlineLevel="1">
      <c r="A140" s="289"/>
      <c r="B140" s="289"/>
      <c r="C140" s="289"/>
      <c r="D140" s="289"/>
      <c r="E140" s="289"/>
      <c r="F140" s="289"/>
      <c r="G140" s="289"/>
      <c r="H140" s="555"/>
      <c r="I140" s="555"/>
      <c r="J140" s="195" t="s">
        <v>621</v>
      </c>
      <c r="K140" s="11"/>
      <c r="L140" s="11"/>
      <c r="M140" s="11"/>
      <c r="N140" s="835"/>
      <c r="O140" s="835"/>
      <c r="P140" s="835"/>
      <c r="Q140" s="835"/>
      <c r="R140" s="835"/>
      <c r="S140" s="835"/>
      <c r="T140" s="835"/>
      <c r="U140" s="93">
        <f t="shared" ref="U140:AD140" si="161">1-U139-U138</f>
        <v>0.20999999999999996</v>
      </c>
      <c r="V140" s="93">
        <f t="shared" si="161"/>
        <v>0.20290617529798383</v>
      </c>
      <c r="W140" s="93">
        <f t="shared" si="161"/>
        <v>0.22495212537619957</v>
      </c>
      <c r="X140" s="93">
        <f t="shared" si="161"/>
        <v>0.22989509830626609</v>
      </c>
      <c r="Y140" s="93">
        <f t="shared" si="161"/>
        <v>0.25268832881636238</v>
      </c>
      <c r="Z140" s="93">
        <f t="shared" si="161"/>
        <v>0.2692542554831614</v>
      </c>
      <c r="AA140" s="93">
        <f t="shared" si="161"/>
        <v>0.2845253275611761</v>
      </c>
      <c r="AB140" s="93">
        <f t="shared" si="161"/>
        <v>0.29864765095253409</v>
      </c>
      <c r="AC140" s="93">
        <f t="shared" si="161"/>
        <v>0.31174614705515696</v>
      </c>
      <c r="AD140" s="93">
        <f t="shared" si="161"/>
        <v>0.3239282579906872</v>
      </c>
      <c r="AE140" s="86"/>
      <c r="AF140" s="79"/>
      <c r="AG140" s="95"/>
      <c r="AH140" s="86"/>
      <c r="AI140" s="86"/>
      <c r="AJ140" s="86"/>
      <c r="AK140" s="86"/>
      <c r="AL140" s="1717"/>
      <c r="AM140" s="221"/>
      <c r="AN140" s="221"/>
      <c r="AO140" s="221"/>
      <c r="AP140" s="948"/>
      <c r="AQ140" s="835"/>
      <c r="AR140" s="835"/>
      <c r="AS140" s="835"/>
      <c r="AT140" s="948"/>
      <c r="AU140" s="835"/>
      <c r="AV140" s="835"/>
      <c r="AW140" s="835"/>
      <c r="AX140" s="948"/>
      <c r="AY140" s="835"/>
      <c r="AZ140" s="835"/>
      <c r="BA140" s="835"/>
      <c r="BB140" s="948"/>
      <c r="BC140" s="835"/>
      <c r="BD140" s="835"/>
      <c r="BE140" s="835"/>
      <c r="BF140" s="1430">
        <f t="shared" si="158"/>
        <v>0.20999999999999996</v>
      </c>
      <c r="BG140" s="1429">
        <f t="shared" si="158"/>
        <v>0.20999999999999996</v>
      </c>
      <c r="BH140" s="1429">
        <f t="shared" si="158"/>
        <v>0.20999999999999996</v>
      </c>
      <c r="BI140" s="1429">
        <f t="shared" si="158"/>
        <v>0.20999999999999996</v>
      </c>
      <c r="BJ140" s="1430">
        <f t="shared" si="159"/>
        <v>0.20290617529798383</v>
      </c>
      <c r="BK140" s="1429">
        <f t="shared" si="159"/>
        <v>0.20290617529798383</v>
      </c>
      <c r="BL140" s="1429">
        <f t="shared" si="159"/>
        <v>0.20290617529798383</v>
      </c>
      <c r="BM140" s="1429">
        <f t="shared" si="159"/>
        <v>0.20290617529798383</v>
      </c>
      <c r="BN140" s="1308">
        <f t="shared" si="160"/>
        <v>0.22495212537619957</v>
      </c>
      <c r="BO140" s="1309">
        <f t="shared" si="160"/>
        <v>0.22495212537619957</v>
      </c>
      <c r="BP140" s="1309">
        <f t="shared" si="160"/>
        <v>0.22495212537619957</v>
      </c>
      <c r="BQ140" s="1309">
        <f t="shared" si="160"/>
        <v>0.22495212537619957</v>
      </c>
    </row>
    <row r="141" spans="1:101" s="381" customFormat="1" outlineLevel="1">
      <c r="H141" s="579"/>
      <c r="I141" s="579"/>
      <c r="J141" s="229" t="s">
        <v>668</v>
      </c>
      <c r="K141" s="13"/>
      <c r="L141" s="13"/>
      <c r="M141" s="13"/>
      <c r="N141" s="364"/>
      <c r="O141" s="364"/>
      <c r="P141" s="364">
        <f t="shared" ref="P141:AD141" si="162">P119/O119-1</f>
        <v>1.461721892112315</v>
      </c>
      <c r="Q141" s="364">
        <f t="shared" si="162"/>
        <v>0.95847419648076371</v>
      </c>
      <c r="R141" s="364">
        <f t="shared" si="162"/>
        <v>0.67566764082066544</v>
      </c>
      <c r="S141" s="364">
        <f t="shared" si="162"/>
        <v>0.65852321892125754</v>
      </c>
      <c r="T141" s="364">
        <f t="shared" si="162"/>
        <v>0.57638128032555946</v>
      </c>
      <c r="U141" s="364">
        <f t="shared" si="162"/>
        <v>0.42475713647420954</v>
      </c>
      <c r="V141" s="364">
        <f t="shared" si="162"/>
        <v>0.4028101295014781</v>
      </c>
      <c r="W141" s="364">
        <f t="shared" si="162"/>
        <v>0.28078068461974204</v>
      </c>
      <c r="X141" s="364">
        <f t="shared" si="162"/>
        <v>0.24282139050910034</v>
      </c>
      <c r="Y141" s="364">
        <f t="shared" si="162"/>
        <v>0.19920168906800106</v>
      </c>
      <c r="Z141" s="364">
        <f t="shared" si="162"/>
        <v>0.12837626656668966</v>
      </c>
      <c r="AA141" s="364">
        <f t="shared" si="162"/>
        <v>8.1429160151539781E-2</v>
      </c>
      <c r="AB141" s="364">
        <f t="shared" si="162"/>
        <v>8.1405772163900769E-2</v>
      </c>
      <c r="AC141" s="364">
        <f t="shared" si="162"/>
        <v>8.1382600699865693E-2</v>
      </c>
      <c r="AD141" s="364">
        <f t="shared" si="162"/>
        <v>8.1359642766458906E-2</v>
      </c>
      <c r="AE141" s="19"/>
      <c r="AF141" s="19"/>
      <c r="AG141" s="101"/>
      <c r="AH141" s="453"/>
      <c r="AI141" s="453"/>
      <c r="AJ141" s="453"/>
      <c r="AK141" s="453"/>
      <c r="AL141" s="671"/>
      <c r="AM141" s="453"/>
      <c r="AN141" s="453"/>
      <c r="AO141" s="453"/>
      <c r="AP141" s="671"/>
      <c r="AQ141" s="453"/>
      <c r="AR141" s="453"/>
      <c r="AS141" s="453"/>
      <c r="AT141" s="671">
        <f t="shared" ref="AT141:BC143" si="163">AT119/AP119-1</f>
        <v>0.72858942065491195</v>
      </c>
      <c r="AU141" s="453">
        <f t="shared" si="163"/>
        <v>0.79025192327418181</v>
      </c>
      <c r="AV141" s="453">
        <f t="shared" si="163"/>
        <v>0.62246069436949081</v>
      </c>
      <c r="AW141" s="453">
        <f t="shared" si="163"/>
        <v>0.60044536344838551</v>
      </c>
      <c r="AX141" s="672">
        <f t="shared" si="163"/>
        <v>0.65081355191256818</v>
      </c>
      <c r="AY141" s="364">
        <f t="shared" si="163"/>
        <v>0.63940742900170688</v>
      </c>
      <c r="AZ141" s="453">
        <f t="shared" si="163"/>
        <v>0.60833628350178226</v>
      </c>
      <c r="BA141" s="453">
        <f t="shared" si="163"/>
        <v>0.72530550586364551</v>
      </c>
      <c r="BB141" s="671">
        <f t="shared" si="163"/>
        <v>0.61715594576186494</v>
      </c>
      <c r="BC141" s="453">
        <f t="shared" si="163"/>
        <v>0.60517693973162401</v>
      </c>
      <c r="BD141" s="453">
        <f t="shared" ref="BD141:BM143" si="164">BD119/AZ119-1</f>
        <v>0.52041036256614204</v>
      </c>
      <c r="BE141" s="453">
        <f t="shared" si="164"/>
        <v>0.57279572309347038</v>
      </c>
      <c r="BF141" s="671">
        <f t="shared" si="164"/>
        <v>0.46854024534276539</v>
      </c>
      <c r="BG141" s="453">
        <f t="shared" si="164"/>
        <v>0.41299347399153818</v>
      </c>
      <c r="BH141" s="453">
        <f t="shared" si="164"/>
        <v>0.36416958455140125</v>
      </c>
      <c r="BI141" s="453">
        <f t="shared" si="164"/>
        <v>0.45421536361744042</v>
      </c>
      <c r="BJ141" s="671">
        <f t="shared" si="164"/>
        <v>0.39789556821670846</v>
      </c>
      <c r="BK141" s="453">
        <f t="shared" si="164"/>
        <v>0.4361537259040047</v>
      </c>
      <c r="BL141" s="453">
        <f t="shared" si="164"/>
        <v>0.39174129572334104</v>
      </c>
      <c r="BM141" s="453">
        <f t="shared" si="164"/>
        <v>0.38727829177794781</v>
      </c>
      <c r="BN141" s="671">
        <f t="shared" ref="BN141:BQ143" si="165">BN119/BJ119-1</f>
        <v>0.3106365402136142</v>
      </c>
      <c r="BO141" s="453">
        <f t="shared" si="165"/>
        <v>0.29155117918620199</v>
      </c>
      <c r="BP141" s="453">
        <f t="shared" si="165"/>
        <v>0.23212390428526208</v>
      </c>
      <c r="BQ141" s="453">
        <f t="shared" si="165"/>
        <v>0.28827204832690345</v>
      </c>
      <c r="BR141" s="580"/>
      <c r="CR141"/>
      <c r="CS141"/>
      <c r="CT141"/>
      <c r="CU141"/>
      <c r="CV141"/>
      <c r="CW141"/>
    </row>
    <row r="142" spans="1:101" outlineLevel="1">
      <c r="J142" s="17" t="s">
        <v>435</v>
      </c>
      <c r="K142" s="28"/>
      <c r="L142" s="28"/>
      <c r="M142" s="28"/>
      <c r="N142" s="79"/>
      <c r="O142" s="79"/>
      <c r="P142" s="79">
        <f t="shared" ref="P142:AD142" si="166">P120/O120-1</f>
        <v>1.438478986691571</v>
      </c>
      <c r="Q142" s="79">
        <f t="shared" si="166"/>
        <v>0.93099050934050176</v>
      </c>
      <c r="R142" s="79">
        <f t="shared" si="166"/>
        <v>0.66155314335840765</v>
      </c>
      <c r="S142" s="79">
        <f t="shared" si="166"/>
        <v>0.61969918529350321</v>
      </c>
      <c r="T142" s="79">
        <f t="shared" si="166"/>
        <v>0.54511787303429782</v>
      </c>
      <c r="U142" s="79">
        <f t="shared" si="166"/>
        <v>0.41868717691881163</v>
      </c>
      <c r="V142" s="79">
        <f t="shared" si="166"/>
        <v>0.39455049589223701</v>
      </c>
      <c r="W142" s="79">
        <f t="shared" si="166"/>
        <v>0.26556593021953967</v>
      </c>
      <c r="X142" s="79">
        <f t="shared" si="166"/>
        <v>0.23623486842105246</v>
      </c>
      <c r="Y142" s="79">
        <f t="shared" si="166"/>
        <v>0.18997522123893806</v>
      </c>
      <c r="Z142" s="79">
        <f t="shared" si="166"/>
        <v>0.11816964285714304</v>
      </c>
      <c r="AA142" s="79">
        <f t="shared" si="166"/>
        <v>7.6400000000000023E-2</v>
      </c>
      <c r="AB142" s="79">
        <f t="shared" si="166"/>
        <v>7.6400000000000023E-2</v>
      </c>
      <c r="AC142" s="79">
        <f t="shared" si="166"/>
        <v>7.6399999999999801E-2</v>
      </c>
      <c r="AD142" s="79">
        <f t="shared" si="166"/>
        <v>7.6400000000000023E-2</v>
      </c>
      <c r="AE142" s="11"/>
      <c r="AF142" s="11"/>
      <c r="AG142" s="95"/>
      <c r="AH142" s="93"/>
      <c r="AI142" s="93"/>
      <c r="AJ142" s="93"/>
      <c r="AK142" s="93"/>
      <c r="AL142" s="674"/>
      <c r="AM142" s="93"/>
      <c r="AN142" s="93"/>
      <c r="AO142" s="93"/>
      <c r="AP142" s="674"/>
      <c r="AQ142" s="93"/>
      <c r="AR142" s="93"/>
      <c r="AS142" s="93"/>
      <c r="AT142" s="674">
        <f t="shared" si="163"/>
        <v>0.70707329574577149</v>
      </c>
      <c r="AU142" s="93">
        <f t="shared" si="163"/>
        <v>0.77826355120513613</v>
      </c>
      <c r="AV142" s="93">
        <f t="shared" si="163"/>
        <v>0.60927566820276491</v>
      </c>
      <c r="AW142" s="93">
        <f t="shared" si="163"/>
        <v>0.58784893267651883</v>
      </c>
      <c r="AX142" s="673">
        <f t="shared" si="163"/>
        <v>0.63499902417054477</v>
      </c>
      <c r="AY142" s="79">
        <f t="shared" si="163"/>
        <v>0.59916259462256982</v>
      </c>
      <c r="AZ142" s="93">
        <f t="shared" si="163"/>
        <v>0.56746078222443264</v>
      </c>
      <c r="BA142" s="93">
        <f t="shared" si="163"/>
        <v>0.67428273009307138</v>
      </c>
      <c r="BB142" s="674">
        <f t="shared" si="163"/>
        <v>0.58614347974977088</v>
      </c>
      <c r="BC142" s="93">
        <f t="shared" si="163"/>
        <v>0.5773176797965438</v>
      </c>
      <c r="BD142" s="93">
        <f t="shared" si="164"/>
        <v>0.48494881228198317</v>
      </c>
      <c r="BE142" s="93">
        <f t="shared" si="164"/>
        <v>0.54149728041099143</v>
      </c>
      <c r="BF142" s="674">
        <f t="shared" si="164"/>
        <v>0.44901549461632428</v>
      </c>
      <c r="BG142" s="93">
        <f t="shared" si="164"/>
        <v>0.40209961661046023</v>
      </c>
      <c r="BH142" s="93">
        <f t="shared" si="164"/>
        <v>0.35811090132761514</v>
      </c>
      <c r="BI142" s="93">
        <f t="shared" si="164"/>
        <v>0.46118031479735921</v>
      </c>
      <c r="BJ142" s="674">
        <f t="shared" si="164"/>
        <v>0.39479798131631916</v>
      </c>
      <c r="BK142" s="93">
        <f t="shared" si="164"/>
        <v>0.42899472463948962</v>
      </c>
      <c r="BL142" s="93">
        <f t="shared" si="164"/>
        <v>0.38537165600616397</v>
      </c>
      <c r="BM142" s="93">
        <f t="shared" si="164"/>
        <v>0.37310807819596103</v>
      </c>
      <c r="BN142" s="674">
        <f t="shared" si="165"/>
        <v>0.30372786487837677</v>
      </c>
      <c r="BO142" s="93">
        <f t="shared" si="165"/>
        <v>0.27873254497679811</v>
      </c>
      <c r="BP142" s="93">
        <f t="shared" si="165"/>
        <v>0.21796338112678337</v>
      </c>
      <c r="BQ142" s="93">
        <f t="shared" si="165"/>
        <v>0.26407881375285092</v>
      </c>
    </row>
    <row r="143" spans="1:101" s="382" customFormat="1" outlineLevel="1">
      <c r="H143" s="570"/>
      <c r="I143" s="570"/>
      <c r="J143" s="33" t="s">
        <v>436</v>
      </c>
      <c r="K143" s="28"/>
      <c r="L143" s="28"/>
      <c r="M143" s="28"/>
      <c r="N143" s="79"/>
      <c r="O143" s="79"/>
      <c r="P143" s="79">
        <f t="shared" ref="P143:AD143" si="167">P121/O121-1</f>
        <v>13.173411764705882</v>
      </c>
      <c r="Q143" s="79">
        <f t="shared" si="167"/>
        <v>3.3410611418231317</v>
      </c>
      <c r="R143" s="79">
        <f t="shared" si="167"/>
        <v>1.2199489469105234</v>
      </c>
      <c r="S143" s="79">
        <f t="shared" si="167"/>
        <v>1.7790697674418605</v>
      </c>
      <c r="T143" s="79">
        <f t="shared" si="167"/>
        <v>1.1022780102278009</v>
      </c>
      <c r="U143" s="79">
        <f t="shared" si="167"/>
        <v>0.49980207872622717</v>
      </c>
      <c r="V143" s="79">
        <f t="shared" si="167"/>
        <v>0.49940389697102416</v>
      </c>
      <c r="W143" s="79">
        <f t="shared" si="167"/>
        <v>0.44626958795206795</v>
      </c>
      <c r="X143" s="79">
        <f t="shared" si="167"/>
        <v>0.30551100586268665</v>
      </c>
      <c r="Y143" s="79">
        <f t="shared" si="167"/>
        <v>0.28235803088829559</v>
      </c>
      <c r="Z143" s="79">
        <f t="shared" si="167"/>
        <v>0.21373945536087691</v>
      </c>
      <c r="AA143" s="79">
        <f t="shared" si="167"/>
        <v>0.12017867055055054</v>
      </c>
      <c r="AB143" s="79">
        <f t="shared" si="167"/>
        <v>0.11846771849838178</v>
      </c>
      <c r="AC143" s="79">
        <f t="shared" si="167"/>
        <v>0.11688547083008527</v>
      </c>
      <c r="AD143" s="79">
        <f t="shared" si="167"/>
        <v>0.11541793150654511</v>
      </c>
      <c r="AE143" s="28"/>
      <c r="AF143" s="28"/>
      <c r="AG143" s="96"/>
      <c r="AH143" s="93"/>
      <c r="AI143" s="93"/>
      <c r="AJ143" s="93"/>
      <c r="AK143" s="93"/>
      <c r="AL143" s="674"/>
      <c r="AM143" s="93"/>
      <c r="AN143" s="93"/>
      <c r="AO143" s="93"/>
      <c r="AP143" s="674"/>
      <c r="AQ143" s="93"/>
      <c r="AR143" s="93"/>
      <c r="AS143" s="93"/>
      <c r="AT143" s="674">
        <f t="shared" si="163"/>
        <v>1.9632352941176472</v>
      </c>
      <c r="AU143" s="93">
        <f t="shared" si="163"/>
        <v>1.2495322580645163</v>
      </c>
      <c r="AV143" s="93">
        <f t="shared" si="163"/>
        <v>1.1562574626865669</v>
      </c>
      <c r="AW143" s="93">
        <f t="shared" si="163"/>
        <v>0.98984771573604058</v>
      </c>
      <c r="AX143" s="673">
        <f t="shared" si="163"/>
        <v>1.1735955334987591</v>
      </c>
      <c r="AY143" s="79">
        <f t="shared" si="163"/>
        <v>1.8582052899885997</v>
      </c>
      <c r="AZ143" s="93">
        <f t="shared" si="163"/>
        <v>1.8433957399238943</v>
      </c>
      <c r="BA143" s="93">
        <f t="shared" si="163"/>
        <v>1.9839540816326533</v>
      </c>
      <c r="BB143" s="674">
        <f t="shared" si="163"/>
        <v>1.3883069869708518</v>
      </c>
      <c r="BC143" s="93">
        <f t="shared" si="163"/>
        <v>1.0772294576453372</v>
      </c>
      <c r="BD143" s="93">
        <f t="shared" si="164"/>
        <v>1.1110762184193246</v>
      </c>
      <c r="BE143" s="93">
        <f t="shared" si="164"/>
        <v>1.0060070444811107</v>
      </c>
      <c r="BF143" s="674">
        <f t="shared" si="164"/>
        <v>0.79097434632579655</v>
      </c>
      <c r="BG143" s="93">
        <f t="shared" si="164"/>
        <v>0.55315768181049685</v>
      </c>
      <c r="BH143" s="93">
        <f t="shared" si="164"/>
        <v>0.43515513672101913</v>
      </c>
      <c r="BI143" s="93">
        <f t="shared" si="164"/>
        <v>0.38013459927596882</v>
      </c>
      <c r="BJ143" s="674">
        <f t="shared" si="164"/>
        <v>0.43928244294367724</v>
      </c>
      <c r="BK143" s="93">
        <f t="shared" si="164"/>
        <v>0.51930543922155836</v>
      </c>
      <c r="BL143" s="93">
        <f t="shared" si="164"/>
        <v>0.46236377704873788</v>
      </c>
      <c r="BM143" s="93">
        <f t="shared" si="164"/>
        <v>0.54684641731811778</v>
      </c>
      <c r="BN143" s="674">
        <f t="shared" si="165"/>
        <v>0.40009042380265125</v>
      </c>
      <c r="BO143" s="93">
        <f t="shared" si="165"/>
        <v>0.43158922789298826</v>
      </c>
      <c r="BP143" s="93">
        <f t="shared" si="165"/>
        <v>0.38086065159698856</v>
      </c>
      <c r="BQ143" s="93">
        <f t="shared" si="165"/>
        <v>0.53010819249471197</v>
      </c>
      <c r="CR143"/>
      <c r="CS143"/>
      <c r="CT143"/>
      <c r="CU143"/>
      <c r="CV143"/>
      <c r="CW143"/>
    </row>
    <row r="144" spans="1:101" outlineLevel="1">
      <c r="A144" s="289"/>
      <c r="B144" s="289"/>
      <c r="C144" s="289"/>
      <c r="D144" s="289"/>
      <c r="E144" s="289"/>
      <c r="F144" s="289"/>
      <c r="G144" s="289"/>
      <c r="H144" s="555"/>
      <c r="I144" s="555"/>
      <c r="J144" s="195" t="s">
        <v>520</v>
      </c>
      <c r="K144" s="11"/>
      <c r="L144" s="11"/>
      <c r="M144" s="11"/>
      <c r="N144" s="835"/>
      <c r="O144" s="835"/>
      <c r="P144" s="835"/>
      <c r="Q144" s="835"/>
      <c r="R144" s="835"/>
      <c r="S144" s="835"/>
      <c r="T144" s="835"/>
      <c r="U144" s="835"/>
      <c r="V144" s="1293">
        <f t="shared" ref="V144:AD144" si="168">V81</f>
        <v>0.32473396292409928</v>
      </c>
      <c r="W144" s="1293">
        <f t="shared" si="168"/>
        <v>0.34912499999999946</v>
      </c>
      <c r="X144" s="1293">
        <f t="shared" si="168"/>
        <v>0.26167703488372096</v>
      </c>
      <c r="Y144" s="1293">
        <f t="shared" si="168"/>
        <v>0.21439999999999992</v>
      </c>
      <c r="Z144" s="1293">
        <f t="shared" si="168"/>
        <v>0.16437499999999994</v>
      </c>
      <c r="AA144" s="1293">
        <f t="shared" si="168"/>
        <v>7.6400000000000245E-2</v>
      </c>
      <c r="AB144" s="1293">
        <f t="shared" si="168"/>
        <v>7.6400000000000023E-2</v>
      </c>
      <c r="AC144" s="1293">
        <f t="shared" si="168"/>
        <v>7.6400000000000023E-2</v>
      </c>
      <c r="AD144" s="1293">
        <f t="shared" si="168"/>
        <v>7.6399999999999801E-2</v>
      </c>
      <c r="AE144" s="86"/>
      <c r="AF144" s="79"/>
      <c r="AG144" s="95"/>
      <c r="AH144" s="86"/>
      <c r="AI144" s="86"/>
      <c r="AJ144" s="86"/>
      <c r="AK144" s="86"/>
      <c r="AL144" s="1717"/>
      <c r="AM144" s="221"/>
      <c r="AN144" s="221"/>
      <c r="AO144" s="221"/>
      <c r="AP144" s="948"/>
      <c r="AQ144" s="835"/>
      <c r="AR144" s="835"/>
      <c r="AS144" s="835"/>
      <c r="AT144" s="948"/>
      <c r="AU144" s="835"/>
      <c r="AV144" s="835"/>
      <c r="AW144" s="835"/>
      <c r="AX144" s="948"/>
      <c r="AY144" s="835"/>
      <c r="AZ144" s="835"/>
      <c r="BA144" s="835"/>
      <c r="BB144" s="948"/>
      <c r="BC144" s="835"/>
      <c r="BD144" s="835"/>
      <c r="BE144" s="835"/>
      <c r="BF144" s="948"/>
      <c r="BG144" s="835"/>
      <c r="BH144" s="835"/>
      <c r="BI144" s="835"/>
      <c r="BJ144" s="948"/>
      <c r="BK144" s="835"/>
      <c r="BL144" s="835"/>
      <c r="BM144" s="949"/>
      <c r="BN144" s="874"/>
      <c r="BO144" s="875"/>
      <c r="BP144" s="875"/>
      <c r="BQ144" s="949"/>
    </row>
    <row r="145" spans="1:101" outlineLevel="1">
      <c r="A145" s="289"/>
      <c r="B145" s="289"/>
      <c r="C145" s="289"/>
      <c r="D145" s="289"/>
      <c r="E145" s="289"/>
      <c r="F145" s="289"/>
      <c r="G145" s="289"/>
      <c r="H145" s="555"/>
      <c r="I145" s="555"/>
      <c r="J145" s="195" t="s">
        <v>617</v>
      </c>
      <c r="K145" s="11"/>
      <c r="L145" s="11"/>
      <c r="M145" s="11"/>
      <c r="N145" s="835"/>
      <c r="O145" s="835"/>
      <c r="P145" s="835"/>
      <c r="Q145" s="835"/>
      <c r="R145" s="835"/>
      <c r="S145" s="835"/>
      <c r="T145" s="835"/>
      <c r="U145" s="835"/>
      <c r="V145" s="79">
        <f t="shared" ref="V145:AD145" si="169">V123/U123-1</f>
        <v>0.91923698812291077</v>
      </c>
      <c r="W145" s="79">
        <f t="shared" si="169"/>
        <v>0.49146551257557025</v>
      </c>
      <c r="X145" s="79">
        <f t="shared" si="169"/>
        <v>0.34507194543428299</v>
      </c>
      <c r="Y145" s="79">
        <f t="shared" si="169"/>
        <v>0.28235803088829559</v>
      </c>
      <c r="Z145" s="79">
        <f t="shared" si="169"/>
        <v>0.21373945536087691</v>
      </c>
      <c r="AA145" s="79">
        <f t="shared" si="169"/>
        <v>0.12017867055055054</v>
      </c>
      <c r="AB145" s="79">
        <f t="shared" si="169"/>
        <v>0.11846771849838178</v>
      </c>
      <c r="AC145" s="79">
        <f t="shared" si="169"/>
        <v>0.11688547083008527</v>
      </c>
      <c r="AD145" s="79">
        <f t="shared" si="169"/>
        <v>0.11541793150654489</v>
      </c>
      <c r="AE145" s="86"/>
      <c r="AF145" s="79"/>
      <c r="AG145" s="95"/>
      <c r="AH145" s="86"/>
      <c r="AI145" s="86"/>
      <c r="AJ145" s="86"/>
      <c r="AK145" s="86"/>
      <c r="AL145" s="1717"/>
      <c r="AM145" s="221"/>
      <c r="AN145" s="221"/>
      <c r="AO145" s="221"/>
      <c r="AP145" s="948"/>
      <c r="AQ145" s="835"/>
      <c r="AR145" s="835"/>
      <c r="AS145" s="835"/>
      <c r="AT145" s="948"/>
      <c r="AU145" s="835"/>
      <c r="AV145" s="835"/>
      <c r="AW145" s="835"/>
      <c r="AX145" s="948"/>
      <c r="AY145" s="835"/>
      <c r="AZ145" s="835"/>
      <c r="BA145" s="835"/>
      <c r="BB145" s="948"/>
      <c r="BC145" s="835"/>
      <c r="BD145" s="835"/>
      <c r="BE145" s="835"/>
      <c r="BF145" s="948"/>
      <c r="BG145" s="835"/>
      <c r="BH145" s="835"/>
      <c r="BI145" s="835"/>
      <c r="BJ145" s="948"/>
      <c r="BK145" s="835"/>
      <c r="BL145" s="835"/>
      <c r="BM145" s="949"/>
      <c r="BN145" s="874"/>
      <c r="BO145" s="875"/>
      <c r="BP145" s="875"/>
      <c r="BQ145" s="949"/>
    </row>
    <row r="146" spans="1:101" outlineLevel="1">
      <c r="A146" s="289"/>
      <c r="B146" s="289"/>
      <c r="C146" s="289"/>
      <c r="D146" s="289"/>
      <c r="E146" s="289"/>
      <c r="F146" s="289"/>
      <c r="G146" s="289"/>
      <c r="H146" s="555"/>
      <c r="I146" s="555"/>
      <c r="J146" s="195" t="s">
        <v>618</v>
      </c>
      <c r="K146" s="11"/>
      <c r="L146" s="11"/>
      <c r="M146" s="11"/>
      <c r="N146" s="835"/>
      <c r="O146" s="835"/>
      <c r="P146" s="835"/>
      <c r="Q146" s="835"/>
      <c r="R146" s="835"/>
      <c r="S146" s="835"/>
      <c r="T146" s="835"/>
      <c r="U146" s="835"/>
      <c r="V146" s="79">
        <f t="shared" ref="V146:AD146" si="170">V124/U124-1</f>
        <v>0.44875385695848924</v>
      </c>
      <c r="W146" s="79">
        <f t="shared" si="170"/>
        <v>0.60340816241293993</v>
      </c>
      <c r="X146" s="79">
        <f t="shared" si="170"/>
        <v>0.33419757884389889</v>
      </c>
      <c r="Y146" s="79">
        <f t="shared" si="170"/>
        <v>0.4094989852185662</v>
      </c>
      <c r="Z146" s="79">
        <f t="shared" si="170"/>
        <v>0.29331067617781126</v>
      </c>
      <c r="AA146" s="79">
        <f t="shared" si="170"/>
        <v>0.18371092257581845</v>
      </c>
      <c r="AB146" s="79">
        <f t="shared" si="170"/>
        <v>0.17398250503362389</v>
      </c>
      <c r="AC146" s="79">
        <f t="shared" si="170"/>
        <v>0.16587135750986737</v>
      </c>
      <c r="AD146" s="79">
        <f t="shared" si="170"/>
        <v>0.15900514215678063</v>
      </c>
      <c r="AE146" s="86"/>
      <c r="AF146" s="79"/>
      <c r="AG146" s="95"/>
      <c r="AH146" s="86"/>
      <c r="AI146" s="86"/>
      <c r="AJ146" s="86"/>
      <c r="AK146" s="86"/>
      <c r="AL146" s="1717"/>
      <c r="AM146" s="221"/>
      <c r="AN146" s="221"/>
      <c r="AO146" s="221"/>
      <c r="AP146" s="948"/>
      <c r="AQ146" s="835"/>
      <c r="AR146" s="835"/>
      <c r="AS146" s="835"/>
      <c r="AT146" s="948"/>
      <c r="AU146" s="835"/>
      <c r="AV146" s="835"/>
      <c r="AW146" s="835"/>
      <c r="AX146" s="948"/>
      <c r="AY146" s="835"/>
      <c r="AZ146" s="835"/>
      <c r="BA146" s="835"/>
      <c r="BB146" s="948"/>
      <c r="BC146" s="835"/>
      <c r="BD146" s="835"/>
      <c r="BE146" s="835"/>
      <c r="BF146" s="948"/>
      <c r="BG146" s="835"/>
      <c r="BH146" s="835"/>
      <c r="BI146" s="835"/>
      <c r="BJ146" s="948"/>
      <c r="BK146" s="835"/>
      <c r="BL146" s="835"/>
      <c r="BM146" s="949"/>
      <c r="BN146" s="874"/>
      <c r="BO146" s="875"/>
      <c r="BP146" s="875"/>
      <c r="BQ146" s="949"/>
    </row>
    <row r="147" spans="1:101" s="382" customFormat="1" outlineLevel="1">
      <c r="H147" s="570"/>
      <c r="I147" s="570"/>
      <c r="J147" s="33"/>
      <c r="K147" s="28"/>
      <c r="L147" s="28"/>
      <c r="M147" s="28"/>
      <c r="N147" s="79"/>
      <c r="O147" s="79"/>
      <c r="P147" s="79"/>
      <c r="Q147" s="79"/>
      <c r="R147" s="79"/>
      <c r="S147" s="79"/>
      <c r="T147" s="79"/>
      <c r="U147" s="79"/>
      <c r="V147" s="79"/>
      <c r="W147" s="79"/>
      <c r="X147" s="79"/>
      <c r="Y147" s="79"/>
      <c r="Z147" s="79"/>
      <c r="AA147" s="79"/>
      <c r="AB147" s="79"/>
      <c r="AC147" s="79"/>
      <c r="AD147" s="79"/>
      <c r="AE147" s="28"/>
      <c r="AF147" s="28"/>
      <c r="AG147" s="96"/>
      <c r="AH147" s="93"/>
      <c r="AI147" s="93"/>
      <c r="AJ147" s="93"/>
      <c r="AK147" s="93"/>
      <c r="AL147" s="674"/>
      <c r="AM147" s="93"/>
      <c r="AN147" s="93"/>
      <c r="AO147" s="93"/>
      <c r="AP147" s="674"/>
      <c r="AQ147" s="93"/>
      <c r="AR147" s="93"/>
      <c r="AS147" s="93"/>
      <c r="AT147" s="674"/>
      <c r="AU147" s="93"/>
      <c r="AV147" s="93"/>
      <c r="AW147" s="93"/>
      <c r="AX147" s="673"/>
      <c r="AY147" s="79"/>
      <c r="AZ147" s="93"/>
      <c r="BA147" s="93"/>
      <c r="BB147" s="674"/>
      <c r="BC147" s="93"/>
      <c r="BD147" s="93"/>
      <c r="BE147" s="93"/>
      <c r="BF147" s="674"/>
      <c r="BG147" s="93"/>
      <c r="BH147" s="93"/>
      <c r="BI147" s="93"/>
      <c r="BJ147" s="674"/>
      <c r="BK147" s="93"/>
      <c r="BL147" s="93"/>
      <c r="BM147" s="93"/>
      <c r="BN147" s="674"/>
      <c r="BO147" s="93"/>
      <c r="BP147" s="93"/>
      <c r="BQ147" s="93"/>
      <c r="CR147"/>
      <c r="CS147"/>
      <c r="CT147"/>
      <c r="CU147"/>
      <c r="CV147"/>
      <c r="CW147"/>
    </row>
    <row r="148" spans="1:101" s="382" customFormat="1" outlineLevel="1">
      <c r="H148" s="570"/>
      <c r="I148" s="570"/>
      <c r="J148" s="33"/>
      <c r="K148" s="28"/>
      <c r="L148" s="28"/>
      <c r="M148" s="28"/>
      <c r="N148" s="79"/>
      <c r="O148" s="79"/>
      <c r="P148" s="79"/>
      <c r="Q148" s="79"/>
      <c r="R148" s="79"/>
      <c r="S148" s="79"/>
      <c r="T148" s="79"/>
      <c r="U148" s="79"/>
      <c r="V148" s="79"/>
      <c r="W148" s="79"/>
      <c r="X148" s="79"/>
      <c r="Y148" s="79"/>
      <c r="Z148" s="79"/>
      <c r="AA148" s="79"/>
      <c r="AB148" s="79"/>
      <c r="AC148" s="79"/>
      <c r="AD148" s="79"/>
      <c r="AE148" s="28"/>
      <c r="AF148" s="28"/>
      <c r="AG148" s="96"/>
      <c r="AH148" s="93"/>
      <c r="AI148" s="93"/>
      <c r="AJ148" s="93"/>
      <c r="AK148" s="93"/>
      <c r="AL148" s="674"/>
      <c r="AM148" s="93"/>
      <c r="AN148" s="93"/>
      <c r="AO148" s="93"/>
      <c r="AP148" s="674"/>
      <c r="AQ148" s="93"/>
      <c r="AR148" s="93"/>
      <c r="AS148" s="93"/>
      <c r="AT148" s="674"/>
      <c r="AU148" s="93"/>
      <c r="AV148" s="93"/>
      <c r="AW148" s="93"/>
      <c r="AX148" s="673"/>
      <c r="AY148" s="79"/>
      <c r="AZ148" s="93"/>
      <c r="BA148" s="93"/>
      <c r="BB148" s="674"/>
      <c r="BC148" s="93"/>
      <c r="BD148" s="93"/>
      <c r="BE148" s="93"/>
      <c r="BF148" s="674"/>
      <c r="BG148" s="93"/>
      <c r="BH148" s="93"/>
      <c r="BI148" s="93"/>
      <c r="BJ148" s="674"/>
      <c r="BK148" s="93"/>
      <c r="BL148" s="93"/>
      <c r="BM148" s="93"/>
      <c r="BN148" s="674"/>
      <c r="BO148" s="93"/>
      <c r="BP148" s="93"/>
      <c r="BQ148" s="93"/>
      <c r="CR148"/>
      <c r="CS148"/>
      <c r="CT148"/>
      <c r="CU148"/>
      <c r="CV148"/>
      <c r="CW148"/>
    </row>
    <row r="149" spans="1:101" outlineLevel="1">
      <c r="A149" s="289"/>
      <c r="B149" s="289"/>
      <c r="C149" s="289"/>
      <c r="D149" s="289"/>
      <c r="E149" s="289"/>
      <c r="F149" s="289"/>
      <c r="G149" s="289"/>
      <c r="H149" s="555"/>
      <c r="I149" s="555"/>
      <c r="J149" s="1823" t="s">
        <v>79</v>
      </c>
      <c r="K149" s="11"/>
      <c r="L149" s="11"/>
      <c r="M149" s="11"/>
      <c r="N149" s="11"/>
      <c r="O149" s="11"/>
      <c r="P149" s="63"/>
      <c r="Q149" s="63"/>
      <c r="R149" s="63"/>
      <c r="S149" s="174"/>
      <c r="T149" s="174"/>
      <c r="U149" s="174"/>
      <c r="V149" s="174"/>
      <c r="W149" s="63"/>
      <c r="X149" s="63"/>
      <c r="Y149" s="63"/>
      <c r="Z149" s="63"/>
      <c r="AA149" s="63"/>
      <c r="AB149" s="63"/>
      <c r="AC149" s="63"/>
      <c r="AD149" s="63"/>
      <c r="AE149" s="11"/>
      <c r="AF149" s="11"/>
      <c r="AG149" s="95"/>
      <c r="AH149" s="11"/>
      <c r="AI149" s="11"/>
      <c r="AJ149" s="11"/>
      <c r="AK149" s="11"/>
      <c r="AL149" s="1756"/>
      <c r="AM149" s="50"/>
      <c r="AN149" s="50"/>
      <c r="AO149" s="50"/>
      <c r="AP149" s="1756"/>
      <c r="AQ149" s="50"/>
      <c r="AR149" s="50"/>
      <c r="AS149" s="50"/>
      <c r="AT149" s="1712"/>
      <c r="AU149" s="939"/>
      <c r="AV149" s="939"/>
      <c r="AW149" s="609"/>
      <c r="AX149" s="1712"/>
      <c r="AY149" s="609"/>
      <c r="AZ149" s="350"/>
      <c r="BA149" s="350"/>
      <c r="BB149" s="740">
        <f t="shared" ref="BB149:BN149" si="171">BB119</f>
        <v>36640.575000000004</v>
      </c>
      <c r="BC149" s="350">
        <f t="shared" si="171"/>
        <v>45928.686999999998</v>
      </c>
      <c r="BD149" s="350">
        <f t="shared" si="171"/>
        <v>44110.15</v>
      </c>
      <c r="BE149" s="350">
        <f t="shared" si="171"/>
        <v>54607.543000000005</v>
      </c>
      <c r="BF149" s="740">
        <f t="shared" si="171"/>
        <v>53808.159</v>
      </c>
      <c r="BG149" s="350">
        <f t="shared" si="171"/>
        <v>64896.934999999998</v>
      </c>
      <c r="BH149" s="350">
        <f t="shared" si="171"/>
        <v>60173.724999999999</v>
      </c>
      <c r="BI149" s="350">
        <f t="shared" si="171"/>
        <v>79411.128000000026</v>
      </c>
      <c r="BJ149" s="740">
        <f t="shared" si="171"/>
        <v>75218.186999999991</v>
      </c>
      <c r="BK149" s="350">
        <f t="shared" si="171"/>
        <v>93201.975000000006</v>
      </c>
      <c r="BL149" s="350">
        <f t="shared" si="171"/>
        <v>83746.258000000002</v>
      </c>
      <c r="BM149" s="350">
        <f t="shared" si="171"/>
        <v>110165.334</v>
      </c>
      <c r="BN149" s="740">
        <f t="shared" si="171"/>
        <v>98583.704370820633</v>
      </c>
      <c r="BO149" s="350"/>
      <c r="BP149" s="176"/>
      <c r="BQ149" s="176"/>
    </row>
    <row r="150" spans="1:101" outlineLevel="1">
      <c r="A150" s="289"/>
      <c r="B150" s="289"/>
      <c r="C150" s="289"/>
      <c r="D150" s="289"/>
      <c r="E150" s="289"/>
      <c r="F150" s="289"/>
      <c r="G150" s="289"/>
      <c r="H150" s="555"/>
      <c r="I150" s="555"/>
      <c r="J150" s="17" t="s">
        <v>80</v>
      </c>
      <c r="K150" s="11"/>
      <c r="L150" s="11"/>
      <c r="M150" s="11"/>
      <c r="N150" s="11"/>
      <c r="O150" s="11"/>
      <c r="P150" s="63"/>
      <c r="Q150" s="63"/>
      <c r="R150" s="63"/>
      <c r="S150" s="174"/>
      <c r="T150" s="174"/>
      <c r="U150" s="174"/>
      <c r="V150" s="174"/>
      <c r="W150" s="63"/>
      <c r="X150" s="63"/>
      <c r="Y150" s="63"/>
      <c r="Z150" s="63"/>
      <c r="AA150" s="63"/>
      <c r="AB150" s="63"/>
      <c r="AC150" s="63"/>
      <c r="AD150" s="63"/>
      <c r="AE150" s="11"/>
      <c r="AF150" s="11"/>
      <c r="AG150" s="95"/>
      <c r="AH150" s="11"/>
      <c r="AI150" s="11"/>
      <c r="AJ150" s="11"/>
      <c r="AK150" s="11"/>
      <c r="AL150" s="1713"/>
      <c r="AM150" s="56"/>
      <c r="AN150" s="56"/>
      <c r="AO150" s="56"/>
      <c r="AP150" s="1713"/>
      <c r="AQ150" s="56"/>
      <c r="AR150" s="56"/>
      <c r="AS150" s="56"/>
      <c r="AT150" s="740"/>
      <c r="AU150" s="350"/>
      <c r="AV150" s="350"/>
      <c r="AW150" s="350"/>
      <c r="AX150" s="740"/>
      <c r="AY150" s="350"/>
      <c r="AZ150" s="1406">
        <v>29000</v>
      </c>
      <c r="BA150" s="1406">
        <v>33000</v>
      </c>
      <c r="BB150" s="1466">
        <v>35800</v>
      </c>
      <c r="BC150" s="1406">
        <v>44500</v>
      </c>
      <c r="BD150" s="1406">
        <v>44700</v>
      </c>
      <c r="BE150" s="1406">
        <v>52500</v>
      </c>
      <c r="BF150" s="1466">
        <v>55000</v>
      </c>
      <c r="BG150" s="1406">
        <v>66200</v>
      </c>
      <c r="BH150" s="1406">
        <v>59000</v>
      </c>
      <c r="BI150" s="1406">
        <v>75000</v>
      </c>
      <c r="BJ150" s="1466">
        <v>72300</v>
      </c>
      <c r="BK150" s="1406">
        <v>88000</v>
      </c>
      <c r="BL150" s="1406">
        <v>81800</v>
      </c>
      <c r="BM150" s="1406">
        <v>107000</v>
      </c>
      <c r="BN150" s="1466">
        <v>98000</v>
      </c>
      <c r="BO150" s="609"/>
      <c r="BP150" s="94"/>
      <c r="BQ150" s="94"/>
    </row>
    <row r="151" spans="1:101" outlineLevel="1">
      <c r="A151" s="289"/>
      <c r="B151" s="289"/>
      <c r="C151" s="289"/>
      <c r="D151" s="289"/>
      <c r="E151" s="289"/>
      <c r="F151" s="289"/>
      <c r="G151" s="289"/>
      <c r="H151" s="555"/>
      <c r="I151" s="555"/>
      <c r="J151" s="17" t="s">
        <v>81</v>
      </c>
      <c r="K151" s="11"/>
      <c r="L151" s="11"/>
      <c r="M151" s="11"/>
      <c r="N151" s="11"/>
      <c r="O151" s="11"/>
      <c r="P151" s="63"/>
      <c r="Q151" s="63"/>
      <c r="R151" s="63"/>
      <c r="S151" s="174"/>
      <c r="T151" s="174"/>
      <c r="U151" s="174"/>
      <c r="V151" s="174"/>
      <c r="W151" s="63"/>
      <c r="X151" s="63"/>
      <c r="Y151" s="63"/>
      <c r="Z151" s="63"/>
      <c r="AA151" s="63"/>
      <c r="AB151" s="63"/>
      <c r="AC151" s="63"/>
      <c r="AD151" s="63"/>
      <c r="AE151" s="11"/>
      <c r="AF151" s="11"/>
      <c r="AG151" s="95"/>
      <c r="AH151" s="11"/>
      <c r="AI151" s="11"/>
      <c r="AJ151" s="11"/>
      <c r="AK151" s="11"/>
      <c r="AL151" s="1713"/>
      <c r="AM151" s="56"/>
      <c r="AN151" s="56"/>
      <c r="AO151" s="56"/>
      <c r="AP151" s="1713"/>
      <c r="AQ151" s="56"/>
      <c r="AR151" s="56"/>
      <c r="AS151" s="56"/>
      <c r="AT151" s="1708"/>
      <c r="AU151" s="940"/>
      <c r="AV151" s="940"/>
      <c r="AW151" s="940"/>
      <c r="AX151" s="1708"/>
      <c r="AY151" s="940"/>
      <c r="AZ151" s="1406">
        <v>28000</v>
      </c>
      <c r="BA151" s="1406">
        <v>32000</v>
      </c>
      <c r="BB151" s="1466">
        <v>34800</v>
      </c>
      <c r="BC151" s="1406">
        <v>43500</v>
      </c>
      <c r="BD151" s="1406">
        <v>43200</v>
      </c>
      <c r="BE151" s="1406">
        <v>51000</v>
      </c>
      <c r="BF151" s="1466">
        <v>53000</v>
      </c>
      <c r="BG151" s="1406">
        <v>64200</v>
      </c>
      <c r="BH151" s="1406">
        <v>61000</v>
      </c>
      <c r="BI151" s="1406">
        <v>77500</v>
      </c>
      <c r="BJ151" s="1466">
        <v>74300</v>
      </c>
      <c r="BK151" s="1406">
        <v>90500</v>
      </c>
      <c r="BL151" s="1406">
        <v>84200</v>
      </c>
      <c r="BM151" s="1406">
        <v>110000</v>
      </c>
      <c r="BN151" s="1466">
        <v>100000</v>
      </c>
      <c r="BO151" s="609"/>
      <c r="BP151" s="94"/>
      <c r="BQ151" s="94"/>
    </row>
    <row r="152" spans="1:101" outlineLevel="1">
      <c r="A152" s="289"/>
      <c r="B152" s="289"/>
      <c r="C152" s="289"/>
      <c r="D152" s="289"/>
      <c r="E152" s="289"/>
      <c r="F152" s="289"/>
      <c r="G152" s="289"/>
      <c r="H152" s="555"/>
      <c r="I152" s="555"/>
      <c r="J152" s="33" t="s">
        <v>519</v>
      </c>
      <c r="K152" s="11"/>
      <c r="L152" s="11"/>
      <c r="M152" s="11"/>
      <c r="N152" s="11"/>
      <c r="O152" s="11"/>
      <c r="P152" s="63"/>
      <c r="Q152" s="63"/>
      <c r="R152" s="63"/>
      <c r="S152" s="174"/>
      <c r="T152" s="174"/>
      <c r="U152" s="174"/>
      <c r="V152" s="174"/>
      <c r="W152" s="63"/>
      <c r="X152" s="63"/>
      <c r="Y152" s="63"/>
      <c r="Z152" s="63"/>
      <c r="AA152" s="63"/>
      <c r="AB152" s="63"/>
      <c r="AC152" s="63"/>
      <c r="AD152" s="63"/>
      <c r="AE152" s="11"/>
      <c r="AF152" s="11"/>
      <c r="AG152" s="95"/>
      <c r="AH152" s="11"/>
      <c r="AI152" s="11"/>
      <c r="AJ152" s="11"/>
      <c r="AK152" s="11"/>
      <c r="AL152" s="1713"/>
      <c r="AM152" s="56"/>
      <c r="AN152" s="56"/>
      <c r="AO152" s="56"/>
      <c r="AP152" s="1713"/>
      <c r="AQ152" s="56"/>
      <c r="AR152" s="56"/>
      <c r="AS152" s="56"/>
      <c r="AT152" s="669"/>
      <c r="AU152" s="18"/>
      <c r="AV152" s="18"/>
      <c r="AW152" s="94"/>
      <c r="AX152" s="690"/>
      <c r="AY152" s="179"/>
      <c r="AZ152" s="610">
        <f t="shared" ref="AZ152:BN152" si="172">AZ119/AZ150-1</f>
        <v>4.1389655172419104E-4</v>
      </c>
      <c r="BA152" s="610">
        <f t="shared" si="172"/>
        <v>5.2122666666666762E-2</v>
      </c>
      <c r="BB152" s="759">
        <f t="shared" si="172"/>
        <v>2.3479748603352002E-2</v>
      </c>
      <c r="BC152" s="610">
        <f t="shared" si="172"/>
        <v>3.2105325842696653E-2</v>
      </c>
      <c r="BD152" s="610">
        <f t="shared" si="172"/>
        <v>-1.3195749440715887E-2</v>
      </c>
      <c r="BE152" s="610">
        <f t="shared" si="172"/>
        <v>4.0143676190476318E-2</v>
      </c>
      <c r="BF152" s="759">
        <f t="shared" si="172"/>
        <v>-2.1669836363636397E-2</v>
      </c>
      <c r="BG152" s="610">
        <f t="shared" si="172"/>
        <v>-1.9683761329305161E-2</v>
      </c>
      <c r="BH152" s="610">
        <f t="shared" si="172"/>
        <v>1.989364406779659E-2</v>
      </c>
      <c r="BI152" s="610">
        <f t="shared" si="172"/>
        <v>5.8815040000000263E-2</v>
      </c>
      <c r="BJ152" s="759">
        <f t="shared" si="172"/>
        <v>4.0362199170124402E-2</v>
      </c>
      <c r="BK152" s="610">
        <f t="shared" si="172"/>
        <v>5.9113352272727404E-2</v>
      </c>
      <c r="BL152" s="610">
        <f t="shared" si="172"/>
        <v>2.3792885085574644E-2</v>
      </c>
      <c r="BM152" s="610">
        <f t="shared" si="172"/>
        <v>2.9582560747663633E-2</v>
      </c>
      <c r="BN152" s="759">
        <f t="shared" si="172"/>
        <v>5.9561670491901086E-3</v>
      </c>
      <c r="BO152" s="610"/>
      <c r="BP152" s="94"/>
      <c r="BQ152" s="94"/>
    </row>
    <row r="153" spans="1:101" s="382" customFormat="1" outlineLevel="1">
      <c r="A153" s="289"/>
      <c r="B153" s="563"/>
      <c r="C153" s="563"/>
      <c r="D153" s="563"/>
      <c r="E153" s="563"/>
      <c r="F153" s="563"/>
      <c r="G153" s="563"/>
      <c r="H153" s="556"/>
      <c r="I153" s="556"/>
      <c r="J153" s="33" t="s">
        <v>519</v>
      </c>
      <c r="K153" s="172"/>
      <c r="L153" s="172"/>
      <c r="M153" s="172"/>
      <c r="N153" s="28"/>
      <c r="O153" s="28"/>
      <c r="P153" s="174"/>
      <c r="Q153" s="174"/>
      <c r="R153" s="174"/>
      <c r="S153" s="174"/>
      <c r="T153" s="174"/>
      <c r="U153" s="174"/>
      <c r="V153" s="174"/>
      <c r="W153" s="174"/>
      <c r="X153" s="174"/>
      <c r="Y153" s="174"/>
      <c r="Z153" s="174"/>
      <c r="AA153" s="174"/>
      <c r="AB153" s="174"/>
      <c r="AC153" s="174"/>
      <c r="AD153" s="174"/>
      <c r="AE153" s="28"/>
      <c r="AF153" s="28"/>
      <c r="AG153" s="96"/>
      <c r="AH153" s="172"/>
      <c r="AI153" s="172"/>
      <c r="AJ153" s="172"/>
      <c r="AK153" s="172"/>
      <c r="AL153" s="1757"/>
      <c r="AM153" s="175"/>
      <c r="AN153" s="175"/>
      <c r="AO153" s="175"/>
      <c r="AP153" s="1757"/>
      <c r="AQ153" s="175"/>
      <c r="AR153" s="175"/>
      <c r="AS153" s="172"/>
      <c r="AT153" s="740"/>
      <c r="AU153" s="350"/>
      <c r="AV153" s="350"/>
      <c r="AW153" s="350"/>
      <c r="AX153" s="690"/>
      <c r="AY153" s="179"/>
      <c r="AZ153" s="610">
        <f t="shared" ref="AZ153:BN153" si="173">AZ119/AZ151-1</f>
        <v>3.6142964285714285E-2</v>
      </c>
      <c r="BA153" s="610">
        <f t="shared" si="173"/>
        <v>8.5001500000000174E-2</v>
      </c>
      <c r="BB153" s="759">
        <f t="shared" si="173"/>
        <v>5.2890086206896614E-2</v>
      </c>
      <c r="BC153" s="610">
        <f t="shared" si="173"/>
        <v>5.5831885057471276E-2</v>
      </c>
      <c r="BD153" s="610">
        <f t="shared" si="173"/>
        <v>2.1068287037037114E-2</v>
      </c>
      <c r="BE153" s="610">
        <f t="shared" si="173"/>
        <v>7.0736137254902021E-2</v>
      </c>
      <c r="BF153" s="759">
        <f t="shared" si="173"/>
        <v>1.5248283018867825E-2</v>
      </c>
      <c r="BG153" s="610">
        <f t="shared" si="173"/>
        <v>1.0855685358255318E-2</v>
      </c>
      <c r="BH153" s="610">
        <f t="shared" si="173"/>
        <v>-1.3545491803278686E-2</v>
      </c>
      <c r="BI153" s="610">
        <f t="shared" si="173"/>
        <v>2.4659716129032505E-2</v>
      </c>
      <c r="BJ153" s="759">
        <f t="shared" si="173"/>
        <v>1.235783310901728E-2</v>
      </c>
      <c r="BK153" s="610">
        <f t="shared" si="173"/>
        <v>2.9856077348066279E-2</v>
      </c>
      <c r="BL153" s="610">
        <f t="shared" si="173"/>
        <v>-5.3888598574821645E-3</v>
      </c>
      <c r="BM153" s="610">
        <f t="shared" si="173"/>
        <v>1.5030363636363564E-3</v>
      </c>
      <c r="BN153" s="759">
        <f t="shared" si="173"/>
        <v>-1.4162956291793649E-2</v>
      </c>
      <c r="BO153" s="610"/>
      <c r="BP153" s="172"/>
      <c r="BQ153" s="172"/>
      <c r="CR153"/>
      <c r="CS153"/>
      <c r="CT153"/>
      <c r="CU153"/>
      <c r="CV153"/>
      <c r="CW153"/>
    </row>
    <row r="154" spans="1:101" s="382" customFormat="1" outlineLevel="1">
      <c r="A154" s="289"/>
      <c r="B154" s="563"/>
      <c r="C154" s="563"/>
      <c r="D154" s="563"/>
      <c r="E154" s="563"/>
      <c r="F154" s="563"/>
      <c r="G154" s="563"/>
      <c r="H154" s="556"/>
      <c r="I154" s="556"/>
      <c r="J154" s="316" t="s">
        <v>78</v>
      </c>
      <c r="K154" s="172"/>
      <c r="L154" s="172"/>
      <c r="M154" s="172"/>
      <c r="N154" s="28"/>
      <c r="O154" s="28"/>
      <c r="P154" s="174"/>
      <c r="Q154" s="174"/>
      <c r="R154" s="174"/>
      <c r="S154" s="174"/>
      <c r="T154" s="174"/>
      <c r="U154" s="174"/>
      <c r="V154" s="174"/>
      <c r="W154" s="174"/>
      <c r="X154" s="174"/>
      <c r="Y154" s="174"/>
      <c r="Z154" s="174"/>
      <c r="AA154" s="174"/>
      <c r="AB154" s="174"/>
      <c r="AC154" s="174"/>
      <c r="AD154" s="174"/>
      <c r="AE154" s="28"/>
      <c r="AF154" s="28"/>
      <c r="AG154" s="96"/>
      <c r="AH154" s="172"/>
      <c r="AI154" s="172"/>
      <c r="AJ154" s="172"/>
      <c r="AK154" s="172"/>
      <c r="AL154" s="1757"/>
      <c r="AM154" s="175"/>
      <c r="AN154" s="175"/>
      <c r="AO154" s="175"/>
      <c r="AP154" s="1757"/>
      <c r="AQ154" s="175"/>
      <c r="AR154" s="175"/>
      <c r="AS154" s="172"/>
      <c r="AT154" s="740"/>
      <c r="AU154" s="350"/>
      <c r="AV154" s="350"/>
      <c r="AW154" s="350"/>
      <c r="AX154" s="690"/>
      <c r="AY154" s="179"/>
      <c r="AZ154" s="610"/>
      <c r="BA154" s="610"/>
      <c r="BB154" s="759"/>
      <c r="BC154" s="610"/>
      <c r="BD154" s="610"/>
      <c r="BE154" s="172"/>
      <c r="BF154" s="667"/>
      <c r="BG154" s="172"/>
      <c r="BH154" s="172"/>
      <c r="BI154" s="172"/>
      <c r="BJ154" s="667"/>
      <c r="BK154" s="172"/>
      <c r="BL154" s="172"/>
      <c r="BM154" s="172"/>
      <c r="BN154" s="667"/>
      <c r="BO154" s="172"/>
      <c r="BP154" s="172"/>
      <c r="BQ154" s="172"/>
      <c r="CR154"/>
      <c r="CS154"/>
      <c r="CT154"/>
      <c r="CU154"/>
      <c r="CV154"/>
      <c r="CW154"/>
    </row>
    <row r="155" spans="1:101" s="382" customFormat="1" outlineLevel="1">
      <c r="A155" s="289"/>
      <c r="B155" s="563"/>
      <c r="C155" s="563"/>
      <c r="D155" s="563"/>
      <c r="E155" s="563"/>
      <c r="F155" s="563"/>
      <c r="G155" s="563"/>
      <c r="H155" s="556"/>
      <c r="I155" s="556"/>
      <c r="J155" s="33" t="s">
        <v>196</v>
      </c>
      <c r="K155" s="172"/>
      <c r="L155" s="172"/>
      <c r="M155" s="172"/>
      <c r="N155" s="28"/>
      <c r="O155" s="28"/>
      <c r="P155" s="174"/>
      <c r="Q155" s="174"/>
      <c r="R155" s="174"/>
      <c r="S155" s="174"/>
      <c r="T155" s="174"/>
      <c r="U155" s="174"/>
      <c r="V155" s="174"/>
      <c r="W155" s="174"/>
      <c r="X155" s="174"/>
      <c r="Y155" s="174"/>
      <c r="Z155" s="174"/>
      <c r="AA155" s="174"/>
      <c r="AB155" s="174"/>
      <c r="AC155" s="174"/>
      <c r="AD155" s="174"/>
      <c r="AE155" s="28"/>
      <c r="AF155" s="28"/>
      <c r="AG155" s="96"/>
      <c r="AH155" s="172"/>
      <c r="AI155" s="172"/>
      <c r="AJ155" s="172"/>
      <c r="AK155" s="172"/>
      <c r="AL155" s="1757"/>
      <c r="AM155" s="175"/>
      <c r="AN155" s="175"/>
      <c r="AO155" s="175"/>
      <c r="AP155" s="1757"/>
      <c r="AQ155" s="175"/>
      <c r="AR155" s="175"/>
      <c r="AS155" s="172"/>
      <c r="AT155" s="740"/>
      <c r="AU155" s="350"/>
      <c r="AV155" s="350"/>
      <c r="AW155" s="350"/>
      <c r="AX155" s="690"/>
      <c r="AY155" s="179"/>
      <c r="AZ155" s="610">
        <f t="shared" ref="AZ155:BN155" si="174">AZ150/AV119-1</f>
        <v>0.60767087407069686</v>
      </c>
      <c r="BA155" s="610">
        <f t="shared" si="174"/>
        <v>0.6398330351818724</v>
      </c>
      <c r="BB155" s="759">
        <f t="shared" si="174"/>
        <v>0.58005661369328276</v>
      </c>
      <c r="BC155" s="610">
        <f t="shared" si="174"/>
        <v>0.55524528315075217</v>
      </c>
      <c r="BD155" s="610">
        <f t="shared" si="174"/>
        <v>0.54074160270836868</v>
      </c>
      <c r="BE155" s="610">
        <f t="shared" si="174"/>
        <v>0.51209468374006839</v>
      </c>
      <c r="BF155" s="759">
        <f t="shared" si="174"/>
        <v>0.50106814644693731</v>
      </c>
      <c r="BG155" s="610">
        <f t="shared" si="174"/>
        <v>0.44136495780948404</v>
      </c>
      <c r="BH155" s="610">
        <f t="shared" si="174"/>
        <v>0.3375606294696345</v>
      </c>
      <c r="BI155" s="610">
        <f t="shared" si="174"/>
        <v>0.37343663310396491</v>
      </c>
      <c r="BJ155" s="759">
        <f t="shared" si="174"/>
        <v>0.34366239885664918</v>
      </c>
      <c r="BK155" s="610">
        <f t="shared" si="174"/>
        <v>0.355996242349504</v>
      </c>
      <c r="BL155" s="610">
        <f t="shared" si="174"/>
        <v>0.35939731170041411</v>
      </c>
      <c r="BM155" s="610">
        <f t="shared" si="174"/>
        <v>0.34741821070719414</v>
      </c>
      <c r="BN155" s="759">
        <f t="shared" si="174"/>
        <v>0.30287639078564887</v>
      </c>
      <c r="BO155" s="610"/>
      <c r="BP155" s="172"/>
      <c r="BQ155" s="172"/>
      <c r="CR155"/>
      <c r="CS155"/>
      <c r="CT155"/>
      <c r="CU155"/>
      <c r="CV155"/>
      <c r="CW155"/>
    </row>
    <row r="156" spans="1:101" s="382" customFormat="1" outlineLevel="1">
      <c r="A156" s="289"/>
      <c r="B156" s="563"/>
      <c r="C156" s="563"/>
      <c r="D156" s="563"/>
      <c r="E156" s="563"/>
      <c r="F156" s="563"/>
      <c r="G156" s="563"/>
      <c r="H156" s="556"/>
      <c r="I156" s="556"/>
      <c r="J156" s="33" t="s">
        <v>195</v>
      </c>
      <c r="K156" s="172"/>
      <c r="L156" s="172"/>
      <c r="M156" s="172"/>
      <c r="N156" s="28"/>
      <c r="O156" s="28"/>
      <c r="P156" s="174"/>
      <c r="Q156" s="174"/>
      <c r="R156" s="174"/>
      <c r="S156" s="174"/>
      <c r="T156" s="174"/>
      <c r="U156" s="174"/>
      <c r="V156" s="174"/>
      <c r="W156" s="174"/>
      <c r="X156" s="174"/>
      <c r="Y156" s="174"/>
      <c r="Z156" s="174"/>
      <c r="AA156" s="174"/>
      <c r="AB156" s="174"/>
      <c r="AC156" s="174"/>
      <c r="AD156" s="174"/>
      <c r="AE156" s="28"/>
      <c r="AF156" s="28"/>
      <c r="AG156" s="96"/>
      <c r="AH156" s="172"/>
      <c r="AI156" s="172"/>
      <c r="AJ156" s="172"/>
      <c r="AK156" s="172"/>
      <c r="AL156" s="1757"/>
      <c r="AM156" s="175"/>
      <c r="AN156" s="175"/>
      <c r="AO156" s="175"/>
      <c r="AP156" s="1757"/>
      <c r="AQ156" s="175"/>
      <c r="AR156" s="175"/>
      <c r="AS156" s="172"/>
      <c r="AT156" s="740"/>
      <c r="AU156" s="350"/>
      <c r="AV156" s="350"/>
      <c r="AW156" s="350"/>
      <c r="AX156" s="690"/>
      <c r="AY156" s="179"/>
      <c r="AZ156" s="610">
        <f t="shared" ref="AZ156:BN156" si="175">AZ151/AV119-1</f>
        <v>0.55223394737860398</v>
      </c>
      <c r="BA156" s="610">
        <f t="shared" si="175"/>
        <v>0.59014112502484606</v>
      </c>
      <c r="BB156" s="759">
        <f t="shared" si="175"/>
        <v>0.53592095409291174</v>
      </c>
      <c r="BC156" s="610">
        <f t="shared" si="175"/>
        <v>0.52029595094511749</v>
      </c>
      <c r="BD156" s="610">
        <f t="shared" si="175"/>
        <v>0.48903886436245014</v>
      </c>
      <c r="BE156" s="610">
        <f t="shared" si="175"/>
        <v>0.46889197849035225</v>
      </c>
      <c r="BF156" s="759">
        <f t="shared" si="175"/>
        <v>0.44648385021250325</v>
      </c>
      <c r="BG156" s="610">
        <f t="shared" si="175"/>
        <v>0.39781918869137289</v>
      </c>
      <c r="BH156" s="610">
        <f t="shared" si="175"/>
        <v>0.38290166775674073</v>
      </c>
      <c r="BI156" s="610">
        <f t="shared" si="175"/>
        <v>0.41921785420743052</v>
      </c>
      <c r="BJ156" s="759">
        <f t="shared" si="175"/>
        <v>0.38083148319569893</v>
      </c>
      <c r="BK156" s="610">
        <f t="shared" si="175"/>
        <v>0.39451886287079674</v>
      </c>
      <c r="BL156" s="610">
        <f t="shared" si="175"/>
        <v>0.39928182940311574</v>
      </c>
      <c r="BM156" s="610">
        <f t="shared" si="175"/>
        <v>0.38519629138122768</v>
      </c>
      <c r="BN156" s="759">
        <f t="shared" si="175"/>
        <v>0.32946570488331517</v>
      </c>
      <c r="BO156" s="610"/>
      <c r="BP156" s="172"/>
      <c r="BQ156" s="172"/>
      <c r="CR156"/>
      <c r="CS156"/>
      <c r="CT156"/>
      <c r="CU156"/>
      <c r="CV156"/>
      <c r="CW156"/>
    </row>
    <row r="157" spans="1:101" s="382" customFormat="1" outlineLevel="1">
      <c r="A157" s="289"/>
      <c r="B157" s="563"/>
      <c r="C157" s="563"/>
      <c r="D157" s="563"/>
      <c r="E157" s="563"/>
      <c r="F157" s="563"/>
      <c r="G157" s="563"/>
      <c r="H157" s="556"/>
      <c r="I157" s="556"/>
      <c r="J157" s="316" t="s">
        <v>109</v>
      </c>
      <c r="K157" s="172"/>
      <c r="L157" s="172"/>
      <c r="M157" s="172"/>
      <c r="N157" s="28"/>
      <c r="O157" s="28"/>
      <c r="P157" s="174"/>
      <c r="Q157" s="174"/>
      <c r="R157" s="174"/>
      <c r="S157" s="174"/>
      <c r="T157" s="174"/>
      <c r="U157" s="174"/>
      <c r="V157" s="174"/>
      <c r="W157" s="174"/>
      <c r="X157" s="174"/>
      <c r="Y157" s="174"/>
      <c r="Z157" s="174"/>
      <c r="AA157" s="174"/>
      <c r="AB157" s="174"/>
      <c r="AC157" s="174"/>
      <c r="AD157" s="174"/>
      <c r="AE157" s="28"/>
      <c r="AF157" s="28"/>
      <c r="AG157" s="96"/>
      <c r="AH157" s="172"/>
      <c r="AI157" s="172"/>
      <c r="AJ157" s="172"/>
      <c r="AK157" s="172"/>
      <c r="AL157" s="1757"/>
      <c r="AM157" s="175"/>
      <c r="AN157" s="175"/>
      <c r="AO157" s="175"/>
      <c r="AP157" s="1757"/>
      <c r="AQ157" s="175"/>
      <c r="AR157" s="175"/>
      <c r="AS157" s="172"/>
      <c r="AT157" s="740"/>
      <c r="AU157" s="350"/>
      <c r="AV157" s="350"/>
      <c r="AW157" s="350"/>
      <c r="AX157" s="690"/>
      <c r="AY157" s="179"/>
      <c r="AZ157" s="610"/>
      <c r="BA157" s="610"/>
      <c r="BB157" s="759"/>
      <c r="BC157" s="610"/>
      <c r="BD157" s="610"/>
      <c r="BE157" s="610"/>
      <c r="BF157" s="759"/>
      <c r="BG157" s="172"/>
      <c r="BH157" s="172"/>
      <c r="BI157" s="172"/>
      <c r="BJ157" s="667"/>
      <c r="BK157" s="172"/>
      <c r="BL157" s="172"/>
      <c r="BM157" s="172"/>
      <c r="BN157" s="667"/>
      <c r="BO157" s="172"/>
      <c r="BP157" s="172"/>
      <c r="BQ157" s="172"/>
      <c r="CR157"/>
      <c r="CS157"/>
      <c r="CT157"/>
      <c r="CU157"/>
      <c r="CV157"/>
      <c r="CW157"/>
    </row>
    <row r="158" spans="1:101" s="382" customFormat="1" outlineLevel="1">
      <c r="A158" s="289"/>
      <c r="B158" s="563"/>
      <c r="C158" s="563"/>
      <c r="D158" s="563"/>
      <c r="E158" s="563"/>
      <c r="F158" s="563"/>
      <c r="G158" s="563"/>
      <c r="H158" s="556"/>
      <c r="I158" s="556"/>
      <c r="J158" s="33" t="s">
        <v>196</v>
      </c>
      <c r="K158" s="172"/>
      <c r="L158" s="172"/>
      <c r="M158" s="172"/>
      <c r="N158" s="28"/>
      <c r="O158" s="28"/>
      <c r="P158" s="174"/>
      <c r="Q158" s="174"/>
      <c r="R158" s="174"/>
      <c r="S158" s="174"/>
      <c r="T158" s="174"/>
      <c r="U158" s="174"/>
      <c r="V158" s="174"/>
      <c r="W158" s="174"/>
      <c r="X158" s="174"/>
      <c r="Y158" s="174"/>
      <c r="Z158" s="174"/>
      <c r="AA158" s="174"/>
      <c r="AB158" s="174"/>
      <c r="AC158" s="174"/>
      <c r="AD158" s="174"/>
      <c r="AE158" s="28"/>
      <c r="AF158" s="28"/>
      <c r="AG158" s="96"/>
      <c r="AH158" s="172"/>
      <c r="AI158" s="172"/>
      <c r="AJ158" s="172"/>
      <c r="AK158" s="172"/>
      <c r="AL158" s="1757"/>
      <c r="AM158" s="175"/>
      <c r="AN158" s="175"/>
      <c r="AO158" s="175"/>
      <c r="AP158" s="1757"/>
      <c r="AQ158" s="175"/>
      <c r="AR158" s="175"/>
      <c r="AS158" s="172"/>
      <c r="AT158" s="740"/>
      <c r="AU158" s="350"/>
      <c r="AV158" s="350"/>
      <c r="AW158" s="350"/>
      <c r="AX158" s="690"/>
      <c r="AY158" s="179"/>
      <c r="AZ158" s="610">
        <f t="shared" ref="AZ158:BN158" si="176">AZ150/AY119-1</f>
        <v>1.3530633963411587E-2</v>
      </c>
      <c r="BA158" s="610">
        <f t="shared" si="176"/>
        <v>0.13746024361020504</v>
      </c>
      <c r="BB158" s="759">
        <f t="shared" si="176"/>
        <v>3.1104565293227582E-2</v>
      </c>
      <c r="BC158" s="610">
        <f t="shared" si="176"/>
        <v>0.21450059121615839</v>
      </c>
      <c r="BD158" s="610">
        <f t="shared" si="176"/>
        <v>-2.6752060210212369E-2</v>
      </c>
      <c r="BE158" s="610">
        <f t="shared" si="176"/>
        <v>0.1902022550365392</v>
      </c>
      <c r="BF158" s="759">
        <f t="shared" si="176"/>
        <v>7.186864276240934E-3</v>
      </c>
      <c r="BG158" s="610">
        <f t="shared" si="176"/>
        <v>0.23029669162254751</v>
      </c>
      <c r="BH158" s="610">
        <f t="shared" si="176"/>
        <v>-9.086615569749168E-2</v>
      </c>
      <c r="BI158" s="610">
        <f t="shared" si="176"/>
        <v>0.24639117820942613</v>
      </c>
      <c r="BJ158" s="759">
        <f t="shared" si="176"/>
        <v>-8.954825575579306E-2</v>
      </c>
      <c r="BK158" s="610">
        <f t="shared" si="176"/>
        <v>0.1699298202973174</v>
      </c>
      <c r="BL158" s="610">
        <f t="shared" si="176"/>
        <v>-0.12233619512891225</v>
      </c>
      <c r="BM158" s="610">
        <f t="shared" si="176"/>
        <v>0.27766902731343523</v>
      </c>
      <c r="BN158" s="759">
        <f t="shared" si="176"/>
        <v>-0.11042796820277423</v>
      </c>
      <c r="BO158" s="610"/>
      <c r="BP158" s="172"/>
      <c r="BQ158" s="172"/>
      <c r="CR158"/>
      <c r="CS158"/>
      <c r="CT158"/>
      <c r="CU158"/>
      <c r="CV158"/>
      <c r="CW158"/>
    </row>
    <row r="159" spans="1:101" outlineLevel="1">
      <c r="A159" s="289"/>
      <c r="B159" s="289"/>
      <c r="C159" s="289"/>
      <c r="D159" s="289"/>
      <c r="E159" s="289"/>
      <c r="F159" s="289"/>
      <c r="G159" s="289"/>
      <c r="H159" s="555"/>
      <c r="I159" s="555"/>
      <c r="J159" s="33" t="s">
        <v>195</v>
      </c>
      <c r="K159" s="11"/>
      <c r="L159" s="11"/>
      <c r="M159" s="11"/>
      <c r="N159" s="11"/>
      <c r="O159" s="11"/>
      <c r="P159" s="63"/>
      <c r="Q159" s="63"/>
      <c r="R159" s="63"/>
      <c r="S159" s="174"/>
      <c r="T159" s="174"/>
      <c r="U159" s="174"/>
      <c r="V159" s="174"/>
      <c r="W159" s="63"/>
      <c r="X159" s="63"/>
      <c r="Y159" s="63"/>
      <c r="Z159" s="63"/>
      <c r="AA159" s="63"/>
      <c r="AB159" s="63"/>
      <c r="AC159" s="63"/>
      <c r="AD159" s="63"/>
      <c r="AE159" s="11"/>
      <c r="AF159" s="11"/>
      <c r="AG159" s="95"/>
      <c r="AH159" s="11"/>
      <c r="AI159" s="11"/>
      <c r="AJ159" s="11"/>
      <c r="AK159" s="11"/>
      <c r="AL159" s="1713"/>
      <c r="AM159" s="56"/>
      <c r="AN159" s="56"/>
      <c r="AO159" s="56"/>
      <c r="AP159" s="1713"/>
      <c r="AQ159" s="56"/>
      <c r="AR159" s="56"/>
      <c r="AS159" s="56"/>
      <c r="AT159" s="1713"/>
      <c r="AU159" s="60"/>
      <c r="AV159" s="60"/>
      <c r="AW159" s="60"/>
      <c r="AX159" s="1713"/>
      <c r="AY159" s="60"/>
      <c r="AZ159" s="610">
        <f t="shared" ref="AZ159:BN159" si="177">AZ151/AY119-1</f>
        <v>-2.1418698242223311E-2</v>
      </c>
      <c r="BA159" s="610">
        <f t="shared" si="177"/>
        <v>0.10299175137959282</v>
      </c>
      <c r="BB159" s="759">
        <f t="shared" si="177"/>
        <v>2.3027617934168187E-3</v>
      </c>
      <c r="BC159" s="610">
        <f t="shared" si="177"/>
        <v>0.18720844309894136</v>
      </c>
      <c r="BD159" s="610">
        <f t="shared" si="177"/>
        <v>-5.9411387048795894E-2</v>
      </c>
      <c r="BE159" s="610">
        <f t="shared" si="177"/>
        <v>0.15619647632120959</v>
      </c>
      <c r="BF159" s="759">
        <f t="shared" si="177"/>
        <v>-2.9438112606531397E-2</v>
      </c>
      <c r="BG159" s="610">
        <f t="shared" si="177"/>
        <v>0.19312760728349776</v>
      </c>
      <c r="BH159" s="610">
        <f t="shared" si="177"/>
        <v>-6.0048059280457533E-2</v>
      </c>
      <c r="BI159" s="610">
        <f t="shared" si="177"/>
        <v>0.28793755081640704</v>
      </c>
      <c r="BJ159" s="759">
        <f t="shared" si="177"/>
        <v>-6.4362868639770809E-2</v>
      </c>
      <c r="BK159" s="610">
        <f t="shared" si="177"/>
        <v>0.2031664629194001</v>
      </c>
      <c r="BL159" s="610">
        <f t="shared" si="177"/>
        <v>-9.6585667846631029E-2</v>
      </c>
      <c r="BM159" s="610">
        <f t="shared" si="177"/>
        <v>0.31349152340633535</v>
      </c>
      <c r="BN159" s="759">
        <f t="shared" si="177"/>
        <v>-9.227343694160639E-2</v>
      </c>
      <c r="BO159" s="610"/>
      <c r="BP159" s="94"/>
      <c r="BQ159" s="94"/>
    </row>
    <row r="160" spans="1:101" outlineLevel="1">
      <c r="A160" s="568"/>
      <c r="J160" s="17"/>
      <c r="K160" s="11"/>
      <c r="L160" s="11"/>
      <c r="M160" s="11"/>
      <c r="N160" s="77"/>
      <c r="O160" s="77"/>
      <c r="P160" s="77"/>
      <c r="Q160" s="77"/>
      <c r="R160" s="77"/>
      <c r="S160" s="77"/>
      <c r="T160" s="77"/>
      <c r="U160" s="77"/>
      <c r="V160" s="77"/>
      <c r="W160" s="77"/>
      <c r="X160" s="77"/>
      <c r="Y160" s="77"/>
      <c r="Z160" s="77"/>
      <c r="AA160" s="77"/>
      <c r="AB160" s="77"/>
      <c r="AC160" s="77"/>
      <c r="AD160" s="77"/>
      <c r="AE160" s="77"/>
      <c r="AF160" s="77"/>
      <c r="AG160" s="99"/>
      <c r="AH160" s="11"/>
      <c r="AI160" s="11"/>
      <c r="AJ160" s="11"/>
      <c r="AK160" s="11"/>
      <c r="AL160" s="675"/>
      <c r="AM160" s="77"/>
      <c r="AN160" s="77"/>
      <c r="AO160" s="77"/>
      <c r="AP160" s="675"/>
      <c r="AQ160" s="77"/>
      <c r="AR160" s="77"/>
      <c r="AS160" s="77"/>
      <c r="AT160" s="675"/>
      <c r="AU160" s="77"/>
      <c r="AV160" s="77"/>
      <c r="AW160" s="77"/>
      <c r="AX160" s="675"/>
      <c r="AY160" s="77"/>
      <c r="AZ160" s="77"/>
      <c r="BA160" s="77"/>
      <c r="BB160" s="675"/>
      <c r="BC160" s="77"/>
      <c r="BD160" s="77"/>
      <c r="BE160" s="77"/>
      <c r="BF160" s="675"/>
      <c r="BG160" s="77"/>
      <c r="BH160" s="77"/>
      <c r="BI160" s="77"/>
      <c r="BJ160" s="675"/>
      <c r="BK160" s="77"/>
      <c r="BL160" s="77"/>
      <c r="BM160" s="77"/>
      <c r="BN160" s="675"/>
      <c r="BO160" s="77"/>
      <c r="BP160" s="77"/>
      <c r="BQ160" s="77"/>
    </row>
    <row r="161" spans="1:101" s="382" customFormat="1" outlineLevel="1">
      <c r="H161" s="570"/>
      <c r="I161" s="570"/>
      <c r="J161" s="870" t="s">
        <v>83</v>
      </c>
      <c r="K161" s="871"/>
      <c r="L161" s="871"/>
      <c r="M161" s="871"/>
      <c r="N161" s="1378">
        <f t="shared" ref="N161:AD161" si="178">SUM(N162:N163)</f>
        <v>140</v>
      </c>
      <c r="O161" s="1378">
        <f t="shared" si="178"/>
        <v>414</v>
      </c>
      <c r="P161" s="1378">
        <f t="shared" si="178"/>
        <v>1152.4310000000003</v>
      </c>
      <c r="Q161" s="1378">
        <f t="shared" si="178"/>
        <v>3482.1339999999973</v>
      </c>
      <c r="R161" s="1378">
        <f t="shared" si="178"/>
        <v>6844</v>
      </c>
      <c r="S161" s="1378">
        <f t="shared" si="178"/>
        <v>13371</v>
      </c>
      <c r="T161" s="1378">
        <f>SUM(T162:T163)</f>
        <v>24279</v>
      </c>
      <c r="U161" s="1378">
        <f>SUM(U162:U163)</f>
        <v>35355.310000000027</v>
      </c>
      <c r="V161" s="1378">
        <f>SUM(V162:V163)</f>
        <v>50814.922999999966</v>
      </c>
      <c r="W161" s="1382">
        <f t="shared" si="178"/>
        <v>66411.364479886019</v>
      </c>
      <c r="X161" s="1382">
        <f t="shared" si="178"/>
        <v>85369.658754962729</v>
      </c>
      <c r="Y161" s="1382">
        <f t="shared" si="178"/>
        <v>106707.95044845805</v>
      </c>
      <c r="Z161" s="1382">
        <f t="shared" si="178"/>
        <v>125852.47033754925</v>
      </c>
      <c r="AA161" s="1382">
        <f t="shared" si="178"/>
        <v>139819.90642742603</v>
      </c>
      <c r="AB161" s="1382">
        <f t="shared" si="178"/>
        <v>155186.9709165745</v>
      </c>
      <c r="AC161" s="1382">
        <f t="shared" si="178"/>
        <v>170831.44857276574</v>
      </c>
      <c r="AD161" s="1382">
        <f t="shared" si="178"/>
        <v>189262.03107356111</v>
      </c>
      <c r="AE161" s="1383"/>
      <c r="AF161" s="1910">
        <f>(Y161/V161)^(1/3)-1</f>
        <v>0.2805656129817431</v>
      </c>
      <c r="AG161" s="1384"/>
      <c r="AH161" s="1380">
        <f t="shared" ref="AH161:AZ161" si="179">SUM(AH162:AH163)</f>
        <v>0</v>
      </c>
      <c r="AI161" s="1380">
        <f t="shared" si="179"/>
        <v>0</v>
      </c>
      <c r="AJ161" s="1380">
        <f t="shared" si="179"/>
        <v>0</v>
      </c>
      <c r="AK161" s="1380">
        <f t="shared" si="179"/>
        <v>0</v>
      </c>
      <c r="AL161" s="1771">
        <f t="shared" si="179"/>
        <v>0</v>
      </c>
      <c r="AM161" s="1380">
        <f t="shared" si="179"/>
        <v>0</v>
      </c>
      <c r="AN161" s="1380">
        <f t="shared" si="179"/>
        <v>0</v>
      </c>
      <c r="AO161" s="1380">
        <f t="shared" si="179"/>
        <v>0</v>
      </c>
      <c r="AP161" s="1603">
        <f t="shared" si="179"/>
        <v>596</v>
      </c>
      <c r="AQ161" s="1378">
        <f t="shared" si="179"/>
        <v>794</v>
      </c>
      <c r="AR161" s="1378">
        <f t="shared" si="179"/>
        <v>944</v>
      </c>
      <c r="AS161" s="1378">
        <f t="shared" si="179"/>
        <v>1149</v>
      </c>
      <c r="AT161" s="1603">
        <f t="shared" si="179"/>
        <v>1475</v>
      </c>
      <c r="AU161" s="1378">
        <f t="shared" si="179"/>
        <v>1553.2779999999984</v>
      </c>
      <c r="AV161" s="1378">
        <f t="shared" si="179"/>
        <v>1775.1650000000004</v>
      </c>
      <c r="AW161" s="1378">
        <f t="shared" si="179"/>
        <v>2041</v>
      </c>
      <c r="AX161" s="1603">
        <f>SUM(AX162:AX163)</f>
        <v>2261.3979999999983</v>
      </c>
      <c r="AY161" s="1378">
        <f>SUM(AY162:AY163)</f>
        <v>3155.2290000000007</v>
      </c>
      <c r="AZ161" s="1378">
        <f t="shared" si="179"/>
        <v>3544.016999999998</v>
      </c>
      <c r="BA161" s="1378">
        <f t="shared" ref="BA161:BH161" si="180">SUM(BA162:BA163)</f>
        <v>4410.2300000000014</v>
      </c>
      <c r="BB161" s="1603">
        <f t="shared" si="180"/>
        <v>4465.5920000000033</v>
      </c>
      <c r="BC161" s="1378">
        <f t="shared" si="180"/>
        <v>5909.5049999999992</v>
      </c>
      <c r="BD161" s="1378">
        <f t="shared" si="180"/>
        <v>6094.4860000000026</v>
      </c>
      <c r="BE161" s="1378">
        <f t="shared" si="180"/>
        <v>7809.0430000000015</v>
      </c>
      <c r="BF161" s="1603">
        <f t="shared" si="180"/>
        <v>7033.8399999999965</v>
      </c>
      <c r="BG161" s="1378">
        <f t="shared" si="180"/>
        <v>8844.6530000000021</v>
      </c>
      <c r="BH161" s="1378">
        <f t="shared" si="180"/>
        <v>8636.2070000000058</v>
      </c>
      <c r="BI161" s="1378">
        <f t="shared" ref="BI161:BP161" si="181">SUM(BI162:BI163)</f>
        <v>10840.610000000008</v>
      </c>
      <c r="BJ161" s="1603">
        <f t="shared" si="181"/>
        <v>10824.460999999992</v>
      </c>
      <c r="BK161" s="1378">
        <f t="shared" si="181"/>
        <v>12647.819000000003</v>
      </c>
      <c r="BL161" s="1378">
        <f t="shared" si="181"/>
        <v>12982.750000000002</v>
      </c>
      <c r="BM161" s="1378">
        <f t="shared" si="181"/>
        <v>14359.892999999995</v>
      </c>
      <c r="BN161" s="1603">
        <f t="shared" si="181"/>
        <v>13392.72136492231</v>
      </c>
      <c r="BO161" s="1378">
        <f t="shared" si="181"/>
        <v>16403.025670371891</v>
      </c>
      <c r="BP161" s="1378">
        <f t="shared" si="181"/>
        <v>15493.512318884495</v>
      </c>
      <c r="BQ161" s="1381">
        <f>W161-SUM(BN161:BP161)</f>
        <v>21122.10512570732</v>
      </c>
      <c r="CR161"/>
      <c r="CS161"/>
      <c r="CT161"/>
      <c r="CU161"/>
      <c r="CV161"/>
      <c r="CW161"/>
    </row>
    <row r="162" spans="1:101" s="382" customFormat="1" outlineLevel="1">
      <c r="H162" s="570"/>
      <c r="I162" s="570"/>
      <c r="J162" s="28" t="s">
        <v>653</v>
      </c>
      <c r="K162" s="28"/>
      <c r="L162" s="28"/>
      <c r="M162" s="28"/>
      <c r="N162" s="734">
        <f t="shared" ref="N162:T162" si="182">N120+N185</f>
        <v>127</v>
      </c>
      <c r="O162" s="734">
        <f t="shared" si="182"/>
        <v>397</v>
      </c>
      <c r="P162" s="734">
        <f t="shared" si="182"/>
        <v>911.48300000000017</v>
      </c>
      <c r="Q162" s="734">
        <f t="shared" si="182"/>
        <v>2436.163999999997</v>
      </c>
      <c r="R162" s="734">
        <f t="shared" si="182"/>
        <v>4522</v>
      </c>
      <c r="S162" s="734">
        <f t="shared" si="182"/>
        <v>6918</v>
      </c>
      <c r="T162" s="734">
        <f t="shared" si="182"/>
        <v>10713</v>
      </c>
      <c r="U162" s="734">
        <f>U120+U186</f>
        <v>17244.904999999999</v>
      </c>
      <c r="V162" s="734">
        <f>V120+V186</f>
        <v>25034.447999999975</v>
      </c>
      <c r="W162" s="875">
        <f t="shared" ref="W162:AD162" si="183">W177*W120</f>
        <v>34202.418479319866</v>
      </c>
      <c r="X162" s="875">
        <f t="shared" si="183"/>
        <v>43320.525263986645</v>
      </c>
      <c r="Y162" s="875">
        <f t="shared" si="183"/>
        <v>52785.906424410903</v>
      </c>
      <c r="Z162" s="875">
        <f t="shared" si="183"/>
        <v>60405.157991857028</v>
      </c>
      <c r="AA162" s="875">
        <f t="shared" si="183"/>
        <v>66507.223092921893</v>
      </c>
      <c r="AB162" s="875">
        <f t="shared" si="183"/>
        <v>73189.101250437307</v>
      </c>
      <c r="AC162" s="875">
        <f t="shared" si="183"/>
        <v>80503.770389516605</v>
      </c>
      <c r="AD162" s="875">
        <f t="shared" si="183"/>
        <v>88508.91911661248</v>
      </c>
      <c r="AE162" s="86"/>
      <c r="AF162" s="86"/>
      <c r="AG162" s="350"/>
      <c r="AH162" s="86"/>
      <c r="AI162" s="86"/>
      <c r="AJ162" s="86"/>
      <c r="AK162" s="86"/>
      <c r="AL162" s="682">
        <f t="shared" ref="AL162:BE162" si="184">AL120+AL185</f>
        <v>0</v>
      </c>
      <c r="AM162" s="86">
        <f t="shared" si="184"/>
        <v>0</v>
      </c>
      <c r="AN162" s="86">
        <f t="shared" si="184"/>
        <v>0</v>
      </c>
      <c r="AO162" s="86">
        <f t="shared" si="184"/>
        <v>0</v>
      </c>
      <c r="AP162" s="767">
        <f t="shared" si="184"/>
        <v>460</v>
      </c>
      <c r="AQ162" s="734">
        <f t="shared" si="184"/>
        <v>546</v>
      </c>
      <c r="AR162" s="734">
        <f t="shared" si="184"/>
        <v>676</v>
      </c>
      <c r="AS162" s="734">
        <f t="shared" si="184"/>
        <v>755</v>
      </c>
      <c r="AT162" s="767">
        <f t="shared" si="184"/>
        <v>1072</v>
      </c>
      <c r="AU162" s="734">
        <f t="shared" si="184"/>
        <v>995.39399999999841</v>
      </c>
      <c r="AV162" s="734">
        <f t="shared" si="184"/>
        <v>1197.2880000000005</v>
      </c>
      <c r="AW162" s="734">
        <f t="shared" si="184"/>
        <v>1257</v>
      </c>
      <c r="AX162" s="767">
        <f t="shared" si="184"/>
        <v>1385.4389999999985</v>
      </c>
      <c r="AY162" s="734">
        <f t="shared" si="184"/>
        <v>1560.6820000000007</v>
      </c>
      <c r="AZ162" s="734">
        <f t="shared" si="184"/>
        <v>1900.8839999999982</v>
      </c>
      <c r="BA162" s="734">
        <f t="shared" si="184"/>
        <v>2070.8100000000013</v>
      </c>
      <c r="BB162" s="767">
        <f t="shared" si="184"/>
        <v>2373.5330000000031</v>
      </c>
      <c r="BC162" s="734">
        <f t="shared" si="184"/>
        <v>2597.2649999999994</v>
      </c>
      <c r="BD162" s="734">
        <f t="shared" si="184"/>
        <v>2625.7070000000022</v>
      </c>
      <c r="BE162" s="734">
        <f t="shared" si="184"/>
        <v>3116.1500000000015</v>
      </c>
      <c r="BF162" s="767">
        <f t="shared" ref="BF162:BM163" si="185">BF120+BF186</f>
        <v>3848.4749999999985</v>
      </c>
      <c r="BG162" s="734">
        <f t="shared" si="185"/>
        <v>4285.7710000000006</v>
      </c>
      <c r="BH162" s="734">
        <f t="shared" si="185"/>
        <v>4117.5279999999984</v>
      </c>
      <c r="BI162" s="734">
        <f t="shared" si="185"/>
        <v>4993.1310000000085</v>
      </c>
      <c r="BJ162" s="767">
        <f t="shared" si="185"/>
        <v>5835.4869999999937</v>
      </c>
      <c r="BK162" s="734">
        <f t="shared" si="185"/>
        <v>5586.0130000000063</v>
      </c>
      <c r="BL162" s="734">
        <f t="shared" si="185"/>
        <v>6466.2660000000033</v>
      </c>
      <c r="BM162" s="734">
        <f t="shared" si="185"/>
        <v>7146.6820000000007</v>
      </c>
      <c r="BN162" s="874">
        <f>BN177*BN120</f>
        <v>7880.9871576523474</v>
      </c>
      <c r="BO162" s="875">
        <f>BO177*BO120</f>
        <v>8234.8753568526063</v>
      </c>
      <c r="BP162" s="875">
        <f>BP177*BP120</f>
        <v>8155.0745362636644</v>
      </c>
      <c r="BQ162" s="949">
        <f>W162-SUM(BN162:BP162)</f>
        <v>9931.4814285512475</v>
      </c>
      <c r="CR162"/>
      <c r="CS162"/>
      <c r="CT162"/>
      <c r="CU162"/>
      <c r="CV162"/>
      <c r="CW162"/>
    </row>
    <row r="163" spans="1:101" s="382" customFormat="1" outlineLevel="1">
      <c r="H163" s="570"/>
      <c r="I163" s="570"/>
      <c r="J163" s="28" t="s">
        <v>654</v>
      </c>
      <c r="K163" s="28"/>
      <c r="L163" s="28"/>
      <c r="M163" s="28"/>
      <c r="N163" s="734">
        <f t="shared" ref="N163:T163" si="186">N121*N180</f>
        <v>13</v>
      </c>
      <c r="O163" s="734">
        <f t="shared" si="186"/>
        <v>17</v>
      </c>
      <c r="P163" s="734">
        <f t="shared" si="186"/>
        <v>240.94800000000001</v>
      </c>
      <c r="Q163" s="734">
        <f t="shared" si="186"/>
        <v>1045.97</v>
      </c>
      <c r="R163" s="734">
        <f t="shared" si="186"/>
        <v>2322</v>
      </c>
      <c r="S163" s="734">
        <f t="shared" si="186"/>
        <v>6453</v>
      </c>
      <c r="T163" s="734">
        <f t="shared" si="186"/>
        <v>13566</v>
      </c>
      <c r="U163" s="734">
        <f>U121+U187</f>
        <v>18110.405000000024</v>
      </c>
      <c r="V163" s="734">
        <f>V121+V187</f>
        <v>25780.474999999988</v>
      </c>
      <c r="W163" s="875">
        <f t="shared" ref="W163:AD163" si="187">W180*W121</f>
        <v>32208.946000566153</v>
      </c>
      <c r="X163" s="875">
        <f t="shared" si="187"/>
        <v>42049.133490976077</v>
      </c>
      <c r="Y163" s="875">
        <f t="shared" si="187"/>
        <v>53922.044024047158</v>
      </c>
      <c r="Z163" s="875">
        <f t="shared" si="187"/>
        <v>65447.312345692233</v>
      </c>
      <c r="AA163" s="875">
        <f t="shared" si="187"/>
        <v>73312.683334504152</v>
      </c>
      <c r="AB163" s="875">
        <f t="shared" si="187"/>
        <v>81997.869666137194</v>
      </c>
      <c r="AC163" s="875">
        <f t="shared" si="187"/>
        <v>90327.678183249154</v>
      </c>
      <c r="AD163" s="875">
        <f t="shared" si="187"/>
        <v>100753.11195694865</v>
      </c>
      <c r="AE163" s="86"/>
      <c r="AF163" s="86"/>
      <c r="AG163" s="350"/>
      <c r="AH163" s="86"/>
      <c r="AI163" s="86"/>
      <c r="AJ163" s="86"/>
      <c r="AK163" s="86"/>
      <c r="AL163" s="682">
        <f>AL121</f>
        <v>0</v>
      </c>
      <c r="AM163" s="86">
        <f>AM121</f>
        <v>0</v>
      </c>
      <c r="AN163" s="86">
        <f>AN121</f>
        <v>0</v>
      </c>
      <c r="AO163" s="86">
        <f>AO121</f>
        <v>0</v>
      </c>
      <c r="AP163" s="767">
        <f t="shared" ref="AP163:BE163" si="188">AP121*AP180</f>
        <v>136</v>
      </c>
      <c r="AQ163" s="734">
        <f t="shared" si="188"/>
        <v>248</v>
      </c>
      <c r="AR163" s="734">
        <f t="shared" si="188"/>
        <v>268</v>
      </c>
      <c r="AS163" s="734">
        <f t="shared" si="188"/>
        <v>394</v>
      </c>
      <c r="AT163" s="767">
        <f t="shared" si="188"/>
        <v>403</v>
      </c>
      <c r="AU163" s="734">
        <f t="shared" si="188"/>
        <v>557.88400000000001</v>
      </c>
      <c r="AV163" s="734">
        <f t="shared" si="188"/>
        <v>577.87699999999995</v>
      </c>
      <c r="AW163" s="734">
        <f t="shared" si="188"/>
        <v>784</v>
      </c>
      <c r="AX163" s="767">
        <f t="shared" si="188"/>
        <v>875.95899999999995</v>
      </c>
      <c r="AY163" s="734">
        <f t="shared" si="188"/>
        <v>1594.547</v>
      </c>
      <c r="AZ163" s="734">
        <f t="shared" si="188"/>
        <v>1643.133</v>
      </c>
      <c r="BA163" s="734">
        <f t="shared" si="188"/>
        <v>2339.42</v>
      </c>
      <c r="BB163" s="767">
        <f t="shared" si="188"/>
        <v>2092.0590000000002</v>
      </c>
      <c r="BC163" s="734">
        <f t="shared" si="188"/>
        <v>3312.24</v>
      </c>
      <c r="BD163" s="734">
        <f t="shared" si="188"/>
        <v>3468.779</v>
      </c>
      <c r="BE163" s="734">
        <f t="shared" si="188"/>
        <v>4692.893</v>
      </c>
      <c r="BF163" s="767">
        <f t="shared" si="185"/>
        <v>3185.3649999999975</v>
      </c>
      <c r="BG163" s="734">
        <f t="shared" si="185"/>
        <v>4558.8820000000005</v>
      </c>
      <c r="BH163" s="734">
        <f t="shared" si="185"/>
        <v>4518.6790000000065</v>
      </c>
      <c r="BI163" s="734">
        <f t="shared" si="185"/>
        <v>5847.4789999999985</v>
      </c>
      <c r="BJ163" s="767">
        <f t="shared" si="185"/>
        <v>4988.9739999999974</v>
      </c>
      <c r="BK163" s="734">
        <f t="shared" si="185"/>
        <v>7061.8059999999978</v>
      </c>
      <c r="BL163" s="734">
        <f t="shared" si="185"/>
        <v>6516.4839999999986</v>
      </c>
      <c r="BM163" s="734">
        <f t="shared" si="185"/>
        <v>7213.2109999999939</v>
      </c>
      <c r="BN163" s="874">
        <f>BN121*BN180</f>
        <v>5511.734207269963</v>
      </c>
      <c r="BO163" s="875">
        <f>BO121*BO180</f>
        <v>8168.1503135192834</v>
      </c>
      <c r="BP163" s="875">
        <f>BP121*BP180</f>
        <v>7338.4377826208311</v>
      </c>
      <c r="BQ163" s="949">
        <f>W163-SUM(BN163:BP163)</f>
        <v>11190.623697156076</v>
      </c>
      <c r="CR163"/>
      <c r="CS163"/>
      <c r="CT163"/>
      <c r="CU163"/>
      <c r="CV163"/>
      <c r="CW163"/>
    </row>
    <row r="164" spans="1:101" outlineLevel="1">
      <c r="A164" s="568"/>
      <c r="J164" s="90" t="s">
        <v>622</v>
      </c>
      <c r="K164" s="11"/>
      <c r="L164" s="11"/>
      <c r="M164" s="11"/>
      <c r="N164" s="77"/>
      <c r="O164" s="77"/>
      <c r="P164" s="77"/>
      <c r="Q164" s="77"/>
      <c r="R164" s="77"/>
      <c r="S164" s="440"/>
      <c r="T164" s="1297"/>
      <c r="U164" s="352">
        <f t="shared" ref="U164:AD164" si="189">U188+U123+U122</f>
        <v>15037.678850000026</v>
      </c>
      <c r="V164" s="352">
        <f t="shared" si="189"/>
        <v>23689.346510460091</v>
      </c>
      <c r="W164" s="352">
        <f t="shared" si="189"/>
        <v>33201.476255217465</v>
      </c>
      <c r="X164" s="352">
        <f t="shared" si="189"/>
        <v>42049.133490976077</v>
      </c>
      <c r="Y164" s="352">
        <f t="shared" si="189"/>
        <v>52988.79257262258</v>
      </c>
      <c r="Z164" s="352">
        <f t="shared" si="189"/>
        <v>63033.344214320547</v>
      </c>
      <c r="AA164" s="352">
        <f t="shared" si="189"/>
        <v>67597.802446794958</v>
      </c>
      <c r="AB164" s="352">
        <f t="shared" si="189"/>
        <v>75288.699485615565</v>
      </c>
      <c r="AC164" s="352">
        <f t="shared" si="189"/>
        <v>82505.64883711969</v>
      </c>
      <c r="AD164" s="352">
        <f t="shared" si="189"/>
        <v>91687.339722683348</v>
      </c>
      <c r="AE164" s="77"/>
      <c r="AF164" s="77"/>
      <c r="AG164" s="99"/>
      <c r="AH164" s="11"/>
      <c r="AI164" s="11"/>
      <c r="AJ164" s="11"/>
      <c r="AK164" s="11"/>
      <c r="AL164" s="675"/>
      <c r="AM164" s="77"/>
      <c r="AN164" s="77"/>
      <c r="AO164" s="77"/>
      <c r="AP164" s="675"/>
      <c r="AQ164" s="77"/>
      <c r="AR164" s="77"/>
      <c r="AS164" s="77"/>
      <c r="AT164" s="675"/>
      <c r="AU164" s="77"/>
      <c r="AV164" s="77"/>
      <c r="AW164" s="77"/>
      <c r="AX164" s="675"/>
      <c r="AY164" s="77"/>
      <c r="AZ164" s="944"/>
      <c r="BA164" s="944"/>
      <c r="BB164" s="1684"/>
      <c r="BC164" s="944"/>
      <c r="BD164" s="944"/>
      <c r="BE164" s="944"/>
      <c r="BF164" s="742">
        <f t="shared" ref="BF164:BM164" si="190">BF188+BF123+BF122</f>
        <v>2678.5319599999975</v>
      </c>
      <c r="BG164" s="352">
        <f t="shared" si="190"/>
        <v>3778.5514900000007</v>
      </c>
      <c r="BH164" s="352">
        <f t="shared" si="190"/>
        <v>3723.2494400000069</v>
      </c>
      <c r="BI164" s="352">
        <f t="shared" si="190"/>
        <v>4857.3459599999987</v>
      </c>
      <c r="BJ164" s="742">
        <f t="shared" si="190"/>
        <v>4194.7541580358984</v>
      </c>
      <c r="BK164" s="352">
        <f t="shared" si="190"/>
        <v>6075.8990443056173</v>
      </c>
      <c r="BL164" s="352">
        <f t="shared" si="190"/>
        <v>5638.328667080078</v>
      </c>
      <c r="BM164" s="352">
        <f t="shared" si="190"/>
        <v>7780.3646410384972</v>
      </c>
      <c r="BN164" s="675"/>
      <c r="BO164" s="77"/>
      <c r="BP164" s="77"/>
      <c r="BQ164" s="77"/>
    </row>
    <row r="165" spans="1:101" outlineLevel="1">
      <c r="A165" s="568"/>
      <c r="J165" s="90" t="s">
        <v>618</v>
      </c>
      <c r="K165" s="11"/>
      <c r="L165" s="11"/>
      <c r="M165" s="11"/>
      <c r="N165" s="77"/>
      <c r="O165" s="77"/>
      <c r="P165" s="77"/>
      <c r="Q165" s="77"/>
      <c r="R165" s="77"/>
      <c r="S165" s="352"/>
      <c r="T165" s="1296"/>
      <c r="U165" s="352">
        <f t="shared" ref="U165:AD165" si="191">U189+U124</f>
        <v>3072.7261499999986</v>
      </c>
      <c r="V165" s="352">
        <f t="shared" si="191"/>
        <v>2091.1284895398949</v>
      </c>
      <c r="W165" s="352">
        <f t="shared" si="191"/>
        <v>-992.53025465131577</v>
      </c>
      <c r="X165" s="352">
        <f t="shared" si="191"/>
        <v>0</v>
      </c>
      <c r="Y165" s="352">
        <f t="shared" si="191"/>
        <v>933.25145142457768</v>
      </c>
      <c r="Z165" s="352">
        <f t="shared" si="191"/>
        <v>2413.9681313716828</v>
      </c>
      <c r="AA165" s="352">
        <f t="shared" si="191"/>
        <v>5714.8808877091942</v>
      </c>
      <c r="AB165" s="352">
        <f t="shared" si="191"/>
        <v>6709.1701805216217</v>
      </c>
      <c r="AC165" s="352">
        <f t="shared" si="191"/>
        <v>7822.0293461294641</v>
      </c>
      <c r="AD165" s="352">
        <f t="shared" si="191"/>
        <v>9065.7722342652924</v>
      </c>
      <c r="AE165" s="86"/>
      <c r="AF165" s="86"/>
      <c r="AG165" s="350"/>
      <c r="AH165" s="11"/>
      <c r="AI165" s="11"/>
      <c r="AJ165" s="11"/>
      <c r="AK165" s="11"/>
      <c r="AL165" s="675"/>
      <c r="AM165" s="77"/>
      <c r="AN165" s="77"/>
      <c r="AO165" s="77"/>
      <c r="AP165" s="675"/>
      <c r="AQ165" s="77"/>
      <c r="AR165" s="77"/>
      <c r="AS165" s="77"/>
      <c r="AT165" s="665"/>
      <c r="AU165" s="87"/>
      <c r="AV165" s="87"/>
      <c r="AW165" s="87"/>
      <c r="AX165" s="665"/>
      <c r="AY165" s="87"/>
      <c r="AZ165" s="706"/>
      <c r="BA165" s="612"/>
      <c r="BB165" s="1692"/>
      <c r="BC165" s="612"/>
      <c r="BD165" s="953"/>
      <c r="BE165" s="612"/>
      <c r="BF165" s="742">
        <f t="shared" ref="BF165:BM165" si="192">BF189+BF124</f>
        <v>506.83303999999987</v>
      </c>
      <c r="BG165" s="352">
        <f t="shared" si="192"/>
        <v>780.33050999999978</v>
      </c>
      <c r="BH165" s="352">
        <f t="shared" si="192"/>
        <v>795.42955999999981</v>
      </c>
      <c r="BI165" s="352">
        <f t="shared" si="192"/>
        <v>990.13303999999971</v>
      </c>
      <c r="BJ165" s="742">
        <f t="shared" si="192"/>
        <v>794.2198419640988</v>
      </c>
      <c r="BK165" s="352">
        <f t="shared" si="192"/>
        <v>985.90695569438026</v>
      </c>
      <c r="BL165" s="352">
        <f t="shared" si="192"/>
        <v>878.15533291991983</v>
      </c>
      <c r="BM165" s="352">
        <f t="shared" si="192"/>
        <v>-567.15364103850379</v>
      </c>
      <c r="BN165" s="675"/>
      <c r="BO165" s="77"/>
      <c r="BP165" s="77"/>
      <c r="BQ165" s="77"/>
    </row>
    <row r="166" spans="1:101" s="382" customFormat="1" outlineLevel="1">
      <c r="H166" s="570"/>
      <c r="I166" s="570"/>
      <c r="J166" s="229" t="s">
        <v>570</v>
      </c>
      <c r="K166" s="28"/>
      <c r="L166" s="28"/>
      <c r="M166" s="28"/>
      <c r="N166" s="174"/>
      <c r="O166" s="174"/>
      <c r="P166" s="174"/>
      <c r="Q166" s="174"/>
      <c r="R166" s="174"/>
      <c r="S166" s="174"/>
      <c r="T166" s="174"/>
      <c r="U166" s="174"/>
      <c r="V166" s="174"/>
      <c r="W166" s="174"/>
      <c r="X166" s="174"/>
      <c r="Y166" s="174"/>
      <c r="Z166" s="174"/>
      <c r="AA166" s="174"/>
      <c r="AB166" s="174"/>
      <c r="AC166" s="174"/>
      <c r="AD166" s="174"/>
      <c r="AE166" s="28"/>
      <c r="AF166" s="28"/>
      <c r="AG166" s="96"/>
      <c r="AH166" s="61"/>
      <c r="AI166" s="61"/>
      <c r="AJ166" s="61"/>
      <c r="AK166" s="61"/>
      <c r="AL166" s="1774"/>
      <c r="AM166" s="71"/>
      <c r="AN166" s="71"/>
      <c r="AO166" s="71"/>
      <c r="AP166" s="1718"/>
      <c r="AQ166" s="178"/>
      <c r="AR166" s="178"/>
      <c r="AS166" s="178"/>
      <c r="AT166" s="1718"/>
      <c r="AU166" s="178"/>
      <c r="AV166" s="178"/>
      <c r="AW166" s="178"/>
      <c r="AX166" s="1718"/>
      <c r="AY166" s="178"/>
      <c r="AZ166" s="46"/>
      <c r="BA166" s="46"/>
      <c r="BB166" s="746"/>
      <c r="BC166" s="46"/>
      <c r="BD166" s="46"/>
      <c r="BE166" s="46"/>
      <c r="BF166" s="746"/>
      <c r="BG166" s="46"/>
      <c r="BH166" s="46"/>
      <c r="BI166" s="46"/>
      <c r="BJ166" s="746"/>
      <c r="BK166" s="46"/>
      <c r="BL166" s="46"/>
      <c r="BM166" s="46"/>
      <c r="BN166" s="746"/>
      <c r="BO166" s="46"/>
      <c r="BP166" s="46"/>
      <c r="BQ166" s="46"/>
      <c r="CR166"/>
      <c r="CS166"/>
      <c r="CT166"/>
      <c r="CU166"/>
      <c r="CV166"/>
      <c r="CW166"/>
    </row>
    <row r="167" spans="1:101" outlineLevel="1">
      <c r="I167" s="566"/>
      <c r="J167" s="186" t="s">
        <v>653</v>
      </c>
      <c r="K167" s="28"/>
      <c r="L167" s="28"/>
      <c r="M167" s="28"/>
      <c r="N167" s="79">
        <f t="shared" ref="N167:AD167" si="193">IF(ISERROR(N162/N$161),"--",N162/N$161)</f>
        <v>0.90714285714285714</v>
      </c>
      <c r="O167" s="79">
        <f t="shared" si="193"/>
        <v>0.95893719806763289</v>
      </c>
      <c r="P167" s="79">
        <f t="shared" si="193"/>
        <v>0.79092197276886855</v>
      </c>
      <c r="Q167" s="79">
        <f t="shared" si="193"/>
        <v>0.69961810774657118</v>
      </c>
      <c r="R167" s="79">
        <f t="shared" si="193"/>
        <v>0.66072472238457047</v>
      </c>
      <c r="S167" s="79">
        <f t="shared" si="193"/>
        <v>0.51738837783262281</v>
      </c>
      <c r="T167" s="79">
        <f t="shared" si="193"/>
        <v>0.44124552082046214</v>
      </c>
      <c r="U167" s="79">
        <f t="shared" si="193"/>
        <v>0.48775997155731304</v>
      </c>
      <c r="V167" s="79">
        <f t="shared" si="193"/>
        <v>0.492659370948963</v>
      </c>
      <c r="W167" s="79">
        <f t="shared" si="193"/>
        <v>0.51500851920726209</v>
      </c>
      <c r="X167" s="79">
        <f t="shared" si="193"/>
        <v>0.50744639132657099</v>
      </c>
      <c r="Y167" s="79">
        <f t="shared" si="193"/>
        <v>0.49467641541768237</v>
      </c>
      <c r="Z167" s="79">
        <f t="shared" si="193"/>
        <v>0.47996799609768637</v>
      </c>
      <c r="AA167" s="79">
        <f t="shared" si="193"/>
        <v>0.47566347877255005</v>
      </c>
      <c r="AB167" s="79">
        <f t="shared" si="193"/>
        <v>0.47161885316894514</v>
      </c>
      <c r="AC167" s="79">
        <f t="shared" si="193"/>
        <v>0.4712467819133781</v>
      </c>
      <c r="AD167" s="79">
        <f t="shared" si="193"/>
        <v>0.46765280185655106</v>
      </c>
      <c r="AE167" s="11"/>
      <c r="AF167" s="11"/>
      <c r="AG167" s="95"/>
      <c r="AH167" s="93" t="str">
        <f t="shared" ref="AH167:BQ167" si="194">IF(ISERROR(AH162/AH$161),"--",AH162/AH$161)</f>
        <v>--</v>
      </c>
      <c r="AI167" s="93" t="str">
        <f t="shared" si="194"/>
        <v>--</v>
      </c>
      <c r="AJ167" s="93" t="str">
        <f t="shared" si="194"/>
        <v>--</v>
      </c>
      <c r="AK167" s="93" t="str">
        <f t="shared" si="194"/>
        <v>--</v>
      </c>
      <c r="AL167" s="674" t="str">
        <f t="shared" si="194"/>
        <v>--</v>
      </c>
      <c r="AM167" s="93" t="str">
        <f t="shared" si="194"/>
        <v>--</v>
      </c>
      <c r="AN167" s="93" t="str">
        <f t="shared" si="194"/>
        <v>--</v>
      </c>
      <c r="AO167" s="93" t="str">
        <f t="shared" si="194"/>
        <v>--</v>
      </c>
      <c r="AP167" s="674">
        <f t="shared" si="194"/>
        <v>0.77181208053691275</v>
      </c>
      <c r="AQ167" s="93">
        <f t="shared" si="194"/>
        <v>0.68765743073047858</v>
      </c>
      <c r="AR167" s="93">
        <f t="shared" si="194"/>
        <v>0.71610169491525422</v>
      </c>
      <c r="AS167" s="93">
        <f t="shared" si="194"/>
        <v>0.65709312445604873</v>
      </c>
      <c r="AT167" s="674">
        <f t="shared" si="194"/>
        <v>0.72677966101694913</v>
      </c>
      <c r="AU167" s="93">
        <f t="shared" si="194"/>
        <v>0.64083441598992541</v>
      </c>
      <c r="AV167" s="93">
        <f t="shared" si="194"/>
        <v>0.67446575388766683</v>
      </c>
      <c r="AW167" s="93">
        <f t="shared" si="194"/>
        <v>0.61587457128858403</v>
      </c>
      <c r="AX167" s="674">
        <f t="shared" si="194"/>
        <v>0.61264713243754509</v>
      </c>
      <c r="AY167" s="93">
        <f t="shared" si="194"/>
        <v>0.49463351154543783</v>
      </c>
      <c r="AZ167" s="93">
        <f t="shared" si="194"/>
        <v>0.53636424430243967</v>
      </c>
      <c r="BA167" s="93">
        <f t="shared" si="194"/>
        <v>0.46954693972876715</v>
      </c>
      <c r="BB167" s="674">
        <f t="shared" si="194"/>
        <v>0.53151586620542168</v>
      </c>
      <c r="BC167" s="93">
        <f t="shared" si="194"/>
        <v>0.43950635459315118</v>
      </c>
      <c r="BD167" s="93">
        <f t="shared" si="194"/>
        <v>0.43083321546722742</v>
      </c>
      <c r="BE167" s="93">
        <f t="shared" si="194"/>
        <v>0.39904377527438395</v>
      </c>
      <c r="BF167" s="674">
        <f t="shared" si="194"/>
        <v>0.54713712566677664</v>
      </c>
      <c r="BG167" s="93">
        <f t="shared" si="194"/>
        <v>0.48456067185450913</v>
      </c>
      <c r="BH167" s="93">
        <f t="shared" si="194"/>
        <v>0.47677504719375019</v>
      </c>
      <c r="BI167" s="93">
        <f t="shared" si="194"/>
        <v>0.46059502186685114</v>
      </c>
      <c r="BJ167" s="674">
        <f t="shared" si="194"/>
        <v>0.53910185458657001</v>
      </c>
      <c r="BK167" s="93">
        <f t="shared" si="194"/>
        <v>0.44165820209792733</v>
      </c>
      <c r="BL167" s="93">
        <f t="shared" si="194"/>
        <v>0.49806597215536019</v>
      </c>
      <c r="BM167" s="93">
        <f t="shared" si="194"/>
        <v>0.49768351337993977</v>
      </c>
      <c r="BN167" s="674">
        <f t="shared" si="194"/>
        <v>0.58845300689178226</v>
      </c>
      <c r="BO167" s="93">
        <f t="shared" si="194"/>
        <v>0.50203392485856568</v>
      </c>
      <c r="BP167" s="93">
        <f t="shared" si="194"/>
        <v>0.52635415188096069</v>
      </c>
      <c r="BQ167" s="93">
        <f t="shared" si="194"/>
        <v>0.47019373161171457</v>
      </c>
    </row>
    <row r="168" spans="1:101" outlineLevel="1">
      <c r="J168" s="186" t="s">
        <v>654</v>
      </c>
      <c r="K168" s="28"/>
      <c r="L168" s="28"/>
      <c r="M168" s="28"/>
      <c r="N168" s="79">
        <f t="shared" ref="N168:AD168" si="195">IF(ISERROR(N163/N$161),"--",(N163/N$161))</f>
        <v>9.285714285714286E-2</v>
      </c>
      <c r="O168" s="79">
        <f t="shared" si="195"/>
        <v>4.1062801932367152E-2</v>
      </c>
      <c r="P168" s="79">
        <f t="shared" si="195"/>
        <v>0.20907802723113136</v>
      </c>
      <c r="Q168" s="79">
        <f t="shared" si="195"/>
        <v>0.30038189225342876</v>
      </c>
      <c r="R168" s="79">
        <f t="shared" si="195"/>
        <v>0.33927527761542958</v>
      </c>
      <c r="S168" s="79">
        <f t="shared" si="195"/>
        <v>0.48261162216737719</v>
      </c>
      <c r="T168" s="79">
        <f t="shared" si="195"/>
        <v>0.55875447917953791</v>
      </c>
      <c r="U168" s="79">
        <f t="shared" si="195"/>
        <v>0.51224002844268679</v>
      </c>
      <c r="V168" s="79">
        <f t="shared" si="195"/>
        <v>0.50734062905103694</v>
      </c>
      <c r="W168" s="79">
        <f t="shared" si="195"/>
        <v>0.48499148079273785</v>
      </c>
      <c r="X168" s="79">
        <f t="shared" si="195"/>
        <v>0.4925536086734289</v>
      </c>
      <c r="Y168" s="79">
        <f t="shared" si="195"/>
        <v>0.50532358458231774</v>
      </c>
      <c r="Z168" s="79">
        <f t="shared" si="195"/>
        <v>0.52003200390231374</v>
      </c>
      <c r="AA168" s="79">
        <f t="shared" si="195"/>
        <v>0.52433652122745011</v>
      </c>
      <c r="AB168" s="79">
        <f t="shared" si="195"/>
        <v>0.52838114683105486</v>
      </c>
      <c r="AC168" s="79">
        <f t="shared" si="195"/>
        <v>0.52875321808662201</v>
      </c>
      <c r="AD168" s="79">
        <f t="shared" si="195"/>
        <v>0.532347198143449</v>
      </c>
      <c r="AE168" s="11"/>
      <c r="AF168" s="11"/>
      <c r="AG168" s="95"/>
      <c r="AH168" s="93" t="str">
        <f t="shared" ref="AH168:BQ168" si="196">IF(ISERROR(AH163/AH$161),"--",(AH163/AH$161))</f>
        <v>--</v>
      </c>
      <c r="AI168" s="93" t="str">
        <f t="shared" si="196"/>
        <v>--</v>
      </c>
      <c r="AJ168" s="93" t="str">
        <f t="shared" si="196"/>
        <v>--</v>
      </c>
      <c r="AK168" s="93" t="str">
        <f t="shared" si="196"/>
        <v>--</v>
      </c>
      <c r="AL168" s="674" t="str">
        <f t="shared" si="196"/>
        <v>--</v>
      </c>
      <c r="AM168" s="93" t="str">
        <f t="shared" si="196"/>
        <v>--</v>
      </c>
      <c r="AN168" s="93" t="str">
        <f t="shared" si="196"/>
        <v>--</v>
      </c>
      <c r="AO168" s="93" t="str">
        <f t="shared" si="196"/>
        <v>--</v>
      </c>
      <c r="AP168" s="674">
        <f t="shared" si="196"/>
        <v>0.22818791946308725</v>
      </c>
      <c r="AQ168" s="93">
        <f t="shared" si="196"/>
        <v>0.31234256926952142</v>
      </c>
      <c r="AR168" s="93">
        <f t="shared" si="196"/>
        <v>0.28389830508474578</v>
      </c>
      <c r="AS168" s="93">
        <f t="shared" si="196"/>
        <v>0.34290687554395127</v>
      </c>
      <c r="AT168" s="674">
        <f t="shared" si="196"/>
        <v>0.27322033898305087</v>
      </c>
      <c r="AU168" s="93">
        <f t="shared" si="196"/>
        <v>0.35916558401007453</v>
      </c>
      <c r="AV168" s="93">
        <f t="shared" si="196"/>
        <v>0.32553424611233311</v>
      </c>
      <c r="AW168" s="93">
        <f t="shared" si="196"/>
        <v>0.38412542871141597</v>
      </c>
      <c r="AX168" s="674">
        <f t="shared" si="196"/>
        <v>0.38735286756245502</v>
      </c>
      <c r="AY168" s="93">
        <f t="shared" si="196"/>
        <v>0.50536648845456211</v>
      </c>
      <c r="AZ168" s="93">
        <f t="shared" si="196"/>
        <v>0.46363575569756044</v>
      </c>
      <c r="BA168" s="93">
        <f t="shared" si="196"/>
        <v>0.53045306027123285</v>
      </c>
      <c r="BB168" s="674">
        <f t="shared" si="196"/>
        <v>0.46848413379457832</v>
      </c>
      <c r="BC168" s="93">
        <f t="shared" si="196"/>
        <v>0.56049364540684887</v>
      </c>
      <c r="BD168" s="93">
        <f t="shared" si="196"/>
        <v>0.56916678453277247</v>
      </c>
      <c r="BE168" s="93">
        <f t="shared" si="196"/>
        <v>0.60095622472561605</v>
      </c>
      <c r="BF168" s="674">
        <f t="shared" si="196"/>
        <v>0.45286287433322325</v>
      </c>
      <c r="BG168" s="93">
        <f t="shared" si="196"/>
        <v>0.51543932814549076</v>
      </c>
      <c r="BH168" s="93">
        <f t="shared" si="196"/>
        <v>0.5232249528062497</v>
      </c>
      <c r="BI168" s="93">
        <f t="shared" si="196"/>
        <v>0.5394049781331488</v>
      </c>
      <c r="BJ168" s="674">
        <f t="shared" si="196"/>
        <v>0.46089814541342994</v>
      </c>
      <c r="BK168" s="93">
        <f t="shared" si="196"/>
        <v>0.55834179790207272</v>
      </c>
      <c r="BL168" s="93">
        <f t="shared" si="196"/>
        <v>0.50193402784463981</v>
      </c>
      <c r="BM168" s="93">
        <f t="shared" si="196"/>
        <v>0.50231648662006023</v>
      </c>
      <c r="BN168" s="674">
        <f t="shared" si="196"/>
        <v>0.4115469931082178</v>
      </c>
      <c r="BO168" s="93">
        <f t="shared" si="196"/>
        <v>0.49796607514143421</v>
      </c>
      <c r="BP168" s="93">
        <f t="shared" si="196"/>
        <v>0.47364584811903937</v>
      </c>
      <c r="BQ168" s="93">
        <f t="shared" si="196"/>
        <v>0.52980626838828559</v>
      </c>
    </row>
    <row r="169" spans="1:101" s="382" customFormat="1" outlineLevel="1">
      <c r="H169" s="570"/>
      <c r="I169" s="570"/>
      <c r="J169" s="229" t="s">
        <v>533</v>
      </c>
      <c r="K169" s="28"/>
      <c r="L169" s="28"/>
      <c r="M169" s="28"/>
      <c r="N169" s="174"/>
      <c r="O169" s="174"/>
      <c r="P169" s="174"/>
      <c r="Q169" s="174"/>
      <c r="R169" s="174"/>
      <c r="S169" s="174"/>
      <c r="T169" s="174"/>
      <c r="U169" s="174"/>
      <c r="V169" s="174"/>
      <c r="W169" s="174"/>
      <c r="X169" s="174"/>
      <c r="Y169" s="174"/>
      <c r="Z169" s="174"/>
      <c r="AA169" s="174"/>
      <c r="AB169" s="174"/>
      <c r="AC169" s="174"/>
      <c r="AD169" s="174"/>
      <c r="AE169" s="28"/>
      <c r="AF169" s="28"/>
      <c r="AG169" s="96"/>
      <c r="AH169" s="61"/>
      <c r="AI169" s="61"/>
      <c r="AJ169" s="61"/>
      <c r="AK169" s="61"/>
      <c r="AL169" s="1774"/>
      <c r="AM169" s="71"/>
      <c r="AN169" s="71"/>
      <c r="AO169" s="71"/>
      <c r="AP169" s="1718"/>
      <c r="AQ169" s="178"/>
      <c r="AR169" s="178"/>
      <c r="AS169" s="178"/>
      <c r="AT169" s="1718"/>
      <c r="AU169" s="178"/>
      <c r="AV169" s="178"/>
      <c r="AW169" s="178"/>
      <c r="AX169" s="1718"/>
      <c r="AY169" s="178"/>
      <c r="AZ169" s="46"/>
      <c r="BA169" s="46"/>
      <c r="BB169" s="746"/>
      <c r="BC169" s="46"/>
      <c r="BD169" s="46"/>
      <c r="BE169" s="46"/>
      <c r="BF169" s="746"/>
      <c r="BG169" s="46"/>
      <c r="BH169" s="46"/>
      <c r="BI169" s="46"/>
      <c r="BJ169" s="746"/>
      <c r="BK169" s="46"/>
      <c r="BL169" s="46"/>
      <c r="BM169" s="46"/>
      <c r="BN169" s="746"/>
      <c r="BO169" s="46"/>
      <c r="BP169" s="46"/>
      <c r="BQ169" s="46"/>
      <c r="CR169"/>
      <c r="CS169"/>
      <c r="CT169"/>
      <c r="CU169"/>
      <c r="CV169"/>
      <c r="CW169"/>
    </row>
    <row r="170" spans="1:101" s="382" customFormat="1" outlineLevel="1">
      <c r="H170" s="570"/>
      <c r="I170" s="570"/>
      <c r="J170" s="1476" t="s">
        <v>669</v>
      </c>
      <c r="K170" s="28"/>
      <c r="L170" s="28"/>
      <c r="M170" s="28"/>
      <c r="N170" s="174"/>
      <c r="O170" s="85">
        <f>O161/N161-1</f>
        <v>1.9571428571428573</v>
      </c>
      <c r="P170" s="85">
        <f t="shared" ref="P170:AD170" si="197">P161/O161-1</f>
        <v>1.7836497584541071</v>
      </c>
      <c r="Q170" s="85">
        <f t="shared" si="197"/>
        <v>2.0215553035279306</v>
      </c>
      <c r="R170" s="85">
        <f t="shared" si="197"/>
        <v>0.9654614095838947</v>
      </c>
      <c r="S170" s="85">
        <f t="shared" si="197"/>
        <v>0.95368205727644662</v>
      </c>
      <c r="T170" s="85">
        <f t="shared" si="197"/>
        <v>0.8157953780569891</v>
      </c>
      <c r="U170" s="85">
        <f t="shared" si="197"/>
        <v>0.45620948144487117</v>
      </c>
      <c r="V170" s="85">
        <f t="shared" si="197"/>
        <v>0.43726424686984577</v>
      </c>
      <c r="W170" s="85">
        <f t="shared" si="197"/>
        <v>0.3069264019131952</v>
      </c>
      <c r="X170" s="85">
        <f t="shared" si="197"/>
        <v>0.28546762174745854</v>
      </c>
      <c r="Y170" s="85">
        <f t="shared" si="197"/>
        <v>0.24995170420843316</v>
      </c>
      <c r="Z170" s="85">
        <f t="shared" si="197"/>
        <v>0.17941043576072024</v>
      </c>
      <c r="AA170" s="85">
        <f t="shared" si="197"/>
        <v>0.1109826136301868</v>
      </c>
      <c r="AB170" s="85">
        <f t="shared" si="197"/>
        <v>0.10990612768808283</v>
      </c>
      <c r="AC170" s="85">
        <f t="shared" si="197"/>
        <v>0.10081050982431639</v>
      </c>
      <c r="AD170" s="85">
        <f t="shared" si="197"/>
        <v>0.10788752688557146</v>
      </c>
      <c r="AE170" s="28"/>
      <c r="AF170" s="28"/>
      <c r="AG170" s="96"/>
      <c r="AH170" s="61"/>
      <c r="AI170" s="61"/>
      <c r="AJ170" s="61"/>
      <c r="AK170" s="61"/>
      <c r="AL170" s="1774"/>
      <c r="AM170" s="71"/>
      <c r="AN170" s="71"/>
      <c r="AO170" s="71"/>
      <c r="AP170" s="1718"/>
      <c r="AQ170" s="178"/>
      <c r="AR170" s="178"/>
      <c r="AS170" s="178"/>
      <c r="AT170" s="746">
        <f>AT161/AP161-1</f>
        <v>1.4748322147651005</v>
      </c>
      <c r="AU170" s="46">
        <f t="shared" ref="AU170:BQ172" si="198">AU161/AQ161-1</f>
        <v>0.95626952141057742</v>
      </c>
      <c r="AV170" s="46">
        <f t="shared" si="198"/>
        <v>0.88047139830508514</v>
      </c>
      <c r="AW170" s="46">
        <f t="shared" si="198"/>
        <v>0.77632724107919926</v>
      </c>
      <c r="AX170" s="746">
        <f t="shared" si="198"/>
        <v>0.53315118644067683</v>
      </c>
      <c r="AY170" s="46">
        <f t="shared" si="198"/>
        <v>1.0313356656052579</v>
      </c>
      <c r="AZ170" s="46">
        <f t="shared" si="198"/>
        <v>0.99644371086631223</v>
      </c>
      <c r="BA170" s="46">
        <f t="shared" si="198"/>
        <v>1.1608182263596283</v>
      </c>
      <c r="BB170" s="746">
        <f t="shared" si="198"/>
        <v>0.97470414318930443</v>
      </c>
      <c r="BC170" s="46">
        <f t="shared" si="198"/>
        <v>0.87292427903014258</v>
      </c>
      <c r="BD170" s="46">
        <f t="shared" si="198"/>
        <v>0.71965484364211751</v>
      </c>
      <c r="BE170" s="46">
        <f t="shared" si="198"/>
        <v>0.77066570224228648</v>
      </c>
      <c r="BF170" s="746">
        <f t="shared" si="198"/>
        <v>0.57511926750137299</v>
      </c>
      <c r="BG170" s="46">
        <f t="shared" si="198"/>
        <v>0.49668254786145427</v>
      </c>
      <c r="BH170" s="46">
        <f t="shared" si="198"/>
        <v>0.41705256193877571</v>
      </c>
      <c r="BI170" s="46">
        <f t="shared" si="198"/>
        <v>0.38821235841575019</v>
      </c>
      <c r="BJ170" s="746">
        <f t="shared" si="198"/>
        <v>0.53891203098165397</v>
      </c>
      <c r="BK170" s="46">
        <f t="shared" si="198"/>
        <v>0.42999606655003886</v>
      </c>
      <c r="BL170" s="46">
        <f t="shared" si="198"/>
        <v>0.5032930544624501</v>
      </c>
      <c r="BM170" s="46">
        <f t="shared" si="198"/>
        <v>0.32463883489951062</v>
      </c>
      <c r="BN170" s="746">
        <f t="shared" si="198"/>
        <v>0.23726450350944228</v>
      </c>
      <c r="BO170" s="46">
        <f t="shared" si="198"/>
        <v>0.29690547203212558</v>
      </c>
      <c r="BP170" s="46">
        <f t="shared" si="198"/>
        <v>0.19339217953703902</v>
      </c>
      <c r="BQ170" s="46">
        <f t="shared" si="198"/>
        <v>0.47090964575483452</v>
      </c>
      <c r="CR170"/>
      <c r="CS170"/>
      <c r="CT170"/>
      <c r="CU170"/>
      <c r="CV170"/>
      <c r="CW170"/>
    </row>
    <row r="171" spans="1:101" outlineLevel="1">
      <c r="I171" s="566"/>
      <c r="J171" s="1499" t="s">
        <v>653</v>
      </c>
      <c r="K171" s="28"/>
      <c r="L171" s="28"/>
      <c r="M171" s="28"/>
      <c r="N171" s="79"/>
      <c r="O171" s="85">
        <f t="shared" ref="O171:AD172" si="199">O162/N162-1</f>
        <v>2.1259842519685042</v>
      </c>
      <c r="P171" s="85">
        <f t="shared" si="199"/>
        <v>1.2959269521410586</v>
      </c>
      <c r="Q171" s="85">
        <f t="shared" si="199"/>
        <v>1.6727475992421104</v>
      </c>
      <c r="R171" s="85">
        <f t="shared" si="199"/>
        <v>0.85619687344530404</v>
      </c>
      <c r="S171" s="85">
        <f t="shared" si="199"/>
        <v>0.52985404688191062</v>
      </c>
      <c r="T171" s="85">
        <f t="shared" si="199"/>
        <v>0.54856895056374677</v>
      </c>
      <c r="U171" s="85">
        <f t="shared" si="199"/>
        <v>0.60971763278260038</v>
      </c>
      <c r="V171" s="85">
        <f t="shared" si="199"/>
        <v>0.45170112563681708</v>
      </c>
      <c r="W171" s="85">
        <f t="shared" si="199"/>
        <v>0.3662142052950359</v>
      </c>
      <c r="X171" s="85">
        <f t="shared" si="199"/>
        <v>0.26659245720240365</v>
      </c>
      <c r="Y171" s="85">
        <f t="shared" si="199"/>
        <v>0.21849645411139673</v>
      </c>
      <c r="Z171" s="85">
        <f t="shared" si="199"/>
        <v>0.14434253541438835</v>
      </c>
      <c r="AA171" s="85">
        <f t="shared" si="199"/>
        <v>0.10101894116206855</v>
      </c>
      <c r="AB171" s="85">
        <f t="shared" si="199"/>
        <v>0.10046845811288341</v>
      </c>
      <c r="AC171" s="85">
        <f t="shared" si="199"/>
        <v>9.9942054405752101E-2</v>
      </c>
      <c r="AD171" s="85">
        <f t="shared" si="199"/>
        <v>9.943818393055448E-2</v>
      </c>
      <c r="AE171" s="11"/>
      <c r="AF171" s="11"/>
      <c r="AG171" s="95"/>
      <c r="AH171" s="93"/>
      <c r="AI171" s="93"/>
      <c r="AJ171" s="93"/>
      <c r="AK171" s="93"/>
      <c r="AL171" s="674"/>
      <c r="AM171" s="93"/>
      <c r="AN171" s="93"/>
      <c r="AO171" s="93"/>
      <c r="AP171" s="674"/>
      <c r="AQ171" s="93"/>
      <c r="AR171" s="93"/>
      <c r="AS171" s="93"/>
      <c r="AT171" s="746">
        <f>AT162/AP162-1</f>
        <v>1.3304347826086955</v>
      </c>
      <c r="AU171" s="46">
        <f t="shared" si="198"/>
        <v>0.8230659340659312</v>
      </c>
      <c r="AV171" s="46">
        <f t="shared" si="198"/>
        <v>0.7711360946745569</v>
      </c>
      <c r="AW171" s="46">
        <f t="shared" si="198"/>
        <v>0.66490066225165556</v>
      </c>
      <c r="AX171" s="746">
        <f t="shared" si="198"/>
        <v>0.29238712686567014</v>
      </c>
      <c r="AY171" s="46">
        <f t="shared" si="198"/>
        <v>0.5679037647403975</v>
      </c>
      <c r="AZ171" s="46">
        <f t="shared" si="198"/>
        <v>0.58765810732254686</v>
      </c>
      <c r="BA171" s="46">
        <f t="shared" si="198"/>
        <v>0.64742243436754277</v>
      </c>
      <c r="BB171" s="746">
        <f t="shared" si="198"/>
        <v>0.71319920978116369</v>
      </c>
      <c r="BC171" s="46">
        <f t="shared" si="198"/>
        <v>0.66418591359418389</v>
      </c>
      <c r="BD171" s="46">
        <f t="shared" si="198"/>
        <v>0.38130838073233542</v>
      </c>
      <c r="BE171" s="46">
        <f t="shared" si="198"/>
        <v>0.50479763957098878</v>
      </c>
      <c r="BF171" s="746">
        <f t="shared" si="198"/>
        <v>0.62141204693593632</v>
      </c>
      <c r="BG171" s="46">
        <f t="shared" si="198"/>
        <v>0.65010924953749494</v>
      </c>
      <c r="BH171" s="46">
        <f t="shared" si="198"/>
        <v>0.56815973754878013</v>
      </c>
      <c r="BI171" s="46">
        <f t="shared" si="198"/>
        <v>0.6023397461611304</v>
      </c>
      <c r="BJ171" s="746">
        <f t="shared" si="198"/>
        <v>0.5163115259940616</v>
      </c>
      <c r="BK171" s="46">
        <f t="shared" si="198"/>
        <v>0.30338578519477721</v>
      </c>
      <c r="BL171" s="46">
        <f t="shared" si="198"/>
        <v>0.57042429341099954</v>
      </c>
      <c r="BM171" s="46">
        <f t="shared" si="198"/>
        <v>0.43130272368179168</v>
      </c>
      <c r="BN171" s="746">
        <f t="shared" si="198"/>
        <v>0.35052775503610167</v>
      </c>
      <c r="BO171" s="46">
        <f t="shared" si="198"/>
        <v>0.4741955231490862</v>
      </c>
      <c r="BP171" s="46">
        <f t="shared" si="198"/>
        <v>0.26117214111879417</v>
      </c>
      <c r="BQ171" s="46">
        <f t="shared" si="198"/>
        <v>0.38966326311304278</v>
      </c>
    </row>
    <row r="172" spans="1:101" outlineLevel="1">
      <c r="J172" s="1499" t="s">
        <v>654</v>
      </c>
      <c r="K172" s="28"/>
      <c r="L172" s="28"/>
      <c r="M172" s="28"/>
      <c r="N172" s="79"/>
      <c r="O172" s="85">
        <f t="shared" si="199"/>
        <v>0.30769230769230771</v>
      </c>
      <c r="P172" s="85">
        <f t="shared" si="199"/>
        <v>13.173411764705882</v>
      </c>
      <c r="Q172" s="85">
        <f t="shared" si="199"/>
        <v>3.3410611418231317</v>
      </c>
      <c r="R172" s="85">
        <f t="shared" si="199"/>
        <v>1.2199489469105234</v>
      </c>
      <c r="S172" s="85">
        <f t="shared" si="199"/>
        <v>1.7790697674418605</v>
      </c>
      <c r="T172" s="85">
        <f t="shared" si="199"/>
        <v>1.1022780102278009</v>
      </c>
      <c r="U172" s="85">
        <f t="shared" si="199"/>
        <v>0.33498488869232079</v>
      </c>
      <c r="V172" s="85">
        <f t="shared" si="199"/>
        <v>0.42351730952454969</v>
      </c>
      <c r="W172" s="85">
        <f t="shared" si="199"/>
        <v>0.24935424970122422</v>
      </c>
      <c r="X172" s="85">
        <f t="shared" si="199"/>
        <v>0.30551100586268665</v>
      </c>
      <c r="Y172" s="85">
        <f t="shared" si="199"/>
        <v>0.28235803088829536</v>
      </c>
      <c r="Z172" s="85">
        <f t="shared" si="199"/>
        <v>0.21373945536087713</v>
      </c>
      <c r="AA172" s="85">
        <f t="shared" si="199"/>
        <v>0.12017867055055054</v>
      </c>
      <c r="AB172" s="85">
        <f t="shared" si="199"/>
        <v>0.11846771849838178</v>
      </c>
      <c r="AC172" s="85">
        <f t="shared" si="199"/>
        <v>0.10158566985981032</v>
      </c>
      <c r="AD172" s="85">
        <f t="shared" si="199"/>
        <v>0.11541793150654511</v>
      </c>
      <c r="AE172" s="11"/>
      <c r="AF172" s="11"/>
      <c r="AG172" s="95"/>
      <c r="AH172" s="93"/>
      <c r="AI172" s="93"/>
      <c r="AJ172" s="93"/>
      <c r="AK172" s="93"/>
      <c r="AL172" s="674"/>
      <c r="AM172" s="93"/>
      <c r="AN172" s="93"/>
      <c r="AO172" s="93"/>
      <c r="AP172" s="674"/>
      <c r="AQ172" s="93"/>
      <c r="AR172" s="93"/>
      <c r="AS172" s="93"/>
      <c r="AT172" s="746">
        <f>AT163/AP163-1</f>
        <v>1.9632352941176472</v>
      </c>
      <c r="AU172" s="46">
        <f t="shared" si="198"/>
        <v>1.2495322580645163</v>
      </c>
      <c r="AV172" s="46">
        <f t="shared" si="198"/>
        <v>1.1562574626865669</v>
      </c>
      <c r="AW172" s="46">
        <f t="shared" si="198"/>
        <v>0.98984771573604058</v>
      </c>
      <c r="AX172" s="746">
        <f t="shared" si="198"/>
        <v>1.1735955334987591</v>
      </c>
      <c r="AY172" s="46">
        <f t="shared" si="198"/>
        <v>1.8582052899885997</v>
      </c>
      <c r="AZ172" s="46">
        <f t="shared" si="198"/>
        <v>1.8433957399238943</v>
      </c>
      <c r="BA172" s="46">
        <f t="shared" si="198"/>
        <v>1.9839540816326533</v>
      </c>
      <c r="BB172" s="746">
        <f t="shared" si="198"/>
        <v>1.3883069869708518</v>
      </c>
      <c r="BC172" s="46">
        <f t="shared" si="198"/>
        <v>1.0772294576453372</v>
      </c>
      <c r="BD172" s="46">
        <f t="shared" si="198"/>
        <v>1.1110762184193246</v>
      </c>
      <c r="BE172" s="46">
        <f t="shared" si="198"/>
        <v>1.0060070444811107</v>
      </c>
      <c r="BF172" s="746">
        <f t="shared" si="198"/>
        <v>0.52259807204289999</v>
      </c>
      <c r="BG172" s="46">
        <f t="shared" si="198"/>
        <v>0.37637429654855947</v>
      </c>
      <c r="BH172" s="46">
        <f t="shared" si="198"/>
        <v>0.30267134343237379</v>
      </c>
      <c r="BI172" s="46">
        <f t="shared" si="198"/>
        <v>0.24602862242970347</v>
      </c>
      <c r="BJ172" s="746">
        <f t="shared" si="198"/>
        <v>0.56621737226346158</v>
      </c>
      <c r="BK172" s="46">
        <f t="shared" si="198"/>
        <v>0.54902144867974134</v>
      </c>
      <c r="BL172" s="46">
        <f t="shared" si="198"/>
        <v>0.44212146957108245</v>
      </c>
      <c r="BM172" s="46">
        <f t="shared" si="198"/>
        <v>0.23355911154191333</v>
      </c>
      <c r="BN172" s="746">
        <f t="shared" si="198"/>
        <v>0.10478310916632672</v>
      </c>
      <c r="BO172" s="46">
        <f t="shared" si="198"/>
        <v>0.15666591712081668</v>
      </c>
      <c r="BP172" s="46">
        <f t="shared" si="198"/>
        <v>0.1261345508744951</v>
      </c>
      <c r="BQ172" s="46">
        <f t="shared" si="198"/>
        <v>0.55140667549529399</v>
      </c>
    </row>
    <row r="173" spans="1:101" outlineLevel="1">
      <c r="J173" s="59"/>
      <c r="K173" s="28"/>
      <c r="L173" s="28"/>
      <c r="M173" s="28"/>
      <c r="N173" s="79"/>
      <c r="O173" s="79"/>
      <c r="P173" s="79"/>
      <c r="Q173" s="79"/>
      <c r="R173" s="79"/>
      <c r="S173" s="79"/>
      <c r="T173" s="79"/>
      <c r="U173" s="79"/>
      <c r="V173" s="79"/>
      <c r="W173" s="79"/>
      <c r="X173" s="79"/>
      <c r="Y173" s="79"/>
      <c r="Z173" s="79"/>
      <c r="AA173" s="79"/>
      <c r="AB173" s="79"/>
      <c r="AC173" s="79"/>
      <c r="AD173" s="79"/>
      <c r="AE173" s="11"/>
      <c r="AF173" s="11"/>
      <c r="AG173" s="95"/>
      <c r="AH173" s="93"/>
      <c r="AI173" s="93"/>
      <c r="AJ173" s="93"/>
      <c r="AK173" s="93"/>
      <c r="AL173" s="674"/>
      <c r="AM173" s="93"/>
      <c r="AN173" s="93"/>
      <c r="AO173" s="93"/>
      <c r="AP173" s="674"/>
      <c r="AQ173" s="93"/>
      <c r="AR173" s="93"/>
      <c r="AS173" s="93"/>
      <c r="AT173" s="674"/>
      <c r="AU173" s="93"/>
      <c r="AV173" s="93"/>
      <c r="AW173" s="93"/>
      <c r="AX173" s="674"/>
      <c r="AY173" s="93"/>
      <c r="AZ173" s="93"/>
      <c r="BA173" s="93"/>
      <c r="BB173" s="674"/>
      <c r="BC173" s="93"/>
      <c r="BD173" s="93"/>
      <c r="BE173" s="93"/>
      <c r="BF173" s="674"/>
      <c r="BG173" s="93"/>
      <c r="BH173" s="93"/>
      <c r="BI173" s="93"/>
      <c r="BJ173" s="674"/>
      <c r="BK173" s="93"/>
      <c r="BL173" s="93"/>
      <c r="BM173" s="93"/>
      <c r="BN173" s="674"/>
      <c r="BO173" s="93"/>
      <c r="BP173" s="93"/>
      <c r="BQ173" s="93"/>
    </row>
    <row r="174" spans="1:101" s="382" customFormat="1" outlineLevel="1">
      <c r="H174" s="570"/>
      <c r="I174" s="570"/>
      <c r="J174" s="229" t="s">
        <v>318</v>
      </c>
      <c r="K174" s="28"/>
      <c r="L174" s="28"/>
      <c r="M174" s="28"/>
      <c r="N174" s="174"/>
      <c r="O174" s="174"/>
      <c r="P174" s="174"/>
      <c r="Q174" s="174"/>
      <c r="R174" s="174"/>
      <c r="S174" s="174"/>
      <c r="T174" s="174"/>
      <c r="U174" s="174"/>
      <c r="V174" s="174"/>
      <c r="W174" s="174"/>
      <c r="X174" s="174"/>
      <c r="Y174" s="174"/>
      <c r="Z174" s="174"/>
      <c r="AA174" s="174"/>
      <c r="AB174" s="174"/>
      <c r="AC174" s="174"/>
      <c r="AD174" s="174"/>
      <c r="AE174" s="28"/>
      <c r="AF174" s="28"/>
      <c r="AG174" s="96"/>
      <c r="AH174" s="61"/>
      <c r="AI174" s="61"/>
      <c r="AJ174" s="61"/>
      <c r="AK174" s="61"/>
      <c r="AL174" s="1774"/>
      <c r="AM174" s="71"/>
      <c r="AN174" s="71"/>
      <c r="AO174" s="71"/>
      <c r="AP174" s="1718"/>
      <c r="AQ174" s="178"/>
      <c r="AR174" s="178"/>
      <c r="AS174" s="178"/>
      <c r="AT174" s="1718"/>
      <c r="AU174" s="178"/>
      <c r="AV174" s="178"/>
      <c r="AW174" s="178"/>
      <c r="AX174" s="1718"/>
      <c r="AY174" s="178"/>
      <c r="AZ174" s="46"/>
      <c r="BA174" s="46"/>
      <c r="BB174" s="746"/>
      <c r="BC174" s="46"/>
      <c r="BD174" s="46"/>
      <c r="BE174" s="46"/>
      <c r="BF174" s="746"/>
      <c r="BG174" s="46"/>
      <c r="BH174" s="46"/>
      <c r="BI174" s="46"/>
      <c r="BJ174" s="746"/>
      <c r="BK174" s="46"/>
      <c r="BL174" s="46"/>
      <c r="BM174" s="46"/>
      <c r="BN174" s="746"/>
      <c r="BO174" s="46"/>
      <c r="BP174" s="46"/>
      <c r="BQ174" s="46"/>
      <c r="CR174"/>
      <c r="CS174"/>
      <c r="CT174"/>
      <c r="CU174"/>
      <c r="CV174"/>
      <c r="CW174"/>
    </row>
    <row r="175" spans="1:101" outlineLevel="1">
      <c r="J175" s="59" t="s">
        <v>656</v>
      </c>
      <c r="K175" s="11"/>
      <c r="L175" s="11"/>
      <c r="M175" s="11"/>
      <c r="N175" s="77">
        <f t="shared" ref="N175:AD175" si="200">N161/N119</f>
        <v>4.7961630695443645E-2</v>
      </c>
      <c r="O175" s="77">
        <f t="shared" si="200"/>
        <v>4.8234882908074102E-2</v>
      </c>
      <c r="P175" s="77">
        <f t="shared" si="200"/>
        <v>5.4542724987066346E-2</v>
      </c>
      <c r="Q175" s="77">
        <f t="shared" si="200"/>
        <v>8.4149109674090311E-2</v>
      </c>
      <c r="R175" s="77">
        <f t="shared" si="200"/>
        <v>9.8702047880011537E-2</v>
      </c>
      <c r="S175" s="77">
        <f t="shared" si="200"/>
        <v>0.11626754317316221</v>
      </c>
      <c r="T175" s="77">
        <f t="shared" si="200"/>
        <v>0.13392576411987622</v>
      </c>
      <c r="U175" s="77">
        <f t="shared" si="200"/>
        <v>0.13688225349320321</v>
      </c>
      <c r="V175" s="77">
        <f t="shared" si="200"/>
        <v>0.14024418903124888</v>
      </c>
      <c r="W175" s="77">
        <f t="shared" si="200"/>
        <v>0.14310711861981407</v>
      </c>
      <c r="X175" s="77">
        <f t="shared" si="200"/>
        <v>0.14801770297177455</v>
      </c>
      <c r="Y175" s="77">
        <f t="shared" si="200"/>
        <v>0.15428178743341978</v>
      </c>
      <c r="Z175" s="77">
        <f t="shared" si="200"/>
        <v>0.16125963965942566</v>
      </c>
      <c r="AA175" s="77">
        <f t="shared" si="200"/>
        <v>0.16566656656159132</v>
      </c>
      <c r="AB175" s="77">
        <f t="shared" si="200"/>
        <v>0.17003269458403386</v>
      </c>
      <c r="AC175" s="77">
        <f t="shared" si="200"/>
        <v>0.17308746884841184</v>
      </c>
      <c r="AD175" s="77">
        <f t="shared" si="200"/>
        <v>0.17733364573026247</v>
      </c>
      <c r="AE175" s="77"/>
      <c r="AF175" s="77"/>
      <c r="AG175" s="99"/>
      <c r="AH175" s="346"/>
      <c r="AI175" s="346"/>
      <c r="AJ175" s="346"/>
      <c r="AK175" s="346"/>
      <c r="AL175" s="678"/>
      <c r="AM175" s="345"/>
      <c r="AN175" s="345"/>
      <c r="AO175" s="345"/>
      <c r="AP175" s="678">
        <f t="shared" ref="AP175:BQ175" si="201">AP161/AP119</f>
        <v>7.5062972292191429E-2</v>
      </c>
      <c r="AQ175" s="345">
        <f t="shared" si="201"/>
        <v>8.1444250692378706E-2</v>
      </c>
      <c r="AR175" s="345">
        <f t="shared" si="201"/>
        <v>8.4907357438388203E-2</v>
      </c>
      <c r="AS175" s="345">
        <f t="shared" si="201"/>
        <v>9.1379036106250991E-2</v>
      </c>
      <c r="AT175" s="678">
        <f t="shared" si="201"/>
        <v>0.10746812386156648</v>
      </c>
      <c r="AU175" s="345">
        <f t="shared" si="201"/>
        <v>8.8996918954417706E-2</v>
      </c>
      <c r="AV175" s="345">
        <f t="shared" si="201"/>
        <v>9.8409691971369284E-2</v>
      </c>
      <c r="AW175" s="345">
        <f t="shared" si="201"/>
        <v>0.10142118863049096</v>
      </c>
      <c r="AX175" s="678">
        <f t="shared" si="201"/>
        <v>9.9808292348959771E-2</v>
      </c>
      <c r="AY175" s="345">
        <f t="shared" si="201"/>
        <v>0.11027314650585317</v>
      </c>
      <c r="AZ175" s="345">
        <f t="shared" si="201"/>
        <v>0.12215692242965775</v>
      </c>
      <c r="BA175" s="345">
        <f t="shared" si="201"/>
        <v>0.12702257784897075</v>
      </c>
      <c r="BB175" s="678">
        <f t="shared" si="201"/>
        <v>0.12187559829505958</v>
      </c>
      <c r="BC175" s="345">
        <f t="shared" si="201"/>
        <v>0.12866697016616216</v>
      </c>
      <c r="BD175" s="345">
        <f t="shared" si="201"/>
        <v>0.13816516153311659</v>
      </c>
      <c r="BE175" s="345">
        <f t="shared" si="201"/>
        <v>0.14300300967578786</v>
      </c>
      <c r="BF175" s="675">
        <f t="shared" si="201"/>
        <v>0.13072069609369086</v>
      </c>
      <c r="BG175" s="77">
        <f t="shared" si="201"/>
        <v>0.13628768446460535</v>
      </c>
      <c r="BH175" s="77">
        <f t="shared" si="201"/>
        <v>0.14352122957320668</v>
      </c>
      <c r="BI175" s="77">
        <f t="shared" si="201"/>
        <v>0.13651247971191147</v>
      </c>
      <c r="BJ175" s="675">
        <f t="shared" si="201"/>
        <v>0.14390749673346945</v>
      </c>
      <c r="BK175" s="77">
        <f t="shared" si="201"/>
        <v>0.13570333675868995</v>
      </c>
      <c r="BL175" s="77">
        <f t="shared" si="201"/>
        <v>0.15502483705003275</v>
      </c>
      <c r="BM175" s="77">
        <f t="shared" si="201"/>
        <v>0.13034856318776281</v>
      </c>
      <c r="BN175" s="675">
        <f t="shared" si="201"/>
        <v>0.13585126923762023</v>
      </c>
      <c r="BO175" s="77">
        <f t="shared" si="201"/>
        <v>0.13626591253337419</v>
      </c>
      <c r="BP175" s="77">
        <f t="shared" si="201"/>
        <v>0.1501516426441154</v>
      </c>
      <c r="BQ175" s="77">
        <f t="shared" si="201"/>
        <v>0.14882800504145649</v>
      </c>
    </row>
    <row r="176" spans="1:101" s="382" customFormat="1" outlineLevel="1">
      <c r="H176" s="570"/>
      <c r="I176" s="570"/>
      <c r="J176" s="228" t="s">
        <v>655</v>
      </c>
      <c r="K176" s="28"/>
      <c r="L176" s="28"/>
      <c r="M176" s="28"/>
      <c r="N176" s="174"/>
      <c r="O176" s="174"/>
      <c r="P176" s="174"/>
      <c r="Q176" s="174"/>
      <c r="R176" s="174"/>
      <c r="S176" s="174"/>
      <c r="T176" s="174"/>
      <c r="U176" s="174"/>
      <c r="V176" s="174"/>
      <c r="W176" s="174"/>
      <c r="X176" s="174"/>
      <c r="Y176" s="174"/>
      <c r="Z176" s="174"/>
      <c r="AA176" s="174"/>
      <c r="AB176" s="174"/>
      <c r="AC176" s="174"/>
      <c r="AD176" s="174"/>
      <c r="AE176" s="28"/>
      <c r="AF176" s="28"/>
      <c r="AG176" s="96"/>
      <c r="AH176" s="61"/>
      <c r="AI176" s="61"/>
      <c r="AJ176" s="61"/>
      <c r="AK176" s="61"/>
      <c r="AL176" s="1774"/>
      <c r="AM176" s="71"/>
      <c r="AN176" s="71"/>
      <c r="AO176" s="71"/>
      <c r="AP176" s="1718"/>
      <c r="AQ176" s="178"/>
      <c r="AR176" s="178"/>
      <c r="AS176" s="178"/>
      <c r="AT176" s="1718"/>
      <c r="AU176" s="178"/>
      <c r="AV176" s="178"/>
      <c r="AW176" s="178"/>
      <c r="AX176" s="1718"/>
      <c r="AY176" s="178"/>
      <c r="AZ176" s="46"/>
      <c r="BA176" s="46"/>
      <c r="BB176" s="746"/>
      <c r="BC176" s="46"/>
      <c r="BD176" s="46"/>
      <c r="BE176" s="46"/>
      <c r="BF176" s="746"/>
      <c r="BG176" s="46"/>
      <c r="BH176" s="46"/>
      <c r="BI176" s="46"/>
      <c r="BJ176" s="746"/>
      <c r="BK176" s="46"/>
      <c r="BL176" s="46"/>
      <c r="BM176" s="46"/>
      <c r="BN176" s="746"/>
      <c r="BO176" s="46"/>
      <c r="BP176" s="46"/>
      <c r="BQ176" s="46"/>
      <c r="CR176"/>
      <c r="CS176"/>
      <c r="CT176"/>
      <c r="CU176"/>
      <c r="CV176"/>
      <c r="CW176"/>
    </row>
    <row r="177" spans="1:101" outlineLevel="1">
      <c r="I177" s="566"/>
      <c r="J177" s="195" t="s">
        <v>657</v>
      </c>
      <c r="K177" s="63"/>
      <c r="L177" s="63"/>
      <c r="M177" s="63"/>
      <c r="N177" s="48">
        <f t="shared" ref="N177:V177" si="202">N178</f>
        <v>4.3702684101858222E-2</v>
      </c>
      <c r="O177" s="48">
        <f t="shared" si="202"/>
        <v>4.6346019145458793E-2</v>
      </c>
      <c r="P177" s="48">
        <f t="shared" si="202"/>
        <v>4.3636658368286008E-2</v>
      </c>
      <c r="Q177" s="48">
        <f t="shared" si="202"/>
        <v>6.0398936881682332E-2</v>
      </c>
      <c r="R177" s="48">
        <f t="shared" si="202"/>
        <v>6.7474409860037596E-2</v>
      </c>
      <c r="S177" s="301">
        <f t="shared" si="202"/>
        <v>6.3731586656717243E-2</v>
      </c>
      <c r="T177" s="301">
        <f t="shared" si="202"/>
        <v>6.3873933496699883E-2</v>
      </c>
      <c r="U177" s="301">
        <f t="shared" si="202"/>
        <v>7.2474748977522527E-2</v>
      </c>
      <c r="V177" s="301">
        <f t="shared" si="202"/>
        <v>7.5444865554044005E-2</v>
      </c>
      <c r="W177" s="865">
        <f>CHOOSE(Scenario!$J$72,W178,Scenario!W24,Scenario!W35,Scenario!W46)</f>
        <v>8.144486555404401E-2</v>
      </c>
      <c r="X177" s="865">
        <f>CHOOSE(Scenario!$J$72,X178,Scenario!X24,Scenario!X35,Scenario!X46)</f>
        <v>8.3444865554044012E-2</v>
      </c>
      <c r="Y177" s="865">
        <f>CHOOSE(Scenario!$J$72,Y178,Scenario!Y24,Scenario!Y35,Scenario!Y46)</f>
        <v>8.5444865554044014E-2</v>
      </c>
      <c r="Z177" s="865">
        <f>CHOOSE(Scenario!$J$72,Z178,Scenario!Z24,Scenario!Z35,Scenario!Z46)</f>
        <v>8.7444865554044016E-2</v>
      </c>
      <c r="AA177" s="865">
        <f>CHOOSE(Scenario!$J$72,AA178,Scenario!AA24,Scenario!AA35,Scenario!AA46)</f>
        <v>8.9444865554044017E-2</v>
      </c>
      <c r="AB177" s="865">
        <f>CHOOSE(Scenario!$J$72,AB178,Scenario!AB24,Scenario!AB35,Scenario!AB46)</f>
        <v>9.1444865554044019E-2</v>
      </c>
      <c r="AC177" s="865">
        <f>CHOOSE(Scenario!$J$72,AC178,Scenario!AC24,Scenario!AC35,Scenario!AC46)</f>
        <v>9.3444865554044021E-2</v>
      </c>
      <c r="AD177" s="865">
        <f>CHOOSE(Scenario!$J$72,AD178,Scenario!AD24,Scenario!AD35,Scenario!AD46)</f>
        <v>9.5444865554044023E-2</v>
      </c>
      <c r="AE177" s="77"/>
      <c r="AF177" s="77"/>
      <c r="AG177" s="99"/>
      <c r="AH177" s="340"/>
      <c r="AI177" s="340"/>
      <c r="AJ177" s="340"/>
      <c r="AK177" s="340"/>
      <c r="AL177" s="1693"/>
      <c r="AM177" s="340"/>
      <c r="AN177" s="340"/>
      <c r="AO177" s="340"/>
      <c r="AP177" s="1693">
        <f t="shared" ref="AP177:BD177" si="203">AP178</f>
        <v>5.8944131214761664E-2</v>
      </c>
      <c r="AQ177" s="340">
        <f t="shared" si="203"/>
        <v>5.7467634985790966E-2</v>
      </c>
      <c r="AR177" s="340">
        <f t="shared" si="203"/>
        <v>6.230414746543779E-2</v>
      </c>
      <c r="AS177" s="340">
        <f t="shared" si="203"/>
        <v>6.1986863711001643E-2</v>
      </c>
      <c r="AT177" s="1693">
        <f t="shared" si="203"/>
        <v>8.0468398138417649E-2</v>
      </c>
      <c r="AU177" s="340">
        <f t="shared" si="203"/>
        <v>5.8915500788918378E-2</v>
      </c>
      <c r="AV177" s="340">
        <f t="shared" si="203"/>
        <v>6.8570678476236949E-2</v>
      </c>
      <c r="AW177" s="341">
        <f t="shared" si="203"/>
        <v>6.4994829369183035E-2</v>
      </c>
      <c r="AX177" s="1693">
        <f t="shared" si="203"/>
        <v>6.3606351035194686E-2</v>
      </c>
      <c r="AY177" s="341">
        <f t="shared" si="203"/>
        <v>5.7763879544914451E-2</v>
      </c>
      <c r="AZ177" s="341">
        <f>AZ178</f>
        <v>6.9454237606448435E-2</v>
      </c>
      <c r="BA177" s="341">
        <f t="shared" si="203"/>
        <v>6.395212594394406E-2</v>
      </c>
      <c r="BB177" s="1693">
        <f t="shared" si="203"/>
        <v>6.8701445816080869E-2</v>
      </c>
      <c r="BC177" s="341">
        <f t="shared" si="203"/>
        <v>6.0945132286602859E-2</v>
      </c>
      <c r="BD177" s="341">
        <f t="shared" si="203"/>
        <v>6.4606752562555089E-2</v>
      </c>
      <c r="BE177" s="341">
        <f t="shared" ref="BE177:BL177" si="204">BE178</f>
        <v>6.2429567271332191E-2</v>
      </c>
      <c r="BF177" s="745">
        <f t="shared" si="204"/>
        <v>7.6875197195600126E-2</v>
      </c>
      <c r="BG177" s="301">
        <f t="shared" si="204"/>
        <v>7.1725379073653561E-2</v>
      </c>
      <c r="BH177" s="301">
        <f t="shared" si="204"/>
        <v>7.4598994856264395E-2</v>
      </c>
      <c r="BI177" s="301">
        <f t="shared" si="204"/>
        <v>6.8460665642329402E-2</v>
      </c>
      <c r="BJ177" s="745">
        <f t="shared" si="204"/>
        <v>8.3572495180088191E-2</v>
      </c>
      <c r="BK177" s="301">
        <f t="shared" si="204"/>
        <v>6.5420703037159092E-2</v>
      </c>
      <c r="BL177" s="301">
        <f t="shared" si="204"/>
        <v>8.4563642744108922E-2</v>
      </c>
      <c r="BM177" s="301">
        <f>BM178</f>
        <v>7.1362144579088502E-2</v>
      </c>
      <c r="BN177" s="1274">
        <f>BJ177+BN179</f>
        <v>8.6572495180088194E-2</v>
      </c>
      <c r="BO177" s="1273">
        <f>BK177+BO179</f>
        <v>7.5420703037159087E-2</v>
      </c>
      <c r="BP177" s="1273">
        <f>BL177+BP179</f>
        <v>8.7563642744108924E-2</v>
      </c>
      <c r="BQ177" s="301">
        <f>BQ178</f>
        <v>7.8451873110745904E-2</v>
      </c>
    </row>
    <row r="178" spans="1:101" outlineLevel="1">
      <c r="I178" s="566"/>
      <c r="J178" s="195" t="s">
        <v>658</v>
      </c>
      <c r="K178" s="11"/>
      <c r="L178" s="11"/>
      <c r="M178" s="11"/>
      <c r="N178" s="77">
        <f t="shared" ref="N178:U178" si="205">N162/N120</f>
        <v>4.3702684101858222E-2</v>
      </c>
      <c r="O178" s="77">
        <f t="shared" si="205"/>
        <v>4.6346019145458793E-2</v>
      </c>
      <c r="P178" s="77">
        <f t="shared" si="205"/>
        <v>4.3636658368286008E-2</v>
      </c>
      <c r="Q178" s="77">
        <f t="shared" si="205"/>
        <v>6.0398936881682332E-2</v>
      </c>
      <c r="R178" s="77">
        <f t="shared" si="205"/>
        <v>6.7474409860037596E-2</v>
      </c>
      <c r="S178" s="77">
        <f t="shared" si="205"/>
        <v>6.3731586656717243E-2</v>
      </c>
      <c r="T178" s="77">
        <f t="shared" si="205"/>
        <v>6.3873933496699883E-2</v>
      </c>
      <c r="U178" s="77">
        <f t="shared" si="205"/>
        <v>7.2474748977522527E-2</v>
      </c>
      <c r="V178" s="77">
        <f>V162/V120</f>
        <v>7.5444865554044005E-2</v>
      </c>
      <c r="W178" s="878">
        <f t="shared" ref="W178:AD178" si="206">V178+W179</f>
        <v>8.144486555404401E-2</v>
      </c>
      <c r="X178" s="878">
        <f t="shared" si="206"/>
        <v>8.3444865554044012E-2</v>
      </c>
      <c r="Y178" s="878">
        <f t="shared" si="206"/>
        <v>8.5444865554044014E-2</v>
      </c>
      <c r="Z178" s="878">
        <f t="shared" si="206"/>
        <v>8.7444865554044016E-2</v>
      </c>
      <c r="AA178" s="878">
        <f t="shared" si="206"/>
        <v>8.9444865554044017E-2</v>
      </c>
      <c r="AB178" s="878">
        <f t="shared" si="206"/>
        <v>9.1444865554044019E-2</v>
      </c>
      <c r="AC178" s="878">
        <f t="shared" si="206"/>
        <v>9.3444865554044021E-2</v>
      </c>
      <c r="AD178" s="878">
        <f t="shared" si="206"/>
        <v>9.5444865554044023E-2</v>
      </c>
      <c r="AE178" s="77"/>
      <c r="AF178" s="77"/>
      <c r="AG178" s="99"/>
      <c r="AH178" s="346"/>
      <c r="AI178" s="346"/>
      <c r="AJ178" s="346"/>
      <c r="AK178" s="346"/>
      <c r="AL178" s="678"/>
      <c r="AM178" s="345"/>
      <c r="AN178" s="345"/>
      <c r="AO178" s="345"/>
      <c r="AP178" s="678">
        <f t="shared" ref="AP178:BQ178" si="207">AP162/AP120</f>
        <v>5.8944131214761664E-2</v>
      </c>
      <c r="AQ178" s="345">
        <f t="shared" si="207"/>
        <v>5.7467634985790966E-2</v>
      </c>
      <c r="AR178" s="345">
        <f t="shared" si="207"/>
        <v>6.230414746543779E-2</v>
      </c>
      <c r="AS178" s="345">
        <f t="shared" si="207"/>
        <v>6.1986863711001643E-2</v>
      </c>
      <c r="AT178" s="678">
        <f t="shared" si="207"/>
        <v>8.0468398138417649E-2</v>
      </c>
      <c r="AU178" s="345">
        <f t="shared" si="207"/>
        <v>5.8915500788918378E-2</v>
      </c>
      <c r="AV178" s="345">
        <f t="shared" si="207"/>
        <v>6.8570678476236949E-2</v>
      </c>
      <c r="AW178" s="345">
        <f t="shared" si="207"/>
        <v>6.4994829369183035E-2</v>
      </c>
      <c r="AX178" s="678">
        <f t="shared" si="207"/>
        <v>6.3606351035194686E-2</v>
      </c>
      <c r="AY178" s="345">
        <f t="shared" si="207"/>
        <v>5.7763879544914451E-2</v>
      </c>
      <c r="AZ178" s="345">
        <f t="shared" si="207"/>
        <v>6.9454237606448435E-2</v>
      </c>
      <c r="BA178" s="345">
        <f t="shared" si="207"/>
        <v>6.395212594394406E-2</v>
      </c>
      <c r="BB178" s="678">
        <f t="shared" si="207"/>
        <v>6.8701445816080869E-2</v>
      </c>
      <c r="BC178" s="345">
        <f t="shared" si="207"/>
        <v>6.0945132286602859E-2</v>
      </c>
      <c r="BD178" s="345">
        <f t="shared" si="207"/>
        <v>6.4606752562555089E-2</v>
      </c>
      <c r="BE178" s="345">
        <f t="shared" si="207"/>
        <v>6.2429567271332191E-2</v>
      </c>
      <c r="BF178" s="675">
        <f t="shared" si="207"/>
        <v>7.6875197195600126E-2</v>
      </c>
      <c r="BG178" s="77">
        <f t="shared" si="207"/>
        <v>7.1725379073653561E-2</v>
      </c>
      <c r="BH178" s="77">
        <f t="shared" si="207"/>
        <v>7.4598994856264395E-2</v>
      </c>
      <c r="BI178" s="77">
        <f t="shared" si="207"/>
        <v>6.8460665642329402E-2</v>
      </c>
      <c r="BJ178" s="675">
        <f t="shared" si="207"/>
        <v>8.3572495180088191E-2</v>
      </c>
      <c r="BK178" s="77">
        <f t="shared" si="207"/>
        <v>6.5420703037159092E-2</v>
      </c>
      <c r="BL178" s="77">
        <f t="shared" si="207"/>
        <v>8.4563642744108922E-2</v>
      </c>
      <c r="BM178" s="77">
        <f t="shared" si="207"/>
        <v>7.1362144579088502E-2</v>
      </c>
      <c r="BN178" s="675">
        <f t="shared" si="207"/>
        <v>8.6572495180088194E-2</v>
      </c>
      <c r="BO178" s="77">
        <f t="shared" si="207"/>
        <v>7.5420703037159087E-2</v>
      </c>
      <c r="BP178" s="77">
        <f t="shared" si="207"/>
        <v>8.7563642744108924E-2</v>
      </c>
      <c r="BQ178" s="77">
        <f t="shared" si="207"/>
        <v>7.8451873110745904E-2</v>
      </c>
    </row>
    <row r="179" spans="1:101" outlineLevel="1">
      <c r="I179" s="566"/>
      <c r="J179" s="195" t="s">
        <v>659</v>
      </c>
      <c r="K179" s="11"/>
      <c r="L179" s="11"/>
      <c r="M179" s="11"/>
      <c r="N179" s="77"/>
      <c r="O179" s="77">
        <f t="shared" ref="O179:V179" si="208">O178-N178</f>
        <v>2.6433350436005712E-3</v>
      </c>
      <c r="P179" s="77">
        <f t="shared" si="208"/>
        <v>-2.7093607771727854E-3</v>
      </c>
      <c r="Q179" s="77">
        <f t="shared" si="208"/>
        <v>1.6762278513396324E-2</v>
      </c>
      <c r="R179" s="77">
        <f t="shared" si="208"/>
        <v>7.0754729783552642E-3</v>
      </c>
      <c r="S179" s="77">
        <f t="shared" si="208"/>
        <v>-3.7428232033203529E-3</v>
      </c>
      <c r="T179" s="77">
        <f t="shared" si="208"/>
        <v>1.4234683998264053E-4</v>
      </c>
      <c r="U179" s="77">
        <f t="shared" si="208"/>
        <v>8.6008154808226434E-3</v>
      </c>
      <c r="V179" s="77">
        <f t="shared" si="208"/>
        <v>2.9701165765214782E-3</v>
      </c>
      <c r="W179" s="930">
        <v>6.0000000000000001E-3</v>
      </c>
      <c r="X179" s="930">
        <v>2E-3</v>
      </c>
      <c r="Y179" s="930">
        <v>2E-3</v>
      </c>
      <c r="Z179" s="930">
        <f>Y179</f>
        <v>2E-3</v>
      </c>
      <c r="AA179" s="930">
        <f>Z179</f>
        <v>2E-3</v>
      </c>
      <c r="AB179" s="930">
        <f>AA179</f>
        <v>2E-3</v>
      </c>
      <c r="AC179" s="930">
        <f>AB179</f>
        <v>2E-3</v>
      </c>
      <c r="AD179" s="930">
        <f>AC179</f>
        <v>2E-3</v>
      </c>
      <c r="AE179" s="223"/>
      <c r="AF179" s="77"/>
      <c r="AG179" s="99"/>
      <c r="AH179" s="346"/>
      <c r="AI179" s="346"/>
      <c r="AJ179" s="346"/>
      <c r="AK179" s="346"/>
      <c r="AL179" s="678"/>
      <c r="AM179" s="345"/>
      <c r="AN179" s="345"/>
      <c r="AO179" s="345"/>
      <c r="AP179" s="678"/>
      <c r="AQ179" s="345"/>
      <c r="AR179" s="345"/>
      <c r="AS179" s="345"/>
      <c r="AT179" s="678">
        <f t="shared" ref="AT179:AY179" si="209">AT178-AP178</f>
        <v>2.1524266923655985E-2</v>
      </c>
      <c r="AU179" s="345">
        <f t="shared" si="209"/>
        <v>1.4478658031274114E-3</v>
      </c>
      <c r="AV179" s="345">
        <f t="shared" si="209"/>
        <v>6.266531010799159E-3</v>
      </c>
      <c r="AW179" s="345">
        <f t="shared" si="209"/>
        <v>3.0079656581813927E-3</v>
      </c>
      <c r="AX179" s="678">
        <f t="shared" si="209"/>
        <v>-1.6862047103222963E-2</v>
      </c>
      <c r="AY179" s="345">
        <f t="shared" si="209"/>
        <v>-1.1516212440039267E-3</v>
      </c>
      <c r="AZ179" s="345">
        <f t="shared" ref="AZ179:BL179" si="210">AZ178-AV178</f>
        <v>8.8355913021148647E-4</v>
      </c>
      <c r="BA179" s="345">
        <f t="shared" si="210"/>
        <v>-1.042703425238975E-3</v>
      </c>
      <c r="BB179" s="678">
        <f t="shared" si="210"/>
        <v>5.0950947808861835E-3</v>
      </c>
      <c r="BC179" s="345">
        <f t="shared" si="210"/>
        <v>3.1812527416884076E-3</v>
      </c>
      <c r="BD179" s="345">
        <f t="shared" si="210"/>
        <v>-4.8474850438933459E-3</v>
      </c>
      <c r="BE179" s="345">
        <f t="shared" si="210"/>
        <v>-1.5225586726118692E-3</v>
      </c>
      <c r="BF179" s="675">
        <f t="shared" si="210"/>
        <v>8.1737513795192562E-3</v>
      </c>
      <c r="BG179" s="77">
        <f t="shared" si="210"/>
        <v>1.0780246787050703E-2</v>
      </c>
      <c r="BH179" s="77">
        <f t="shared" si="210"/>
        <v>9.9922422937093053E-3</v>
      </c>
      <c r="BI179" s="77">
        <f t="shared" si="210"/>
        <v>6.0310983709972107E-3</v>
      </c>
      <c r="BJ179" s="675">
        <f t="shared" si="210"/>
        <v>6.6972979844880653E-3</v>
      </c>
      <c r="BK179" s="77">
        <f t="shared" si="210"/>
        <v>-6.3046760364944693E-3</v>
      </c>
      <c r="BL179" s="77">
        <f t="shared" si="210"/>
        <v>9.9646478878445272E-3</v>
      </c>
      <c r="BM179" s="77">
        <f>BM178-BI178</f>
        <v>2.9014789367590998E-3</v>
      </c>
      <c r="BN179" s="1276">
        <v>3.0000000000000001E-3</v>
      </c>
      <c r="BO179" s="1275">
        <v>0.01</v>
      </c>
      <c r="BP179" s="1275">
        <v>3.0000000000000001E-3</v>
      </c>
      <c r="BQ179" s="77">
        <f>BQ178-BM178</f>
        <v>7.0897285316574021E-3</v>
      </c>
    </row>
    <row r="180" spans="1:101" s="381" customFormat="1" outlineLevel="1">
      <c r="A180" s="1821"/>
      <c r="H180" s="579"/>
      <c r="I180" s="566"/>
      <c r="J180" s="228" t="s">
        <v>319</v>
      </c>
      <c r="K180" s="19"/>
      <c r="L180" s="19"/>
      <c r="M180" s="19"/>
      <c r="N180" s="1372">
        <v>1</v>
      </c>
      <c r="O180" s="1372">
        <v>1</v>
      </c>
      <c r="P180" s="1372">
        <v>1</v>
      </c>
      <c r="Q180" s="1372">
        <v>1</v>
      </c>
      <c r="R180" s="1372">
        <v>1</v>
      </c>
      <c r="S180" s="1372">
        <v>1</v>
      </c>
      <c r="T180" s="1372">
        <v>1</v>
      </c>
      <c r="U180" s="441">
        <f>U163/U121</f>
        <v>0.89010737325161959</v>
      </c>
      <c r="V180" s="441">
        <f>V163/V121</f>
        <v>0.84505799652699976</v>
      </c>
      <c r="W180" s="1373">
        <v>0.73</v>
      </c>
      <c r="X180" s="1373">
        <v>0.73</v>
      </c>
      <c r="Y180" s="1373">
        <v>0.73</v>
      </c>
      <c r="Z180" s="1373">
        <v>0.73</v>
      </c>
      <c r="AA180" s="1373">
        <v>0.73</v>
      </c>
      <c r="AB180" s="1373">
        <f>AA180</f>
        <v>0.73</v>
      </c>
      <c r="AC180" s="1373">
        <v>0.72</v>
      </c>
      <c r="AD180" s="1373">
        <f>AC180</f>
        <v>0.72</v>
      </c>
      <c r="AE180" s="1374"/>
      <c r="AF180" s="418"/>
      <c r="AG180" s="98"/>
      <c r="AH180" s="449"/>
      <c r="AI180" s="449"/>
      <c r="AJ180" s="449"/>
      <c r="AK180" s="449"/>
      <c r="AL180" s="1606"/>
      <c r="AM180" s="262"/>
      <c r="AN180" s="262"/>
      <c r="AO180" s="262"/>
      <c r="AP180" s="1694">
        <v>1</v>
      </c>
      <c r="AQ180" s="1372">
        <v>1</v>
      </c>
      <c r="AR180" s="1372">
        <v>1</v>
      </c>
      <c r="AS180" s="1372">
        <v>1</v>
      </c>
      <c r="AT180" s="1694">
        <v>1</v>
      </c>
      <c r="AU180" s="1372">
        <v>1</v>
      </c>
      <c r="AV180" s="1372">
        <v>1</v>
      </c>
      <c r="AW180" s="1372">
        <v>1</v>
      </c>
      <c r="AX180" s="1694">
        <v>1</v>
      </c>
      <c r="AY180" s="1372">
        <v>1</v>
      </c>
      <c r="AZ180" s="1372">
        <v>1</v>
      </c>
      <c r="BA180" s="1372">
        <v>1</v>
      </c>
      <c r="BB180" s="1694">
        <v>1</v>
      </c>
      <c r="BC180" s="1372">
        <v>1</v>
      </c>
      <c r="BD180" s="1372">
        <v>1</v>
      </c>
      <c r="BE180" s="1372">
        <v>1</v>
      </c>
      <c r="BF180" s="1607">
        <f t="shared" ref="BF180:BM180" si="211">BF163/BF121</f>
        <v>0.85015068762236967</v>
      </c>
      <c r="BG180" s="441">
        <f t="shared" si="211"/>
        <v>0.88617808266842357</v>
      </c>
      <c r="BH180" s="441">
        <f t="shared" si="211"/>
        <v>0.90768677901168338</v>
      </c>
      <c r="BI180" s="441">
        <f t="shared" si="211"/>
        <v>0.90283123333288029</v>
      </c>
      <c r="BJ180" s="1607">
        <f t="shared" si="211"/>
        <v>0.92512820018328301</v>
      </c>
      <c r="BK180" s="441">
        <f t="shared" si="211"/>
        <v>0.903510789842632</v>
      </c>
      <c r="BL180" s="441">
        <f t="shared" si="211"/>
        <v>0.89512241222243083</v>
      </c>
      <c r="BM180" s="441">
        <f t="shared" si="211"/>
        <v>0.71997819666757501</v>
      </c>
      <c r="BN180" s="1375">
        <v>0.73</v>
      </c>
      <c r="BO180" s="1376">
        <f>BN180</f>
        <v>0.73</v>
      </c>
      <c r="BP180" s="1376">
        <f>BO180</f>
        <v>0.73</v>
      </c>
      <c r="BQ180" s="441">
        <f>BQ163/BQ121</f>
        <v>0.72999999999999987</v>
      </c>
      <c r="BR180" s="580"/>
      <c r="CR180"/>
      <c r="CS180"/>
      <c r="CT180"/>
      <c r="CU180"/>
      <c r="CV180"/>
      <c r="CW180"/>
    </row>
    <row r="181" spans="1:101" outlineLevel="1">
      <c r="I181" s="566"/>
      <c r="J181" s="195" t="s">
        <v>633</v>
      </c>
      <c r="K181" s="11"/>
      <c r="L181" s="11"/>
      <c r="M181" s="11"/>
      <c r="N181" s="345"/>
      <c r="O181" s="345"/>
      <c r="P181" s="345"/>
      <c r="Q181" s="345"/>
      <c r="R181" s="345"/>
      <c r="S181" s="345"/>
      <c r="T181" s="343"/>
      <c r="U181" s="440">
        <f t="shared" ref="U181:AD181" si="212">(U122+U123+U188)/(U122+U123)</f>
        <v>0.93555204070060716</v>
      </c>
      <c r="V181" s="440">
        <f t="shared" si="212"/>
        <v>0.97418006186892847</v>
      </c>
      <c r="W181" s="440">
        <f t="shared" si="212"/>
        <v>0.97090158837332807</v>
      </c>
      <c r="X181" s="440">
        <f t="shared" si="212"/>
        <v>0.94792280687276631</v>
      </c>
      <c r="Y181" s="440">
        <f t="shared" si="212"/>
        <v>0.95992824844147639</v>
      </c>
      <c r="Z181" s="440">
        <f t="shared" si="212"/>
        <v>0.96213297132034525</v>
      </c>
      <c r="AA181" s="440">
        <f t="shared" si="212"/>
        <v>0.94076696271218074</v>
      </c>
      <c r="AB181" s="440">
        <f t="shared" si="212"/>
        <v>0.95568293272249505</v>
      </c>
      <c r="AC181" s="440">
        <f t="shared" si="212"/>
        <v>0.95553518193188092</v>
      </c>
      <c r="AD181" s="440">
        <f t="shared" si="212"/>
        <v>0.9691491415608332</v>
      </c>
      <c r="AE181" s="223"/>
      <c r="AF181" s="77"/>
      <c r="AG181" s="99"/>
      <c r="AH181" s="346"/>
      <c r="AI181" s="346"/>
      <c r="AJ181" s="346"/>
      <c r="AK181" s="346"/>
      <c r="AL181" s="678"/>
      <c r="AM181" s="345"/>
      <c r="AN181" s="345"/>
      <c r="AO181" s="345"/>
      <c r="AP181" s="678"/>
      <c r="AQ181" s="345"/>
      <c r="AR181" s="345"/>
      <c r="AS181" s="345"/>
      <c r="AT181" s="678"/>
      <c r="AU181" s="345"/>
      <c r="AV181" s="345"/>
      <c r="AW181" s="345"/>
      <c r="AX181" s="678"/>
      <c r="AY181" s="345"/>
      <c r="AZ181" s="343"/>
      <c r="BA181" s="343"/>
      <c r="BB181" s="761"/>
      <c r="BC181" s="343"/>
      <c r="BD181" s="343"/>
      <c r="BE181" s="343"/>
      <c r="BF181" s="1608">
        <f t="shared" ref="BF181:BM181" si="213">(BF122+BF123+BF188)/(BF122+BF123)</f>
        <v>0.90491220959674734</v>
      </c>
      <c r="BG181" s="440">
        <f t="shared" si="213"/>
        <v>0.92973869600355308</v>
      </c>
      <c r="BH181" s="440">
        <f t="shared" si="213"/>
        <v>0.94671565885658149</v>
      </c>
      <c r="BI181" s="440">
        <f t="shared" si="213"/>
        <v>0.94931392143331617</v>
      </c>
      <c r="BJ181" s="1608">
        <f t="shared" si="213"/>
        <v>0.9758605183960849</v>
      </c>
      <c r="BK181" s="440">
        <f t="shared" si="213"/>
        <v>0.97525607736950837</v>
      </c>
      <c r="BL181" s="440">
        <f t="shared" si="213"/>
        <v>0.97165041695326915</v>
      </c>
      <c r="BM181" s="440">
        <f t="shared" si="213"/>
        <v>0.97427422989807577</v>
      </c>
      <c r="BN181" s="1608"/>
      <c r="BO181" s="440"/>
      <c r="BP181" s="440"/>
      <c r="BQ181" s="440"/>
    </row>
    <row r="182" spans="1:101" outlineLevel="1">
      <c r="A182" s="568"/>
      <c r="I182" s="566"/>
      <c r="J182" s="195" t="s">
        <v>634</v>
      </c>
      <c r="K182" s="11"/>
      <c r="L182" s="11"/>
      <c r="M182" s="11"/>
      <c r="N182" s="1271"/>
      <c r="O182" s="1271"/>
      <c r="P182" s="1271"/>
      <c r="Q182" s="1271"/>
      <c r="R182" s="1271"/>
      <c r="S182" s="1271"/>
      <c r="T182" s="1271"/>
      <c r="U182" s="440">
        <f>(U124+U189)/U124</f>
        <v>0.71914886237209463</v>
      </c>
      <c r="V182" s="440">
        <f>(V124+V189)/V124</f>
        <v>0.33781665325259286</v>
      </c>
      <c r="W182" s="937">
        <v>-0.1</v>
      </c>
      <c r="X182" s="937">
        <v>0</v>
      </c>
      <c r="Y182" s="937">
        <v>0.05</v>
      </c>
      <c r="Z182" s="937">
        <v>0.1</v>
      </c>
      <c r="AA182" s="937">
        <v>0.2</v>
      </c>
      <c r="AB182" s="937">
        <f>AA182</f>
        <v>0.2</v>
      </c>
      <c r="AC182" s="937">
        <f>AB182</f>
        <v>0.2</v>
      </c>
      <c r="AD182" s="937">
        <f>AC182</f>
        <v>0.2</v>
      </c>
      <c r="AE182" s="223"/>
      <c r="AF182" s="77"/>
      <c r="AG182" s="99"/>
      <c r="AH182" s="346"/>
      <c r="AI182" s="346"/>
      <c r="AJ182" s="346"/>
      <c r="AK182" s="346"/>
      <c r="AL182" s="678"/>
      <c r="AM182" s="345"/>
      <c r="AN182" s="345"/>
      <c r="AO182" s="345"/>
      <c r="AP182" s="1695"/>
      <c r="AQ182" s="1271"/>
      <c r="AR182" s="1271"/>
      <c r="AS182" s="1271"/>
      <c r="AT182" s="1695"/>
      <c r="AU182" s="1271"/>
      <c r="AV182" s="1271"/>
      <c r="AW182" s="1271"/>
      <c r="AX182" s="1695"/>
      <c r="AY182" s="1271"/>
      <c r="AZ182" s="1271"/>
      <c r="BA182" s="1271"/>
      <c r="BB182" s="1695"/>
      <c r="BC182" s="1271"/>
      <c r="BD182" s="1271"/>
      <c r="BE182" s="1271"/>
      <c r="BF182" s="1608">
        <f t="shared" ref="BF182:BM182" si="214">(BF124+BF189)/BF124</f>
        <v>0.64414305733780564</v>
      </c>
      <c r="BG182" s="440">
        <f t="shared" si="214"/>
        <v>0.72230720393150794</v>
      </c>
      <c r="BH182" s="440">
        <f t="shared" si="214"/>
        <v>0.76086385007135249</v>
      </c>
      <c r="BI182" s="440">
        <f t="shared" si="214"/>
        <v>0.72796778762171677</v>
      </c>
      <c r="BJ182" s="1608">
        <f t="shared" si="214"/>
        <v>0.72583205998028044</v>
      </c>
      <c r="BK182" s="440">
        <f t="shared" si="214"/>
        <v>0.62166759036800279</v>
      </c>
      <c r="BL182" s="440">
        <f t="shared" si="214"/>
        <v>0.59449085234932886</v>
      </c>
      <c r="BM182" s="440">
        <f t="shared" si="214"/>
        <v>-0.27899483821701165</v>
      </c>
      <c r="BN182" s="1298"/>
      <c r="BO182" s="1299"/>
      <c r="BP182" s="1299"/>
      <c r="BQ182" s="440"/>
    </row>
    <row r="183" spans="1:101" outlineLevel="1">
      <c r="J183" s="59"/>
      <c r="K183" s="11"/>
      <c r="L183" s="11"/>
      <c r="M183" s="11"/>
      <c r="N183" s="77"/>
      <c r="O183" s="77"/>
      <c r="P183" s="77"/>
      <c r="Q183" s="77"/>
      <c r="R183" s="77"/>
      <c r="S183" s="77"/>
      <c r="T183" s="77"/>
      <c r="U183" s="77"/>
      <c r="V183" s="77"/>
      <c r="W183" s="77"/>
      <c r="X183" s="77"/>
      <c r="Y183" s="77"/>
      <c r="Z183" s="77"/>
      <c r="AA183" s="77"/>
      <c r="AB183" s="77"/>
      <c r="AC183" s="77"/>
      <c r="AD183" s="77"/>
      <c r="AE183" s="77"/>
      <c r="AF183" s="77"/>
      <c r="AG183" s="99"/>
      <c r="AH183" s="346"/>
      <c r="AI183" s="346"/>
      <c r="AJ183" s="346"/>
      <c r="AK183" s="346"/>
      <c r="AL183" s="678"/>
      <c r="AM183" s="345"/>
      <c r="AN183" s="345"/>
      <c r="AO183" s="345"/>
      <c r="AP183" s="678"/>
      <c r="AQ183" s="345"/>
      <c r="AR183" s="345"/>
      <c r="AS183" s="345"/>
      <c r="AT183" s="678"/>
      <c r="AU183" s="345"/>
      <c r="AV183" s="345"/>
      <c r="AW183" s="345"/>
      <c r="AX183" s="678"/>
      <c r="AY183" s="345"/>
      <c r="AZ183" s="345"/>
      <c r="BA183" s="345"/>
      <c r="BB183" s="678"/>
      <c r="BC183" s="345"/>
      <c r="BD183" s="345"/>
      <c r="BE183" s="345"/>
      <c r="BF183" s="678"/>
      <c r="BG183" s="345"/>
      <c r="BH183" s="345"/>
      <c r="BI183" s="345"/>
      <c r="BJ183" s="678"/>
      <c r="BK183" s="345"/>
      <c r="BL183" s="345"/>
      <c r="BM183" s="345"/>
      <c r="BN183" s="678"/>
      <c r="BO183" s="345"/>
      <c r="BP183" s="345"/>
      <c r="BQ183" s="345"/>
    </row>
    <row r="184" spans="1:101" outlineLevel="1">
      <c r="J184" s="59"/>
      <c r="K184" s="11"/>
      <c r="L184" s="11"/>
      <c r="M184" s="11"/>
      <c r="N184" s="77"/>
      <c r="O184" s="77"/>
      <c r="P184" s="77"/>
      <c r="Q184" s="77"/>
      <c r="R184" s="77"/>
      <c r="S184" s="77"/>
      <c r="T184" s="77"/>
      <c r="U184" s="77"/>
      <c r="V184" s="77"/>
      <c r="W184" s="77"/>
      <c r="X184" s="77"/>
      <c r="Y184" s="77"/>
      <c r="Z184" s="77"/>
      <c r="AA184" s="77"/>
      <c r="AB184" s="77"/>
      <c r="AC184" s="77"/>
      <c r="AD184" s="77"/>
      <c r="AE184" s="77"/>
      <c r="AF184" s="77"/>
      <c r="AG184" s="99"/>
      <c r="AH184" s="346"/>
      <c r="AI184" s="346"/>
      <c r="AJ184" s="346"/>
      <c r="AK184" s="346"/>
      <c r="AL184" s="678"/>
      <c r="AM184" s="345"/>
      <c r="AN184" s="345"/>
      <c r="AO184" s="345"/>
      <c r="AP184" s="678"/>
      <c r="AQ184" s="345"/>
      <c r="AR184" s="345"/>
      <c r="AS184" s="345"/>
      <c r="AT184" s="678"/>
      <c r="AU184" s="345"/>
      <c r="AV184" s="345"/>
      <c r="AW184" s="345"/>
      <c r="AX184" s="678"/>
      <c r="AY184" s="345"/>
      <c r="AZ184" s="345"/>
      <c r="BA184" s="345"/>
      <c r="BB184" s="678"/>
      <c r="BC184" s="345"/>
      <c r="BD184" s="345"/>
      <c r="BE184" s="345"/>
      <c r="BF184" s="678"/>
      <c r="BG184" s="345"/>
      <c r="BH184" s="345"/>
      <c r="BI184" s="345"/>
      <c r="BJ184" s="678"/>
      <c r="BK184" s="345"/>
      <c r="BL184" s="345"/>
      <c r="BM184" s="345"/>
      <c r="BN184" s="678"/>
      <c r="BO184" s="345"/>
      <c r="BP184" s="345"/>
      <c r="BQ184" s="345"/>
    </row>
    <row r="185" spans="1:101" s="580" customFormat="1" outlineLevel="1">
      <c r="H185" s="576"/>
      <c r="I185" s="576"/>
      <c r="J185" s="306" t="s">
        <v>30</v>
      </c>
      <c r="K185" s="13"/>
      <c r="L185" s="13"/>
      <c r="M185" s="13"/>
      <c r="N185" s="139">
        <f t="shared" ref="N185:V185" si="215">N410</f>
        <v>-2779</v>
      </c>
      <c r="O185" s="139">
        <f t="shared" si="215"/>
        <v>-8169</v>
      </c>
      <c r="P185" s="139">
        <f t="shared" si="215"/>
        <v>-19976.527999999998</v>
      </c>
      <c r="Q185" s="139">
        <f t="shared" si="215"/>
        <v>-37898.387000000002</v>
      </c>
      <c r="R185" s="139">
        <f t="shared" si="215"/>
        <v>-62496</v>
      </c>
      <c r="S185" s="139">
        <f t="shared" si="215"/>
        <v>-101631</v>
      </c>
      <c r="T185" s="139">
        <f t="shared" si="215"/>
        <v>-157008</v>
      </c>
      <c r="U185" s="139">
        <f t="shared" si="215"/>
        <v>-222934.63699999999</v>
      </c>
      <c r="V185" s="139">
        <f t="shared" si="215"/>
        <v>-311516.83100000001</v>
      </c>
      <c r="W185" s="1058">
        <f>W161-W119</f>
        <v>-397656.14746770589</v>
      </c>
      <c r="X185" s="1058">
        <f t="shared" ref="X185:AD185" si="216">X161-X119</f>
        <v>-491383.37173384195</v>
      </c>
      <c r="Y185" s="1058">
        <f t="shared" si="216"/>
        <v>-584935.25788880477</v>
      </c>
      <c r="Z185" s="1058">
        <f t="shared" si="216"/>
        <v>-654581.31088225858</v>
      </c>
      <c r="AA185" s="1058">
        <f t="shared" si="216"/>
        <v>-704163.94215100119</v>
      </c>
      <c r="AB185" s="1058">
        <f t="shared" si="216"/>
        <v>-757502.03454924037</v>
      </c>
      <c r="AC185" s="1058">
        <f t="shared" si="216"/>
        <v>-816134.56178803113</v>
      </c>
      <c r="AD185" s="1058">
        <f t="shared" si="216"/>
        <v>-878003.18131282716</v>
      </c>
      <c r="AE185" s="1370"/>
      <c r="AF185" s="13"/>
      <c r="AG185" s="97"/>
      <c r="AH185" s="318"/>
      <c r="AI185" s="318"/>
      <c r="AJ185" s="318"/>
      <c r="AK185" s="318"/>
      <c r="AL185" s="1722">
        <f>Model!AL410</f>
        <v>0</v>
      </c>
      <c r="AM185" s="323">
        <f>Model!AM410</f>
        <v>0</v>
      </c>
      <c r="AN185" s="323">
        <f>Model!AN410</f>
        <v>0</v>
      </c>
      <c r="AO185" s="323">
        <f>Model!AO410</f>
        <v>0</v>
      </c>
      <c r="AP185" s="1609">
        <f>AP410</f>
        <v>-7344</v>
      </c>
      <c r="AQ185" s="139">
        <f>AQ410</f>
        <v>-8955</v>
      </c>
      <c r="AR185" s="139">
        <f>AR410</f>
        <v>-10174</v>
      </c>
      <c r="AS185" s="139">
        <f>AS410</f>
        <v>-11425</v>
      </c>
      <c r="AT185" s="1609">
        <f t="shared" ref="AT185:BL185" si="217">AT410</f>
        <v>-12250</v>
      </c>
      <c r="AU185" s="139">
        <f t="shared" si="217"/>
        <v>-15899.888000000001</v>
      </c>
      <c r="AV185" s="139">
        <f t="shared" si="217"/>
        <v>-16263.352999999999</v>
      </c>
      <c r="AW185" s="139">
        <f t="shared" si="217"/>
        <v>-18083</v>
      </c>
      <c r="AX185" s="1609">
        <f t="shared" si="217"/>
        <v>-20396.018</v>
      </c>
      <c r="AY185" s="139">
        <f t="shared" si="217"/>
        <v>-25457.620999999999</v>
      </c>
      <c r="AZ185" s="139">
        <f t="shared" si="217"/>
        <v>-25467.986000000001</v>
      </c>
      <c r="BA185" s="139">
        <f t="shared" si="217"/>
        <v>-30309.817999999999</v>
      </c>
      <c r="BB185" s="1609">
        <f t="shared" si="217"/>
        <v>-32174.983</v>
      </c>
      <c r="BC185" s="139">
        <f t="shared" si="217"/>
        <v>-40019.182000000001</v>
      </c>
      <c r="BD185" s="139">
        <f t="shared" si="217"/>
        <v>-38015.663999999997</v>
      </c>
      <c r="BE185" s="139">
        <f t="shared" si="217"/>
        <v>-46798.5</v>
      </c>
      <c r="BF185" s="1609">
        <f t="shared" si="217"/>
        <v>-46774.319000000003</v>
      </c>
      <c r="BG185" s="139">
        <f t="shared" si="217"/>
        <v>-56052.281999999999</v>
      </c>
      <c r="BH185" s="139">
        <f t="shared" si="217"/>
        <v>-51537.517999999996</v>
      </c>
      <c r="BI185" s="139">
        <f t="shared" si="217"/>
        <v>-68570.517999999996</v>
      </c>
      <c r="BJ185" s="1609">
        <f t="shared" si="217"/>
        <v>-64393.726000000002</v>
      </c>
      <c r="BK185" s="139">
        <f t="shared" si="217"/>
        <v>-80554.156000000003</v>
      </c>
      <c r="BL185" s="139">
        <f t="shared" si="217"/>
        <v>-70763.508000000002</v>
      </c>
      <c r="BM185" s="139">
        <f>BM410</f>
        <v>-95805.441000000006</v>
      </c>
      <c r="BN185" s="1632">
        <f>BN161-BN119</f>
        <v>-85190.983005898321</v>
      </c>
      <c r="BO185" s="1058">
        <f>BO161-BO119</f>
        <v>-103972.09504336103</v>
      </c>
      <c r="BP185" s="1058">
        <f>BP161-BP119</f>
        <v>-87692.25405735636</v>
      </c>
      <c r="BQ185" s="1371">
        <f>W185-SUM(BN185:BP185)</f>
        <v>-120800.81536109018</v>
      </c>
      <c r="CR185"/>
      <c r="CS185"/>
      <c r="CT185"/>
      <c r="CU185"/>
      <c r="CV185"/>
      <c r="CW185"/>
    </row>
    <row r="186" spans="1:101" s="291" customFormat="1" outlineLevel="1">
      <c r="H186" s="579"/>
      <c r="I186" s="579"/>
      <c r="J186" s="1476" t="s">
        <v>595</v>
      </c>
      <c r="K186" s="58"/>
      <c r="L186" s="58"/>
      <c r="M186" s="58"/>
      <c r="N186" s="182"/>
      <c r="O186" s="182"/>
      <c r="P186" s="182"/>
      <c r="Q186" s="182"/>
      <c r="R186" s="182"/>
      <c r="S186" s="182"/>
      <c r="T186" s="182"/>
      <c r="U186" s="1278">
        <v>-220698.72700000001</v>
      </c>
      <c r="V186" s="635">
        <f>SUM(BJ186:BM186)</f>
        <v>-306789.962</v>
      </c>
      <c r="W186" s="919">
        <f>W185-W187</f>
        <v>-385743.24963188003</v>
      </c>
      <c r="X186" s="919">
        <f t="shared" ref="X186:AD186" si="218">X185-X187</f>
        <v>-475830.95249745355</v>
      </c>
      <c r="Y186" s="919">
        <f t="shared" si="218"/>
        <v>-564991.48818128044</v>
      </c>
      <c r="Z186" s="919">
        <f t="shared" si="218"/>
        <v>-630374.77069960535</v>
      </c>
      <c r="AA186" s="919">
        <f t="shared" si="218"/>
        <v>-677048.2921505681</v>
      </c>
      <c r="AB186" s="919">
        <f t="shared" si="218"/>
        <v>-727174.05535765539</v>
      </c>
      <c r="AC186" s="919">
        <f t="shared" si="218"/>
        <v>-781007.13138343429</v>
      </c>
      <c r="AD186" s="919">
        <f t="shared" si="218"/>
        <v>-838821.41555179155</v>
      </c>
      <c r="AE186" s="86"/>
      <c r="AF186" s="86"/>
      <c r="AG186" s="350"/>
      <c r="AH186" s="348"/>
      <c r="AI186" s="348"/>
      <c r="AJ186" s="348"/>
      <c r="AK186" s="348"/>
      <c r="AL186" s="1696"/>
      <c r="AM186" s="344"/>
      <c r="AN186" s="344"/>
      <c r="AO186" s="344"/>
      <c r="AP186" s="1696"/>
      <c r="AQ186" s="344"/>
      <c r="AR186" s="344"/>
      <c r="AS186" s="344"/>
      <c r="AT186" s="1696"/>
      <c r="AU186" s="344"/>
      <c r="AV186" s="344"/>
      <c r="AW186" s="344"/>
      <c r="AX186" s="1696"/>
      <c r="AY186" s="344"/>
      <c r="AZ186" s="344"/>
      <c r="BA186" s="344"/>
      <c r="BB186" s="1696"/>
      <c r="BC186" s="344"/>
      <c r="BD186" s="344"/>
      <c r="BE186" s="344"/>
      <c r="BF186" s="1610">
        <v>-46212.86</v>
      </c>
      <c r="BG186" s="1277">
        <v>-55466.733</v>
      </c>
      <c r="BH186" s="1277">
        <v>-51077.961000000003</v>
      </c>
      <c r="BI186" s="1277">
        <v>-67941.172999999995</v>
      </c>
      <c r="BJ186" s="1610">
        <v>-63989.962</v>
      </c>
      <c r="BK186" s="1277">
        <v>-79800</v>
      </c>
      <c r="BL186" s="1277">
        <v>-70000</v>
      </c>
      <c r="BM186" s="1311">
        <v>-93000</v>
      </c>
      <c r="BN186" s="1654">
        <f>BN185-BN187</f>
        <v>-83152.396381291619</v>
      </c>
      <c r="BO186" s="919">
        <f>BO185-BO187</f>
        <v>-100950.99835205937</v>
      </c>
      <c r="BP186" s="919">
        <f>BP185-BP187</f>
        <v>-84978.037343236327</v>
      </c>
      <c r="BQ186" s="919">
        <f>BQ185-BQ187</f>
        <v>-116661.81755529273</v>
      </c>
      <c r="BR186" s="573"/>
      <c r="CR186"/>
      <c r="CS186"/>
      <c r="CT186"/>
      <c r="CU186"/>
      <c r="CV186"/>
      <c r="CW186"/>
    </row>
    <row r="187" spans="1:101" s="381" customFormat="1" outlineLevel="1">
      <c r="A187" s="1821"/>
      <c r="H187" s="579"/>
      <c r="I187" s="566"/>
      <c r="J187" s="1476" t="s">
        <v>596</v>
      </c>
      <c r="K187" s="19"/>
      <c r="L187" s="19"/>
      <c r="M187" s="19"/>
      <c r="N187" s="262"/>
      <c r="O187" s="262"/>
      <c r="P187" s="262"/>
      <c r="Q187" s="262"/>
      <c r="R187" s="262"/>
      <c r="S187" s="262"/>
      <c r="T187" s="1477"/>
      <c r="U187" s="451">
        <f>U185-U186</f>
        <v>-2235.9099999999744</v>
      </c>
      <c r="V187" s="1478">
        <f>SUM(BJ187:BM187)</f>
        <v>-4726.8690000000133</v>
      </c>
      <c r="W187" s="1479">
        <f>W163-W121</f>
        <v>-11912.897835825839</v>
      </c>
      <c r="X187" s="1479">
        <f t="shared" ref="X187:AD187" si="219">X163-X121</f>
        <v>-15552.419236388414</v>
      </c>
      <c r="Y187" s="1479">
        <f t="shared" si="219"/>
        <v>-19943.769707524298</v>
      </c>
      <c r="Z187" s="1479">
        <f t="shared" si="219"/>
        <v>-24206.540182653291</v>
      </c>
      <c r="AA187" s="1479">
        <f t="shared" si="219"/>
        <v>-27115.650000433045</v>
      </c>
      <c r="AB187" s="1479">
        <f t="shared" si="219"/>
        <v>-30327.979191584993</v>
      </c>
      <c r="AC187" s="1479">
        <f t="shared" si="219"/>
        <v>-35127.430404596889</v>
      </c>
      <c r="AD187" s="1479">
        <f t="shared" si="219"/>
        <v>-39181.765761035582</v>
      </c>
      <c r="AE187" s="1370"/>
      <c r="AF187" s="1370"/>
      <c r="AG187" s="459"/>
      <c r="AH187" s="449"/>
      <c r="AI187" s="449"/>
      <c r="AJ187" s="449"/>
      <c r="AK187" s="449"/>
      <c r="AL187" s="1606"/>
      <c r="AM187" s="262"/>
      <c r="AN187" s="262"/>
      <c r="AO187" s="262"/>
      <c r="AP187" s="1606"/>
      <c r="AQ187" s="262"/>
      <c r="AR187" s="262"/>
      <c r="AS187" s="262"/>
      <c r="AT187" s="1606"/>
      <c r="AU187" s="262"/>
      <c r="AV187" s="262"/>
      <c r="AW187" s="262"/>
      <c r="AX187" s="1606"/>
      <c r="AY187" s="262"/>
      <c r="AZ187" s="401"/>
      <c r="BA187" s="401"/>
      <c r="BB187" s="668"/>
      <c r="BC187" s="401"/>
      <c r="BD187" s="401"/>
      <c r="BE187" s="401"/>
      <c r="BF187" s="741">
        <f t="shared" ref="BF187:BM187" si="220">BF185-BF186</f>
        <v>-561.45900000000256</v>
      </c>
      <c r="BG187" s="451">
        <f t="shared" si="220"/>
        <v>-585.54899999999907</v>
      </c>
      <c r="BH187" s="451">
        <f t="shared" si="220"/>
        <v>-459.55699999999342</v>
      </c>
      <c r="BI187" s="451">
        <f t="shared" si="220"/>
        <v>-629.34500000000116</v>
      </c>
      <c r="BJ187" s="741">
        <f t="shared" si="220"/>
        <v>-403.76400000000285</v>
      </c>
      <c r="BK187" s="451">
        <f t="shared" si="220"/>
        <v>-754.15600000000268</v>
      </c>
      <c r="BL187" s="451">
        <f t="shared" si="220"/>
        <v>-763.50800000000163</v>
      </c>
      <c r="BM187" s="451">
        <f t="shared" si="220"/>
        <v>-2805.4410000000062</v>
      </c>
      <c r="BN187" s="1655">
        <f>BN163-BN121</f>
        <v>-2038.5866246066989</v>
      </c>
      <c r="BO187" s="1480">
        <f>BO163-BO121</f>
        <v>-3021.0966913016528</v>
      </c>
      <c r="BP187" s="1480">
        <f>BP163-BP121</f>
        <v>-2714.2167141200334</v>
      </c>
      <c r="BQ187" s="1481">
        <f>W187-SUM(BN187:BP187)</f>
        <v>-4138.997805797454</v>
      </c>
      <c r="BR187" s="580"/>
      <c r="CR187"/>
      <c r="CS187"/>
      <c r="CT187"/>
      <c r="CU187"/>
      <c r="CV187"/>
      <c r="CW187"/>
    </row>
    <row r="188" spans="1:101" outlineLevel="1">
      <c r="A188" s="568"/>
      <c r="I188" s="566"/>
      <c r="J188" s="195" t="s">
        <v>627</v>
      </c>
      <c r="K188" s="11"/>
      <c r="L188" s="11"/>
      <c r="M188" s="11"/>
      <c r="N188" s="345"/>
      <c r="O188" s="345"/>
      <c r="P188" s="345"/>
      <c r="Q188" s="345"/>
      <c r="R188" s="345"/>
      <c r="S188" s="345"/>
      <c r="T188" s="351"/>
      <c r="U188" s="352">
        <f>U187-U189</f>
        <v>-1035.9099999999744</v>
      </c>
      <c r="V188" s="1310">
        <f>SUM(BJ188:BM188)</f>
        <v>-627.86900000001333</v>
      </c>
      <c r="W188" s="1272">
        <f>W187-W189</f>
        <v>-995.06503466137292</v>
      </c>
      <c r="X188" s="1272">
        <f t="shared" ref="X188:AD188" si="221">X187-X189</f>
        <v>-2310.104609537384</v>
      </c>
      <c r="Y188" s="1272">
        <f t="shared" si="221"/>
        <v>-2211.9921304573727</v>
      </c>
      <c r="Z188" s="1272">
        <f t="shared" si="221"/>
        <v>-2480.8270003081525</v>
      </c>
      <c r="AA188" s="1272">
        <f t="shared" si="221"/>
        <v>-4256.1264495962532</v>
      </c>
      <c r="AB188" s="1272">
        <f t="shared" si="221"/>
        <v>-3491.2984694984989</v>
      </c>
      <c r="AC188" s="1272">
        <f t="shared" si="221"/>
        <v>-3839.3130200790183</v>
      </c>
      <c r="AD188" s="1272">
        <f t="shared" si="221"/>
        <v>-2918.6768239744124</v>
      </c>
      <c r="AE188" s="86"/>
      <c r="AF188" s="86"/>
      <c r="AG188" s="350"/>
      <c r="AH188" s="346"/>
      <c r="AI188" s="346"/>
      <c r="AJ188" s="346"/>
      <c r="AK188" s="346"/>
      <c r="AL188" s="678"/>
      <c r="AM188" s="345"/>
      <c r="AN188" s="345"/>
      <c r="AO188" s="345"/>
      <c r="AP188" s="678"/>
      <c r="AQ188" s="345"/>
      <c r="AR188" s="345"/>
      <c r="AS188" s="345"/>
      <c r="AT188" s="678"/>
      <c r="AU188" s="345"/>
      <c r="AV188" s="345"/>
      <c r="AW188" s="345"/>
      <c r="AX188" s="678"/>
      <c r="AY188" s="345"/>
      <c r="AZ188" s="343"/>
      <c r="BA188" s="343"/>
      <c r="BB188" s="761"/>
      <c r="BC188" s="343"/>
      <c r="BD188" s="343"/>
      <c r="BE188" s="343"/>
      <c r="BF188" s="742">
        <f t="shared" ref="BF188:BM188" si="222">BF187-BF189</f>
        <v>-281.45900000000256</v>
      </c>
      <c r="BG188" s="352">
        <f t="shared" si="222"/>
        <v>-285.54899999999907</v>
      </c>
      <c r="BH188" s="352">
        <f t="shared" si="222"/>
        <v>-209.55699999999342</v>
      </c>
      <c r="BI188" s="352">
        <f t="shared" si="222"/>
        <v>-259.34500000000116</v>
      </c>
      <c r="BJ188" s="742">
        <f t="shared" si="222"/>
        <v>-103.76400000000285</v>
      </c>
      <c r="BK188" s="352">
        <f t="shared" si="222"/>
        <v>-154.15600000000268</v>
      </c>
      <c r="BL188" s="352">
        <f t="shared" si="222"/>
        <v>-164.50800000000163</v>
      </c>
      <c r="BM188" s="352">
        <f t="shared" si="222"/>
        <v>-205.44100000000617</v>
      </c>
      <c r="BN188" s="1656"/>
      <c r="BO188" s="1272"/>
      <c r="BP188" s="1272"/>
      <c r="BQ188" s="949"/>
    </row>
    <row r="189" spans="1:101" outlineLevel="1">
      <c r="A189" s="568"/>
      <c r="I189" s="566"/>
      <c r="J189" s="195" t="s">
        <v>626</v>
      </c>
      <c r="K189" s="11"/>
      <c r="L189" s="11"/>
      <c r="M189" s="11"/>
      <c r="N189" s="345"/>
      <c r="O189" s="345"/>
      <c r="P189" s="345"/>
      <c r="Q189" s="345"/>
      <c r="R189" s="345"/>
      <c r="S189" s="345"/>
      <c r="T189" s="351"/>
      <c r="U189" s="1269">
        <v>-1200</v>
      </c>
      <c r="V189" s="1310">
        <f>SUM(BJ189:BM189)</f>
        <v>-4099</v>
      </c>
      <c r="W189" s="1272">
        <f>(W182-1)*W124</f>
        <v>-10917.832801164466</v>
      </c>
      <c r="X189" s="1272">
        <f t="shared" ref="X189:AD189" si="223">(X182-1)*X124</f>
        <v>-13242.31462685103</v>
      </c>
      <c r="Y189" s="1272">
        <f t="shared" si="223"/>
        <v>-17731.777577066925</v>
      </c>
      <c r="Z189" s="1272">
        <f t="shared" si="223"/>
        <v>-21725.713182345138</v>
      </c>
      <c r="AA189" s="1272">
        <f t="shared" si="223"/>
        <v>-22859.523550836791</v>
      </c>
      <c r="AB189" s="1272">
        <f t="shared" si="223"/>
        <v>-26836.680722086494</v>
      </c>
      <c r="AC189" s="1272">
        <f t="shared" si="223"/>
        <v>-31288.117384517871</v>
      </c>
      <c r="AD189" s="1272">
        <f t="shared" si="223"/>
        <v>-36263.088937061169</v>
      </c>
      <c r="AE189" s="86"/>
      <c r="AF189" s="86"/>
      <c r="AG189" s="350"/>
      <c r="AH189" s="346"/>
      <c r="AI189" s="346"/>
      <c r="AJ189" s="346"/>
      <c r="AK189" s="346"/>
      <c r="AL189" s="678"/>
      <c r="AM189" s="345"/>
      <c r="AN189" s="345"/>
      <c r="AO189" s="345"/>
      <c r="AP189" s="678"/>
      <c r="AQ189" s="345"/>
      <c r="AR189" s="345"/>
      <c r="AS189" s="345"/>
      <c r="AT189" s="678"/>
      <c r="AU189" s="345"/>
      <c r="AV189" s="345"/>
      <c r="AW189" s="345"/>
      <c r="AX189" s="678"/>
      <c r="AY189" s="345"/>
      <c r="AZ189" s="343"/>
      <c r="BA189" s="343"/>
      <c r="BB189" s="761"/>
      <c r="BC189" s="343"/>
      <c r="BD189" s="343"/>
      <c r="BE189" s="343"/>
      <c r="BF189" s="1421">
        <v>-280</v>
      </c>
      <c r="BG189" s="1269">
        <v>-300</v>
      </c>
      <c r="BH189" s="1269">
        <v>-250</v>
      </c>
      <c r="BI189" s="352">
        <f>U189-SUM(BF189:BH189)</f>
        <v>-370</v>
      </c>
      <c r="BJ189" s="1421">
        <v>-300</v>
      </c>
      <c r="BK189" s="1269">
        <v>-600</v>
      </c>
      <c r="BL189" s="1269">
        <v>-599</v>
      </c>
      <c r="BM189" s="1306">
        <v>-2600</v>
      </c>
      <c r="BN189" s="1656"/>
      <c r="BO189" s="1272"/>
      <c r="BP189" s="1272"/>
      <c r="BQ189" s="949"/>
    </row>
    <row r="190" spans="1:101" outlineLevel="1">
      <c r="J190" s="17"/>
      <c r="K190" s="11"/>
      <c r="L190" s="11"/>
      <c r="M190" s="11"/>
      <c r="N190" s="77"/>
      <c r="O190" s="77"/>
      <c r="P190" s="77"/>
      <c r="Q190" s="77"/>
      <c r="R190" s="77"/>
      <c r="S190" s="77"/>
      <c r="T190" s="77"/>
      <c r="U190" s="77"/>
      <c r="V190" s="77"/>
      <c r="W190" s="77"/>
      <c r="X190" s="77"/>
      <c r="Y190" s="77"/>
      <c r="Z190" s="77"/>
      <c r="AA190" s="77"/>
      <c r="AB190" s="77"/>
      <c r="AC190" s="77"/>
      <c r="AD190" s="77"/>
      <c r="AE190" s="77"/>
      <c r="AF190" s="77"/>
      <c r="AG190" s="99"/>
      <c r="AH190" s="11"/>
      <c r="AI190" s="11"/>
      <c r="AJ190" s="11"/>
      <c r="AK190" s="11"/>
      <c r="AL190" s="675"/>
      <c r="AM190" s="77"/>
      <c r="AN190" s="77"/>
      <c r="AO190" s="77"/>
      <c r="AP190" s="675"/>
      <c r="AQ190" s="77"/>
      <c r="AR190" s="77"/>
      <c r="AS190" s="77"/>
      <c r="AT190" s="675"/>
      <c r="AU190" s="77"/>
      <c r="AV190" s="77"/>
      <c r="AW190" s="77"/>
      <c r="AX190" s="675"/>
      <c r="AY190" s="77"/>
      <c r="AZ190" s="77"/>
      <c r="BA190" s="77"/>
      <c r="BB190" s="675"/>
      <c r="BC190" s="77"/>
      <c r="BD190" s="77"/>
      <c r="BE190" s="77"/>
      <c r="BF190" s="675"/>
      <c r="BG190" s="77"/>
      <c r="BH190" s="77"/>
      <c r="BI190" s="77"/>
      <c r="BJ190" s="675"/>
      <c r="BK190" s="77"/>
      <c r="BL190" s="77"/>
      <c r="BM190" s="77"/>
      <c r="BN190" s="675"/>
      <c r="BO190" s="77"/>
      <c r="BP190" s="77"/>
      <c r="BQ190" s="77"/>
    </row>
    <row r="191" spans="1:101" s="382" customFormat="1" outlineLevel="1">
      <c r="A191" s="563"/>
      <c r="B191" s="563"/>
      <c r="C191" s="563"/>
      <c r="D191" s="563"/>
      <c r="E191" s="563"/>
      <c r="F191" s="563"/>
      <c r="G191" s="563"/>
      <c r="H191" s="564"/>
      <c r="I191" s="556"/>
      <c r="J191" s="870" t="s">
        <v>94</v>
      </c>
      <c r="K191" s="870"/>
      <c r="L191" s="870"/>
      <c r="M191" s="870"/>
      <c r="N191" s="882"/>
      <c r="O191" s="882"/>
      <c r="P191" s="882"/>
      <c r="Q191" s="882"/>
      <c r="R191" s="882"/>
      <c r="S191" s="882"/>
      <c r="T191" s="882"/>
      <c r="U191" s="882"/>
      <c r="V191" s="882"/>
      <c r="W191" s="882"/>
      <c r="X191" s="882"/>
      <c r="Y191" s="882"/>
      <c r="Z191" s="882"/>
      <c r="AA191" s="882"/>
      <c r="AB191" s="882"/>
      <c r="AC191" s="882"/>
      <c r="AD191" s="882"/>
      <c r="AE191" s="871"/>
      <c r="AF191" s="871"/>
      <c r="AG191" s="871"/>
      <c r="AH191" s="883"/>
      <c r="AI191" s="883"/>
      <c r="AJ191" s="883"/>
      <c r="AK191" s="883"/>
      <c r="AL191" s="884"/>
      <c r="AM191" s="883"/>
      <c r="AN191" s="883"/>
      <c r="AO191" s="883"/>
      <c r="AP191" s="884"/>
      <c r="AQ191" s="883"/>
      <c r="AR191" s="883"/>
      <c r="AS191" s="883"/>
      <c r="AT191" s="884"/>
      <c r="AU191" s="883"/>
      <c r="AV191" s="883"/>
      <c r="AW191" s="883"/>
      <c r="AX191" s="884"/>
      <c r="AY191" s="883"/>
      <c r="AZ191" s="883"/>
      <c r="BA191" s="883"/>
      <c r="BB191" s="884"/>
      <c r="BC191" s="883"/>
      <c r="BD191" s="883"/>
      <c r="BE191" s="1895"/>
      <c r="BF191" s="883"/>
      <c r="BG191" s="883"/>
      <c r="BH191" s="883"/>
      <c r="BI191" s="1895"/>
      <c r="BJ191" s="883"/>
      <c r="BK191" s="883"/>
      <c r="BL191" s="883"/>
      <c r="BM191" s="883"/>
      <c r="BN191" s="884"/>
      <c r="BO191" s="883"/>
      <c r="BP191" s="883"/>
      <c r="BQ191" s="883"/>
      <c r="CR191"/>
      <c r="CS191"/>
      <c r="CT191"/>
      <c r="CU191"/>
      <c r="CV191"/>
      <c r="CW191"/>
    </row>
    <row r="192" spans="1:101" s="573" customFormat="1" outlineLevel="1">
      <c r="H192" s="576"/>
      <c r="I192" s="576"/>
      <c r="J192" s="13" t="s">
        <v>675</v>
      </c>
      <c r="K192" s="172"/>
      <c r="L192" s="172"/>
      <c r="M192" s="172"/>
      <c r="N192" s="1377">
        <f t="shared" ref="N192:AD192" si="224">N193+N194+N195+N196</f>
        <v>243</v>
      </c>
      <c r="O192" s="1025">
        <f t="shared" si="224"/>
        <v>830</v>
      </c>
      <c r="P192" s="1025">
        <f t="shared" si="224"/>
        <v>2556</v>
      </c>
      <c r="Q192" s="1025">
        <f t="shared" si="224"/>
        <v>5434</v>
      </c>
      <c r="R192" s="1025">
        <f t="shared" si="224"/>
        <v>7423</v>
      </c>
      <c r="S192" s="1025">
        <f t="shared" si="224"/>
        <v>19173</v>
      </c>
      <c r="T192" s="1025">
        <f t="shared" si="224"/>
        <v>27988</v>
      </c>
      <c r="U192" s="1025">
        <f t="shared" si="224"/>
        <v>36606.962999999996</v>
      </c>
      <c r="V192" s="1025">
        <f t="shared" si="224"/>
        <v>51650.398999999998</v>
      </c>
      <c r="W192" s="1025">
        <f t="shared" si="224"/>
        <v>66271.215847541913</v>
      </c>
      <c r="X192" s="1025">
        <f t="shared" si="224"/>
        <v>79468.710967711741</v>
      </c>
      <c r="Y192" s="1025">
        <f t="shared" si="224"/>
        <v>94089.62641955509</v>
      </c>
      <c r="Z192" s="1025">
        <f t="shared" si="224"/>
        <v>105031.05381082895</v>
      </c>
      <c r="AA192" s="1025">
        <f t="shared" si="224"/>
        <v>110645.83243118211</v>
      </c>
      <c r="AB192" s="1025">
        <f t="shared" si="224"/>
        <v>116669.48281709151</v>
      </c>
      <c r="AC192" s="1025">
        <f t="shared" si="224"/>
        <v>121768.24295762603</v>
      </c>
      <c r="AD192" s="1025">
        <f t="shared" si="224"/>
        <v>131308.88464394663</v>
      </c>
      <c r="AE192" s="207"/>
      <c r="AF192" s="920">
        <f>(Y192/V192)^(1/3)-1</f>
        <v>0.22130092996294848</v>
      </c>
      <c r="AG192" s="551"/>
      <c r="AH192" s="207"/>
      <c r="AI192" s="207"/>
      <c r="AJ192" s="207"/>
      <c r="AK192" s="207"/>
      <c r="AL192" s="1761"/>
      <c r="AM192" s="207"/>
      <c r="AN192" s="207"/>
      <c r="AO192" s="207"/>
      <c r="AP192" s="1761"/>
      <c r="AQ192" s="207"/>
      <c r="AR192" s="207"/>
      <c r="AS192" s="207"/>
      <c r="AT192" s="1081">
        <f t="shared" ref="AT192:BQ192" si="225">SUM(AT193:AT196)</f>
        <v>1477</v>
      </c>
      <c r="AU192" s="1008">
        <f t="shared" si="225"/>
        <v>1785.587</v>
      </c>
      <c r="AV192" s="1008">
        <f t="shared" si="225"/>
        <v>1856</v>
      </c>
      <c r="AW192" s="1008">
        <f t="shared" si="225"/>
        <v>2304</v>
      </c>
      <c r="AX192" s="1081">
        <f t="shared" si="225"/>
        <v>6113</v>
      </c>
      <c r="AY192" s="1008">
        <f t="shared" si="225"/>
        <v>3943.174</v>
      </c>
      <c r="AZ192" s="1008">
        <f t="shared" si="225"/>
        <v>3950.6570000000002</v>
      </c>
      <c r="BA192" s="1008">
        <f t="shared" si="225"/>
        <v>5166.3599999999997</v>
      </c>
      <c r="BB192" s="1081">
        <f t="shared" si="225"/>
        <v>5288.1989999999996</v>
      </c>
      <c r="BC192" s="1008">
        <f t="shared" si="225"/>
        <v>6632.6450000000004</v>
      </c>
      <c r="BD192" s="1008">
        <f t="shared" si="225"/>
        <v>6761.7240000000002</v>
      </c>
      <c r="BE192" s="1896">
        <f t="shared" si="225"/>
        <v>9305.385000000002</v>
      </c>
      <c r="BF192" s="1008">
        <f t="shared" si="225"/>
        <v>7554.9110000000001</v>
      </c>
      <c r="BG192" s="1008">
        <f t="shared" si="225"/>
        <v>9002.3349999999991</v>
      </c>
      <c r="BH192" s="1008">
        <f t="shared" si="225"/>
        <v>8870.6290000000008</v>
      </c>
      <c r="BI192" s="1896">
        <f t="shared" si="225"/>
        <v>11179.088000000002</v>
      </c>
      <c r="BJ192" s="1008">
        <f t="shared" si="225"/>
        <v>10163.137999999999</v>
      </c>
      <c r="BK192" s="1008">
        <f t="shared" si="225"/>
        <v>13050.803</v>
      </c>
      <c r="BL192" s="1008">
        <f t="shared" si="225"/>
        <v>12480.364</v>
      </c>
      <c r="BM192" s="1008">
        <f t="shared" si="225"/>
        <v>15956.093999999999</v>
      </c>
      <c r="BN192" s="1081">
        <f t="shared" si="225"/>
        <v>14095.934591048695</v>
      </c>
      <c r="BO192" s="1008">
        <f t="shared" si="225"/>
        <v>16872.977192886938</v>
      </c>
      <c r="BP192" s="1008">
        <f t="shared" si="225"/>
        <v>15713.266147878228</v>
      </c>
      <c r="BQ192" s="1008">
        <f t="shared" si="225"/>
        <v>19589.03791572804</v>
      </c>
      <c r="CR192"/>
      <c r="CS192"/>
      <c r="CT192"/>
      <c r="CU192"/>
      <c r="CV192"/>
      <c r="CW192"/>
    </row>
    <row r="193" spans="8:101" s="573" customFormat="1" outlineLevel="1">
      <c r="H193" s="576"/>
      <c r="I193" s="576"/>
      <c r="J193" s="17" t="s">
        <v>102</v>
      </c>
      <c r="K193" s="172"/>
      <c r="L193" s="172"/>
      <c r="M193" s="172"/>
      <c r="N193" s="528">
        <f>-N412</f>
        <v>144</v>
      </c>
      <c r="O193" s="528">
        <f t="shared" ref="O193:V193" si="226">-O412</f>
        <v>477</v>
      </c>
      <c r="P193" s="528">
        <f t="shared" si="226"/>
        <v>1515</v>
      </c>
      <c r="Q193" s="528">
        <f t="shared" si="226"/>
        <v>3061</v>
      </c>
      <c r="R193" s="528">
        <f t="shared" si="226"/>
        <v>4109</v>
      </c>
      <c r="S193" s="528">
        <f t="shared" si="226"/>
        <v>8067</v>
      </c>
      <c r="T193" s="528">
        <f t="shared" si="226"/>
        <v>13921</v>
      </c>
      <c r="U193" s="528">
        <f t="shared" si="226"/>
        <v>18559.690999999999</v>
      </c>
      <c r="V193" s="528">
        <f t="shared" si="226"/>
        <v>25865.128000000001</v>
      </c>
      <c r="W193" s="973">
        <f t="shared" ref="W193:AD196" si="227">W212+W359-W378</f>
        <v>34039.098827725029</v>
      </c>
      <c r="X193" s="973">
        <f t="shared" si="227"/>
        <v>41114.39649974159</v>
      </c>
      <c r="Y193" s="973">
        <f t="shared" si="227"/>
        <v>48572.181233922754</v>
      </c>
      <c r="Z193" s="973">
        <f t="shared" si="227"/>
        <v>53984.831797231185</v>
      </c>
      <c r="AA193" s="973">
        <f t="shared" si="227"/>
        <v>57483.815322376548</v>
      </c>
      <c r="AB193" s="973">
        <f t="shared" si="227"/>
        <v>61222.468110671478</v>
      </c>
      <c r="AC193" s="973">
        <f t="shared" si="227"/>
        <v>65158.413373677642</v>
      </c>
      <c r="AD193" s="973">
        <f t="shared" si="227"/>
        <v>70412.804231667134</v>
      </c>
      <c r="AE193" s="172"/>
      <c r="AF193" s="172"/>
      <c r="AG193" s="97"/>
      <c r="AH193" s="202"/>
      <c r="AI193" s="202"/>
      <c r="AJ193" s="202"/>
      <c r="AK193" s="202"/>
      <c r="AL193" s="753"/>
      <c r="AM193" s="202"/>
      <c r="AN193" s="202"/>
      <c r="AO193" s="202"/>
      <c r="AP193" s="753"/>
      <c r="AQ193" s="202"/>
      <c r="AR193" s="202"/>
      <c r="AS193" s="202"/>
      <c r="AT193" s="528">
        <f t="shared" ref="AT193:BM193" si="228">-AT412</f>
        <v>845</v>
      </c>
      <c r="AU193" s="528">
        <f t="shared" si="228"/>
        <v>978.63199999999995</v>
      </c>
      <c r="AV193" s="528">
        <f t="shared" si="228"/>
        <v>1034</v>
      </c>
      <c r="AW193" s="528">
        <f t="shared" si="228"/>
        <v>1251</v>
      </c>
      <c r="AX193" s="528">
        <f t="shared" si="228"/>
        <v>1360</v>
      </c>
      <c r="AY193" s="528">
        <f t="shared" si="228"/>
        <v>2001.7529999999999</v>
      </c>
      <c r="AZ193" s="528">
        <f t="shared" si="228"/>
        <v>2119.297</v>
      </c>
      <c r="BA193" s="528">
        <f t="shared" si="228"/>
        <v>2585.4299999999998</v>
      </c>
      <c r="BB193" s="528">
        <f t="shared" si="228"/>
        <v>2677.6509999999998</v>
      </c>
      <c r="BC193" s="528">
        <f t="shared" si="228"/>
        <v>3252.01</v>
      </c>
      <c r="BD193" s="528">
        <f t="shared" si="228"/>
        <v>3459.1170000000002</v>
      </c>
      <c r="BE193" s="1889">
        <f t="shared" si="228"/>
        <v>4532.21</v>
      </c>
      <c r="BF193" s="528">
        <f t="shared" si="228"/>
        <v>3949.8530000000001</v>
      </c>
      <c r="BG193" s="528">
        <f t="shared" si="228"/>
        <v>4605.8419999999996</v>
      </c>
      <c r="BH193" s="528">
        <f t="shared" si="228"/>
        <v>4540.0770000000002</v>
      </c>
      <c r="BI193" s="1889">
        <f t="shared" si="228"/>
        <v>5463.9189999999999</v>
      </c>
      <c r="BJ193" s="528">
        <f t="shared" si="228"/>
        <v>5150.5839999999998</v>
      </c>
      <c r="BK193" s="528">
        <f t="shared" si="228"/>
        <v>6380.6580000000004</v>
      </c>
      <c r="BL193" s="528">
        <f t="shared" si="228"/>
        <v>6373.7889999999998</v>
      </c>
      <c r="BM193" s="528">
        <f t="shared" si="228"/>
        <v>7960.0969999999998</v>
      </c>
      <c r="BN193" s="1261">
        <f t="shared" ref="BN193:BQ196" si="229">BN212+BN359-BN378</f>
        <v>7441.9497671559357</v>
      </c>
      <c r="BO193" s="973">
        <f t="shared" si="229"/>
        <v>8698.3145526241315</v>
      </c>
      <c r="BP193" s="973">
        <f t="shared" si="229"/>
        <v>8406.5498933879699</v>
      </c>
      <c r="BQ193" s="973">
        <f t="shared" si="229"/>
        <v>9492.2846145569874</v>
      </c>
      <c r="CR193"/>
      <c r="CS193"/>
      <c r="CT193"/>
      <c r="CU193"/>
      <c r="CV193"/>
      <c r="CW193"/>
    </row>
    <row r="194" spans="8:101" s="573" customFormat="1" outlineLevel="1">
      <c r="H194" s="576"/>
      <c r="I194" s="576"/>
      <c r="J194" s="17" t="s">
        <v>337</v>
      </c>
      <c r="K194" s="172"/>
      <c r="L194" s="172"/>
      <c r="M194" s="172"/>
      <c r="N194" s="528">
        <f>-N413</f>
        <v>43</v>
      </c>
      <c r="O194" s="528">
        <f t="shared" ref="O194:V196" si="230">-O413</f>
        <v>200</v>
      </c>
      <c r="P194" s="528">
        <f t="shared" si="230"/>
        <v>479</v>
      </c>
      <c r="Q194" s="528">
        <f t="shared" si="230"/>
        <v>1097</v>
      </c>
      <c r="R194" s="528">
        <f t="shared" si="230"/>
        <v>1590</v>
      </c>
      <c r="S194" s="528">
        <f t="shared" si="230"/>
        <v>4010</v>
      </c>
      <c r="T194" s="528">
        <f t="shared" si="230"/>
        <v>7736</v>
      </c>
      <c r="U194" s="528">
        <f t="shared" si="230"/>
        <v>10158.686</v>
      </c>
      <c r="V194" s="528">
        <f t="shared" si="230"/>
        <v>14918.107</v>
      </c>
      <c r="W194" s="973">
        <f t="shared" si="227"/>
        <v>18320.403345210871</v>
      </c>
      <c r="X194" s="973">
        <f t="shared" si="227"/>
        <v>21441.308895391194</v>
      </c>
      <c r="Y194" s="973">
        <f t="shared" si="227"/>
        <v>25708.184600474007</v>
      </c>
      <c r="Z194" s="973">
        <f t="shared" si="227"/>
        <v>28861.671398516664</v>
      </c>
      <c r="AA194" s="973">
        <f t="shared" si="227"/>
        <v>30248.815844481163</v>
      </c>
      <c r="AB194" s="973">
        <f t="shared" si="227"/>
        <v>31687.439101082135</v>
      </c>
      <c r="AC194" s="973">
        <f t="shared" si="227"/>
        <v>33158.192405662136</v>
      </c>
      <c r="AD194" s="973">
        <f t="shared" si="227"/>
        <v>35738.909396440373</v>
      </c>
      <c r="AE194" s="172"/>
      <c r="AF194" s="172"/>
      <c r="AG194" s="97"/>
      <c r="AH194" s="202"/>
      <c r="AI194" s="202"/>
      <c r="AJ194" s="202"/>
      <c r="AK194" s="202"/>
      <c r="AL194" s="753"/>
      <c r="AM194" s="202"/>
      <c r="AN194" s="202"/>
      <c r="AO194" s="202"/>
      <c r="AP194" s="753"/>
      <c r="AQ194" s="202"/>
      <c r="AR194" s="202"/>
      <c r="AS194" s="202"/>
      <c r="AT194" s="528">
        <f t="shared" ref="AT194:BM194" si="231">-AT413</f>
        <v>262</v>
      </c>
      <c r="AU194" s="528">
        <f t="shared" si="231"/>
        <v>428.21600000000001</v>
      </c>
      <c r="AV194" s="528">
        <f t="shared" si="231"/>
        <v>377</v>
      </c>
      <c r="AW194" s="528">
        <f t="shared" si="231"/>
        <v>523</v>
      </c>
      <c r="AX194" s="528">
        <f t="shared" si="231"/>
        <v>594</v>
      </c>
      <c r="AY194" s="528">
        <f t="shared" si="231"/>
        <v>1066.02</v>
      </c>
      <c r="AZ194" s="528">
        <f t="shared" si="231"/>
        <v>879.97400000000005</v>
      </c>
      <c r="BA194" s="528">
        <f t="shared" si="231"/>
        <v>1470.65</v>
      </c>
      <c r="BB194" s="528">
        <f t="shared" si="231"/>
        <v>1426.29</v>
      </c>
      <c r="BC194" s="528">
        <f t="shared" si="231"/>
        <v>1981.922</v>
      </c>
      <c r="BD194" s="528">
        <f t="shared" si="231"/>
        <v>1662.7190000000001</v>
      </c>
      <c r="BE194" s="1889">
        <f t="shared" si="231"/>
        <v>2665.241</v>
      </c>
      <c r="BF194" s="528">
        <f t="shared" si="231"/>
        <v>2016.454</v>
      </c>
      <c r="BG194" s="528">
        <f t="shared" si="231"/>
        <v>2494.9690000000001</v>
      </c>
      <c r="BH194" s="528">
        <f t="shared" si="231"/>
        <v>2132.5540000000001</v>
      </c>
      <c r="BI194" s="1889">
        <f t="shared" si="231"/>
        <v>3514.7089999999998</v>
      </c>
      <c r="BJ194" s="528">
        <f t="shared" si="231"/>
        <v>2799.5309999999999</v>
      </c>
      <c r="BK194" s="528">
        <f t="shared" si="231"/>
        <v>4075.143</v>
      </c>
      <c r="BL194" s="528">
        <f t="shared" si="231"/>
        <v>3300.107</v>
      </c>
      <c r="BM194" s="528">
        <f t="shared" si="231"/>
        <v>4743.326</v>
      </c>
      <c r="BN194" s="1261">
        <f t="shared" si="229"/>
        <v>3595.6207858942244</v>
      </c>
      <c r="BO194" s="973">
        <f t="shared" si="229"/>
        <v>4918.1837191392706</v>
      </c>
      <c r="BP194" s="973">
        <f t="shared" si="229"/>
        <v>3955.4333790987148</v>
      </c>
      <c r="BQ194" s="973">
        <f t="shared" si="229"/>
        <v>5851.1654610786591</v>
      </c>
      <c r="CR194"/>
      <c r="CS194"/>
      <c r="CT194"/>
      <c r="CU194"/>
      <c r="CV194"/>
      <c r="CW194"/>
    </row>
    <row r="195" spans="8:101" s="573" customFormat="1" outlineLevel="1">
      <c r="H195" s="576"/>
      <c r="I195" s="576"/>
      <c r="J195" s="33" t="s">
        <v>96</v>
      </c>
      <c r="K195" s="172"/>
      <c r="L195" s="172"/>
      <c r="M195" s="172"/>
      <c r="N195" s="528">
        <f>-N414</f>
        <v>14</v>
      </c>
      <c r="O195" s="528">
        <f t="shared" si="230"/>
        <v>47</v>
      </c>
      <c r="P195" s="528">
        <f t="shared" si="230"/>
        <v>240</v>
      </c>
      <c r="Q195" s="528">
        <f t="shared" si="230"/>
        <v>636</v>
      </c>
      <c r="R195" s="528">
        <f t="shared" si="230"/>
        <v>964</v>
      </c>
      <c r="S195" s="528">
        <f t="shared" si="230"/>
        <v>1836</v>
      </c>
      <c r="T195" s="528">
        <f t="shared" si="230"/>
        <v>3454</v>
      </c>
      <c r="U195" s="528">
        <f t="shared" si="230"/>
        <v>4452.7079999999996</v>
      </c>
      <c r="V195" s="528">
        <f t="shared" si="230"/>
        <v>6652.3739999999998</v>
      </c>
      <c r="W195" s="973">
        <f t="shared" si="227"/>
        <v>9168.2904963353776</v>
      </c>
      <c r="X195" s="973">
        <f t="shared" si="227"/>
        <v>11375.063149575226</v>
      </c>
      <c r="Y195" s="973">
        <f t="shared" si="227"/>
        <v>13608.327474556849</v>
      </c>
      <c r="Z195" s="973">
        <f t="shared" si="227"/>
        <v>15307.802477776757</v>
      </c>
      <c r="AA195" s="973">
        <f t="shared" si="227"/>
        <v>15641.687575173246</v>
      </c>
      <c r="AB195" s="973">
        <f t="shared" si="227"/>
        <v>15972.752009579017</v>
      </c>
      <c r="AC195" s="973">
        <f t="shared" si="227"/>
        <v>16206.714733956547</v>
      </c>
      <c r="AD195" s="973">
        <f t="shared" si="227"/>
        <v>17466.24782263644</v>
      </c>
      <c r="AE195" s="172"/>
      <c r="AF195" s="172"/>
      <c r="AG195" s="97"/>
      <c r="AH195" s="202"/>
      <c r="AI195" s="202"/>
      <c r="AJ195" s="202"/>
      <c r="AK195" s="202"/>
      <c r="AL195" s="753"/>
      <c r="AM195" s="202"/>
      <c r="AN195" s="202"/>
      <c r="AO195" s="202"/>
      <c r="AP195" s="753"/>
      <c r="AQ195" s="202"/>
      <c r="AR195" s="202"/>
      <c r="AS195" s="202"/>
      <c r="AT195" s="528">
        <f t="shared" ref="AT195:BM195" si="232">-AT414</f>
        <v>219</v>
      </c>
      <c r="AU195" s="528">
        <f t="shared" si="232"/>
        <v>218.18199999999999</v>
      </c>
      <c r="AV195" s="528">
        <f t="shared" si="232"/>
        <v>251</v>
      </c>
      <c r="AW195" s="528">
        <f t="shared" si="232"/>
        <v>276</v>
      </c>
      <c r="AX195" s="528">
        <f t="shared" si="232"/>
        <v>285</v>
      </c>
      <c r="AY195" s="528">
        <f t="shared" si="232"/>
        <v>419.99</v>
      </c>
      <c r="AZ195" s="528">
        <f t="shared" si="232"/>
        <v>511.97300000000001</v>
      </c>
      <c r="BA195" s="528">
        <f t="shared" si="232"/>
        <v>618.94600000000003</v>
      </c>
      <c r="BB195" s="528">
        <f t="shared" si="232"/>
        <v>704.38699999999994</v>
      </c>
      <c r="BC195" s="528">
        <f t="shared" si="232"/>
        <v>784.62099999999998</v>
      </c>
      <c r="BD195" s="528">
        <f t="shared" si="232"/>
        <v>884.74199999999996</v>
      </c>
      <c r="BE195" s="1889">
        <f t="shared" si="232"/>
        <v>1080.0540000000001</v>
      </c>
      <c r="BF195" s="528">
        <f t="shared" si="232"/>
        <v>928.49699999999996</v>
      </c>
      <c r="BG195" s="528">
        <f t="shared" si="232"/>
        <v>1114.115</v>
      </c>
      <c r="BH195" s="528">
        <f t="shared" si="232"/>
        <v>1229.3530000000001</v>
      </c>
      <c r="BI195" s="1889">
        <f t="shared" si="232"/>
        <v>1180.7429999999999</v>
      </c>
      <c r="BJ195" s="528">
        <f t="shared" si="232"/>
        <v>1289.0609999999999</v>
      </c>
      <c r="BK195" s="528">
        <f t="shared" si="232"/>
        <v>1546.39</v>
      </c>
      <c r="BL195" s="528">
        <f t="shared" si="232"/>
        <v>1756.05</v>
      </c>
      <c r="BM195" s="528">
        <f t="shared" si="232"/>
        <v>2060.873</v>
      </c>
      <c r="BN195" s="1261">
        <f t="shared" si="229"/>
        <v>1962.8315582892094</v>
      </c>
      <c r="BO195" s="973">
        <f t="shared" si="229"/>
        <v>2122.0856655574789</v>
      </c>
      <c r="BP195" s="973">
        <f t="shared" si="229"/>
        <v>2259.8110360053206</v>
      </c>
      <c r="BQ195" s="973">
        <f t="shared" si="229"/>
        <v>2823.5622364833685</v>
      </c>
      <c r="CR195"/>
      <c r="CS195"/>
      <c r="CT195"/>
      <c r="CU195"/>
      <c r="CV195"/>
      <c r="CW195"/>
    </row>
    <row r="196" spans="8:101" s="573" customFormat="1" outlineLevel="1">
      <c r="H196" s="576"/>
      <c r="I196" s="576"/>
      <c r="J196" s="33" t="s">
        <v>103</v>
      </c>
      <c r="K196" s="172"/>
      <c r="L196" s="172"/>
      <c r="M196" s="172"/>
      <c r="N196" s="528">
        <f>-N415</f>
        <v>42</v>
      </c>
      <c r="O196" s="528">
        <f t="shared" si="230"/>
        <v>106</v>
      </c>
      <c r="P196" s="528">
        <f t="shared" si="230"/>
        <v>322</v>
      </c>
      <c r="Q196" s="528">
        <f t="shared" si="230"/>
        <v>640</v>
      </c>
      <c r="R196" s="528">
        <f t="shared" si="230"/>
        <v>760</v>
      </c>
      <c r="S196" s="528">
        <f t="shared" si="230"/>
        <v>5260</v>
      </c>
      <c r="T196" s="528">
        <f t="shared" si="230"/>
        <v>2877</v>
      </c>
      <c r="U196" s="528">
        <f t="shared" si="230"/>
        <v>3435.8780000000002</v>
      </c>
      <c r="V196" s="528">
        <f t="shared" si="230"/>
        <v>4214.79</v>
      </c>
      <c r="W196" s="973">
        <f t="shared" si="227"/>
        <v>4743.4231782706347</v>
      </c>
      <c r="X196" s="973">
        <f t="shared" si="227"/>
        <v>5537.9424230037203</v>
      </c>
      <c r="Y196" s="973">
        <f t="shared" si="227"/>
        <v>6200.9331106014688</v>
      </c>
      <c r="Z196" s="973">
        <f t="shared" si="227"/>
        <v>6876.7481373043365</v>
      </c>
      <c r="AA196" s="973">
        <f t="shared" si="227"/>
        <v>7271.5136891511474</v>
      </c>
      <c r="AB196" s="973">
        <f t="shared" si="227"/>
        <v>7786.8235957588795</v>
      </c>
      <c r="AC196" s="973">
        <f t="shared" si="227"/>
        <v>7244.9224443297144</v>
      </c>
      <c r="AD196" s="973">
        <f t="shared" si="227"/>
        <v>7690.9231932026751</v>
      </c>
      <c r="AE196" s="172"/>
      <c r="AF196" s="172"/>
      <c r="AG196" s="97"/>
      <c r="AH196" s="202"/>
      <c r="AI196" s="202"/>
      <c r="AJ196" s="202"/>
      <c r="AK196" s="202"/>
      <c r="AL196" s="753"/>
      <c r="AM196" s="202"/>
      <c r="AN196" s="202"/>
      <c r="AO196" s="202"/>
      <c r="AP196" s="753"/>
      <c r="AQ196" s="202"/>
      <c r="AR196" s="202"/>
      <c r="AS196" s="202"/>
      <c r="AT196" s="528">
        <f>-AT415</f>
        <v>151</v>
      </c>
      <c r="AU196" s="528">
        <f t="shared" ref="AU196:BM196" si="233">-AU415</f>
        <v>160.55699999999999</v>
      </c>
      <c r="AV196" s="528">
        <f t="shared" si="233"/>
        <v>194</v>
      </c>
      <c r="AW196" s="528">
        <f t="shared" si="233"/>
        <v>254</v>
      </c>
      <c r="AX196" s="528">
        <f t="shared" si="233"/>
        <v>3874</v>
      </c>
      <c r="AY196" s="528">
        <f t="shared" si="233"/>
        <v>455.411</v>
      </c>
      <c r="AZ196" s="528">
        <f t="shared" si="233"/>
        <v>439.41300000000001</v>
      </c>
      <c r="BA196" s="528">
        <f t="shared" si="233"/>
        <v>491.334</v>
      </c>
      <c r="BB196" s="528">
        <f t="shared" si="233"/>
        <v>479.87099999999998</v>
      </c>
      <c r="BC196" s="528">
        <f t="shared" si="233"/>
        <v>614.09199999999998</v>
      </c>
      <c r="BD196" s="528">
        <f t="shared" si="233"/>
        <v>755.14599999999996</v>
      </c>
      <c r="BE196" s="1889">
        <f t="shared" si="233"/>
        <v>1027.8800000000001</v>
      </c>
      <c r="BF196" s="528">
        <f t="shared" si="233"/>
        <v>660.10699999999997</v>
      </c>
      <c r="BG196" s="528">
        <f t="shared" si="233"/>
        <v>787.40899999999999</v>
      </c>
      <c r="BH196" s="528">
        <f t="shared" si="233"/>
        <v>968.64499999999998</v>
      </c>
      <c r="BI196" s="1889">
        <f t="shared" si="233"/>
        <v>1019.717</v>
      </c>
      <c r="BJ196" s="528">
        <f t="shared" si="233"/>
        <v>923.96199999999999</v>
      </c>
      <c r="BK196" s="528">
        <f t="shared" si="233"/>
        <v>1048.6120000000001</v>
      </c>
      <c r="BL196" s="528">
        <f t="shared" si="233"/>
        <v>1050.4179999999999</v>
      </c>
      <c r="BM196" s="528">
        <f t="shared" si="233"/>
        <v>1191.798</v>
      </c>
      <c r="BN196" s="1261">
        <f t="shared" si="229"/>
        <v>1095.5324797093263</v>
      </c>
      <c r="BO196" s="973">
        <f t="shared" si="229"/>
        <v>1134.3932555660588</v>
      </c>
      <c r="BP196" s="973">
        <f t="shared" si="229"/>
        <v>1091.4718393862245</v>
      </c>
      <c r="BQ196" s="973">
        <f t="shared" si="229"/>
        <v>1422.0256036090252</v>
      </c>
      <c r="CR196"/>
      <c r="CS196"/>
      <c r="CT196"/>
      <c r="CU196"/>
      <c r="CV196"/>
      <c r="CW196"/>
    </row>
    <row r="197" spans="8:101" s="573" customFormat="1" outlineLevel="1">
      <c r="H197" s="576"/>
      <c r="I197" s="576"/>
      <c r="J197" s="186"/>
      <c r="K197" s="172"/>
      <c r="L197" s="172"/>
      <c r="M197" s="172"/>
      <c r="N197" s="189"/>
      <c r="O197" s="189"/>
      <c r="P197" s="189"/>
      <c r="Q197" s="189"/>
      <c r="R197" s="189"/>
      <c r="S197" s="189"/>
      <c r="T197" s="189"/>
      <c r="U197" s="189"/>
      <c r="V197" s="189"/>
      <c r="W197" s="189"/>
      <c r="X197" s="189"/>
      <c r="Y197" s="189"/>
      <c r="Z197" s="189"/>
      <c r="AA197" s="189"/>
      <c r="AB197" s="189"/>
      <c r="AC197" s="189"/>
      <c r="AD197" s="189"/>
      <c r="AE197" s="172"/>
      <c r="AF197" s="172"/>
      <c r="AG197" s="97"/>
      <c r="AH197" s="189"/>
      <c r="AI197" s="189"/>
      <c r="AJ197" s="189"/>
      <c r="AK197" s="189"/>
      <c r="AL197" s="751"/>
      <c r="AM197" s="189"/>
      <c r="AN197" s="189"/>
      <c r="AO197" s="189"/>
      <c r="AP197" s="751"/>
      <c r="AQ197" s="189"/>
      <c r="AR197" s="189"/>
      <c r="AS197" s="189"/>
      <c r="AT197" s="751"/>
      <c r="AU197" s="189"/>
      <c r="AV197" s="189"/>
      <c r="AW197" s="189"/>
      <c r="AX197" s="751"/>
      <c r="AY197" s="189"/>
      <c r="AZ197" s="189"/>
      <c r="BA197" s="189"/>
      <c r="BB197" s="751"/>
      <c r="BC197" s="189"/>
      <c r="BD197" s="189"/>
      <c r="BE197" s="1890"/>
      <c r="BF197" s="189"/>
      <c r="BG197" s="189"/>
      <c r="BH197" s="189"/>
      <c r="BI197" s="1890"/>
      <c r="BJ197" s="189"/>
      <c r="BK197" s="189"/>
      <c r="BL197" s="189"/>
      <c r="BM197" s="189"/>
      <c r="BN197" s="751"/>
      <c r="BO197" s="189"/>
      <c r="BP197" s="189"/>
      <c r="BQ197" s="189"/>
      <c r="CR197"/>
      <c r="CS197"/>
      <c r="CT197"/>
      <c r="CU197"/>
      <c r="CV197"/>
      <c r="CW197"/>
    </row>
    <row r="198" spans="8:101" s="573" customFormat="1" outlineLevel="1">
      <c r="H198" s="576"/>
      <c r="I198" s="576"/>
      <c r="J198" s="313" t="s">
        <v>676</v>
      </c>
      <c r="K198" s="172"/>
      <c r="L198" s="172"/>
      <c r="M198" s="172"/>
      <c r="N198" s="190">
        <f t="shared" ref="N198:V198" si="234">N479</f>
        <v>-2.9462144570058239E-2</v>
      </c>
      <c r="O198" s="190">
        <f t="shared" si="234"/>
        <v>-4.7069789118024001E-2</v>
      </c>
      <c r="P198" s="190">
        <f t="shared" si="234"/>
        <v>-6.3070073636850715E-2</v>
      </c>
      <c r="Q198" s="190">
        <f t="shared" si="234"/>
        <v>-4.1682099652636126E-2</v>
      </c>
      <c r="R198" s="190">
        <f t="shared" si="234"/>
        <v>-4.4018892414190939E-3</v>
      </c>
      <c r="S198" s="190">
        <f t="shared" si="234"/>
        <v>-4.0503121684840274E-3</v>
      </c>
      <c r="T198" s="190">
        <f t="shared" si="234"/>
        <v>-2.4556189908818613E-2</v>
      </c>
      <c r="U198" s="190">
        <f t="shared" si="234"/>
        <v>6.1909881455820973E-3</v>
      </c>
      <c r="V198" s="190">
        <f t="shared" si="234"/>
        <v>7.9639611161431683E-3</v>
      </c>
      <c r="W198" s="190">
        <f t="shared" ref="W198:AD198" si="235">W479</f>
        <v>8.8473712867993166E-3</v>
      </c>
      <c r="X198" s="190">
        <f t="shared" si="235"/>
        <v>1.8439341838833619E-2</v>
      </c>
      <c r="Y198" s="190">
        <f t="shared" si="235"/>
        <v>2.6888371242019003E-2</v>
      </c>
      <c r="Z198" s="190">
        <f t="shared" si="235"/>
        <v>3.5237346360060894E-2</v>
      </c>
      <c r="AA198" s="190">
        <f t="shared" si="235"/>
        <v>4.264760309469736E-2</v>
      </c>
      <c r="AB198" s="190">
        <f t="shared" si="235"/>
        <v>5.0066020789262075E-2</v>
      </c>
      <c r="AC198" s="190">
        <f t="shared" si="235"/>
        <v>5.7141899828728054E-2</v>
      </c>
      <c r="AD198" s="190">
        <f t="shared" si="235"/>
        <v>6.1386097402203646E-2</v>
      </c>
      <c r="AE198" s="172"/>
      <c r="AF198" s="172"/>
      <c r="AG198" s="97"/>
      <c r="AH198" s="189"/>
      <c r="AI198" s="189"/>
      <c r="AJ198" s="189"/>
      <c r="AK198" s="189"/>
      <c r="AL198" s="751"/>
      <c r="AM198" s="189"/>
      <c r="AN198" s="189"/>
      <c r="AO198" s="189"/>
      <c r="AP198" s="751"/>
      <c r="AQ198" s="189"/>
      <c r="AR198" s="189"/>
      <c r="AS198" s="189"/>
      <c r="AT198" s="751"/>
      <c r="AU198" s="189"/>
      <c r="AV198" s="189"/>
      <c r="AW198" s="189"/>
      <c r="AX198" s="751"/>
      <c r="AY198" s="189"/>
      <c r="AZ198" s="189"/>
      <c r="BA198" s="189"/>
      <c r="BB198" s="751"/>
      <c r="BC198" s="189"/>
      <c r="BD198" s="189"/>
      <c r="BE198" s="1890"/>
      <c r="BF198" s="189"/>
      <c r="BG198" s="189"/>
      <c r="BH198" s="189"/>
      <c r="BI198" s="1890"/>
      <c r="BJ198" s="189"/>
      <c r="BK198" s="189"/>
      <c r="BL198" s="189"/>
      <c r="BM198" s="1890"/>
      <c r="BN198" s="189"/>
      <c r="BO198" s="189"/>
      <c r="BP198" s="189"/>
      <c r="BQ198" s="189"/>
      <c r="CR198"/>
      <c r="CS198"/>
      <c r="CT198"/>
      <c r="CU198"/>
      <c r="CV198"/>
      <c r="CW198"/>
    </row>
    <row r="199" spans="8:101" s="382" customFormat="1" outlineLevel="1">
      <c r="H199" s="570"/>
      <c r="I199" s="570"/>
      <c r="J199" s="191" t="s">
        <v>85</v>
      </c>
      <c r="K199" s="28"/>
      <c r="L199" s="28"/>
      <c r="M199" s="28"/>
      <c r="N199" s="189">
        <f t="shared" ref="N199:V199" si="236">IF(ISERROR(N192/N$119),"--",N192/N$119)</f>
        <v>8.3247687564234327E-2</v>
      </c>
      <c r="O199" s="189">
        <f t="shared" si="236"/>
        <v>9.6702784574158221E-2</v>
      </c>
      <c r="P199" s="189">
        <f t="shared" si="236"/>
        <v>0.12097141179553617</v>
      </c>
      <c r="Q199" s="189">
        <f t="shared" si="236"/>
        <v>0.13131782463541239</v>
      </c>
      <c r="R199" s="189">
        <f t="shared" si="236"/>
        <v>0.10705220651860398</v>
      </c>
      <c r="S199" s="189">
        <f t="shared" si="236"/>
        <v>0.16671883967235351</v>
      </c>
      <c r="T199" s="189">
        <f t="shared" si="236"/>
        <v>0.15438503588233024</v>
      </c>
      <c r="U199" s="189">
        <f t="shared" si="236"/>
        <v>0.14172817573887223</v>
      </c>
      <c r="V199" s="189">
        <f t="shared" si="236"/>
        <v>0.14255002060901348</v>
      </c>
      <c r="W199" s="189">
        <f t="shared" ref="W199:AD199" si="237">IF(ISERROR(W192/W$119),"--",W192/W$119)</f>
        <v>0.14280511809459753</v>
      </c>
      <c r="X199" s="189">
        <f t="shared" si="237"/>
        <v>0.1377863778199156</v>
      </c>
      <c r="Y199" s="189">
        <f t="shared" si="237"/>
        <v>0.13603780863510567</v>
      </c>
      <c r="Z199" s="189">
        <f t="shared" si="237"/>
        <v>0.1345803530527174</v>
      </c>
      <c r="AA199" s="189">
        <f t="shared" si="237"/>
        <v>0.13109946667528002</v>
      </c>
      <c r="AB199" s="189">
        <f t="shared" si="237"/>
        <v>0.12783049003372859</v>
      </c>
      <c r="AC199" s="189">
        <f t="shared" si="237"/>
        <v>0.1233763287482537</v>
      </c>
      <c r="AD199" s="189">
        <f t="shared" si="237"/>
        <v>0.12303304100987421</v>
      </c>
      <c r="AE199" s="77"/>
      <c r="AF199" s="77"/>
      <c r="AG199" s="99"/>
      <c r="AH199" s="189"/>
      <c r="AI199" s="189"/>
      <c r="AJ199" s="189"/>
      <c r="AK199" s="189"/>
      <c r="AL199" s="751"/>
      <c r="AM199" s="189"/>
      <c r="AN199" s="189"/>
      <c r="AO199" s="189"/>
      <c r="AP199" s="751"/>
      <c r="AQ199" s="189"/>
      <c r="AR199" s="189"/>
      <c r="AS199" s="77"/>
      <c r="AT199" s="675">
        <f t="shared" ref="AT199:BM199" si="238">IF(ISERROR(AT192/AT$119),"--",AT192/AT$119)</f>
        <v>0.10761384335154826</v>
      </c>
      <c r="AU199" s="77">
        <f t="shared" si="238"/>
        <v>0.10230734068535188</v>
      </c>
      <c r="AV199" s="77">
        <f t="shared" si="238"/>
        <v>0.10289093594052461</v>
      </c>
      <c r="AW199" s="77">
        <f t="shared" si="238"/>
        <v>0.11449016100178891</v>
      </c>
      <c r="AX199" s="675">
        <f t="shared" si="238"/>
        <v>0.26980128713706808</v>
      </c>
      <c r="AY199" s="77">
        <f t="shared" si="238"/>
        <v>0.13781129807062212</v>
      </c>
      <c r="AZ199" s="77">
        <f t="shared" si="238"/>
        <v>0.13617319011031401</v>
      </c>
      <c r="BA199" s="77">
        <f t="shared" si="238"/>
        <v>0.14880048552928266</v>
      </c>
      <c r="BB199" s="675">
        <f t="shared" si="238"/>
        <v>0.14432631038131905</v>
      </c>
      <c r="BC199" s="77">
        <f t="shared" si="238"/>
        <v>0.14441181390619767</v>
      </c>
      <c r="BD199" s="77">
        <f t="shared" si="238"/>
        <v>0.15329179338542262</v>
      </c>
      <c r="BE199" s="1893">
        <f t="shared" si="238"/>
        <v>0.17040475525514856</v>
      </c>
      <c r="BF199" s="77">
        <f t="shared" si="238"/>
        <v>0.14040456206650742</v>
      </c>
      <c r="BG199" s="77">
        <f t="shared" si="238"/>
        <v>0.13871741400422069</v>
      </c>
      <c r="BH199" s="77">
        <f t="shared" si="238"/>
        <v>0.14741698307691606</v>
      </c>
      <c r="BI199" s="1893">
        <f t="shared" si="238"/>
        <v>0.14077482944203989</v>
      </c>
      <c r="BJ199" s="77">
        <f t="shared" si="238"/>
        <v>0.13511543424996406</v>
      </c>
      <c r="BK199" s="77">
        <f t="shared" si="238"/>
        <v>0.14002710779465777</v>
      </c>
      <c r="BL199" s="77">
        <f t="shared" si="238"/>
        <v>0.1490259302093235</v>
      </c>
      <c r="BM199" s="1893">
        <f t="shared" si="238"/>
        <v>0.14483770366456655</v>
      </c>
      <c r="BN199" s="77">
        <f t="shared" ref="BN199:BQ203" si="239">IF(ISERROR(BN192/BN$119),"--",BN192/BN$119)</f>
        <v>0.1429844281163053</v>
      </c>
      <c r="BO199" s="77">
        <f t="shared" si="239"/>
        <v>0.14016997111066651</v>
      </c>
      <c r="BP199" s="77">
        <f t="shared" si="239"/>
        <v>0.15228133394468155</v>
      </c>
      <c r="BQ199" s="77">
        <f t="shared" si="239"/>
        <v>0.13802589355219994</v>
      </c>
      <c r="CR199"/>
      <c r="CS199"/>
      <c r="CT199"/>
      <c r="CU199"/>
      <c r="CV199"/>
      <c r="CW199"/>
    </row>
    <row r="200" spans="8:101" s="573" customFormat="1" outlineLevel="1">
      <c r="H200" s="576"/>
      <c r="I200" s="566"/>
      <c r="J200" s="90" t="s">
        <v>102</v>
      </c>
      <c r="K200" s="172"/>
      <c r="L200" s="172"/>
      <c r="M200" s="172"/>
      <c r="N200" s="189">
        <f t="shared" ref="N200:V200" si="240">IF(ISERROR(N193/N$119),"--",N193/N$119)</f>
        <v>4.9331963001027747E-2</v>
      </c>
      <c r="O200" s="189">
        <f t="shared" si="240"/>
        <v>5.5574973785389725E-2</v>
      </c>
      <c r="P200" s="189">
        <f t="shared" si="240"/>
        <v>7.1702538681626488E-2</v>
      </c>
      <c r="Q200" s="189">
        <f t="shared" si="240"/>
        <v>7.3972002430805553E-2</v>
      </c>
      <c r="R200" s="189">
        <f t="shared" si="240"/>
        <v>5.9258725122584364E-2</v>
      </c>
      <c r="S200" s="189">
        <f t="shared" si="240"/>
        <v>7.0146606145980075E-2</v>
      </c>
      <c r="T200" s="189">
        <f t="shared" si="240"/>
        <v>7.6789841522006547E-2</v>
      </c>
      <c r="U200" s="189">
        <f t="shared" si="240"/>
        <v>7.1856033173447506E-2</v>
      </c>
      <c r="V200" s="189">
        <f t="shared" si="240"/>
        <v>7.1385209036909314E-2</v>
      </c>
      <c r="W200" s="189">
        <f t="shared" ref="W200:AD200" si="241">IF(ISERROR(W193/W$119),"--",W193/W$119)</f>
        <v>7.3349454446552886E-2</v>
      </c>
      <c r="X200" s="189">
        <f t="shared" si="241"/>
        <v>7.1285965268178431E-2</v>
      </c>
      <c r="Y200" s="189">
        <f t="shared" si="241"/>
        <v>7.0227222140577611E-2</v>
      </c>
      <c r="Z200" s="189">
        <f t="shared" si="241"/>
        <v>6.91728537337961E-2</v>
      </c>
      <c r="AA200" s="189">
        <f t="shared" si="241"/>
        <v>6.8110089333107499E-2</v>
      </c>
      <c r="AB200" s="189">
        <f t="shared" si="241"/>
        <v>6.7079221666995953E-2</v>
      </c>
      <c r="AC200" s="189">
        <f t="shared" si="241"/>
        <v>6.6018903072313742E-2</v>
      </c>
      <c r="AD200" s="189">
        <f t="shared" si="241"/>
        <v>6.5974982988741104E-2</v>
      </c>
      <c r="AE200" s="77"/>
      <c r="AF200" s="77"/>
      <c r="AG200" s="99"/>
      <c r="AH200" s="189"/>
      <c r="AI200" s="189"/>
      <c r="AJ200" s="189"/>
      <c r="AK200" s="189"/>
      <c r="AL200" s="751"/>
      <c r="AM200" s="189"/>
      <c r="AN200" s="189"/>
      <c r="AO200" s="189"/>
      <c r="AP200" s="751"/>
      <c r="AQ200" s="189"/>
      <c r="AR200" s="189"/>
      <c r="AS200" s="77"/>
      <c r="AT200" s="675">
        <f t="shared" ref="AT200:BM200" si="242">IF(ISERROR(AT193/AT$119),"--",AT193/AT$119)</f>
        <v>6.156648451730419E-2</v>
      </c>
      <c r="AU200" s="77">
        <f t="shared" si="242"/>
        <v>5.6071889764871319E-2</v>
      </c>
      <c r="AV200" s="77">
        <f t="shared" si="242"/>
        <v>5.7321782199624159E-2</v>
      </c>
      <c r="AW200" s="77">
        <f t="shared" si="242"/>
        <v>6.2164579606440069E-2</v>
      </c>
      <c r="AX200" s="675">
        <f t="shared" si="242"/>
        <v>6.0024497056504596E-2</v>
      </c>
      <c r="AY200" s="77">
        <f t="shared" si="242"/>
        <v>6.9959930590626246E-2</v>
      </c>
      <c r="AZ200" s="77">
        <f t="shared" si="242"/>
        <v>7.3048972178859903E-2</v>
      </c>
      <c r="BA200" s="77">
        <f t="shared" si="242"/>
        <v>7.446504682251591E-2</v>
      </c>
      <c r="BB200" s="675">
        <f t="shared" si="242"/>
        <v>7.3078847698214336E-2</v>
      </c>
      <c r="BC200" s="77">
        <f t="shared" si="242"/>
        <v>7.0805638314894573E-2</v>
      </c>
      <c r="BD200" s="77">
        <f t="shared" si="242"/>
        <v>7.8419978168290064E-2</v>
      </c>
      <c r="BE200" s="77">
        <f t="shared" si="242"/>
        <v>8.2996043238934947E-2</v>
      </c>
      <c r="BF200" s="675">
        <f t="shared" si="242"/>
        <v>7.3406209641924375E-2</v>
      </c>
      <c r="BG200" s="77">
        <f t="shared" si="242"/>
        <v>7.0971641418812764E-2</v>
      </c>
      <c r="BH200" s="77">
        <f t="shared" si="242"/>
        <v>7.5449492282553557E-2</v>
      </c>
      <c r="BI200" s="77">
        <f t="shared" si="242"/>
        <v>6.8805457592794786E-2</v>
      </c>
      <c r="BJ200" s="675">
        <f t="shared" si="242"/>
        <v>6.8475247881207249E-2</v>
      </c>
      <c r="BK200" s="77">
        <f t="shared" si="242"/>
        <v>6.8460544961627692E-2</v>
      </c>
      <c r="BL200" s="77">
        <f t="shared" si="242"/>
        <v>7.610834384982311E-2</v>
      </c>
      <c r="BM200" s="1893">
        <f t="shared" si="242"/>
        <v>7.2255914914214292E-2</v>
      </c>
      <c r="BN200" s="77">
        <f t="shared" si="239"/>
        <v>7.5488639980124811E-2</v>
      </c>
      <c r="BO200" s="77">
        <f t="shared" si="239"/>
        <v>7.2260069199098137E-2</v>
      </c>
      <c r="BP200" s="77">
        <f t="shared" si="239"/>
        <v>8.1470053367008063E-2</v>
      </c>
      <c r="BQ200" s="77">
        <f t="shared" si="239"/>
        <v>6.6883379950175265E-2</v>
      </c>
      <c r="CR200"/>
      <c r="CS200"/>
      <c r="CT200"/>
      <c r="CU200"/>
      <c r="CV200"/>
      <c r="CW200"/>
    </row>
    <row r="201" spans="8:101" s="573" customFormat="1" outlineLevel="1">
      <c r="H201" s="576"/>
      <c r="I201" s="566"/>
      <c r="J201" s="90" t="s">
        <v>34</v>
      </c>
      <c r="K201" s="172"/>
      <c r="L201" s="172"/>
      <c r="M201" s="172"/>
      <c r="N201" s="189">
        <f t="shared" ref="N201:V201" si="243">IF(ISERROR(N194/N$119),"--",N194/N$119)</f>
        <v>1.473107228502912E-2</v>
      </c>
      <c r="O201" s="189">
        <f t="shared" si="243"/>
        <v>2.330187580100198E-2</v>
      </c>
      <c r="P201" s="189">
        <f t="shared" si="243"/>
        <v>2.2670307609570353E-2</v>
      </c>
      <c r="Q201" s="189">
        <f t="shared" si="243"/>
        <v>2.6510057715319727E-2</v>
      </c>
      <c r="R201" s="189">
        <f t="shared" si="243"/>
        <v>2.2930487453129506E-2</v>
      </c>
      <c r="S201" s="189">
        <f t="shared" si="243"/>
        <v>3.4868958800716512E-2</v>
      </c>
      <c r="T201" s="189">
        <f t="shared" si="243"/>
        <v>4.2672668200146729E-2</v>
      </c>
      <c r="U201" s="189">
        <f t="shared" si="243"/>
        <v>3.9330551258349979E-2</v>
      </c>
      <c r="V201" s="189">
        <f t="shared" si="243"/>
        <v>4.1172507888999434E-2</v>
      </c>
      <c r="W201" s="189">
        <f t="shared" ref="W201:AD201" si="244">IF(ISERROR(W194/W$119),"--",W194/W$119)</f>
        <v>3.9477883871517024E-2</v>
      </c>
      <c r="X201" s="189">
        <f t="shared" si="244"/>
        <v>3.7175892907262996E-2</v>
      </c>
      <c r="Y201" s="189">
        <f t="shared" si="244"/>
        <v>3.7169720298819216E-2</v>
      </c>
      <c r="Z201" s="189">
        <f t="shared" si="244"/>
        <v>3.6981576263147208E-2</v>
      </c>
      <c r="AA201" s="189">
        <f t="shared" si="244"/>
        <v>3.5840515070793194E-2</v>
      </c>
      <c r="AB201" s="189">
        <f t="shared" si="244"/>
        <v>3.4718769385098068E-2</v>
      </c>
      <c r="AC201" s="189">
        <f t="shared" si="244"/>
        <v>3.359608340872932E-2</v>
      </c>
      <c r="AD201" s="189">
        <f t="shared" si="244"/>
        <v>3.3486437093296358E-2</v>
      </c>
      <c r="AE201" s="77"/>
      <c r="AF201" s="77"/>
      <c r="AG201" s="99"/>
      <c r="AH201" s="189"/>
      <c r="AI201" s="189"/>
      <c r="AJ201" s="189"/>
      <c r="AK201" s="189"/>
      <c r="AL201" s="751"/>
      <c r="AM201" s="189"/>
      <c r="AN201" s="189"/>
      <c r="AO201" s="189"/>
      <c r="AP201" s="751"/>
      <c r="AQ201" s="189"/>
      <c r="AR201" s="189"/>
      <c r="AS201" s="77"/>
      <c r="AT201" s="675">
        <f t="shared" ref="AT201:BM201" si="245">IF(ISERROR(AT194/AT$119),"--",AT194/AT$119)</f>
        <v>1.9089253187613845E-2</v>
      </c>
      <c r="AU201" s="77">
        <f t="shared" si="245"/>
        <v>2.4535147376699453E-2</v>
      </c>
      <c r="AV201" s="77">
        <f t="shared" si="245"/>
        <v>2.0899721362919059E-2</v>
      </c>
      <c r="AW201" s="77">
        <f t="shared" si="245"/>
        <v>2.5988869012124827E-2</v>
      </c>
      <c r="AX201" s="675">
        <f t="shared" si="245"/>
        <v>2.621658180262039E-2</v>
      </c>
      <c r="AY201" s="77">
        <f t="shared" si="245"/>
        <v>3.7256687117850899E-2</v>
      </c>
      <c r="AZ201" s="77">
        <f t="shared" si="245"/>
        <v>3.0331376982140806E-2</v>
      </c>
      <c r="BA201" s="77">
        <f t="shared" si="245"/>
        <v>4.2357372316996794E-2</v>
      </c>
      <c r="BB201" s="675">
        <f t="shared" si="245"/>
        <v>3.8926517938105497E-2</v>
      </c>
      <c r="BC201" s="77">
        <f t="shared" si="245"/>
        <v>4.3152158911052695E-2</v>
      </c>
      <c r="BD201" s="77">
        <f t="shared" si="245"/>
        <v>3.7694702919849513E-2</v>
      </c>
      <c r="BE201" s="77">
        <f t="shared" si="245"/>
        <v>4.8807195006008594E-2</v>
      </c>
      <c r="BF201" s="675">
        <f t="shared" si="245"/>
        <v>3.7474874395907132E-2</v>
      </c>
      <c r="BG201" s="77">
        <f t="shared" si="245"/>
        <v>3.8445097599755673E-2</v>
      </c>
      <c r="BH201" s="77">
        <f t="shared" si="245"/>
        <v>3.5439953235402999E-2</v>
      </c>
      <c r="BI201" s="77">
        <f t="shared" si="245"/>
        <v>4.4259653382583843E-2</v>
      </c>
      <c r="BJ201" s="675">
        <f t="shared" si="245"/>
        <v>3.7218804542576922E-2</v>
      </c>
      <c r="BK201" s="77">
        <f t="shared" si="245"/>
        <v>4.37237837502907E-2</v>
      </c>
      <c r="BL201" s="77">
        <f t="shared" si="245"/>
        <v>3.9406023371217375E-2</v>
      </c>
      <c r="BM201" s="1893">
        <f t="shared" si="245"/>
        <v>4.3056430074455178E-2</v>
      </c>
      <c r="BN201" s="77">
        <f t="shared" si="239"/>
        <v>3.6472770107819935E-2</v>
      </c>
      <c r="BO201" s="77">
        <f t="shared" si="239"/>
        <v>4.0857144648978806E-2</v>
      </c>
      <c r="BP201" s="77">
        <f t="shared" si="239"/>
        <v>3.833312982990527E-2</v>
      </c>
      <c r="BQ201" s="77">
        <f t="shared" si="239"/>
        <v>4.1227769559765863E-2</v>
      </c>
      <c r="CR201"/>
      <c r="CS201"/>
      <c r="CT201"/>
      <c r="CU201"/>
      <c r="CV201"/>
      <c r="CW201"/>
    </row>
    <row r="202" spans="8:101" s="573" customFormat="1" outlineLevel="1">
      <c r="H202" s="576"/>
      <c r="I202" s="566"/>
      <c r="J202" s="186" t="s">
        <v>96</v>
      </c>
      <c r="K202" s="172"/>
      <c r="L202" s="172"/>
      <c r="M202" s="172"/>
      <c r="N202" s="189">
        <f t="shared" ref="N202:V202" si="246">IF(ISERROR(N195/N$119),"--",N195/N$119)</f>
        <v>4.7961630695443642E-3</v>
      </c>
      <c r="O202" s="189">
        <f t="shared" si="246"/>
        <v>5.4759408132354654E-3</v>
      </c>
      <c r="P202" s="189">
        <f t="shared" si="246"/>
        <v>1.1358818008970532E-2</v>
      </c>
      <c r="Q202" s="189">
        <f t="shared" si="246"/>
        <v>1.5369550325381355E-2</v>
      </c>
      <c r="R202" s="189">
        <f t="shared" si="246"/>
        <v>1.3902509374098645E-2</v>
      </c>
      <c r="S202" s="189">
        <f t="shared" si="246"/>
        <v>1.5964939740178433E-2</v>
      </c>
      <c r="T202" s="189">
        <f t="shared" si="246"/>
        <v>1.9052662353064478E-2</v>
      </c>
      <c r="U202" s="189">
        <f t="shared" si="246"/>
        <v>1.7239184303212543E-2</v>
      </c>
      <c r="V202" s="189">
        <f t="shared" si="246"/>
        <v>1.8359897874145475E-2</v>
      </c>
      <c r="W202" s="189">
        <f t="shared" ref="W202:AD202" si="247">IF(ISERROR(W195/W$119),"--",W195/W$119)</f>
        <v>1.9756372209418466E-2</v>
      </c>
      <c r="X202" s="189">
        <f t="shared" si="247"/>
        <v>1.9722589302972073E-2</v>
      </c>
      <c r="Y202" s="189">
        <f t="shared" si="247"/>
        <v>1.9675357627340542E-2</v>
      </c>
      <c r="Z202" s="189">
        <f t="shared" si="247"/>
        <v>1.9614479596015002E-2</v>
      </c>
      <c r="AA202" s="189">
        <f t="shared" si="247"/>
        <v>1.8533159848401697E-2</v>
      </c>
      <c r="AB202" s="189">
        <f t="shared" si="247"/>
        <v>1.7500760843971057E-2</v>
      </c>
      <c r="AC202" s="189">
        <f t="shared" si="247"/>
        <v>1.6420742521854419E-2</v>
      </c>
      <c r="AD202" s="189">
        <f t="shared" si="247"/>
        <v>1.6365424095087091E-2</v>
      </c>
      <c r="AE202" s="77"/>
      <c r="AF202" s="77"/>
      <c r="AG202" s="99"/>
      <c r="AH202" s="189"/>
      <c r="AI202" s="189"/>
      <c r="AJ202" s="189"/>
      <c r="AK202" s="189"/>
      <c r="AL202" s="751"/>
      <c r="AM202" s="189"/>
      <c r="AN202" s="189"/>
      <c r="AO202" s="189"/>
      <c r="AP202" s="751"/>
      <c r="AQ202" s="189"/>
      <c r="AR202" s="189"/>
      <c r="AS202" s="77"/>
      <c r="AT202" s="675">
        <f t="shared" ref="AT202:BM202" si="248">IF(ISERROR(AT195/AT$119),"--",AT195/AT$119)</f>
        <v>1.5956284153005464E-2</v>
      </c>
      <c r="AU202" s="77">
        <f t="shared" si="248"/>
        <v>1.2500998386195377E-2</v>
      </c>
      <c r="AV202" s="77">
        <f t="shared" si="248"/>
        <v>1.3914668599715343E-2</v>
      </c>
      <c r="AW202" s="77">
        <f t="shared" si="248"/>
        <v>1.3714967203339297E-2</v>
      </c>
      <c r="AX202" s="675">
        <f t="shared" si="248"/>
        <v>1.2578662986105743E-2</v>
      </c>
      <c r="AY202" s="77">
        <f t="shared" si="248"/>
        <v>1.4678370033044594E-2</v>
      </c>
      <c r="AZ202" s="77">
        <f t="shared" si="248"/>
        <v>1.7646937372783257E-2</v>
      </c>
      <c r="BA202" s="77">
        <f t="shared" si="248"/>
        <v>1.7826761068993915E-2</v>
      </c>
      <c r="BB202" s="675">
        <f t="shared" si="248"/>
        <v>1.9224234335842159E-2</v>
      </c>
      <c r="BC202" s="77">
        <f t="shared" si="248"/>
        <v>1.7083462455610803E-2</v>
      </c>
      <c r="BD202" s="77">
        <f t="shared" si="248"/>
        <v>2.0057560448105478E-2</v>
      </c>
      <c r="BE202" s="77">
        <f t="shared" si="248"/>
        <v>1.9778476391072934E-2</v>
      </c>
      <c r="BF202" s="675">
        <f t="shared" si="248"/>
        <v>1.7255691650777349E-2</v>
      </c>
      <c r="BG202" s="77">
        <f t="shared" si="248"/>
        <v>1.7167451744832019E-2</v>
      </c>
      <c r="BH202" s="77">
        <f t="shared" si="248"/>
        <v>2.0430063121403903E-2</v>
      </c>
      <c r="BI202" s="77">
        <f t="shared" si="248"/>
        <v>1.4868734769766771E-2</v>
      </c>
      <c r="BJ202" s="675">
        <f t="shared" si="248"/>
        <v>1.713762391002591E-2</v>
      </c>
      <c r="BK202" s="77">
        <f t="shared" si="248"/>
        <v>1.6591815785019576E-2</v>
      </c>
      <c r="BL202" s="77">
        <f t="shared" si="248"/>
        <v>2.0968698087979045E-2</v>
      </c>
      <c r="BM202" s="1893">
        <f t="shared" si="248"/>
        <v>1.8707091651898409E-2</v>
      </c>
      <c r="BN202" s="77">
        <f t="shared" si="239"/>
        <v>1.9910304353202814E-2</v>
      </c>
      <c r="BO202" s="77">
        <f t="shared" si="239"/>
        <v>1.7628939044672394E-2</v>
      </c>
      <c r="BP202" s="77">
        <f t="shared" si="239"/>
        <v>2.1900414324253693E-2</v>
      </c>
      <c r="BQ202" s="77">
        <f t="shared" si="239"/>
        <v>1.9895040397974573E-2</v>
      </c>
      <c r="CR202"/>
      <c r="CS202"/>
      <c r="CT202"/>
      <c r="CU202"/>
      <c r="CV202"/>
      <c r="CW202"/>
    </row>
    <row r="203" spans="8:101" s="573" customFormat="1" outlineLevel="1">
      <c r="H203" s="576"/>
      <c r="I203" s="566"/>
      <c r="J203" s="186" t="s">
        <v>103</v>
      </c>
      <c r="K203" s="172"/>
      <c r="L203" s="172"/>
      <c r="M203" s="172"/>
      <c r="N203" s="189">
        <f t="shared" ref="N203:V203" si="249">IF(ISERROR(N196/N$119),"--",N196/N$119)</f>
        <v>1.4388489208633094E-2</v>
      </c>
      <c r="O203" s="189">
        <f t="shared" si="249"/>
        <v>1.2349994174531049E-2</v>
      </c>
      <c r="P203" s="189">
        <f t="shared" si="249"/>
        <v>1.5239747495368798E-2</v>
      </c>
      <c r="Q203" s="189">
        <f t="shared" si="249"/>
        <v>1.5466214163905766E-2</v>
      </c>
      <c r="R203" s="189">
        <f t="shared" si="249"/>
        <v>1.0960484568791463E-2</v>
      </c>
      <c r="S203" s="189">
        <f t="shared" si="249"/>
        <v>4.5738334985478517E-2</v>
      </c>
      <c r="T203" s="189">
        <f t="shared" si="249"/>
        <v>1.5869863807112479E-2</v>
      </c>
      <c r="U203" s="189">
        <f t="shared" si="249"/>
        <v>1.3302407003862213E-2</v>
      </c>
      <c r="V203" s="189">
        <f t="shared" si="249"/>
        <v>1.1632405808959268E-2</v>
      </c>
      <c r="W203" s="189">
        <f t="shared" ref="W203:AD203" si="250">IF(ISERROR(W196/W$119),"--",W196/W$119)</f>
        <v>1.0221407567109157E-2</v>
      </c>
      <c r="X203" s="189">
        <f t="shared" si="250"/>
        <v>9.601930341502066E-3</v>
      </c>
      <c r="Y203" s="189">
        <f t="shared" si="250"/>
        <v>8.9655085683682956E-3</v>
      </c>
      <c r="Z203" s="189">
        <f t="shared" si="250"/>
        <v>8.8114434597590958E-3</v>
      </c>
      <c r="AA203" s="189">
        <f t="shared" si="250"/>
        <v>8.6157024229776384E-3</v>
      </c>
      <c r="AB203" s="189">
        <f t="shared" si="250"/>
        <v>8.5317381376635183E-3</v>
      </c>
      <c r="AC203" s="189">
        <f t="shared" si="250"/>
        <v>7.3405997453562253E-3</v>
      </c>
      <c r="AD203" s="189">
        <f t="shared" si="250"/>
        <v>7.2061968327496511E-3</v>
      </c>
      <c r="AE203" s="77"/>
      <c r="AF203" s="77"/>
      <c r="AG203" s="99"/>
      <c r="AH203" s="189"/>
      <c r="AI203" s="189"/>
      <c r="AJ203" s="189"/>
      <c r="AK203" s="189"/>
      <c r="AL203" s="751"/>
      <c r="AM203" s="189"/>
      <c r="AN203" s="189"/>
      <c r="AO203" s="189"/>
      <c r="AP203" s="751"/>
      <c r="AQ203" s="189"/>
      <c r="AR203" s="189"/>
      <c r="AS203" s="77"/>
      <c r="AT203" s="675">
        <f t="shared" ref="AT203:BM203" si="251">IF(ISERROR(AT196/AT$119),"--",AT196/AT$119)</f>
        <v>1.1001821493624773E-2</v>
      </c>
      <c r="AU203" s="77">
        <f t="shared" si="251"/>
        <v>9.1993051575857358E-3</v>
      </c>
      <c r="AV203" s="77">
        <f t="shared" si="251"/>
        <v>1.0754763778266042E-2</v>
      </c>
      <c r="AW203" s="77">
        <f t="shared" si="251"/>
        <v>1.2621745179884715E-2</v>
      </c>
      <c r="AX203" s="675">
        <f t="shared" si="251"/>
        <v>0.17098154529183737</v>
      </c>
      <c r="AY203" s="77">
        <f t="shared" si="251"/>
        <v>1.5916310329100389E-2</v>
      </c>
      <c r="AZ203" s="77">
        <f t="shared" si="251"/>
        <v>1.5145903576530031E-2</v>
      </c>
      <c r="BA203" s="77">
        <f t="shared" si="251"/>
        <v>1.4151305320776053E-2</v>
      </c>
      <c r="BB203" s="675">
        <f t="shared" si="251"/>
        <v>1.309671040915706E-2</v>
      </c>
      <c r="BC203" s="77">
        <f t="shared" si="251"/>
        <v>1.3370554224639604E-2</v>
      </c>
      <c r="BD203" s="77">
        <f t="shared" si="251"/>
        <v>1.7119551849177569E-2</v>
      </c>
      <c r="BE203" s="77">
        <f t="shared" si="251"/>
        <v>1.882304061913205E-2</v>
      </c>
      <c r="BF203" s="675">
        <f t="shared" si="251"/>
        <v>1.2267786377898562E-2</v>
      </c>
      <c r="BG203" s="77">
        <f t="shared" si="251"/>
        <v>1.2133223240820234E-2</v>
      </c>
      <c r="BH203" s="77">
        <f t="shared" si="251"/>
        <v>1.6097474437555593E-2</v>
      </c>
      <c r="BI203" s="77">
        <f t="shared" si="251"/>
        <v>1.2840983696894466E-2</v>
      </c>
      <c r="BJ203" s="675">
        <f t="shared" si="251"/>
        <v>1.2283757916153977E-2</v>
      </c>
      <c r="BK203" s="77">
        <f t="shared" si="251"/>
        <v>1.1250963297719819E-2</v>
      </c>
      <c r="BL203" s="77">
        <f t="shared" si="251"/>
        <v>1.2542864900303962E-2</v>
      </c>
      <c r="BM203" s="1893">
        <f t="shared" si="251"/>
        <v>1.0818267023998674E-2</v>
      </c>
      <c r="BN203" s="77">
        <f t="shared" si="239"/>
        <v>1.111271367515774E-2</v>
      </c>
      <c r="BO203" s="77">
        <f t="shared" si="239"/>
        <v>9.4238182179172039E-3</v>
      </c>
      <c r="BP203" s="77">
        <f t="shared" si="239"/>
        <v>1.0577736423514537E-2</v>
      </c>
      <c r="BQ203" s="77">
        <f t="shared" si="239"/>
        <v>1.0019703644284228E-2</v>
      </c>
      <c r="CR203"/>
      <c r="CS203"/>
      <c r="CT203"/>
      <c r="CU203"/>
      <c r="CV203"/>
      <c r="CW203"/>
    </row>
    <row r="204" spans="8:101" s="573" customFormat="1" outlineLevel="1">
      <c r="H204" s="576"/>
      <c r="I204" s="576"/>
      <c r="J204" s="186"/>
      <c r="K204" s="172"/>
      <c r="L204" s="172"/>
      <c r="M204" s="172"/>
      <c r="N204" s="365"/>
      <c r="O204" s="365"/>
      <c r="P204" s="365"/>
      <c r="Q204" s="365"/>
      <c r="R204" s="365"/>
      <c r="S204" s="365"/>
      <c r="T204" s="365"/>
      <c r="U204" s="365"/>
      <c r="V204" s="365"/>
      <c r="W204" s="365"/>
      <c r="X204" s="365"/>
      <c r="Y204" s="365"/>
      <c r="Z204" s="365"/>
      <c r="AA204" s="365"/>
      <c r="AB204" s="365"/>
      <c r="AC204" s="365"/>
      <c r="AD204" s="365"/>
      <c r="AE204" s="77"/>
      <c r="AF204" s="77"/>
      <c r="AG204" s="99"/>
      <c r="AH204" s="189"/>
      <c r="AI204" s="189"/>
      <c r="AJ204" s="189"/>
      <c r="AK204" s="189"/>
      <c r="AL204" s="751"/>
      <c r="AM204" s="189"/>
      <c r="AN204" s="189"/>
      <c r="AO204" s="189"/>
      <c r="AP204" s="751"/>
      <c r="AQ204" s="189"/>
      <c r="AR204" s="189"/>
      <c r="AS204" s="77"/>
      <c r="AT204" s="675"/>
      <c r="AU204" s="77"/>
      <c r="AV204" s="77"/>
      <c r="AW204" s="77"/>
      <c r="AX204" s="675"/>
      <c r="AY204" s="77"/>
      <c r="AZ204" s="77"/>
      <c r="BA204" s="77"/>
      <c r="BB204" s="675"/>
      <c r="BC204" s="77"/>
      <c r="BD204" s="77"/>
      <c r="BE204" s="77"/>
      <c r="BF204" s="675"/>
      <c r="BG204" s="77"/>
      <c r="BH204" s="77"/>
      <c r="BI204" s="77"/>
      <c r="BJ204" s="675"/>
      <c r="BK204" s="77"/>
      <c r="BL204" s="77"/>
      <c r="BM204" s="1893"/>
      <c r="BN204" s="77"/>
      <c r="BO204" s="77"/>
      <c r="BP204" s="77"/>
      <c r="BQ204" s="77"/>
      <c r="CR204"/>
      <c r="CS204"/>
      <c r="CT204"/>
      <c r="CU204"/>
      <c r="CV204"/>
      <c r="CW204"/>
    </row>
    <row r="205" spans="8:101" s="573" customFormat="1" outlineLevel="1">
      <c r="H205" s="576"/>
      <c r="I205" s="576"/>
      <c r="J205" s="313" t="s">
        <v>586</v>
      </c>
      <c r="K205" s="172"/>
      <c r="L205" s="172"/>
      <c r="M205" s="172"/>
      <c r="N205" s="202"/>
      <c r="O205" s="202"/>
      <c r="P205" s="202"/>
      <c r="Q205" s="202"/>
      <c r="R205" s="202"/>
      <c r="S205" s="202"/>
      <c r="T205" s="202"/>
      <c r="U205" s="202"/>
      <c r="V205" s="202"/>
      <c r="W205" s="202"/>
      <c r="X205" s="202"/>
      <c r="Y205" s="202"/>
      <c r="Z205" s="202"/>
      <c r="AA205" s="202"/>
      <c r="AB205" s="202"/>
      <c r="AC205" s="202"/>
      <c r="AD205" s="202"/>
      <c r="AE205" s="172"/>
      <c r="AF205" s="172"/>
      <c r="AG205" s="97"/>
      <c r="AH205" s="202"/>
      <c r="AI205" s="202"/>
      <c r="AJ205" s="202"/>
      <c r="AK205" s="202"/>
      <c r="AL205" s="753"/>
      <c r="AM205" s="202"/>
      <c r="AN205" s="202"/>
      <c r="AO205" s="202"/>
      <c r="AP205" s="753"/>
      <c r="AQ205" s="202"/>
      <c r="AR205" s="202"/>
      <c r="AS205" s="202"/>
      <c r="AT205" s="753"/>
      <c r="AU205" s="202"/>
      <c r="AV205" s="202"/>
      <c r="AW205" s="202"/>
      <c r="AX205" s="753"/>
      <c r="AY205" s="202"/>
      <c r="AZ205" s="202"/>
      <c r="BA205" s="202"/>
      <c r="BB205" s="753"/>
      <c r="BC205" s="202"/>
      <c r="BD205" s="202"/>
      <c r="BE205" s="202"/>
      <c r="BF205" s="753"/>
      <c r="BG205" s="202"/>
      <c r="BH205" s="202"/>
      <c r="BI205" s="202"/>
      <c r="BJ205" s="753"/>
      <c r="BK205" s="202"/>
      <c r="BL205" s="202"/>
      <c r="BM205" s="1894"/>
      <c r="BN205" s="202"/>
      <c r="BO205" s="202"/>
      <c r="BP205" s="202"/>
      <c r="BQ205" s="202"/>
      <c r="CR205"/>
      <c r="CS205"/>
      <c r="CT205"/>
      <c r="CU205"/>
      <c r="CV205"/>
      <c r="CW205"/>
    </row>
    <row r="206" spans="8:101" outlineLevel="1">
      <c r="J206" s="17" t="s">
        <v>104</v>
      </c>
      <c r="K206" s="11"/>
      <c r="L206" s="11"/>
      <c r="M206" s="11"/>
      <c r="N206" s="81">
        <f t="shared" ref="N206:AD206" si="252">IF(ISERROR(N193/N$192),"--",N193/N$192)</f>
        <v>0.59259259259259256</v>
      </c>
      <c r="O206" s="81">
        <f t="shared" si="252"/>
        <v>0.57469879518072287</v>
      </c>
      <c r="P206" s="81">
        <f t="shared" si="252"/>
        <v>0.59272300469483563</v>
      </c>
      <c r="Q206" s="81">
        <f t="shared" si="252"/>
        <v>0.56330511593669486</v>
      </c>
      <c r="R206" s="81">
        <f t="shared" si="252"/>
        <v>0.55354977771790381</v>
      </c>
      <c r="S206" s="79">
        <f t="shared" si="252"/>
        <v>0.42074792677202316</v>
      </c>
      <c r="T206" s="79">
        <f t="shared" si="252"/>
        <v>0.4973917393168501</v>
      </c>
      <c r="U206" s="79">
        <f t="shared" si="252"/>
        <v>0.50699892804546498</v>
      </c>
      <c r="V206" s="79">
        <f t="shared" si="252"/>
        <v>0.50077305307941578</v>
      </c>
      <c r="W206" s="81">
        <f t="shared" si="252"/>
        <v>0.51363323265461991</v>
      </c>
      <c r="X206" s="81">
        <f t="shared" si="252"/>
        <v>0.51736584121071794</v>
      </c>
      <c r="Y206" s="81">
        <f t="shared" si="252"/>
        <v>0.51623311816899475</v>
      </c>
      <c r="Z206" s="81">
        <f t="shared" si="252"/>
        <v>0.51398924259546197</v>
      </c>
      <c r="AA206" s="81">
        <f t="shared" si="252"/>
        <v>0.51952987346477331</v>
      </c>
      <c r="AB206" s="81">
        <f t="shared" si="252"/>
        <v>0.52475134570239723</v>
      </c>
      <c r="AC206" s="81">
        <f t="shared" si="252"/>
        <v>0.53510186064154697</v>
      </c>
      <c r="AD206" s="81">
        <f t="shared" si="252"/>
        <v>0.53623792801680148</v>
      </c>
      <c r="AE206" s="11"/>
      <c r="AF206" s="11"/>
      <c r="AG206" s="95"/>
      <c r="AH206" s="81" t="str">
        <f t="shared" ref="AH206:BQ206" si="253">IF(ISERROR(AH193/AH$192),"--",AH193/AH$192)</f>
        <v>--</v>
      </c>
      <c r="AI206" s="81" t="str">
        <f t="shared" si="253"/>
        <v>--</v>
      </c>
      <c r="AJ206" s="81" t="str">
        <f t="shared" si="253"/>
        <v>--</v>
      </c>
      <c r="AK206" s="81" t="str">
        <f t="shared" si="253"/>
        <v>--</v>
      </c>
      <c r="AL206" s="673" t="str">
        <f t="shared" si="253"/>
        <v>--</v>
      </c>
      <c r="AM206" s="81" t="str">
        <f t="shared" si="253"/>
        <v>--</v>
      </c>
      <c r="AN206" s="81" t="str">
        <f t="shared" si="253"/>
        <v>--</v>
      </c>
      <c r="AO206" s="81" t="str">
        <f t="shared" si="253"/>
        <v>--</v>
      </c>
      <c r="AP206" s="673" t="str">
        <f t="shared" si="253"/>
        <v>--</v>
      </c>
      <c r="AQ206" s="81" t="str">
        <f t="shared" si="253"/>
        <v>--</v>
      </c>
      <c r="AR206" s="81" t="str">
        <f t="shared" si="253"/>
        <v>--</v>
      </c>
      <c r="AS206" s="81" t="str">
        <f t="shared" si="253"/>
        <v>--</v>
      </c>
      <c r="AT206" s="673">
        <f t="shared" si="253"/>
        <v>0.57210561949898442</v>
      </c>
      <c r="AU206" s="81">
        <f t="shared" si="253"/>
        <v>0.54807298664248782</v>
      </c>
      <c r="AV206" s="81">
        <f t="shared" si="253"/>
        <v>0.55711206896551724</v>
      </c>
      <c r="AW206" s="79">
        <f t="shared" si="253"/>
        <v>0.54296875</v>
      </c>
      <c r="AX206" s="673">
        <f t="shared" si="253"/>
        <v>0.22247668902339277</v>
      </c>
      <c r="AY206" s="79">
        <f t="shared" si="253"/>
        <v>0.50765018231505887</v>
      </c>
      <c r="AZ206" s="79">
        <f t="shared" si="253"/>
        <v>0.53644166020993467</v>
      </c>
      <c r="BA206" s="79">
        <f t="shared" si="253"/>
        <v>0.50043550972057693</v>
      </c>
      <c r="BB206" s="673">
        <f t="shared" si="253"/>
        <v>0.50634459860530967</v>
      </c>
      <c r="BC206" s="79">
        <f t="shared" si="253"/>
        <v>0.49030364206134958</v>
      </c>
      <c r="BD206" s="79">
        <f t="shared" si="253"/>
        <v>0.51157323191541093</v>
      </c>
      <c r="BE206" s="79">
        <f t="shared" si="253"/>
        <v>0.4870523895572294</v>
      </c>
      <c r="BF206" s="673">
        <f t="shared" si="253"/>
        <v>0.52281926286093905</v>
      </c>
      <c r="BG206" s="79">
        <f t="shared" si="253"/>
        <v>0.51162748331405128</v>
      </c>
      <c r="BH206" s="79">
        <f t="shared" si="253"/>
        <v>0.51181004188090828</v>
      </c>
      <c r="BI206" s="79">
        <f t="shared" si="253"/>
        <v>0.48876250012523376</v>
      </c>
      <c r="BJ206" s="673">
        <f t="shared" si="253"/>
        <v>0.50679071759135819</v>
      </c>
      <c r="BK206" s="79">
        <f t="shared" si="253"/>
        <v>0.48890922650506641</v>
      </c>
      <c r="BL206" s="79">
        <f t="shared" si="253"/>
        <v>0.51070537686240558</v>
      </c>
      <c r="BM206" s="1887">
        <f t="shared" si="253"/>
        <v>0.49887503796355176</v>
      </c>
      <c r="BN206" s="79">
        <f t="shared" si="253"/>
        <v>0.52795007802333149</v>
      </c>
      <c r="BO206" s="79">
        <f t="shared" si="253"/>
        <v>0.51551747229831135</v>
      </c>
      <c r="BP206" s="79">
        <f t="shared" si="253"/>
        <v>0.53499697734853879</v>
      </c>
      <c r="BQ206" s="79">
        <f t="shared" si="253"/>
        <v>0.48457125129844336</v>
      </c>
    </row>
    <row r="207" spans="8:101" s="573" customFormat="1" outlineLevel="1">
      <c r="H207" s="576"/>
      <c r="I207" s="576"/>
      <c r="J207" s="17" t="s">
        <v>106</v>
      </c>
      <c r="K207" s="172"/>
      <c r="L207" s="172"/>
      <c r="M207" s="172"/>
      <c r="N207" s="81">
        <f t="shared" ref="N207:AD207" si="254">IF(ISERROR(N194/N$192),"--",N194/N$192)</f>
        <v>0.17695473251028807</v>
      </c>
      <c r="O207" s="81">
        <f t="shared" si="254"/>
        <v>0.24096385542168675</v>
      </c>
      <c r="P207" s="81">
        <f t="shared" si="254"/>
        <v>0.1874021909233177</v>
      </c>
      <c r="Q207" s="81">
        <f t="shared" si="254"/>
        <v>0.20187707029812293</v>
      </c>
      <c r="R207" s="81">
        <f t="shared" si="254"/>
        <v>0.21419911087161525</v>
      </c>
      <c r="S207" s="79">
        <f t="shared" si="254"/>
        <v>0.20914828143743808</v>
      </c>
      <c r="T207" s="79">
        <f t="shared" si="254"/>
        <v>0.27640417321709304</v>
      </c>
      <c r="U207" s="79">
        <f t="shared" si="254"/>
        <v>0.27750693221942507</v>
      </c>
      <c r="V207" s="79">
        <f t="shared" si="254"/>
        <v>0.28882849481956568</v>
      </c>
      <c r="W207" s="81">
        <f t="shared" si="254"/>
        <v>0.27644586131265914</v>
      </c>
      <c r="X207" s="81">
        <f t="shared" si="254"/>
        <v>0.26980818783008609</v>
      </c>
      <c r="Y207" s="81">
        <f t="shared" si="254"/>
        <v>0.27323080746264877</v>
      </c>
      <c r="Z207" s="81">
        <f t="shared" si="254"/>
        <v>0.27479179110684082</v>
      </c>
      <c r="AA207" s="81">
        <f t="shared" si="254"/>
        <v>0.27338414091009605</v>
      </c>
      <c r="AB207" s="81">
        <f t="shared" si="254"/>
        <v>0.27160006486666349</v>
      </c>
      <c r="AC207" s="81">
        <f t="shared" si="254"/>
        <v>0.27230574737947733</v>
      </c>
      <c r="AD207" s="81">
        <f t="shared" si="254"/>
        <v>0.27217434291174558</v>
      </c>
      <c r="AE207" s="172"/>
      <c r="AF207" s="172"/>
      <c r="AG207" s="97"/>
      <c r="AH207" s="81" t="str">
        <f t="shared" ref="AH207:BQ207" si="255">IF(ISERROR(AH194/AH$192),"--",AH194/AH$192)</f>
        <v>--</v>
      </c>
      <c r="AI207" s="81" t="str">
        <f t="shared" si="255"/>
        <v>--</v>
      </c>
      <c r="AJ207" s="81" t="str">
        <f t="shared" si="255"/>
        <v>--</v>
      </c>
      <c r="AK207" s="81" t="str">
        <f t="shared" si="255"/>
        <v>--</v>
      </c>
      <c r="AL207" s="673" t="str">
        <f t="shared" si="255"/>
        <v>--</v>
      </c>
      <c r="AM207" s="81" t="str">
        <f t="shared" si="255"/>
        <v>--</v>
      </c>
      <c r="AN207" s="81" t="str">
        <f t="shared" si="255"/>
        <v>--</v>
      </c>
      <c r="AO207" s="81" t="str">
        <f t="shared" si="255"/>
        <v>--</v>
      </c>
      <c r="AP207" s="673" t="str">
        <f t="shared" si="255"/>
        <v>--</v>
      </c>
      <c r="AQ207" s="81" t="str">
        <f t="shared" si="255"/>
        <v>--</v>
      </c>
      <c r="AR207" s="81" t="str">
        <f t="shared" si="255"/>
        <v>--</v>
      </c>
      <c r="AS207" s="81" t="str">
        <f t="shared" si="255"/>
        <v>--</v>
      </c>
      <c r="AT207" s="673">
        <f t="shared" si="255"/>
        <v>0.17738659444820581</v>
      </c>
      <c r="AU207" s="81">
        <f t="shared" si="255"/>
        <v>0.23981805423090558</v>
      </c>
      <c r="AV207" s="81">
        <f t="shared" si="255"/>
        <v>0.203125</v>
      </c>
      <c r="AW207" s="79">
        <f t="shared" si="255"/>
        <v>0.22699652777777779</v>
      </c>
      <c r="AX207" s="673">
        <f t="shared" si="255"/>
        <v>9.716996564698184E-2</v>
      </c>
      <c r="AY207" s="79">
        <f t="shared" si="255"/>
        <v>0.2703456656997637</v>
      </c>
      <c r="AZ207" s="79">
        <f t="shared" si="255"/>
        <v>0.22274117950507979</v>
      </c>
      <c r="BA207" s="79">
        <f t="shared" si="255"/>
        <v>0.28465883136289383</v>
      </c>
      <c r="BB207" s="673">
        <f t="shared" si="255"/>
        <v>0.26971186220488302</v>
      </c>
      <c r="BC207" s="79">
        <f t="shared" si="255"/>
        <v>0.29881321855760407</v>
      </c>
      <c r="BD207" s="79">
        <f t="shared" si="255"/>
        <v>0.24590163691981512</v>
      </c>
      <c r="BE207" s="79">
        <f t="shared" si="255"/>
        <v>0.28641920780279367</v>
      </c>
      <c r="BF207" s="673">
        <f t="shared" si="255"/>
        <v>0.26690638711693626</v>
      </c>
      <c r="BG207" s="79">
        <f t="shared" si="255"/>
        <v>0.27714687356113721</v>
      </c>
      <c r="BH207" s="79">
        <f t="shared" si="255"/>
        <v>0.24040617638275708</v>
      </c>
      <c r="BI207" s="79">
        <f t="shared" si="255"/>
        <v>0.31440033390917033</v>
      </c>
      <c r="BJ207" s="673">
        <f t="shared" si="255"/>
        <v>0.27545931187788658</v>
      </c>
      <c r="BK207" s="79">
        <f t="shared" si="255"/>
        <v>0.31225228056848303</v>
      </c>
      <c r="BL207" s="79">
        <f t="shared" si="255"/>
        <v>0.26442393827615929</v>
      </c>
      <c r="BM207" s="1887">
        <f t="shared" si="255"/>
        <v>0.29727363100267523</v>
      </c>
      <c r="BN207" s="79">
        <f t="shared" si="255"/>
        <v>0.25508211340435294</v>
      </c>
      <c r="BO207" s="79">
        <f t="shared" si="255"/>
        <v>0.29148286416297692</v>
      </c>
      <c r="BP207" s="79">
        <f t="shared" si="255"/>
        <v>0.25172572919429737</v>
      </c>
      <c r="BQ207" s="79">
        <f t="shared" si="255"/>
        <v>0.29869590769339199</v>
      </c>
      <c r="CR207"/>
      <c r="CS207"/>
      <c r="CT207"/>
      <c r="CU207"/>
      <c r="CV207"/>
      <c r="CW207"/>
    </row>
    <row r="208" spans="8:101" s="573" customFormat="1" outlineLevel="1">
      <c r="H208" s="576"/>
      <c r="I208" s="576"/>
      <c r="J208" s="33" t="s">
        <v>107</v>
      </c>
      <c r="K208" s="172"/>
      <c r="L208" s="172"/>
      <c r="M208" s="172"/>
      <c r="N208" s="81">
        <f t="shared" ref="N208:AD208" si="256">IF(ISERROR(N195/N$192),"--",N195/N$192)</f>
        <v>5.7613168724279837E-2</v>
      </c>
      <c r="O208" s="81">
        <f t="shared" si="256"/>
        <v>5.6626506024096385E-2</v>
      </c>
      <c r="P208" s="81">
        <f t="shared" si="256"/>
        <v>9.3896713615023469E-2</v>
      </c>
      <c r="Q208" s="81">
        <f t="shared" si="256"/>
        <v>0.11704085388295915</v>
      </c>
      <c r="R208" s="81">
        <f t="shared" si="256"/>
        <v>0.12986663074228749</v>
      </c>
      <c r="S208" s="79">
        <f t="shared" si="256"/>
        <v>9.5759662024722261E-2</v>
      </c>
      <c r="T208" s="79">
        <f t="shared" si="256"/>
        <v>0.12341003287123052</v>
      </c>
      <c r="U208" s="79">
        <f t="shared" si="256"/>
        <v>0.12163554786011613</v>
      </c>
      <c r="V208" s="79">
        <f t="shared" si="256"/>
        <v>0.12879617832187512</v>
      </c>
      <c r="W208" s="81">
        <f t="shared" si="256"/>
        <v>0.13834498702162323</v>
      </c>
      <c r="X208" s="81">
        <f t="shared" si="256"/>
        <v>0.14313889090508755</v>
      </c>
      <c r="Y208" s="81">
        <f t="shared" si="256"/>
        <v>0.14463153901659626</v>
      </c>
      <c r="Z208" s="81">
        <f t="shared" si="256"/>
        <v>0.14574549071313314</v>
      </c>
      <c r="AA208" s="81">
        <f t="shared" si="256"/>
        <v>0.14136716432498111</v>
      </c>
      <c r="AB208" s="81">
        <f t="shared" si="256"/>
        <v>0.13690599824309058</v>
      </c>
      <c r="AC208" s="81">
        <f t="shared" si="256"/>
        <v>0.13309475722332875</v>
      </c>
      <c r="AD208" s="81">
        <f t="shared" si="256"/>
        <v>0.13301649671305496</v>
      </c>
      <c r="AE208" s="172"/>
      <c r="AF208" s="172"/>
      <c r="AG208" s="97"/>
      <c r="AH208" s="81" t="str">
        <f t="shared" ref="AH208:BQ208" si="257">IF(ISERROR(AH195/AH$192),"--",AH195/AH$192)</f>
        <v>--</v>
      </c>
      <c r="AI208" s="81" t="str">
        <f t="shared" si="257"/>
        <v>--</v>
      </c>
      <c r="AJ208" s="81" t="str">
        <f t="shared" si="257"/>
        <v>--</v>
      </c>
      <c r="AK208" s="81" t="str">
        <f t="shared" si="257"/>
        <v>--</v>
      </c>
      <c r="AL208" s="673" t="str">
        <f t="shared" si="257"/>
        <v>--</v>
      </c>
      <c r="AM208" s="81" t="str">
        <f t="shared" si="257"/>
        <v>--</v>
      </c>
      <c r="AN208" s="81" t="str">
        <f t="shared" si="257"/>
        <v>--</v>
      </c>
      <c r="AO208" s="81" t="str">
        <f t="shared" si="257"/>
        <v>--</v>
      </c>
      <c r="AP208" s="673" t="str">
        <f t="shared" si="257"/>
        <v>--</v>
      </c>
      <c r="AQ208" s="81" t="str">
        <f t="shared" si="257"/>
        <v>--</v>
      </c>
      <c r="AR208" s="81" t="str">
        <f t="shared" si="257"/>
        <v>--</v>
      </c>
      <c r="AS208" s="81" t="str">
        <f t="shared" si="257"/>
        <v>--</v>
      </c>
      <c r="AT208" s="673">
        <f t="shared" si="257"/>
        <v>0.14827352742044686</v>
      </c>
      <c r="AU208" s="81">
        <f t="shared" si="257"/>
        <v>0.12219062974808843</v>
      </c>
      <c r="AV208" s="81">
        <f t="shared" si="257"/>
        <v>0.13523706896551724</v>
      </c>
      <c r="AW208" s="79">
        <f t="shared" si="257"/>
        <v>0.11979166666666667</v>
      </c>
      <c r="AX208" s="673">
        <f t="shared" si="257"/>
        <v>4.6621953214460984E-2</v>
      </c>
      <c r="AY208" s="79">
        <f t="shared" si="257"/>
        <v>0.10651064345626138</v>
      </c>
      <c r="AZ208" s="79">
        <f t="shared" si="257"/>
        <v>0.12959186282180407</v>
      </c>
      <c r="BA208" s="79">
        <f t="shared" si="257"/>
        <v>0.11980311089432406</v>
      </c>
      <c r="BB208" s="673">
        <f t="shared" si="257"/>
        <v>0.13319979070379159</v>
      </c>
      <c r="BC208" s="79">
        <f t="shared" si="257"/>
        <v>0.11829684839155419</v>
      </c>
      <c r="BD208" s="79">
        <f t="shared" si="257"/>
        <v>0.13084562457740068</v>
      </c>
      <c r="BE208" s="1887">
        <f t="shared" si="257"/>
        <v>0.11606763180674415</v>
      </c>
      <c r="BF208" s="79">
        <f t="shared" si="257"/>
        <v>0.12289979326030445</v>
      </c>
      <c r="BG208" s="79">
        <f t="shared" si="257"/>
        <v>0.12375844711399878</v>
      </c>
      <c r="BH208" s="79">
        <f t="shared" si="257"/>
        <v>0.13858690291297268</v>
      </c>
      <c r="BI208" s="1887">
        <f t="shared" si="257"/>
        <v>0.10562069106173955</v>
      </c>
      <c r="BJ208" s="79">
        <f t="shared" si="257"/>
        <v>0.12683690804946268</v>
      </c>
      <c r="BK208" s="79">
        <f t="shared" si="257"/>
        <v>0.11849002701213099</v>
      </c>
      <c r="BL208" s="79">
        <f t="shared" si="257"/>
        <v>0.14070503071865531</v>
      </c>
      <c r="BM208" s="1887">
        <f t="shared" si="257"/>
        <v>0.12915899091594724</v>
      </c>
      <c r="BN208" s="79">
        <f t="shared" si="257"/>
        <v>0.13924806089378858</v>
      </c>
      <c r="BO208" s="79">
        <f t="shared" si="257"/>
        <v>0.12576830047823906</v>
      </c>
      <c r="BP208" s="79">
        <f t="shared" si="257"/>
        <v>0.14381548780108103</v>
      </c>
      <c r="BQ208" s="79">
        <f t="shared" si="257"/>
        <v>0.14413991379414964</v>
      </c>
      <c r="CR208"/>
      <c r="CS208"/>
      <c r="CT208"/>
      <c r="CU208"/>
      <c r="CV208"/>
      <c r="CW208"/>
    </row>
    <row r="209" spans="8:101" s="573" customFormat="1" outlineLevel="1">
      <c r="H209" s="576"/>
      <c r="I209" s="576"/>
      <c r="J209" s="33" t="s">
        <v>108</v>
      </c>
      <c r="K209" s="172"/>
      <c r="L209" s="172"/>
      <c r="M209" s="172"/>
      <c r="N209" s="81">
        <f t="shared" ref="N209:AD209" si="258">IF(ISERROR(N196/N$192),"--",N196/N$192)</f>
        <v>0.1728395061728395</v>
      </c>
      <c r="O209" s="81">
        <f t="shared" si="258"/>
        <v>0.12771084337349398</v>
      </c>
      <c r="P209" s="81">
        <f t="shared" si="258"/>
        <v>0.12597809076682315</v>
      </c>
      <c r="Q209" s="81">
        <f t="shared" si="258"/>
        <v>0.11777695988222305</v>
      </c>
      <c r="R209" s="81">
        <f t="shared" si="258"/>
        <v>0.10238448066819346</v>
      </c>
      <c r="S209" s="79">
        <f t="shared" si="258"/>
        <v>0.27434412976581651</v>
      </c>
      <c r="T209" s="79">
        <f t="shared" si="258"/>
        <v>0.10279405459482635</v>
      </c>
      <c r="U209" s="79">
        <f t="shared" si="258"/>
        <v>9.3858591874993846E-2</v>
      </c>
      <c r="V209" s="79">
        <f t="shared" si="258"/>
        <v>8.1602273779143517E-2</v>
      </c>
      <c r="W209" s="81">
        <f t="shared" si="258"/>
        <v>7.1575919011097708E-2</v>
      </c>
      <c r="X209" s="81">
        <f t="shared" si="258"/>
        <v>6.9687080054108272E-2</v>
      </c>
      <c r="Y209" s="81">
        <f t="shared" si="258"/>
        <v>6.5904535351760093E-2</v>
      </c>
      <c r="Z209" s="81">
        <f t="shared" si="258"/>
        <v>6.5473475584563998E-2</v>
      </c>
      <c r="AA209" s="81">
        <f t="shared" si="258"/>
        <v>6.5718821300149541E-2</v>
      </c>
      <c r="AB209" s="81">
        <f t="shared" si="258"/>
        <v>6.6742591187848713E-2</v>
      </c>
      <c r="AC209" s="81">
        <f t="shared" si="258"/>
        <v>5.9497634755646962E-2</v>
      </c>
      <c r="AD209" s="81">
        <f t="shared" si="258"/>
        <v>5.8571232358397986E-2</v>
      </c>
      <c r="AE209" s="172"/>
      <c r="AF209" s="172"/>
      <c r="AG209" s="97"/>
      <c r="AH209" s="81" t="str">
        <f t="shared" ref="AH209:BQ209" si="259">IF(ISERROR(AH196/AH$192),"--",AH196/AH$192)</f>
        <v>--</v>
      </c>
      <c r="AI209" s="81" t="str">
        <f t="shared" si="259"/>
        <v>--</v>
      </c>
      <c r="AJ209" s="81" t="str">
        <f t="shared" si="259"/>
        <v>--</v>
      </c>
      <c r="AK209" s="81" t="str">
        <f t="shared" si="259"/>
        <v>--</v>
      </c>
      <c r="AL209" s="673" t="str">
        <f t="shared" si="259"/>
        <v>--</v>
      </c>
      <c r="AM209" s="81" t="str">
        <f t="shared" si="259"/>
        <v>--</v>
      </c>
      <c r="AN209" s="81" t="str">
        <f t="shared" si="259"/>
        <v>--</v>
      </c>
      <c r="AO209" s="81" t="str">
        <f t="shared" si="259"/>
        <v>--</v>
      </c>
      <c r="AP209" s="673" t="str">
        <f t="shared" si="259"/>
        <v>--</v>
      </c>
      <c r="AQ209" s="81" t="str">
        <f t="shared" si="259"/>
        <v>--</v>
      </c>
      <c r="AR209" s="81" t="str">
        <f t="shared" si="259"/>
        <v>--</v>
      </c>
      <c r="AS209" s="81" t="str">
        <f t="shared" si="259"/>
        <v>--</v>
      </c>
      <c r="AT209" s="673">
        <f t="shared" si="259"/>
        <v>0.10223425863236289</v>
      </c>
      <c r="AU209" s="81">
        <f t="shared" si="259"/>
        <v>8.9918329378518097E-2</v>
      </c>
      <c r="AV209" s="81">
        <f t="shared" si="259"/>
        <v>0.10452586206896551</v>
      </c>
      <c r="AW209" s="79">
        <f t="shared" si="259"/>
        <v>0.11024305555555555</v>
      </c>
      <c r="AX209" s="673">
        <f t="shared" si="259"/>
        <v>0.63373139211516438</v>
      </c>
      <c r="AY209" s="79">
        <f t="shared" si="259"/>
        <v>0.11549350852891604</v>
      </c>
      <c r="AZ209" s="79">
        <f t="shared" si="259"/>
        <v>0.11122529746318144</v>
      </c>
      <c r="BA209" s="79">
        <f t="shared" si="259"/>
        <v>9.5102548022205191E-2</v>
      </c>
      <c r="BB209" s="673">
        <f t="shared" si="259"/>
        <v>9.0743748486015754E-2</v>
      </c>
      <c r="BC209" s="79">
        <f t="shared" si="259"/>
        <v>9.2586290989492115E-2</v>
      </c>
      <c r="BD209" s="79">
        <f t="shared" si="259"/>
        <v>0.11167950658737327</v>
      </c>
      <c r="BE209" s="1887">
        <f t="shared" si="259"/>
        <v>0.11046077083323257</v>
      </c>
      <c r="BF209" s="79">
        <f t="shared" si="259"/>
        <v>8.7374556761820224E-2</v>
      </c>
      <c r="BG209" s="79">
        <f t="shared" si="259"/>
        <v>8.7467196010812764E-2</v>
      </c>
      <c r="BH209" s="79">
        <f t="shared" si="259"/>
        <v>0.10919687882336189</v>
      </c>
      <c r="BI209" s="1887">
        <f t="shared" si="259"/>
        <v>9.121647490385619E-2</v>
      </c>
      <c r="BJ209" s="79">
        <f t="shared" si="259"/>
        <v>9.0913062481292689E-2</v>
      </c>
      <c r="BK209" s="79">
        <f t="shared" si="259"/>
        <v>8.0348465914319614E-2</v>
      </c>
      <c r="BL209" s="79">
        <f t="shared" si="259"/>
        <v>8.4165654142779808E-2</v>
      </c>
      <c r="BM209" s="1887">
        <f t="shared" si="259"/>
        <v>7.4692340117825828E-2</v>
      </c>
      <c r="BN209" s="79">
        <f t="shared" si="259"/>
        <v>7.7719747678527074E-2</v>
      </c>
      <c r="BO209" s="79">
        <f t="shared" si="259"/>
        <v>6.7231363060472796E-2</v>
      </c>
      <c r="BP209" s="79">
        <f t="shared" si="259"/>
        <v>6.9461805656082939E-2</v>
      </c>
      <c r="BQ209" s="79">
        <f t="shared" si="259"/>
        <v>7.2592927214014974E-2</v>
      </c>
      <c r="CR209"/>
      <c r="CS209"/>
      <c r="CT209"/>
      <c r="CU209"/>
      <c r="CV209"/>
      <c r="CW209"/>
    </row>
    <row r="210" spans="8:101" s="573" customFormat="1" outlineLevel="1">
      <c r="H210" s="576"/>
      <c r="I210" s="576"/>
      <c r="J210" s="33"/>
      <c r="K210" s="172"/>
      <c r="L210" s="172"/>
      <c r="M210" s="172"/>
      <c r="N210" s="81"/>
      <c r="O210" s="81"/>
      <c r="P210" s="81"/>
      <c r="Q210" s="81"/>
      <c r="R210" s="81"/>
      <c r="S210" s="79"/>
      <c r="T210" s="79"/>
      <c r="U210" s="79"/>
      <c r="V210" s="79"/>
      <c r="W210" s="1886"/>
      <c r="X210" s="81"/>
      <c r="Y210" s="81"/>
      <c r="Z210" s="81"/>
      <c r="AA210" s="81"/>
      <c r="AB210" s="81"/>
      <c r="AC210" s="81"/>
      <c r="AD210" s="81"/>
      <c r="AE210" s="172"/>
      <c r="AF210" s="172"/>
      <c r="AG210" s="97"/>
      <c r="AH210" s="81"/>
      <c r="AI210" s="81"/>
      <c r="AJ210" s="81"/>
      <c r="AK210" s="81"/>
      <c r="AL210" s="673"/>
      <c r="AM210" s="81"/>
      <c r="AN210" s="81"/>
      <c r="AO210" s="81"/>
      <c r="AP210" s="673"/>
      <c r="AQ210" s="81"/>
      <c r="AR210" s="81"/>
      <c r="AS210" s="81"/>
      <c r="AT210" s="673"/>
      <c r="AU210" s="81"/>
      <c r="AV210" s="81"/>
      <c r="AW210" s="79"/>
      <c r="AX210" s="673"/>
      <c r="AY210" s="79"/>
      <c r="AZ210" s="79"/>
      <c r="BA210" s="79"/>
      <c r="BB210" s="673"/>
      <c r="BC210" s="79"/>
      <c r="BD210" s="79"/>
      <c r="BE210" s="1887"/>
      <c r="BF210" s="79"/>
      <c r="BG210" s="79"/>
      <c r="BH210" s="79"/>
      <c r="BI210" s="1887"/>
      <c r="BJ210" s="79"/>
      <c r="BK210" s="79"/>
      <c r="BL210" s="79"/>
      <c r="BM210" s="1887"/>
      <c r="BN210" s="79"/>
      <c r="BO210" s="79"/>
      <c r="BP210" s="79"/>
      <c r="BQ210" s="79"/>
      <c r="CR210"/>
      <c r="CS210"/>
      <c r="CT210"/>
      <c r="CU210"/>
      <c r="CV210"/>
      <c r="CW210"/>
    </row>
    <row r="211" spans="8:101" s="573" customFormat="1" outlineLevel="1">
      <c r="H211" s="576"/>
      <c r="I211" s="576"/>
      <c r="J211" s="13" t="s">
        <v>695</v>
      </c>
      <c r="K211" s="172"/>
      <c r="L211" s="172"/>
      <c r="M211" s="172"/>
      <c r="N211" s="1377">
        <f t="shared" ref="N211:AD211" si="260">N212+N213+N214+N215</f>
        <v>226</v>
      </c>
      <c r="O211" s="1025">
        <f t="shared" si="260"/>
        <v>818</v>
      </c>
      <c r="P211" s="1025">
        <f t="shared" si="260"/>
        <v>2485.0360000000005</v>
      </c>
      <c r="Q211" s="1025">
        <f t="shared" si="260"/>
        <v>5206.9609999999993</v>
      </c>
      <c r="R211" s="1025">
        <f t="shared" si="260"/>
        <v>7149.2270000000008</v>
      </c>
      <c r="S211" s="1025">
        <f t="shared" si="260"/>
        <v>13839.671000000002</v>
      </c>
      <c r="T211" s="1025">
        <f t="shared" si="260"/>
        <v>25467.895999999997</v>
      </c>
      <c r="U211" s="1025">
        <f t="shared" si="260"/>
        <v>32954.238999999994</v>
      </c>
      <c r="V211" s="1025">
        <f t="shared" si="260"/>
        <v>47120.300999999999</v>
      </c>
      <c r="W211" s="1025">
        <f t="shared" si="260"/>
        <v>61488.945333055926</v>
      </c>
      <c r="X211" s="1025">
        <f t="shared" si="260"/>
        <v>73925.31968290254</v>
      </c>
      <c r="Y211" s="1025">
        <f t="shared" si="260"/>
        <v>87838.687458832399</v>
      </c>
      <c r="Z211" s="1025">
        <f t="shared" si="260"/>
        <v>98334.656433695811</v>
      </c>
      <c r="AA211" s="1025">
        <f t="shared" si="260"/>
        <v>103810.01337514656</v>
      </c>
      <c r="AB211" s="1025">
        <f t="shared" si="260"/>
        <v>109522.68065589778</v>
      </c>
      <c r="AC211" s="1025">
        <f t="shared" si="260"/>
        <v>114488.05720185243</v>
      </c>
      <c r="AD211" s="1025">
        <f t="shared" si="260"/>
        <v>123802.76463682104</v>
      </c>
      <c r="AE211" s="207"/>
      <c r="AF211" s="920">
        <f>(Y211/V211)^(1/3)-1</f>
        <v>0.23072000657932934</v>
      </c>
      <c r="AG211" s="551"/>
      <c r="AH211" s="207"/>
      <c r="AI211" s="207"/>
      <c r="AJ211" s="207"/>
      <c r="AK211" s="207"/>
      <c r="AL211" s="1761"/>
      <c r="AM211" s="207"/>
      <c r="AN211" s="207"/>
      <c r="AO211" s="207"/>
      <c r="AP211" s="1761"/>
      <c r="AQ211" s="207"/>
      <c r="AR211" s="207"/>
      <c r="AS211" s="207"/>
      <c r="AT211" s="1025">
        <f t="shared" ref="AT211:BM211" si="261">AT212+AT213+AT214+AT215</f>
        <v>1409</v>
      </c>
      <c r="AU211" s="1025">
        <f t="shared" si="261"/>
        <v>1719.817</v>
      </c>
      <c r="AV211" s="1025">
        <f t="shared" si="261"/>
        <v>1789.8190000000002</v>
      </c>
      <c r="AW211" s="1025">
        <f t="shared" si="261"/>
        <v>2230.4590000000003</v>
      </c>
      <c r="AX211" s="1025">
        <f t="shared" si="261"/>
        <v>2398.2649999999999</v>
      </c>
      <c r="AY211" s="1025">
        <f t="shared" si="261"/>
        <v>3372.4830000000002</v>
      </c>
      <c r="AZ211" s="1025">
        <f t="shared" si="261"/>
        <v>3415.5169999999998</v>
      </c>
      <c r="BA211" s="1025">
        <f t="shared" si="261"/>
        <v>4628.2089999999998</v>
      </c>
      <c r="BB211" s="1025">
        <f t="shared" si="261"/>
        <v>4783.6219999999994</v>
      </c>
      <c r="BC211" s="1025">
        <f t="shared" si="261"/>
        <v>6010.4610000000011</v>
      </c>
      <c r="BD211" s="1025">
        <f t="shared" si="261"/>
        <v>6087.4829999999993</v>
      </c>
      <c r="BE211" s="1888">
        <f t="shared" si="261"/>
        <v>8461.0950000000012</v>
      </c>
      <c r="BF211" s="1025">
        <f t="shared" si="261"/>
        <v>6852.4380000000001</v>
      </c>
      <c r="BG211" s="1025">
        <f t="shared" si="261"/>
        <v>8109.7359999999999</v>
      </c>
      <c r="BH211" s="1025">
        <f t="shared" si="261"/>
        <v>7870.8860000000013</v>
      </c>
      <c r="BI211" s="1888">
        <f t="shared" si="261"/>
        <v>10121.179000000002</v>
      </c>
      <c r="BJ211" s="1025">
        <f t="shared" si="261"/>
        <v>9191.0759999999991</v>
      </c>
      <c r="BK211" s="1025">
        <f t="shared" si="261"/>
        <v>11866.549000000001</v>
      </c>
      <c r="BL211" s="1025">
        <f t="shared" si="261"/>
        <v>11306.942999999999</v>
      </c>
      <c r="BM211" s="1888">
        <f t="shared" si="261"/>
        <v>14755.733</v>
      </c>
      <c r="BN211" s="1008">
        <f>SUM(BN212:BN215)</f>
        <v>12963.757124762915</v>
      </c>
      <c r="BO211" s="1008">
        <f>SUM(BO212:BO215)</f>
        <v>15708.953253142145</v>
      </c>
      <c r="BP211" s="1008">
        <f>SUM(BP212:BP215)</f>
        <v>14549.193059049961</v>
      </c>
      <c r="BQ211" s="1008">
        <f>SUM(BQ212:BQ215)</f>
        <v>18267.041896100905</v>
      </c>
      <c r="CR211"/>
      <c r="CS211"/>
      <c r="CT211"/>
      <c r="CU211"/>
      <c r="CV211"/>
      <c r="CW211"/>
    </row>
    <row r="212" spans="8:101" s="573" customFormat="1" outlineLevel="1">
      <c r="H212" s="576"/>
      <c r="I212" s="576"/>
      <c r="J212" s="17" t="s">
        <v>102</v>
      </c>
      <c r="K212" s="172"/>
      <c r="L212" s="172"/>
      <c r="M212" s="172"/>
      <c r="N212" s="528">
        <f t="shared" ref="N212:V212" si="262">N193-N359+N378</f>
        <v>141</v>
      </c>
      <c r="O212" s="528">
        <f t="shared" si="262"/>
        <v>470</v>
      </c>
      <c r="P212" s="528">
        <f t="shared" si="262"/>
        <v>1477.2660000000001</v>
      </c>
      <c r="Q212" s="528">
        <f t="shared" si="262"/>
        <v>2981.607</v>
      </c>
      <c r="R212" s="528">
        <f t="shared" si="262"/>
        <v>4015.3870000000002</v>
      </c>
      <c r="S212" s="528">
        <f t="shared" si="262"/>
        <v>7927.0150000000003</v>
      </c>
      <c r="T212" s="528">
        <f t="shared" si="262"/>
        <v>13734.674999999999</v>
      </c>
      <c r="U212" s="528">
        <f t="shared" si="262"/>
        <v>18134.676999999996</v>
      </c>
      <c r="V212" s="528">
        <f t="shared" si="262"/>
        <v>25275.443000000003</v>
      </c>
      <c r="W212" s="885">
        <f t="shared" ref="W212:AD215" si="263">W$119*W219</f>
        <v>33412.860860226618</v>
      </c>
      <c r="X212" s="885">
        <f t="shared" si="263"/>
        <v>40372.71213421633</v>
      </c>
      <c r="Y212" s="885">
        <f t="shared" si="263"/>
        <v>47723.381375271143</v>
      </c>
      <c r="Z212" s="885">
        <f t="shared" si="263"/>
        <v>53069.497122946937</v>
      </c>
      <c r="AA212" s="885">
        <f t="shared" si="263"/>
        <v>56546.917854754625</v>
      </c>
      <c r="AB212" s="885">
        <f t="shared" si="263"/>
        <v>60237.474360743785</v>
      </c>
      <c r="AC212" s="885">
        <f t="shared" si="263"/>
        <v>64152.790673451796</v>
      </c>
      <c r="AD212" s="885">
        <f t="shared" si="263"/>
        <v>69372.238805115237</v>
      </c>
      <c r="AE212" s="172"/>
      <c r="AF212" s="172"/>
      <c r="AG212" s="97"/>
      <c r="AH212" s="202"/>
      <c r="AI212" s="202"/>
      <c r="AJ212" s="202"/>
      <c r="AK212" s="202"/>
      <c r="AL212" s="753"/>
      <c r="AM212" s="202"/>
      <c r="AN212" s="202"/>
      <c r="AO212" s="202"/>
      <c r="AP212" s="753"/>
      <c r="AQ212" s="202"/>
      <c r="AR212" s="202"/>
      <c r="AS212" s="202"/>
      <c r="AT212" s="528">
        <f t="shared" ref="AT212:BM212" si="264">AT193-AT359+AT378</f>
        <v>822</v>
      </c>
      <c r="AU212" s="528">
        <f t="shared" si="264"/>
        <v>955.54399999999998</v>
      </c>
      <c r="AV212" s="528">
        <f t="shared" si="264"/>
        <v>1010.7810000000001</v>
      </c>
      <c r="AW212" s="528">
        <f t="shared" si="264"/>
        <v>1226.826</v>
      </c>
      <c r="AX212" s="528">
        <f t="shared" si="264"/>
        <v>1325.7149999999999</v>
      </c>
      <c r="AY212" s="528">
        <f t="shared" si="264"/>
        <v>1962.4690000000001</v>
      </c>
      <c r="AZ212" s="528">
        <f t="shared" si="264"/>
        <v>2076.6010000000001</v>
      </c>
      <c r="BA212" s="528">
        <f t="shared" si="264"/>
        <v>2541.2509999999997</v>
      </c>
      <c r="BB212" s="528">
        <f t="shared" si="264"/>
        <v>2643.3529999999996</v>
      </c>
      <c r="BC212" s="528">
        <f t="shared" si="264"/>
        <v>3196.723</v>
      </c>
      <c r="BD212" s="528">
        <f t="shared" si="264"/>
        <v>3406.047</v>
      </c>
      <c r="BE212" s="1889">
        <f t="shared" si="264"/>
        <v>4467.9690000000001</v>
      </c>
      <c r="BF212" s="528">
        <f t="shared" si="264"/>
        <v>3901.4920000000002</v>
      </c>
      <c r="BG212" s="528">
        <f t="shared" si="264"/>
        <v>4500.1189999999997</v>
      </c>
      <c r="BH212" s="528">
        <f t="shared" si="264"/>
        <v>4404.036000000001</v>
      </c>
      <c r="BI212" s="1889">
        <f t="shared" si="264"/>
        <v>5329.0300000000007</v>
      </c>
      <c r="BJ212" s="528">
        <f t="shared" si="264"/>
        <v>5032.0689999999995</v>
      </c>
      <c r="BK212" s="528">
        <f t="shared" si="264"/>
        <v>6220.4180000000006</v>
      </c>
      <c r="BL212" s="528">
        <f t="shared" si="264"/>
        <v>6217.4790000000003</v>
      </c>
      <c r="BM212" s="1889">
        <f t="shared" si="264"/>
        <v>7805.4769999999999</v>
      </c>
      <c r="BN212" s="973">
        <f t="shared" ref="BN212:BP215" si="265">BN$119*BN219</f>
        <v>7295.1941234407268</v>
      </c>
      <c r="BO212" s="973">
        <f t="shared" si="265"/>
        <v>8546.633570675036</v>
      </c>
      <c r="BP212" s="973">
        <f t="shared" si="265"/>
        <v>8254.8613100992698</v>
      </c>
      <c r="BQ212" s="1149">
        <f>W212-SUM(BN212:BP212)</f>
        <v>9316.1718560115842</v>
      </c>
      <c r="CR212"/>
      <c r="CS212"/>
      <c r="CT212"/>
      <c r="CU212"/>
      <c r="CV212"/>
      <c r="CW212"/>
    </row>
    <row r="213" spans="8:101" s="573" customFormat="1" outlineLevel="1">
      <c r="H213" s="576"/>
      <c r="I213" s="576"/>
      <c r="J213" s="17" t="s">
        <v>337</v>
      </c>
      <c r="K213" s="172"/>
      <c r="L213" s="172"/>
      <c r="M213" s="172"/>
      <c r="N213" s="528">
        <f t="shared" ref="N213:V213" si="266">N194-N360+N379</f>
        <v>43</v>
      </c>
      <c r="O213" s="528">
        <f t="shared" si="266"/>
        <v>199</v>
      </c>
      <c r="P213" s="528">
        <f t="shared" si="266"/>
        <v>472.86900000000003</v>
      </c>
      <c r="Q213" s="528">
        <f t="shared" si="266"/>
        <v>1088.021</v>
      </c>
      <c r="R213" s="528">
        <f t="shared" si="266"/>
        <v>1581.259</v>
      </c>
      <c r="S213" s="528">
        <f t="shared" si="266"/>
        <v>3061.7570000000001</v>
      </c>
      <c r="T213" s="528">
        <f t="shared" si="266"/>
        <v>6463.1719999999996</v>
      </c>
      <c r="U213" s="528">
        <f t="shared" si="266"/>
        <v>8849.2109999999993</v>
      </c>
      <c r="V213" s="528">
        <f t="shared" si="266"/>
        <v>13560.406000000001</v>
      </c>
      <c r="W213" s="885">
        <f t="shared" si="263"/>
        <v>16938.464186087105</v>
      </c>
      <c r="X213" s="885">
        <f t="shared" si="263"/>
        <v>19998.911332199299</v>
      </c>
      <c r="Y213" s="885">
        <f t="shared" si="263"/>
        <v>24207.512291804203</v>
      </c>
      <c r="Z213" s="885">
        <f t="shared" si="263"/>
        <v>27315.182342693275</v>
      </c>
      <c r="AA213" s="885">
        <f t="shared" si="263"/>
        <v>28695.450851666526</v>
      </c>
      <c r="AB213" s="885">
        <f t="shared" si="263"/>
        <v>30118.737180371892</v>
      </c>
      <c r="AC213" s="885">
        <f t="shared" si="263"/>
        <v>31582.9123315455</v>
      </c>
      <c r="AD213" s="885">
        <f t="shared" si="263"/>
        <v>34152.486796364428</v>
      </c>
      <c r="AE213" s="172"/>
      <c r="AF213" s="172"/>
      <c r="AG213" s="97"/>
      <c r="AH213" s="202"/>
      <c r="AI213" s="202"/>
      <c r="AJ213" s="202"/>
      <c r="AK213" s="202"/>
      <c r="AL213" s="753"/>
      <c r="AM213" s="202"/>
      <c r="AN213" s="202"/>
      <c r="AO213" s="202"/>
      <c r="AP213" s="753"/>
      <c r="AQ213" s="202"/>
      <c r="AR213" s="202"/>
      <c r="AS213" s="202"/>
      <c r="AT213" s="528">
        <f t="shared" ref="AT213:BM213" si="267">AT194-AT360+AT379</f>
        <v>260</v>
      </c>
      <c r="AU213" s="528">
        <f t="shared" si="267"/>
        <v>426.07100000000003</v>
      </c>
      <c r="AV213" s="528">
        <f t="shared" si="267"/>
        <v>374.84100000000001</v>
      </c>
      <c r="AW213" s="528">
        <f t="shared" si="267"/>
        <v>520.71299999999997</v>
      </c>
      <c r="AX213" s="528">
        <f t="shared" si="267"/>
        <v>592.10699999999997</v>
      </c>
      <c r="AY213" s="528">
        <f t="shared" si="267"/>
        <v>755.55299999999988</v>
      </c>
      <c r="AZ213" s="528">
        <f t="shared" si="267"/>
        <v>563.13000000000011</v>
      </c>
      <c r="BA213" s="528">
        <f t="shared" si="267"/>
        <v>1152.1760000000002</v>
      </c>
      <c r="BB213" s="528">
        <f t="shared" si="267"/>
        <v>1114.5340000000001</v>
      </c>
      <c r="BC213" s="528">
        <f t="shared" si="267"/>
        <v>1664.779</v>
      </c>
      <c r="BD213" s="528">
        <f t="shared" si="267"/>
        <v>1342.38</v>
      </c>
      <c r="BE213" s="1889">
        <f t="shared" si="267"/>
        <v>2339.0700000000002</v>
      </c>
      <c r="BF213" s="528">
        <f t="shared" si="267"/>
        <v>1700.4739999999999</v>
      </c>
      <c r="BG213" s="528">
        <f t="shared" si="267"/>
        <v>2163.9949999999999</v>
      </c>
      <c r="BH213" s="528">
        <f t="shared" si="267"/>
        <v>1800.9830000000002</v>
      </c>
      <c r="BI213" s="1889">
        <f t="shared" si="267"/>
        <v>3183.759</v>
      </c>
      <c r="BJ213" s="528">
        <f t="shared" si="267"/>
        <v>2477.6569999999997</v>
      </c>
      <c r="BK213" s="528">
        <f t="shared" si="267"/>
        <v>3732.0240000000003</v>
      </c>
      <c r="BL213" s="528">
        <f t="shared" si="267"/>
        <v>2954.2689999999998</v>
      </c>
      <c r="BM213" s="1889">
        <f t="shared" si="267"/>
        <v>4396.4560000000001</v>
      </c>
      <c r="BN213" s="973">
        <f t="shared" si="265"/>
        <v>3253.2622442370812</v>
      </c>
      <c r="BO213" s="973">
        <f t="shared" si="265"/>
        <v>4574.2545871218508</v>
      </c>
      <c r="BP213" s="973">
        <f t="shared" si="265"/>
        <v>3611.5018231684307</v>
      </c>
      <c r="BQ213" s="1149">
        <f>W213-SUM(BN213:BP213)</f>
        <v>5499.4455315597424</v>
      </c>
      <c r="CR213"/>
      <c r="CS213"/>
      <c r="CT213"/>
      <c r="CU213"/>
      <c r="CV213"/>
      <c r="CW213"/>
    </row>
    <row r="214" spans="8:101" s="573" customFormat="1" outlineLevel="1">
      <c r="H214" s="576"/>
      <c r="I214" s="576"/>
      <c r="J214" s="33" t="s">
        <v>96</v>
      </c>
      <c r="K214" s="172"/>
      <c r="L214" s="172"/>
      <c r="M214" s="172"/>
      <c r="N214" s="528">
        <f t="shared" ref="N214:V214" si="268">N195-N361+N380</f>
        <v>14</v>
      </c>
      <c r="O214" s="528">
        <f t="shared" si="268"/>
        <v>47</v>
      </c>
      <c r="P214" s="528">
        <f t="shared" si="268"/>
        <v>238.876</v>
      </c>
      <c r="Q214" s="528">
        <f t="shared" si="268"/>
        <v>610.82399999999996</v>
      </c>
      <c r="R214" s="528">
        <f t="shared" si="268"/>
        <v>930.73099999999999</v>
      </c>
      <c r="S214" s="528">
        <f t="shared" si="268"/>
        <v>1743.1989999999998</v>
      </c>
      <c r="T214" s="528">
        <f t="shared" si="268"/>
        <v>3221.3539999999998</v>
      </c>
      <c r="U214" s="528">
        <f t="shared" si="268"/>
        <v>3936.5649999999996</v>
      </c>
      <c r="V214" s="528">
        <f t="shared" si="268"/>
        <v>5897.9179999999997</v>
      </c>
      <c r="W214" s="885">
        <f t="shared" si="263"/>
        <v>8353.2152150566544</v>
      </c>
      <c r="X214" s="885">
        <f t="shared" si="263"/>
        <v>10381.554548798484</v>
      </c>
      <c r="Y214" s="885">
        <f t="shared" si="263"/>
        <v>12449.57775007073</v>
      </c>
      <c r="Z214" s="885">
        <f t="shared" si="263"/>
        <v>14047.808061956539</v>
      </c>
      <c r="AA214" s="885">
        <f t="shared" si="263"/>
        <v>14347.725425833261</v>
      </c>
      <c r="AB214" s="885">
        <f t="shared" si="263"/>
        <v>14603.024087453035</v>
      </c>
      <c r="AC214" s="885">
        <f t="shared" si="263"/>
        <v>14804.490155411948</v>
      </c>
      <c r="AD214" s="885">
        <f t="shared" si="263"/>
        <v>16008.978185795821</v>
      </c>
      <c r="AE214" s="172"/>
      <c r="AF214" s="172"/>
      <c r="AG214" s="97"/>
      <c r="AH214" s="202"/>
      <c r="AI214" s="202"/>
      <c r="AJ214" s="202"/>
      <c r="AK214" s="202"/>
      <c r="AL214" s="753"/>
      <c r="AM214" s="202"/>
      <c r="AN214" s="202"/>
      <c r="AO214" s="202"/>
      <c r="AP214" s="753"/>
      <c r="AQ214" s="202"/>
      <c r="AR214" s="202"/>
      <c r="AS214" s="202"/>
      <c r="AT214" s="528">
        <f t="shared" ref="AT214:BM214" si="269">AT195-AT361+AT380</f>
        <v>211</v>
      </c>
      <c r="AU214" s="528">
        <f t="shared" si="269"/>
        <v>209.99299999999999</v>
      </c>
      <c r="AV214" s="528">
        <f t="shared" si="269"/>
        <v>242.75700000000001</v>
      </c>
      <c r="AW214" s="528">
        <f t="shared" si="269"/>
        <v>267.37</v>
      </c>
      <c r="AX214" s="528">
        <f t="shared" si="269"/>
        <v>276.50299999999999</v>
      </c>
      <c r="AY214" s="528">
        <f t="shared" si="269"/>
        <v>397.44299999999998</v>
      </c>
      <c r="AZ214" s="528">
        <f t="shared" si="269"/>
        <v>480.01900000000001</v>
      </c>
      <c r="BA214" s="528">
        <f t="shared" si="269"/>
        <v>585.07600000000002</v>
      </c>
      <c r="BB214" s="528">
        <f t="shared" si="269"/>
        <v>672.19899999999984</v>
      </c>
      <c r="BC214" s="528">
        <f t="shared" si="269"/>
        <v>719.53300000000002</v>
      </c>
      <c r="BD214" s="528">
        <f t="shared" si="269"/>
        <v>823.53499999999997</v>
      </c>
      <c r="BE214" s="1889">
        <f t="shared" si="269"/>
        <v>980.62400000000014</v>
      </c>
      <c r="BF214" s="528">
        <f t="shared" si="269"/>
        <v>860.34699999999987</v>
      </c>
      <c r="BG214" s="528">
        <f t="shared" si="269"/>
        <v>975.04000000000008</v>
      </c>
      <c r="BH214" s="528">
        <f t="shared" si="269"/>
        <v>1073.7820000000002</v>
      </c>
      <c r="BI214" s="1889">
        <f t="shared" si="269"/>
        <v>1027.396</v>
      </c>
      <c r="BJ214" s="528">
        <f t="shared" si="269"/>
        <v>1152.0159999999998</v>
      </c>
      <c r="BK214" s="528">
        <f t="shared" si="269"/>
        <v>1349.385</v>
      </c>
      <c r="BL214" s="528">
        <f t="shared" si="269"/>
        <v>1550.251</v>
      </c>
      <c r="BM214" s="1889">
        <f t="shared" si="269"/>
        <v>1846.2659999999998</v>
      </c>
      <c r="BN214" s="973">
        <f t="shared" si="265"/>
        <v>1774.5066786747714</v>
      </c>
      <c r="BO214" s="973">
        <f t="shared" si="265"/>
        <v>1926.0019314197268</v>
      </c>
      <c r="BP214" s="973">
        <f t="shared" si="265"/>
        <v>2063.7153275248174</v>
      </c>
      <c r="BQ214" s="1149">
        <f>W214-SUM(BN214:BP214)</f>
        <v>2588.9912774373388</v>
      </c>
      <c r="CR214"/>
      <c r="CS214"/>
      <c r="CT214"/>
      <c r="CU214"/>
      <c r="CV214"/>
      <c r="CW214"/>
    </row>
    <row r="215" spans="8:101" s="573" customFormat="1" outlineLevel="1">
      <c r="H215" s="576"/>
      <c r="I215" s="576"/>
      <c r="J215" s="33" t="s">
        <v>103</v>
      </c>
      <c r="K215" s="172"/>
      <c r="L215" s="172"/>
      <c r="M215" s="172"/>
      <c r="N215" s="528">
        <f t="shared" ref="N215:V215" si="270">N196-N362+N381</f>
        <v>28</v>
      </c>
      <c r="O215" s="528">
        <f t="shared" si="270"/>
        <v>102</v>
      </c>
      <c r="P215" s="528">
        <f t="shared" si="270"/>
        <v>296.02499999999998</v>
      </c>
      <c r="Q215" s="528">
        <f t="shared" si="270"/>
        <v>526.50900000000001</v>
      </c>
      <c r="R215" s="528">
        <f t="shared" si="270"/>
        <v>621.85</v>
      </c>
      <c r="S215" s="528">
        <f t="shared" si="270"/>
        <v>1107.7</v>
      </c>
      <c r="T215" s="528">
        <f t="shared" si="270"/>
        <v>2048.6950000000002</v>
      </c>
      <c r="U215" s="528">
        <f t="shared" si="270"/>
        <v>2033.7860000000003</v>
      </c>
      <c r="V215" s="528">
        <f t="shared" si="270"/>
        <v>2386.5340000000001</v>
      </c>
      <c r="W215" s="885">
        <f t="shared" si="263"/>
        <v>2784.4050716855513</v>
      </c>
      <c r="X215" s="885">
        <f t="shared" si="263"/>
        <v>3172.1416676884255</v>
      </c>
      <c r="Y215" s="885">
        <f t="shared" si="263"/>
        <v>3458.2160416863144</v>
      </c>
      <c r="Z215" s="885">
        <f t="shared" si="263"/>
        <v>3902.1689060990393</v>
      </c>
      <c r="AA215" s="885">
        <f t="shared" si="263"/>
        <v>4219.919242892136</v>
      </c>
      <c r="AB215" s="885">
        <f t="shared" si="263"/>
        <v>4563.445027329074</v>
      </c>
      <c r="AC215" s="885">
        <f t="shared" si="263"/>
        <v>3947.8640414431875</v>
      </c>
      <c r="AD215" s="885">
        <f t="shared" si="263"/>
        <v>4269.0608495455535</v>
      </c>
      <c r="AE215" s="172"/>
      <c r="AF215" s="172"/>
      <c r="AG215" s="97"/>
      <c r="AH215" s="202"/>
      <c r="AI215" s="202"/>
      <c r="AJ215" s="202"/>
      <c r="AK215" s="202"/>
      <c r="AL215" s="753"/>
      <c r="AM215" s="202"/>
      <c r="AN215" s="202"/>
      <c r="AO215" s="202"/>
      <c r="AP215" s="753"/>
      <c r="AQ215" s="202"/>
      <c r="AR215" s="202"/>
      <c r="AS215" s="202"/>
      <c r="AT215" s="528">
        <f t="shared" ref="AT215:BM215" si="271">AT196-AT362+AT381</f>
        <v>116</v>
      </c>
      <c r="AU215" s="528">
        <f t="shared" si="271"/>
        <v>128.209</v>
      </c>
      <c r="AV215" s="528">
        <f t="shared" si="271"/>
        <v>161.44</v>
      </c>
      <c r="AW215" s="528">
        <f t="shared" si="271"/>
        <v>215.55</v>
      </c>
      <c r="AX215" s="528">
        <f t="shared" si="271"/>
        <v>203.94000000000005</v>
      </c>
      <c r="AY215" s="528">
        <f t="shared" si="271"/>
        <v>257.01799999999997</v>
      </c>
      <c r="AZ215" s="528">
        <f t="shared" si="271"/>
        <v>295.767</v>
      </c>
      <c r="BA215" s="528">
        <f t="shared" si="271"/>
        <v>349.70600000000002</v>
      </c>
      <c r="BB215" s="528">
        <f t="shared" si="271"/>
        <v>353.536</v>
      </c>
      <c r="BC215" s="528">
        <f t="shared" si="271"/>
        <v>429.42599999999999</v>
      </c>
      <c r="BD215" s="528">
        <f t="shared" si="271"/>
        <v>515.52099999999984</v>
      </c>
      <c r="BE215" s="1889">
        <f t="shared" si="271"/>
        <v>673.43200000000013</v>
      </c>
      <c r="BF215" s="528">
        <f t="shared" si="271"/>
        <v>390.12499999999994</v>
      </c>
      <c r="BG215" s="528">
        <f t="shared" si="271"/>
        <v>470.58200000000005</v>
      </c>
      <c r="BH215" s="528">
        <f t="shared" si="271"/>
        <v>592.08500000000004</v>
      </c>
      <c r="BI215" s="1889">
        <f t="shared" si="271"/>
        <v>580.99400000000003</v>
      </c>
      <c r="BJ215" s="528">
        <f t="shared" si="271"/>
        <v>529.33399999999995</v>
      </c>
      <c r="BK215" s="528">
        <f t="shared" si="271"/>
        <v>564.72200000000021</v>
      </c>
      <c r="BL215" s="528">
        <f t="shared" si="271"/>
        <v>584.94399999999985</v>
      </c>
      <c r="BM215" s="1889">
        <f t="shared" si="271"/>
        <v>707.53399999999999</v>
      </c>
      <c r="BN215" s="973">
        <f t="shared" si="265"/>
        <v>640.79407841033412</v>
      </c>
      <c r="BO215" s="973">
        <f t="shared" si="265"/>
        <v>662.06316392553106</v>
      </c>
      <c r="BP215" s="973">
        <f t="shared" si="265"/>
        <v>619.11459825744521</v>
      </c>
      <c r="BQ215" s="1149">
        <f>W215-SUM(BN215:BP215)</f>
        <v>862.43323109224093</v>
      </c>
      <c r="CR215"/>
      <c r="CS215"/>
      <c r="CT215"/>
      <c r="CU215"/>
      <c r="CV215"/>
      <c r="CW215"/>
    </row>
    <row r="216" spans="8:101" s="573" customFormat="1" outlineLevel="1">
      <c r="H216" s="576"/>
      <c r="I216" s="576"/>
      <c r="J216" s="186"/>
      <c r="K216" s="172"/>
      <c r="L216" s="172"/>
      <c r="M216" s="172"/>
      <c r="N216" s="189"/>
      <c r="O216" s="189"/>
      <c r="P216" s="189"/>
      <c r="Q216" s="189"/>
      <c r="R216" s="189"/>
      <c r="S216" s="189"/>
      <c r="T216" s="189"/>
      <c r="U216" s="189"/>
      <c r="V216" s="189"/>
      <c r="W216" s="189"/>
      <c r="X216" s="189"/>
      <c r="Y216" s="189"/>
      <c r="Z216" s="189"/>
      <c r="AA216" s="189"/>
      <c r="AB216" s="189"/>
      <c r="AC216" s="189"/>
      <c r="AD216" s="189"/>
      <c r="AE216" s="172"/>
      <c r="AF216" s="172"/>
      <c r="AG216" s="97"/>
      <c r="AH216" s="189"/>
      <c r="AI216" s="189"/>
      <c r="AJ216" s="189"/>
      <c r="AK216" s="189"/>
      <c r="AL216" s="751"/>
      <c r="AM216" s="189"/>
      <c r="AN216" s="189"/>
      <c r="AO216" s="189"/>
      <c r="AP216" s="751"/>
      <c r="AQ216" s="189"/>
      <c r="AR216" s="189"/>
      <c r="AS216" s="189"/>
      <c r="AT216" s="189"/>
      <c r="AU216" s="189"/>
      <c r="AV216" s="189"/>
      <c r="AW216" s="189"/>
      <c r="AX216" s="189"/>
      <c r="AY216" s="189"/>
      <c r="AZ216" s="189"/>
      <c r="BA216" s="189"/>
      <c r="BB216" s="189"/>
      <c r="BC216" s="189"/>
      <c r="BD216" s="189"/>
      <c r="BE216" s="1890"/>
      <c r="BF216" s="189"/>
      <c r="BG216" s="189"/>
      <c r="BH216" s="189"/>
      <c r="BI216" s="1890"/>
      <c r="BJ216" s="189"/>
      <c r="BK216" s="189"/>
      <c r="BL216" s="189"/>
      <c r="BM216" s="1890"/>
      <c r="BN216" s="189"/>
      <c r="BO216" s="189"/>
      <c r="BP216" s="189"/>
      <c r="BQ216" s="189"/>
      <c r="CR216"/>
      <c r="CS216"/>
      <c r="CT216"/>
      <c r="CU216"/>
      <c r="CV216"/>
      <c r="CW216"/>
    </row>
    <row r="217" spans="8:101" s="573" customFormat="1" outlineLevel="1">
      <c r="H217" s="576"/>
      <c r="I217" s="576"/>
      <c r="J217" s="313" t="s">
        <v>696</v>
      </c>
      <c r="K217" s="172"/>
      <c r="L217" s="172"/>
      <c r="M217" s="172"/>
      <c r="N217" s="418">
        <f t="shared" ref="N217:AD217" si="272">(N161-N211+N358+N464)/N119</f>
        <v>-2.9462144570058239E-2</v>
      </c>
      <c r="O217" s="418">
        <f t="shared" si="272"/>
        <v>-4.7069789118024001E-2</v>
      </c>
      <c r="P217" s="418">
        <f t="shared" si="272"/>
        <v>-6.3070073636850743E-2</v>
      </c>
      <c r="Q217" s="418">
        <f t="shared" si="272"/>
        <v>-4.1682099652636126E-2</v>
      </c>
      <c r="R217" s="418">
        <f t="shared" si="272"/>
        <v>-4.4018892414191052E-3</v>
      </c>
      <c r="S217" s="418">
        <f t="shared" si="272"/>
        <v>-4.0503121684840448E-3</v>
      </c>
      <c r="T217" s="418">
        <f t="shared" si="272"/>
        <v>-9.3868727487354149E-3</v>
      </c>
      <c r="U217" s="418">
        <f t="shared" si="272"/>
        <v>6.1909881455821155E-3</v>
      </c>
      <c r="V217" s="418">
        <f t="shared" si="272"/>
        <v>7.9639611161432099E-3</v>
      </c>
      <c r="W217" s="418">
        <f t="shared" si="272"/>
        <v>8.8473712867993375E-3</v>
      </c>
      <c r="X217" s="418">
        <f t="shared" si="272"/>
        <v>1.8439341838833626E-2</v>
      </c>
      <c r="Y217" s="418">
        <f t="shared" si="272"/>
        <v>2.6888371242018944E-2</v>
      </c>
      <c r="Z217" s="418">
        <f t="shared" si="272"/>
        <v>3.5237346360060914E-2</v>
      </c>
      <c r="AA217" s="418">
        <f t="shared" si="272"/>
        <v>4.2647603094697346E-2</v>
      </c>
      <c r="AB217" s="418">
        <f t="shared" si="272"/>
        <v>5.0066020789262103E-2</v>
      </c>
      <c r="AC217" s="418">
        <f t="shared" si="272"/>
        <v>5.7141899828728124E-2</v>
      </c>
      <c r="AD217" s="418">
        <f t="shared" si="272"/>
        <v>6.1386097402203597E-2</v>
      </c>
      <c r="AE217" s="172"/>
      <c r="AF217" s="172"/>
      <c r="AG217" s="97"/>
      <c r="AH217" s="189"/>
      <c r="AI217" s="189"/>
      <c r="AJ217" s="189"/>
      <c r="AK217" s="189"/>
      <c r="AL217" s="751"/>
      <c r="AM217" s="189"/>
      <c r="AN217" s="189"/>
      <c r="AO217" s="189"/>
      <c r="AP217" s="751"/>
      <c r="AQ217" s="189"/>
      <c r="AR217" s="189"/>
      <c r="AS217" s="189"/>
      <c r="AT217" s="418">
        <f t="shared" ref="AT217:BQ217" si="273">(AT161-AT211+AT358+AT464)/AT119</f>
        <v>4.8087431693989071E-3</v>
      </c>
      <c r="AU217" s="418">
        <f t="shared" si="273"/>
        <v>-9.5420509952178073E-3</v>
      </c>
      <c r="AV217" s="418">
        <f t="shared" si="273"/>
        <v>-8.1237272374591802E-4</v>
      </c>
      <c r="AW217" s="418">
        <f t="shared" si="273"/>
        <v>-9.4145796064400867E-3</v>
      </c>
      <c r="AX217" s="418">
        <f t="shared" si="273"/>
        <v>-6.0407153225240503E-3</v>
      </c>
      <c r="AY217" s="418">
        <f t="shared" si="273"/>
        <v>-7.592882219002982E-3</v>
      </c>
      <c r="AZ217" s="418">
        <f t="shared" si="273"/>
        <v>4.4292012516336148E-3</v>
      </c>
      <c r="BA217" s="418">
        <f t="shared" si="273"/>
        <v>-6.2781883250852197E-3</v>
      </c>
      <c r="BB217" s="418">
        <f t="shared" si="273"/>
        <v>-8.6797218657184306E-3</v>
      </c>
      <c r="BC217" s="418">
        <f t="shared" si="273"/>
        <v>-5.3709351630278901E-3</v>
      </c>
      <c r="BD217" s="418">
        <f t="shared" si="273"/>
        <v>-4.0710358046843337E-3</v>
      </c>
      <c r="BE217" s="1891">
        <f t="shared" si="273"/>
        <v>-1.5384358164585422E-2</v>
      </c>
      <c r="BF217" s="418">
        <f t="shared" si="273"/>
        <v>-4.0557046376560828E-4</v>
      </c>
      <c r="BG217" s="418">
        <f t="shared" si="273"/>
        <v>8.0681468238831648E-3</v>
      </c>
      <c r="BH217" s="418">
        <f t="shared" si="273"/>
        <v>9.0116242595917814E-3</v>
      </c>
      <c r="BI217" s="1891">
        <f t="shared" si="273"/>
        <v>6.9893478908901255E-3</v>
      </c>
      <c r="BJ217" s="418">
        <f t="shared" si="273"/>
        <v>1.8978282473093817E-2</v>
      </c>
      <c r="BK217" s="418">
        <f t="shared" si="273"/>
        <v>6.2430007518617736E-3</v>
      </c>
      <c r="BL217" s="418">
        <f t="shared" si="273"/>
        <v>1.7577764489489219E-2</v>
      </c>
      <c r="BM217" s="1891">
        <f t="shared" si="273"/>
        <v>-5.4086705714522284E-3</v>
      </c>
      <c r="BN217" s="418">
        <f t="shared" si="273"/>
        <v>2.2606318063519894E-3</v>
      </c>
      <c r="BO217" s="418">
        <f t="shared" si="273"/>
        <v>4.0558792399435105E-3</v>
      </c>
      <c r="BP217" s="418">
        <f t="shared" si="273"/>
        <v>7.1567447601586925E-3</v>
      </c>
      <c r="BQ217" s="418">
        <f t="shared" si="273"/>
        <v>1.8715898514470794E-2</v>
      </c>
      <c r="CR217"/>
      <c r="CS217"/>
      <c r="CT217"/>
      <c r="CU217"/>
      <c r="CV217"/>
      <c r="CW217"/>
    </row>
    <row r="218" spans="8:101" s="382" customFormat="1" outlineLevel="1">
      <c r="H218" s="570"/>
      <c r="I218" s="570"/>
      <c r="J218" s="306" t="s">
        <v>85</v>
      </c>
      <c r="K218" s="28"/>
      <c r="L218" s="28"/>
      <c r="M218" s="28"/>
      <c r="N218" s="189">
        <f>IF(ISERROR(N211/N$119),"--",N211/N$119)</f>
        <v>7.7423775265501885E-2</v>
      </c>
      <c r="O218" s="189">
        <f t="shared" ref="O218:V218" si="274">IF(ISERROR(O211/O$119),"--",O211/O$119)</f>
        <v>9.5304672026098103E-2</v>
      </c>
      <c r="P218" s="189">
        <f t="shared" si="274"/>
        <v>0.11761279862391709</v>
      </c>
      <c r="Q218" s="189">
        <f t="shared" si="274"/>
        <v>0.12583120932672645</v>
      </c>
      <c r="R218" s="189">
        <f t="shared" si="274"/>
        <v>0.10310393712143064</v>
      </c>
      <c r="S218" s="189">
        <f t="shared" si="274"/>
        <v>0.1203428722978731</v>
      </c>
      <c r="T218" s="189">
        <f t="shared" si="274"/>
        <v>0.14048385157236865</v>
      </c>
      <c r="U218" s="189">
        <f t="shared" si="274"/>
        <v>0.12758622386491872</v>
      </c>
      <c r="V218" s="189">
        <f t="shared" si="274"/>
        <v>0.1300473957355667</v>
      </c>
      <c r="W218" s="189">
        <f t="shared" ref="W218:AD218" si="275">IF(ISERROR(W211/W$119),"--",W211/W$119)</f>
        <v>0.13250000000000001</v>
      </c>
      <c r="X218" s="189">
        <f t="shared" si="275"/>
        <v>0.12817500000000001</v>
      </c>
      <c r="Y218" s="189">
        <f t="shared" si="275"/>
        <v>0.12700000000000003</v>
      </c>
      <c r="Z218" s="189">
        <f t="shared" si="275"/>
        <v>0.12600000000000003</v>
      </c>
      <c r="AA218" s="189">
        <f t="shared" si="275"/>
        <v>0.12300000000000001</v>
      </c>
      <c r="AB218" s="189">
        <f t="shared" si="275"/>
        <v>0.12000000000000001</v>
      </c>
      <c r="AC218" s="189">
        <f t="shared" si="275"/>
        <v>0.11599999999999999</v>
      </c>
      <c r="AD218" s="189">
        <f t="shared" si="275"/>
        <v>0.11599999999999999</v>
      </c>
      <c r="AE218" s="77"/>
      <c r="AF218" s="77"/>
      <c r="AG218" s="99"/>
      <c r="AH218" s="189"/>
      <c r="AI218" s="189"/>
      <c r="AJ218" s="189"/>
      <c r="AK218" s="189"/>
      <c r="AL218" s="751"/>
      <c r="AM218" s="189"/>
      <c r="AN218" s="189"/>
      <c r="AO218" s="189"/>
      <c r="AP218" s="751"/>
      <c r="AQ218" s="189"/>
      <c r="AR218" s="189"/>
      <c r="AS218" s="77"/>
      <c r="AT218" s="189">
        <f t="shared" ref="AT218:BM218" si="276">IF(ISERROR(AT211/AT$119),"--",AT211/AT$119)</f>
        <v>0.10265938069216758</v>
      </c>
      <c r="AU218" s="189">
        <f t="shared" si="276"/>
        <v>9.8538969949635513E-2</v>
      </c>
      <c r="AV218" s="189">
        <f t="shared" si="276"/>
        <v>9.9222064695115214E-2</v>
      </c>
      <c r="AW218" s="189">
        <f t="shared" si="276"/>
        <v>0.11083576823693105</v>
      </c>
      <c r="AX218" s="189">
        <f t="shared" si="276"/>
        <v>0.10584900767148382</v>
      </c>
      <c r="AY218" s="189">
        <f t="shared" si="276"/>
        <v>0.11786602872485615</v>
      </c>
      <c r="AZ218" s="189">
        <f t="shared" si="276"/>
        <v>0.11772772117802413</v>
      </c>
      <c r="BA218" s="189">
        <f t="shared" si="276"/>
        <v>0.13330076617405598</v>
      </c>
      <c r="BB218" s="189">
        <f t="shared" si="276"/>
        <v>0.130555320160778</v>
      </c>
      <c r="BC218" s="189">
        <f t="shared" si="276"/>
        <v>0.13086507349970622</v>
      </c>
      <c r="BD218" s="189">
        <f t="shared" si="276"/>
        <v>0.1380063998875542</v>
      </c>
      <c r="BE218" s="1890">
        <f t="shared" si="276"/>
        <v>0.15494370438897059</v>
      </c>
      <c r="BF218" s="189">
        <f t="shared" si="276"/>
        <v>0.12734942297505478</v>
      </c>
      <c r="BG218" s="189">
        <f t="shared" si="276"/>
        <v>0.12496331298234654</v>
      </c>
      <c r="BH218" s="189">
        <f t="shared" si="276"/>
        <v>0.13080270500122773</v>
      </c>
      <c r="BI218" s="1890">
        <f t="shared" si="276"/>
        <v>0.12745290559277786</v>
      </c>
      <c r="BJ218" s="189">
        <f t="shared" si="276"/>
        <v>0.12219220332976119</v>
      </c>
      <c r="BK218" s="189">
        <f t="shared" si="276"/>
        <v>0.12732078907126163</v>
      </c>
      <c r="BL218" s="189">
        <f t="shared" si="276"/>
        <v>0.13501430714671453</v>
      </c>
      <c r="BM218" s="1890">
        <f t="shared" si="276"/>
        <v>0.13394170801497321</v>
      </c>
      <c r="BN218" s="77">
        <f>IF(ISERROR(BN211/BN$119),"--",BN211/BN$119)</f>
        <v>0.13150000000000001</v>
      </c>
      <c r="BO218" s="77">
        <f>IF(ISERROR(BO211/BO$119),"--",BO211/BO$119)</f>
        <v>0.13049999999999998</v>
      </c>
      <c r="BP218" s="77">
        <f>IF(ISERROR(BP211/BP$119),"--",BP211/BP$119)</f>
        <v>0.14099999999999999</v>
      </c>
      <c r="BQ218" s="77">
        <f>IF(ISERROR(BQ211/BQ$119),"--",BQ211/BQ$119)</f>
        <v>0.12871100618169859</v>
      </c>
      <c r="CR218"/>
      <c r="CS218"/>
      <c r="CT218"/>
      <c r="CU218"/>
      <c r="CV218"/>
      <c r="CW218"/>
    </row>
    <row r="219" spans="8:101" s="573" customFormat="1" outlineLevel="1">
      <c r="H219" s="576"/>
      <c r="I219" s="566"/>
      <c r="J219" s="90" t="s">
        <v>102</v>
      </c>
      <c r="K219" s="172"/>
      <c r="L219" s="172"/>
      <c r="M219" s="172"/>
      <c r="N219" s="189">
        <f>IF(ISERROR(N212/N$119),"--",N212/N$119)</f>
        <v>4.8304213771839674E-2</v>
      </c>
      <c r="O219" s="189">
        <f t="shared" ref="O219:V219" si="277">IF(ISERROR(O212/O$119),"--",O212/O$119)</f>
        <v>5.4759408132354657E-2</v>
      </c>
      <c r="P219" s="189">
        <f t="shared" si="277"/>
        <v>6.9916648520166103E-2</v>
      </c>
      <c r="Q219" s="189">
        <f t="shared" si="277"/>
        <v>7.20533943978134E-2</v>
      </c>
      <c r="R219" s="189">
        <f t="shared" si="277"/>
        <v>5.7908667435823478E-2</v>
      </c>
      <c r="S219" s="189">
        <f t="shared" si="277"/>
        <v>6.8929366445800944E-2</v>
      </c>
      <c r="T219" s="189">
        <f t="shared" si="277"/>
        <v>7.576205133296926E-2</v>
      </c>
      <c r="U219" s="189">
        <f t="shared" si="277"/>
        <v>7.021054133399933E-2</v>
      </c>
      <c r="V219" s="189">
        <f t="shared" si="277"/>
        <v>6.9757736441725185E-2</v>
      </c>
      <c r="W219" s="933">
        <v>7.1999999999999995E-2</v>
      </c>
      <c r="X219" s="933">
        <v>7.0000000000000007E-2</v>
      </c>
      <c r="Y219" s="933">
        <v>6.9000000000000006E-2</v>
      </c>
      <c r="Z219" s="933">
        <v>6.8000000000000005E-2</v>
      </c>
      <c r="AA219" s="933">
        <f t="shared" ref="AA219:AC221" si="278">Z219-0.1%</f>
        <v>6.7000000000000004E-2</v>
      </c>
      <c r="AB219" s="933">
        <f t="shared" si="278"/>
        <v>6.6000000000000003E-2</v>
      </c>
      <c r="AC219" s="933">
        <f t="shared" si="278"/>
        <v>6.5000000000000002E-2</v>
      </c>
      <c r="AD219" s="933">
        <f>AC219</f>
        <v>6.5000000000000002E-2</v>
      </c>
      <c r="AE219" s="77"/>
      <c r="AF219" s="77"/>
      <c r="AG219" s="99"/>
      <c r="AH219" s="189"/>
      <c r="AI219" s="189"/>
      <c r="AJ219" s="189"/>
      <c r="AK219" s="189"/>
      <c r="AL219" s="751"/>
      <c r="AM219" s="189"/>
      <c r="AN219" s="189"/>
      <c r="AO219" s="189"/>
      <c r="AP219" s="751"/>
      <c r="AQ219" s="189"/>
      <c r="AR219" s="189"/>
      <c r="AS219" s="77"/>
      <c r="AT219" s="189">
        <f t="shared" ref="AT219:BM219" si="279">IF(ISERROR(AT212/AT$119),"--",AT212/AT$119)</f>
        <v>5.9890710382513659E-2</v>
      </c>
      <c r="AU219" s="189">
        <f t="shared" si="279"/>
        <v>5.4749035218022914E-2</v>
      </c>
      <c r="AV219" s="189">
        <f t="shared" si="279"/>
        <v>5.6034592198760454E-2</v>
      </c>
      <c r="AW219" s="189">
        <f t="shared" si="279"/>
        <v>6.0963327370304118E-2</v>
      </c>
      <c r="AX219" s="189">
        <f t="shared" si="279"/>
        <v>5.8511305967105874E-2</v>
      </c>
      <c r="AY219" s="189">
        <f t="shared" si="279"/>
        <v>6.8586981024260085E-2</v>
      </c>
      <c r="AZ219" s="189">
        <f t="shared" si="279"/>
        <v>7.1577305434581684E-2</v>
      </c>
      <c r="BA219" s="189">
        <f t="shared" si="279"/>
        <v>7.3192611945697761E-2</v>
      </c>
      <c r="BB219" s="189">
        <f t="shared" si="279"/>
        <v>7.214278160209002E-2</v>
      </c>
      <c r="BC219" s="189">
        <f t="shared" si="279"/>
        <v>6.9601880846278052E-2</v>
      </c>
      <c r="BD219" s="189">
        <f t="shared" si="279"/>
        <v>7.7216853717341702E-2</v>
      </c>
      <c r="BE219" s="1890">
        <f t="shared" si="279"/>
        <v>8.1819630668971854E-2</v>
      </c>
      <c r="BF219" s="189">
        <f t="shared" si="279"/>
        <v>7.2507442598063993E-2</v>
      </c>
      <c r="BG219" s="189">
        <f t="shared" si="279"/>
        <v>6.9342550615063711E-2</v>
      </c>
      <c r="BH219" s="189">
        <f t="shared" si="279"/>
        <v>7.3188688252223064E-2</v>
      </c>
      <c r="BI219" s="1890">
        <f t="shared" si="279"/>
        <v>6.7106841751448223E-2</v>
      </c>
      <c r="BJ219" s="189">
        <f t="shared" si="279"/>
        <v>6.6899631601064782E-2</v>
      </c>
      <c r="BK219" s="189">
        <f t="shared" si="279"/>
        <v>6.6741268090080713E-2</v>
      </c>
      <c r="BL219" s="189">
        <f t="shared" si="279"/>
        <v>7.4241872395062719E-2</v>
      </c>
      <c r="BM219" s="1890">
        <f t="shared" si="279"/>
        <v>7.0852388102413413E-2</v>
      </c>
      <c r="BN219" s="930">
        <v>7.3999999999999996E-2</v>
      </c>
      <c r="BO219" s="930">
        <v>7.0999999999999994E-2</v>
      </c>
      <c r="BP219" s="930">
        <v>0.08</v>
      </c>
      <c r="BQ219" s="77">
        <f>IF(ISERROR(BQ212/BQ$119),"--",BQ212/BQ$119)</f>
        <v>6.5642475676634851E-2</v>
      </c>
      <c r="CR219"/>
      <c r="CS219"/>
      <c r="CT219"/>
      <c r="CU219"/>
      <c r="CV219"/>
      <c r="CW219"/>
    </row>
    <row r="220" spans="8:101" s="573" customFormat="1" outlineLevel="1">
      <c r="H220" s="576"/>
      <c r="I220" s="566"/>
      <c r="J220" s="90" t="s">
        <v>34</v>
      </c>
      <c r="K220" s="172"/>
      <c r="L220" s="172"/>
      <c r="M220" s="172"/>
      <c r="N220" s="189">
        <f>IF(ISERROR(N213/N$119),"--",N213/N$119)</f>
        <v>1.473107228502912E-2</v>
      </c>
      <c r="O220" s="189">
        <f t="shared" ref="O220:V220" si="280">IF(ISERROR(O213/O$119),"--",O213/O$119)</f>
        <v>2.3185366421996971E-2</v>
      </c>
      <c r="P220" s="189">
        <f t="shared" si="280"/>
        <v>2.2380137137849528E-2</v>
      </c>
      <c r="Q220" s="189">
        <f t="shared" si="280"/>
        <v>2.6293071563792056E-2</v>
      </c>
      <c r="R220" s="189">
        <f t="shared" si="280"/>
        <v>2.2804427458898182E-2</v>
      </c>
      <c r="S220" s="189">
        <f t="shared" si="280"/>
        <v>2.662351089546269E-2</v>
      </c>
      <c r="T220" s="189">
        <f t="shared" si="280"/>
        <v>3.5651602155697869E-2</v>
      </c>
      <c r="U220" s="189">
        <f t="shared" si="280"/>
        <v>3.4260764318481192E-2</v>
      </c>
      <c r="V220" s="189">
        <f t="shared" si="280"/>
        <v>3.7425386680296317E-2</v>
      </c>
      <c r="W220" s="933">
        <v>3.6499999999999998E-2</v>
      </c>
      <c r="X220" s="933">
        <f>W220*0.95</f>
        <v>3.4674999999999997E-2</v>
      </c>
      <c r="Y220" s="933">
        <v>3.5000000000000003E-2</v>
      </c>
      <c r="Z220" s="933">
        <f>Y220</f>
        <v>3.5000000000000003E-2</v>
      </c>
      <c r="AA220" s="933">
        <f t="shared" si="278"/>
        <v>3.4000000000000002E-2</v>
      </c>
      <c r="AB220" s="933">
        <f t="shared" si="278"/>
        <v>3.3000000000000002E-2</v>
      </c>
      <c r="AC220" s="933">
        <f t="shared" si="278"/>
        <v>3.2000000000000001E-2</v>
      </c>
      <c r="AD220" s="933">
        <f>AC220</f>
        <v>3.2000000000000001E-2</v>
      </c>
      <c r="AE220" s="77"/>
      <c r="AF220" s="77"/>
      <c r="AG220" s="99"/>
      <c r="AH220" s="189"/>
      <c r="AI220" s="189"/>
      <c r="AJ220" s="189"/>
      <c r="AK220" s="189"/>
      <c r="AL220" s="751"/>
      <c r="AM220" s="189"/>
      <c r="AN220" s="189"/>
      <c r="AO220" s="189"/>
      <c r="AP220" s="751"/>
      <c r="AQ220" s="189"/>
      <c r="AR220" s="189"/>
      <c r="AS220" s="77"/>
      <c r="AT220" s="189">
        <f t="shared" ref="AT220:BM220" si="281">IF(ISERROR(AT213/AT$119),"--",AT213/AT$119)</f>
        <v>1.8943533697632058E-2</v>
      </c>
      <c r="AU220" s="189">
        <f t="shared" si="281"/>
        <v>2.441224703873212E-2</v>
      </c>
      <c r="AV220" s="189">
        <f t="shared" si="281"/>
        <v>2.0780033038190832E-2</v>
      </c>
      <c r="AW220" s="189">
        <f t="shared" si="281"/>
        <v>2.5875223613595705E-2</v>
      </c>
      <c r="AX220" s="189">
        <f t="shared" si="281"/>
        <v>2.6133032998996886E-2</v>
      </c>
      <c r="AY220" s="189">
        <f t="shared" si="281"/>
        <v>2.6406072795964047E-2</v>
      </c>
      <c r="AZ220" s="189">
        <f t="shared" si="281"/>
        <v>1.9410242029824692E-2</v>
      </c>
      <c r="BA220" s="189">
        <f t="shared" si="281"/>
        <v>3.3184746749198045E-2</v>
      </c>
      <c r="BB220" s="189">
        <f t="shared" si="281"/>
        <v>3.0418027009674383E-2</v>
      </c>
      <c r="BC220" s="189">
        <f t="shared" si="281"/>
        <v>3.6247040983340112E-2</v>
      </c>
      <c r="BD220" s="189">
        <f t="shared" si="281"/>
        <v>3.0432451487922851E-2</v>
      </c>
      <c r="BE220" s="1890">
        <f t="shared" si="281"/>
        <v>4.2834192338593223E-2</v>
      </c>
      <c r="BF220" s="189">
        <f t="shared" si="281"/>
        <v>3.1602530761180657E-2</v>
      </c>
      <c r="BG220" s="189">
        <f t="shared" si="281"/>
        <v>3.3345103277989938E-2</v>
      </c>
      <c r="BH220" s="189">
        <f t="shared" si="281"/>
        <v>2.9929724310735296E-2</v>
      </c>
      <c r="BI220" s="1890">
        <f t="shared" si="281"/>
        <v>4.0092101449560054E-2</v>
      </c>
      <c r="BJ220" s="189">
        <f t="shared" si="281"/>
        <v>3.2939600099640795E-2</v>
      </c>
      <c r="BK220" s="189">
        <f t="shared" si="281"/>
        <v>4.0042327429220252E-2</v>
      </c>
      <c r="BL220" s="189">
        <f t="shared" si="281"/>
        <v>3.5276429903291912E-2</v>
      </c>
      <c r="BM220" s="1890">
        <f t="shared" si="281"/>
        <v>3.990779894517453E-2</v>
      </c>
      <c r="BN220" s="930">
        <v>3.3000000000000002E-2</v>
      </c>
      <c r="BO220" s="930">
        <v>3.7999999999999999E-2</v>
      </c>
      <c r="BP220" s="930">
        <v>3.5000000000000003E-2</v>
      </c>
      <c r="BQ220" s="77">
        <f>IF(ISERROR(BQ213/BQ$119),"--",BQ213/BQ$119)</f>
        <v>3.8749523422267333E-2</v>
      </c>
      <c r="CR220"/>
      <c r="CS220"/>
      <c r="CT220"/>
      <c r="CU220"/>
      <c r="CV220"/>
      <c r="CW220"/>
    </row>
    <row r="221" spans="8:101" s="573" customFormat="1" outlineLevel="1">
      <c r="H221" s="576"/>
      <c r="I221" s="566"/>
      <c r="J221" s="186" t="s">
        <v>96</v>
      </c>
      <c r="K221" s="172"/>
      <c r="L221" s="172"/>
      <c r="M221" s="172"/>
      <c r="N221" s="189">
        <f>IF(ISERROR(N214/N$119),"--",N214/N$119)</f>
        <v>4.7961630695443642E-3</v>
      </c>
      <c r="O221" s="189">
        <f t="shared" ref="O221:V221" si="282">IF(ISERROR(O214/O$119),"--",O214/O$119)</f>
        <v>5.4759408132354654E-3</v>
      </c>
      <c r="P221" s="189">
        <f t="shared" si="282"/>
        <v>1.1305620877961855E-2</v>
      </c>
      <c r="Q221" s="189">
        <f t="shared" si="282"/>
        <v>1.4761148125708711E-2</v>
      </c>
      <c r="R221" s="189">
        <f t="shared" si="282"/>
        <v>1.3422714162099798E-2</v>
      </c>
      <c r="S221" s="189">
        <f t="shared" si="282"/>
        <v>1.5157988556720752E-2</v>
      </c>
      <c r="T221" s="189">
        <f t="shared" si="282"/>
        <v>1.7769360185782762E-2</v>
      </c>
      <c r="U221" s="189">
        <f t="shared" si="282"/>
        <v>1.5240875789873461E-2</v>
      </c>
      <c r="V221" s="189">
        <f t="shared" si="282"/>
        <v>1.6277673526786725E-2</v>
      </c>
      <c r="W221" s="933">
        <v>1.7999999999999999E-2</v>
      </c>
      <c r="X221" s="933">
        <v>1.7999999999999999E-2</v>
      </c>
      <c r="Y221" s="933">
        <v>1.7999999999999999E-2</v>
      </c>
      <c r="Z221" s="933">
        <f>Y221</f>
        <v>1.7999999999999999E-2</v>
      </c>
      <c r="AA221" s="933">
        <f t="shared" si="278"/>
        <v>1.6999999999999998E-2</v>
      </c>
      <c r="AB221" s="933">
        <f t="shared" si="278"/>
        <v>1.5999999999999997E-2</v>
      </c>
      <c r="AC221" s="933">
        <f t="shared" si="278"/>
        <v>1.4999999999999996E-2</v>
      </c>
      <c r="AD221" s="933">
        <f>AC221</f>
        <v>1.4999999999999996E-2</v>
      </c>
      <c r="AE221" s="77"/>
      <c r="AF221" s="77"/>
      <c r="AG221" s="99"/>
      <c r="AH221" s="189"/>
      <c r="AI221" s="189"/>
      <c r="AJ221" s="189"/>
      <c r="AK221" s="189"/>
      <c r="AL221" s="751"/>
      <c r="AM221" s="189"/>
      <c r="AN221" s="189"/>
      <c r="AO221" s="189"/>
      <c r="AP221" s="751"/>
      <c r="AQ221" s="189"/>
      <c r="AR221" s="189"/>
      <c r="AS221" s="77"/>
      <c r="AT221" s="189">
        <f t="shared" ref="AT221:BM221" si="283">IF(ISERROR(AT214/AT$119),"--",AT214/AT$119)</f>
        <v>1.5373406193078325E-2</v>
      </c>
      <c r="AU221" s="189">
        <f t="shared" si="283"/>
        <v>1.2031799846514955E-2</v>
      </c>
      <c r="AV221" s="189">
        <f t="shared" si="283"/>
        <v>1.345770201299242E-2</v>
      </c>
      <c r="AW221" s="189">
        <f t="shared" si="283"/>
        <v>1.3286126018684159E-2</v>
      </c>
      <c r="AX221" s="189">
        <f t="shared" si="283"/>
        <v>1.220364228648139E-2</v>
      </c>
      <c r="AY221" s="189">
        <f t="shared" si="283"/>
        <v>1.3890367439804143E-2</v>
      </c>
      <c r="AZ221" s="189">
        <f t="shared" si="283"/>
        <v>1.6545531172046272E-2</v>
      </c>
      <c r="BA221" s="189">
        <f t="shared" si="283"/>
        <v>1.6851243984455321E-2</v>
      </c>
      <c r="BB221" s="189">
        <f t="shared" si="283"/>
        <v>1.8345754672245175E-2</v>
      </c>
      <c r="BC221" s="189">
        <f t="shared" si="283"/>
        <v>1.5666308945430991E-2</v>
      </c>
      <c r="BD221" s="189">
        <f t="shared" si="283"/>
        <v>1.8669965982886023E-2</v>
      </c>
      <c r="BE221" s="1890">
        <f t="shared" si="283"/>
        <v>1.7957665665345904E-2</v>
      </c>
      <c r="BF221" s="189">
        <f t="shared" si="283"/>
        <v>1.5989155101924224E-2</v>
      </c>
      <c r="BG221" s="189">
        <f t="shared" si="283"/>
        <v>1.5024438365232505E-2</v>
      </c>
      <c r="BH221" s="189">
        <f t="shared" si="283"/>
        <v>1.7844698828267655E-2</v>
      </c>
      <c r="BI221" s="1890">
        <f t="shared" si="283"/>
        <v>1.2937682990726434E-2</v>
      </c>
      <c r="BJ221" s="189">
        <f t="shared" si="283"/>
        <v>1.5315657634768569E-2</v>
      </c>
      <c r="BK221" s="189">
        <f t="shared" si="283"/>
        <v>1.4478073023667147E-2</v>
      </c>
      <c r="BL221" s="189">
        <f t="shared" si="283"/>
        <v>1.8511286796838135E-2</v>
      </c>
      <c r="BM221" s="1890">
        <f t="shared" si="283"/>
        <v>1.6759046906715681E-2</v>
      </c>
      <c r="BN221" s="930">
        <v>1.7999999999999999E-2</v>
      </c>
      <c r="BO221" s="930">
        <v>1.6E-2</v>
      </c>
      <c r="BP221" s="930">
        <v>0.02</v>
      </c>
      <c r="BQ221" s="77">
        <f>IF(ISERROR(BQ214/BQ$119),"--",BQ214/BQ$119)</f>
        <v>1.8242235070678261E-2</v>
      </c>
      <c r="CR221"/>
      <c r="CS221"/>
      <c r="CT221"/>
      <c r="CU221"/>
      <c r="CV221"/>
      <c r="CW221"/>
    </row>
    <row r="222" spans="8:101" s="573" customFormat="1" outlineLevel="1">
      <c r="H222" s="576"/>
      <c r="I222" s="566"/>
      <c r="J222" s="186" t="s">
        <v>103</v>
      </c>
      <c r="K222" s="172"/>
      <c r="L222" s="172"/>
      <c r="M222" s="172"/>
      <c r="N222" s="189">
        <f>IF(ISERROR(N215/N$119),"--",N215/N$119)</f>
        <v>9.5923261390887284E-3</v>
      </c>
      <c r="O222" s="189">
        <f t="shared" ref="O222:V222" si="284">IF(ISERROR(O215/O$119),"--",O215/O$119)</f>
        <v>1.1883956658511011E-2</v>
      </c>
      <c r="P222" s="189">
        <f t="shared" si="284"/>
        <v>1.401039208793959E-2</v>
      </c>
      <c r="Q222" s="189">
        <f t="shared" si="284"/>
        <v>1.2723595239412282E-2</v>
      </c>
      <c r="R222" s="189">
        <f t="shared" si="284"/>
        <v>8.9681280646091727E-3</v>
      </c>
      <c r="S222" s="189">
        <f t="shared" si="284"/>
        <v>9.6320063998886988E-3</v>
      </c>
      <c r="T222" s="189">
        <f t="shared" si="284"/>
        <v>1.130083789791877E-2</v>
      </c>
      <c r="U222" s="189">
        <f t="shared" si="284"/>
        <v>7.8740424225647466E-3</v>
      </c>
      <c r="V222" s="189">
        <f t="shared" si="284"/>
        <v>6.5865990867584861E-3</v>
      </c>
      <c r="W222" s="933">
        <v>6.0000000000000001E-3</v>
      </c>
      <c r="X222" s="933">
        <v>5.4999999999999997E-3</v>
      </c>
      <c r="Y222" s="933">
        <v>5.0000000000000001E-3</v>
      </c>
      <c r="Z222" s="933">
        <v>5.0000000000000001E-3</v>
      </c>
      <c r="AA222" s="933">
        <f>Z222</f>
        <v>5.0000000000000001E-3</v>
      </c>
      <c r="AB222" s="933">
        <f>AA222</f>
        <v>5.0000000000000001E-3</v>
      </c>
      <c r="AC222" s="933">
        <v>4.0000000000000001E-3</v>
      </c>
      <c r="AD222" s="933">
        <f>AC222</f>
        <v>4.0000000000000001E-3</v>
      </c>
      <c r="AE222" s="77"/>
      <c r="AF222" s="77"/>
      <c r="AG222" s="99"/>
      <c r="AH222" s="189"/>
      <c r="AI222" s="189"/>
      <c r="AJ222" s="189"/>
      <c r="AK222" s="189"/>
      <c r="AL222" s="751"/>
      <c r="AM222" s="189"/>
      <c r="AN222" s="189"/>
      <c r="AO222" s="189"/>
      <c r="AP222" s="751"/>
      <c r="AQ222" s="189"/>
      <c r="AR222" s="189"/>
      <c r="AS222" s="77"/>
      <c r="AT222" s="189">
        <f t="shared" ref="AT222:BM222" si="285">IF(ISERROR(AT215/AT$119),"--",AT215/AT$119)</f>
        <v>8.4517304189435337E-3</v>
      </c>
      <c r="AU222" s="189">
        <f t="shared" si="285"/>
        <v>7.345887846365526E-3</v>
      </c>
      <c r="AV222" s="189">
        <f t="shared" si="285"/>
        <v>8.9497374451714927E-3</v>
      </c>
      <c r="AW222" s="189">
        <f t="shared" si="285"/>
        <v>1.0711091234347049E-2</v>
      </c>
      <c r="AX222" s="189">
        <f t="shared" si="285"/>
        <v>9.0010264188996689E-3</v>
      </c>
      <c r="AY222" s="189">
        <f t="shared" si="285"/>
        <v>8.9826074648278655E-3</v>
      </c>
      <c r="AZ222" s="189">
        <f t="shared" si="285"/>
        <v>1.01946425415715E-2</v>
      </c>
      <c r="BA222" s="189">
        <f t="shared" si="285"/>
        <v>1.0072163494704845E-2</v>
      </c>
      <c r="BB222" s="189">
        <f t="shared" si="285"/>
        <v>9.648756876768444E-3</v>
      </c>
      <c r="BC222" s="189">
        <f t="shared" si="285"/>
        <v>9.3498427246570329E-3</v>
      </c>
      <c r="BD222" s="189">
        <f t="shared" si="285"/>
        <v>1.1687128699403648E-2</v>
      </c>
      <c r="BE222" s="1890">
        <f t="shared" si="285"/>
        <v>1.2332215716059594E-2</v>
      </c>
      <c r="BF222" s="189">
        <f t="shared" si="285"/>
        <v>7.2502945138858948E-3</v>
      </c>
      <c r="BG222" s="189">
        <f t="shared" si="285"/>
        <v>7.2512207240603898E-3</v>
      </c>
      <c r="BH222" s="189">
        <f t="shared" si="285"/>
        <v>9.8395936100017078E-3</v>
      </c>
      <c r="BI222" s="1890">
        <f t="shared" si="285"/>
        <v>7.3162794010431364E-3</v>
      </c>
      <c r="BJ222" s="189">
        <f t="shared" si="285"/>
        <v>7.0373139942870467E-3</v>
      </c>
      <c r="BK222" s="189">
        <f t="shared" si="285"/>
        <v>6.0591205282935282E-3</v>
      </c>
      <c r="BL222" s="189">
        <f t="shared" si="285"/>
        <v>6.9847180515217747E-3</v>
      </c>
      <c r="BM222" s="189">
        <f t="shared" si="285"/>
        <v>6.4224740606695745E-3</v>
      </c>
      <c r="BN222" s="927">
        <v>6.4999999999999997E-3</v>
      </c>
      <c r="BO222" s="930">
        <v>5.4999999999999997E-3</v>
      </c>
      <c r="BP222" s="930">
        <v>6.0000000000000001E-3</v>
      </c>
      <c r="BQ222" s="77">
        <f>IF(ISERROR(BQ215/BQ$119),"--",BQ215/BQ$119)</f>
        <v>6.076772012118154E-3</v>
      </c>
      <c r="CR222"/>
      <c r="CS222"/>
      <c r="CT222"/>
      <c r="CU222"/>
      <c r="CV222"/>
      <c r="CW222"/>
    </row>
    <row r="223" spans="8:101" s="573" customFormat="1" outlineLevel="1">
      <c r="H223" s="576"/>
      <c r="I223" s="576"/>
      <c r="J223" s="186"/>
      <c r="K223" s="172"/>
      <c r="L223" s="172"/>
      <c r="M223" s="172"/>
      <c r="N223" s="365"/>
      <c r="O223" s="446"/>
      <c r="P223" s="446"/>
      <c r="Q223" s="446"/>
      <c r="R223" s="446"/>
      <c r="S223" s="446"/>
      <c r="T223" s="446"/>
      <c r="U223" s="446"/>
      <c r="V223" s="446"/>
      <c r="W223" s="446"/>
      <c r="X223" s="446"/>
      <c r="Y223" s="446"/>
      <c r="Z223" s="446"/>
      <c r="AA223" s="446"/>
      <c r="AB223" s="446"/>
      <c r="AC223" s="446"/>
      <c r="AD223" s="446"/>
      <c r="AE223" s="77"/>
      <c r="AF223" s="77"/>
      <c r="AG223" s="99"/>
      <c r="AH223" s="189"/>
      <c r="AI223" s="189"/>
      <c r="AJ223" s="189"/>
      <c r="AK223" s="189"/>
      <c r="AL223" s="751"/>
      <c r="AM223" s="189"/>
      <c r="AN223" s="189"/>
      <c r="AO223" s="189"/>
      <c r="AP223" s="751"/>
      <c r="AQ223" s="189"/>
      <c r="AR223" s="189"/>
      <c r="AS223" s="189"/>
      <c r="AT223" s="751"/>
      <c r="AU223" s="189"/>
      <c r="AV223" s="189"/>
      <c r="AW223" s="189"/>
      <c r="AX223" s="752"/>
      <c r="AY223" s="446"/>
      <c r="AZ223" s="446"/>
      <c r="BA223" s="446"/>
      <c r="BB223" s="752"/>
      <c r="BC223" s="446"/>
      <c r="BD223" s="446"/>
      <c r="BE223" s="1892"/>
      <c r="BF223" s="446"/>
      <c r="BG223" s="446"/>
      <c r="BH223" s="446"/>
      <c r="BI223" s="1892"/>
      <c r="BJ223" s="446"/>
      <c r="BK223" s="446"/>
      <c r="BL223" s="446"/>
      <c r="BM223" s="446"/>
      <c r="BN223" s="752"/>
      <c r="BO223" s="446"/>
      <c r="BP223" s="446"/>
      <c r="BQ223" s="446"/>
      <c r="CR223"/>
      <c r="CS223"/>
      <c r="CT223"/>
      <c r="CU223"/>
      <c r="CV223"/>
      <c r="CW223"/>
    </row>
    <row r="224" spans="8:101" s="573" customFormat="1" hidden="1" outlineLevel="2">
      <c r="H224" s="576"/>
      <c r="I224" s="576"/>
      <c r="J224" s="33"/>
      <c r="K224" s="172"/>
      <c r="L224" s="172"/>
      <c r="M224" s="172"/>
      <c r="N224" s="81"/>
      <c r="O224" s="81"/>
      <c r="P224" s="81"/>
      <c r="Q224" s="81"/>
      <c r="R224" s="81"/>
      <c r="S224" s="79"/>
      <c r="T224" s="79"/>
      <c r="U224" s="79"/>
      <c r="V224" s="79"/>
      <c r="W224" s="81"/>
      <c r="X224" s="81"/>
      <c r="Y224" s="81"/>
      <c r="Z224" s="81"/>
      <c r="AA224" s="81"/>
      <c r="AB224" s="81"/>
      <c r="AC224" s="81"/>
      <c r="AD224" s="81"/>
      <c r="AE224" s="172"/>
      <c r="AF224" s="172"/>
      <c r="AG224" s="97"/>
      <c r="AH224" s="81"/>
      <c r="AI224" s="81"/>
      <c r="AJ224" s="81"/>
      <c r="AK224" s="81"/>
      <c r="AL224" s="673"/>
      <c r="AM224" s="81"/>
      <c r="AN224" s="81"/>
      <c r="AO224" s="81"/>
      <c r="AP224" s="673"/>
      <c r="AQ224" s="81"/>
      <c r="AR224" s="81"/>
      <c r="AS224" s="81"/>
      <c r="AT224" s="673"/>
      <c r="AU224" s="81"/>
      <c r="AV224" s="81"/>
      <c r="AW224" s="79"/>
      <c r="AX224" s="673"/>
      <c r="AY224" s="79"/>
      <c r="AZ224" s="79"/>
      <c r="BA224" s="79"/>
      <c r="BB224" s="673"/>
      <c r="BC224" s="79"/>
      <c r="BD224" s="79"/>
      <c r="BE224" s="79"/>
      <c r="BF224" s="673"/>
      <c r="BG224" s="79"/>
      <c r="BH224" s="79"/>
      <c r="BI224" s="79"/>
      <c r="BJ224" s="673"/>
      <c r="BK224" s="79"/>
      <c r="BL224" s="79"/>
      <c r="BM224" s="79"/>
      <c r="BN224" s="673"/>
      <c r="BO224" s="79"/>
      <c r="BP224" s="79"/>
      <c r="BQ224" s="79"/>
      <c r="CR224"/>
      <c r="CS224"/>
      <c r="CT224"/>
      <c r="CU224"/>
      <c r="CV224"/>
      <c r="CW224"/>
    </row>
    <row r="225" spans="1:101" s="572" customFormat="1" hidden="1" outlineLevel="2">
      <c r="H225" s="575"/>
      <c r="I225" s="575"/>
      <c r="J225" s="327" t="s">
        <v>701</v>
      </c>
      <c r="K225" s="328"/>
      <c r="L225" s="328"/>
      <c r="M225" s="328"/>
      <c r="N225" s="877">
        <f t="shared" ref="N225:T225" si="286">N193</f>
        <v>144</v>
      </c>
      <c r="O225" s="877">
        <f t="shared" si="286"/>
        <v>477</v>
      </c>
      <c r="P225" s="877">
        <f t="shared" si="286"/>
        <v>1515</v>
      </c>
      <c r="Q225" s="877">
        <f t="shared" si="286"/>
        <v>3061</v>
      </c>
      <c r="R225" s="877">
        <f t="shared" si="286"/>
        <v>4109</v>
      </c>
      <c r="S225" s="877">
        <f t="shared" si="286"/>
        <v>8067</v>
      </c>
      <c r="T225" s="877">
        <f t="shared" si="286"/>
        <v>13921</v>
      </c>
      <c r="U225" s="1916">
        <f>U193-U189</f>
        <v>19759.690999999999</v>
      </c>
      <c r="V225" s="1916">
        <f t="shared" ref="V225:AD225" si="287">V193-V189</f>
        <v>29964.128000000001</v>
      </c>
      <c r="W225" s="1916">
        <f t="shared" si="287"/>
        <v>44956.931628889492</v>
      </c>
      <c r="X225" s="1916">
        <f t="shared" si="287"/>
        <v>54356.711126592621</v>
      </c>
      <c r="Y225" s="1916">
        <f t="shared" si="287"/>
        <v>66303.958810989687</v>
      </c>
      <c r="Z225" s="1916">
        <f t="shared" si="287"/>
        <v>75710.544979576327</v>
      </c>
      <c r="AA225" s="1916">
        <f t="shared" si="287"/>
        <v>80343.338873213332</v>
      </c>
      <c r="AB225" s="1916">
        <f t="shared" si="287"/>
        <v>88059.148832757972</v>
      </c>
      <c r="AC225" s="1916">
        <f t="shared" si="287"/>
        <v>96446.530758195513</v>
      </c>
      <c r="AD225" s="1916">
        <f t="shared" si="287"/>
        <v>106675.8931687283</v>
      </c>
      <c r="AE225" s="328"/>
      <c r="AF225" s="472">
        <f>IF(ISERROR(RATE(3,,-U225,X225)),"NM",(RATE(3,,-U225,X225)))</f>
        <v>0.40117057238344417</v>
      </c>
      <c r="AG225" s="363"/>
      <c r="AH225" s="362"/>
      <c r="AI225" s="362"/>
      <c r="AJ225" s="362"/>
      <c r="AK225" s="362"/>
      <c r="AL225" s="1775"/>
      <c r="AM225" s="371"/>
      <c r="AN225" s="371"/>
      <c r="AO225" s="371"/>
      <c r="AP225" s="1762"/>
      <c r="AQ225" s="372"/>
      <c r="AR225" s="372"/>
      <c r="AS225" s="372"/>
      <c r="AT225" s="1611">
        <f t="shared" ref="AT225:BE225" si="288">AT193</f>
        <v>845</v>
      </c>
      <c r="AU225" s="877">
        <f t="shared" si="288"/>
        <v>978.63199999999995</v>
      </c>
      <c r="AV225" s="877">
        <f t="shared" si="288"/>
        <v>1034</v>
      </c>
      <c r="AW225" s="877">
        <f t="shared" si="288"/>
        <v>1251</v>
      </c>
      <c r="AX225" s="1611">
        <f t="shared" si="288"/>
        <v>1360</v>
      </c>
      <c r="AY225" s="877">
        <f t="shared" si="288"/>
        <v>2001.7529999999999</v>
      </c>
      <c r="AZ225" s="877">
        <f t="shared" si="288"/>
        <v>2119.297</v>
      </c>
      <c r="BA225" s="877">
        <f t="shared" si="288"/>
        <v>2585.4299999999998</v>
      </c>
      <c r="BB225" s="1611">
        <f t="shared" si="288"/>
        <v>2677.6509999999998</v>
      </c>
      <c r="BC225" s="877">
        <f t="shared" si="288"/>
        <v>3252.01</v>
      </c>
      <c r="BD225" s="877">
        <f t="shared" si="288"/>
        <v>3459.1170000000002</v>
      </c>
      <c r="BE225" s="877">
        <f t="shared" si="288"/>
        <v>4532.21</v>
      </c>
      <c r="BF225" s="1916">
        <f t="shared" ref="BF225:BQ225" si="289">BF193-BF189</f>
        <v>4229.8530000000001</v>
      </c>
      <c r="BG225" s="1916">
        <f t="shared" si="289"/>
        <v>4905.8419999999996</v>
      </c>
      <c r="BH225" s="1916">
        <f t="shared" si="289"/>
        <v>4790.0770000000002</v>
      </c>
      <c r="BI225" s="1916">
        <f t="shared" si="289"/>
        <v>5833.9189999999999</v>
      </c>
      <c r="BJ225" s="1916">
        <f t="shared" si="289"/>
        <v>5450.5839999999998</v>
      </c>
      <c r="BK225" s="1916">
        <f t="shared" si="289"/>
        <v>6980.6580000000004</v>
      </c>
      <c r="BL225" s="1916">
        <f t="shared" si="289"/>
        <v>6972.7889999999998</v>
      </c>
      <c r="BM225" s="1916">
        <f t="shared" si="289"/>
        <v>10560.097</v>
      </c>
      <c r="BN225" s="1916">
        <f t="shared" si="289"/>
        <v>7441.9497671559357</v>
      </c>
      <c r="BO225" s="1916">
        <f t="shared" si="289"/>
        <v>8698.3145526241315</v>
      </c>
      <c r="BP225" s="1916">
        <f t="shared" si="289"/>
        <v>8406.5498933879699</v>
      </c>
      <c r="BQ225" s="1916">
        <f t="shared" si="289"/>
        <v>9492.2846145569874</v>
      </c>
      <c r="BR225" s="573"/>
      <c r="CR225"/>
      <c r="CS225"/>
      <c r="CT225"/>
      <c r="CU225"/>
      <c r="CV225"/>
      <c r="CW225"/>
    </row>
    <row r="226" spans="1:101" hidden="1" outlineLevel="2">
      <c r="J226" s="191" t="s">
        <v>296</v>
      </c>
      <c r="K226" s="11"/>
      <c r="L226" s="11"/>
      <c r="M226" s="11"/>
      <c r="N226" s="837"/>
      <c r="O226" s="837"/>
      <c r="P226" s="889">
        <v>832.16399999999999</v>
      </c>
      <c r="Q226" s="889">
        <v>1527</v>
      </c>
      <c r="R226" s="889">
        <v>2005</v>
      </c>
      <c r="S226" s="889">
        <v>4111</v>
      </c>
      <c r="T226" s="890">
        <v>7289</v>
      </c>
      <c r="U226" s="891">
        <v>10845</v>
      </c>
      <c r="V226" s="812">
        <f t="shared" ref="V226:AD226" ca="1" si="290">V259</f>
        <v>10845</v>
      </c>
      <c r="W226" s="892">
        <f t="shared" ca="1" si="290"/>
        <v>14595.447043806309</v>
      </c>
      <c r="X226" s="892">
        <f t="shared" ca="1" si="290"/>
        <v>17741.502100890066</v>
      </c>
      <c r="Y226" s="892">
        <f t="shared" si="290"/>
        <v>28427.375475669265</v>
      </c>
      <c r="Z226" s="892">
        <f t="shared" si="290"/>
        <v>31667.136007456666</v>
      </c>
      <c r="AA226" s="892">
        <f t="shared" si="290"/>
        <v>33347.241059280852</v>
      </c>
      <c r="AB226" s="892">
        <f t="shared" si="290"/>
        <v>34255.011596049058</v>
      </c>
      <c r="AC226" s="892">
        <f t="shared" si="290"/>
        <v>35138.01083060661</v>
      </c>
      <c r="AD226" s="892">
        <f t="shared" si="290"/>
        <v>35989.058242211737</v>
      </c>
      <c r="AE226" s="11"/>
      <c r="AF226" s="11"/>
      <c r="AG226" s="95"/>
      <c r="AH226" s="72"/>
      <c r="AI226" s="72"/>
      <c r="AJ226" s="72"/>
      <c r="AK226" s="72"/>
      <c r="AL226" s="755"/>
      <c r="AM226" s="73"/>
      <c r="AN226" s="73"/>
      <c r="AO226" s="73"/>
      <c r="AP226" s="755"/>
      <c r="AQ226" s="73"/>
      <c r="AR226" s="73"/>
      <c r="AS226" s="73"/>
      <c r="AT226" s="755"/>
      <c r="AU226" s="73"/>
      <c r="AV226" s="73"/>
      <c r="AW226" s="181"/>
      <c r="AX226" s="755"/>
      <c r="AY226" s="181"/>
      <c r="AZ226" s="66"/>
      <c r="BA226" s="66"/>
      <c r="BB226" s="710"/>
      <c r="BC226" s="66"/>
      <c r="BD226" s="66"/>
      <c r="BE226" s="66"/>
      <c r="BF226" s="710"/>
      <c r="BG226" s="66"/>
      <c r="BH226" s="66"/>
      <c r="BI226" s="66"/>
      <c r="BJ226" s="710"/>
      <c r="BK226" s="66"/>
      <c r="BL226" s="66"/>
      <c r="BM226" s="66"/>
      <c r="BN226" s="710"/>
      <c r="BO226" s="66"/>
      <c r="BP226" s="66"/>
      <c r="BQ226" s="66"/>
    </row>
    <row r="227" spans="1:101" hidden="1" outlineLevel="2">
      <c r="J227" s="191" t="s">
        <v>298</v>
      </c>
      <c r="K227" s="11"/>
      <c r="L227" s="11"/>
      <c r="M227" s="11"/>
      <c r="N227" s="837"/>
      <c r="O227" s="837"/>
      <c r="P227" s="889"/>
      <c r="Q227" s="889">
        <v>661</v>
      </c>
      <c r="R227" s="889">
        <v>794</v>
      </c>
      <c r="S227" s="889">
        <v>1290</v>
      </c>
      <c r="T227" s="890">
        <v>2059</v>
      </c>
      <c r="U227" s="891">
        <v>3387</v>
      </c>
      <c r="V227" s="812">
        <f t="shared" ref="V227:AD227" ca="1" si="291">V260</f>
        <v>3387</v>
      </c>
      <c r="W227" s="892">
        <f t="shared" ca="1" si="291"/>
        <v>3636.5079844361844</v>
      </c>
      <c r="X227" s="892">
        <f t="shared" ca="1" si="291"/>
        <v>4455.2890122467106</v>
      </c>
      <c r="Y227" s="892">
        <f t="shared" ca="1" si="291"/>
        <v>5296.0593941617817</v>
      </c>
      <c r="Z227" s="892">
        <f t="shared" ca="1" si="291"/>
        <v>5969.8649705477119</v>
      </c>
      <c r="AA227" s="892">
        <f t="shared" ca="1" si="291"/>
        <v>6362.3392616807487</v>
      </c>
      <c r="AB227" s="892">
        <f t="shared" ca="1" si="291"/>
        <v>6780.6158230427309</v>
      </c>
      <c r="AC227" s="892">
        <f t="shared" ca="1" si="291"/>
        <v>7226.3909623001928</v>
      </c>
      <c r="AD227" s="892">
        <f t="shared" ca="1" si="291"/>
        <v>7701.4725067524023</v>
      </c>
      <c r="AE227" s="11"/>
      <c r="AF227" s="11"/>
      <c r="AG227" s="95"/>
      <c r="AH227" s="72"/>
      <c r="AI227" s="72"/>
      <c r="AJ227" s="72"/>
      <c r="AK227" s="72"/>
      <c r="AL227" s="755"/>
      <c r="AM227" s="73"/>
      <c r="AN227" s="73"/>
      <c r="AO227" s="73"/>
      <c r="AP227" s="755"/>
      <c r="AQ227" s="73"/>
      <c r="AR227" s="73"/>
      <c r="AS227" s="73"/>
      <c r="AT227" s="755"/>
      <c r="AU227" s="73"/>
      <c r="AV227" s="73"/>
      <c r="AW227" s="181"/>
      <c r="AX227" s="755"/>
      <c r="AY227" s="181"/>
      <c r="AZ227" s="66"/>
      <c r="BA227" s="66"/>
      <c r="BB227" s="710"/>
      <c r="BC227" s="66"/>
      <c r="BD227" s="66"/>
      <c r="BE227" s="66"/>
      <c r="BF227" s="710"/>
      <c r="BG227" s="66"/>
      <c r="BH227" s="66"/>
      <c r="BI227" s="66"/>
      <c r="BJ227" s="710"/>
      <c r="BK227" s="66"/>
      <c r="BL227" s="66"/>
      <c r="BM227" s="66"/>
      <c r="BN227" s="710"/>
      <c r="BO227" s="66"/>
      <c r="BP227" s="66"/>
      <c r="BQ227" s="66"/>
    </row>
    <row r="228" spans="1:101" hidden="1" outlineLevel="2">
      <c r="J228" s="191" t="s">
        <v>297</v>
      </c>
      <c r="K228" s="11"/>
      <c r="L228" s="11"/>
      <c r="M228" s="11"/>
      <c r="N228" s="837"/>
      <c r="O228" s="837"/>
      <c r="P228" s="889"/>
      <c r="Q228" s="889">
        <v>281</v>
      </c>
      <c r="R228" s="889">
        <v>422</v>
      </c>
      <c r="S228" s="889">
        <v>715</v>
      </c>
      <c r="T228" s="781">
        <v>1243</v>
      </c>
      <c r="U228" s="893">
        <v>1990</v>
      </c>
      <c r="V228" s="91">
        <f>V309</f>
        <v>2107.2629728797156</v>
      </c>
      <c r="W228" s="91">
        <f t="shared" ref="W228:AD228" si="292">W309</f>
        <v>2607.5706245169599</v>
      </c>
      <c r="X228" s="91">
        <f t="shared" si="292"/>
        <v>3060.9887021743207</v>
      </c>
      <c r="Y228" s="91">
        <f t="shared" si="292"/>
        <v>3496.9635996074007</v>
      </c>
      <c r="Z228" s="91">
        <f t="shared" si="292"/>
        <v>3782.1765034566224</v>
      </c>
      <c r="AA228" s="91">
        <f t="shared" si="292"/>
        <v>3860.6297663091004</v>
      </c>
      <c r="AB228" s="91">
        <f t="shared" si="292"/>
        <v>3933.051575699365</v>
      </c>
      <c r="AC228" s="91">
        <f t="shared" si="292"/>
        <v>3998.3098033186584</v>
      </c>
      <c r="AD228" s="91">
        <f t="shared" si="292"/>
        <v>4055.1495312603952</v>
      </c>
      <c r="AE228" s="11"/>
      <c r="AF228" s="11"/>
      <c r="AG228" s="95"/>
      <c r="AH228" s="72"/>
      <c r="AI228" s="72"/>
      <c r="AJ228" s="72"/>
      <c r="AK228" s="72"/>
      <c r="AL228" s="755"/>
      <c r="AM228" s="73"/>
      <c r="AN228" s="73"/>
      <c r="AO228" s="73"/>
      <c r="AP228" s="755"/>
      <c r="AQ228" s="73"/>
      <c r="AR228" s="73"/>
      <c r="AS228" s="73"/>
      <c r="AT228" s="755"/>
      <c r="AU228" s="73"/>
      <c r="AV228" s="73"/>
      <c r="AW228" s="181"/>
      <c r="AX228" s="755"/>
      <c r="AY228" s="181"/>
      <c r="AZ228" s="66"/>
      <c r="BA228" s="66"/>
      <c r="BB228" s="710"/>
      <c r="BC228" s="66"/>
      <c r="BD228" s="66"/>
      <c r="BE228" s="66"/>
      <c r="BF228" s="710"/>
      <c r="BG228" s="66"/>
      <c r="BH228" s="66"/>
      <c r="BI228" s="66"/>
      <c r="BJ228" s="710"/>
      <c r="BK228" s="66"/>
      <c r="BL228" s="66"/>
      <c r="BM228" s="66"/>
      <c r="BN228" s="710"/>
      <c r="BO228" s="66"/>
      <c r="BP228" s="66"/>
      <c r="BQ228" s="66"/>
    </row>
    <row r="229" spans="1:101" hidden="1" outlineLevel="2">
      <c r="J229" s="191" t="s">
        <v>345</v>
      </c>
      <c r="K229" s="11"/>
      <c r="L229" s="11"/>
      <c r="M229" s="11"/>
      <c r="N229" s="837"/>
      <c r="O229" s="837"/>
      <c r="P229" s="837"/>
      <c r="Q229" s="734">
        <f>Model!Q646</f>
        <v>169.27699999999999</v>
      </c>
      <c r="R229" s="734">
        <f>Model!R646</f>
        <v>257.21300000000002</v>
      </c>
      <c r="S229" s="734">
        <f>Model!S645</f>
        <v>1650.5329999999999</v>
      </c>
      <c r="T229" s="894">
        <f>Model!T645</f>
        <v>2619.0610000000001</v>
      </c>
      <c r="U229" s="894">
        <f>Model!U645</f>
        <v>3633.346</v>
      </c>
      <c r="V229" s="894">
        <f ca="1">Model!V645</f>
        <v>2341.8029999999999</v>
      </c>
      <c r="W229" s="894">
        <f ca="1">Model!W645</f>
        <v>3979.5510693600063</v>
      </c>
      <c r="X229" s="894">
        <f ca="1">Model!X645</f>
        <v>4479.9726356099127</v>
      </c>
      <c r="Y229" s="894">
        <f ca="1">Model!Y645</f>
        <v>4464.1958526495509</v>
      </c>
      <c r="Z229" s="894">
        <f ca="1">Model!Z645</f>
        <v>4353.833569815908</v>
      </c>
      <c r="AA229" s="894">
        <f ca="1">Model!AA645</f>
        <v>4312.530982573775</v>
      </c>
      <c r="AB229" s="894">
        <f ca="1">Model!AB645</f>
        <v>4670.5371823063369</v>
      </c>
      <c r="AC229" s="894">
        <f ca="1">Model!AC645</f>
        <v>5004.3080009076693</v>
      </c>
      <c r="AD229" s="894">
        <f ca="1">Model!AD645</f>
        <v>5265.0184393219051</v>
      </c>
      <c r="AE229" s="11"/>
      <c r="AF229" s="11"/>
      <c r="AG229" s="95"/>
      <c r="AH229" s="72"/>
      <c r="AI229" s="72"/>
      <c r="AJ229" s="72"/>
      <c r="AK229" s="72"/>
      <c r="AL229" s="755"/>
      <c r="AM229" s="73"/>
      <c r="AN229" s="73"/>
      <c r="AO229" s="73"/>
      <c r="AP229" s="755"/>
      <c r="AQ229" s="73"/>
      <c r="AR229" s="73"/>
      <c r="AS229" s="73"/>
      <c r="AT229" s="755"/>
      <c r="AU229" s="73"/>
      <c r="AV229" s="73"/>
      <c r="AW229" s="181"/>
      <c r="AX229" s="755"/>
      <c r="AY229" s="181"/>
      <c r="AZ229" s="66"/>
      <c r="BA229" s="66"/>
      <c r="BB229" s="710"/>
      <c r="BC229" s="66"/>
      <c r="BD229" s="66"/>
      <c r="BE229" s="66"/>
      <c r="BF229" s="710"/>
      <c r="BG229" s="66"/>
      <c r="BH229" s="66"/>
      <c r="BI229" s="66"/>
      <c r="BJ229" s="710"/>
      <c r="BK229" s="66"/>
      <c r="BL229" s="66"/>
      <c r="BM229" s="66"/>
      <c r="BN229" s="710"/>
      <c r="BO229" s="66"/>
      <c r="BP229" s="66"/>
      <c r="BQ229" s="66"/>
    </row>
    <row r="230" spans="1:101" hidden="1" outlineLevel="2">
      <c r="J230" s="191" t="s">
        <v>299</v>
      </c>
      <c r="K230" s="11"/>
      <c r="L230" s="11"/>
      <c r="M230" s="11"/>
      <c r="N230" s="837"/>
      <c r="O230" s="837"/>
      <c r="P230" s="837"/>
      <c r="Q230" s="889">
        <v>116</v>
      </c>
      <c r="R230" s="889">
        <v>235</v>
      </c>
      <c r="S230" s="889">
        <v>435</v>
      </c>
      <c r="T230" s="889">
        <v>613</v>
      </c>
      <c r="U230" s="891">
        <v>0</v>
      </c>
      <c r="V230" s="812">
        <f t="shared" ref="V230:AD230" si="293">V303</f>
        <v>1359.1200000000001</v>
      </c>
      <c r="W230" s="892">
        <f t="shared" si="293"/>
        <v>1425.9615215999995</v>
      </c>
      <c r="X230" s="892">
        <f t="shared" si="293"/>
        <v>1630.2215973096893</v>
      </c>
      <c r="Y230" s="892">
        <f t="shared" si="293"/>
        <v>1779.3127724818298</v>
      </c>
      <c r="Z230" s="892">
        <f t="shared" si="293"/>
        <v>1823.1728323235068</v>
      </c>
      <c r="AA230" s="892">
        <f t="shared" si="293"/>
        <v>1744.4117659671313</v>
      </c>
      <c r="AB230" s="892">
        <f t="shared" si="293"/>
        <v>1642.9742217761423</v>
      </c>
      <c r="AC230" s="892">
        <f t="shared" si="293"/>
        <v>1263.2124659427429</v>
      </c>
      <c r="AD230" s="892">
        <f t="shared" si="293"/>
        <v>1359.7218983407686</v>
      </c>
      <c r="AE230" s="11"/>
      <c r="AF230" s="11"/>
      <c r="AG230" s="95"/>
      <c r="AH230" s="72"/>
      <c r="AI230" s="72"/>
      <c r="AJ230" s="72"/>
      <c r="AK230" s="72"/>
      <c r="AL230" s="755"/>
      <c r="AM230" s="73"/>
      <c r="AN230" s="73"/>
      <c r="AO230" s="73"/>
      <c r="AP230" s="755"/>
      <c r="AQ230" s="73"/>
      <c r="AR230" s="73"/>
      <c r="AS230" s="73"/>
      <c r="AT230" s="755"/>
      <c r="AU230" s="73"/>
      <c r="AV230" s="73"/>
      <c r="AW230" s="181"/>
      <c r="AX230" s="755"/>
      <c r="AY230" s="181"/>
      <c r="AZ230" s="66"/>
      <c r="BA230" s="66"/>
      <c r="BB230" s="710"/>
      <c r="BC230" s="66"/>
      <c r="BD230" s="66"/>
      <c r="BE230" s="66"/>
      <c r="BF230" s="710"/>
      <c r="BG230" s="66"/>
      <c r="BH230" s="66"/>
      <c r="BI230" s="66"/>
      <c r="BJ230" s="710"/>
      <c r="BK230" s="66"/>
      <c r="BL230" s="66"/>
      <c r="BM230" s="66"/>
      <c r="BN230" s="710"/>
      <c r="BO230" s="66"/>
      <c r="BP230" s="66"/>
      <c r="BQ230" s="66"/>
    </row>
    <row r="231" spans="1:101" hidden="1" outlineLevel="2">
      <c r="I231" s="566"/>
      <c r="J231" s="191" t="s">
        <v>84</v>
      </c>
      <c r="K231" s="11"/>
      <c r="L231" s="11"/>
      <c r="M231" s="11"/>
      <c r="N231" s="734"/>
      <c r="O231" s="734"/>
      <c r="P231" s="734"/>
      <c r="Q231" s="734">
        <f>Q225-SUM(Q226:Q230)</f>
        <v>306.72299999999996</v>
      </c>
      <c r="R231" s="734">
        <f>R225-SUM(R226:R230)</f>
        <v>395.78699999999981</v>
      </c>
      <c r="S231" s="734">
        <f>S225-SUM(S226:S230)</f>
        <v>-134.53299999999945</v>
      </c>
      <c r="T231" s="734">
        <f t="shared" ref="T231:AD231" si="294">T225-SUM(T226:T230)</f>
        <v>97.939000000000306</v>
      </c>
      <c r="U231" s="734">
        <f t="shared" si="294"/>
        <v>-95.655000000002474</v>
      </c>
      <c r="V231" s="734">
        <f t="shared" ca="1" si="294"/>
        <v>9923.9420271202871</v>
      </c>
      <c r="W231" s="734">
        <f t="shared" ca="1" si="294"/>
        <v>18711.893385170031</v>
      </c>
      <c r="X231" s="734">
        <f t="shared" ca="1" si="294"/>
        <v>22988.737078361923</v>
      </c>
      <c r="Y231" s="734">
        <f t="shared" ca="1" si="294"/>
        <v>22840.051716419854</v>
      </c>
      <c r="Z231" s="734">
        <f t="shared" ca="1" si="294"/>
        <v>28114.361095975917</v>
      </c>
      <c r="AA231" s="734">
        <f t="shared" ca="1" si="294"/>
        <v>30716.186037401727</v>
      </c>
      <c r="AB231" s="734">
        <f t="shared" ca="1" si="294"/>
        <v>36776.958433884334</v>
      </c>
      <c r="AC231" s="734">
        <f t="shared" ca="1" si="294"/>
        <v>43816.298695119629</v>
      </c>
      <c r="AD231" s="734">
        <f t="shared" ca="1" si="294"/>
        <v>52305.472550841099</v>
      </c>
      <c r="AE231" s="11"/>
      <c r="AF231" s="11"/>
      <c r="AG231" s="95"/>
      <c r="AH231" s="38"/>
      <c r="AI231" s="38"/>
      <c r="AJ231" s="38"/>
      <c r="AK231" s="38"/>
      <c r="AL231" s="682"/>
      <c r="AM231" s="38"/>
      <c r="AN231" s="38"/>
      <c r="AO231" s="38"/>
      <c r="AP231" s="682"/>
      <c r="AQ231" s="38"/>
      <c r="AR231" s="38"/>
      <c r="AS231" s="38"/>
      <c r="AT231" s="682"/>
      <c r="AU231" s="38"/>
      <c r="AV231" s="38"/>
      <c r="AW231" s="86"/>
      <c r="AX231" s="682"/>
      <c r="AY231" s="86"/>
      <c r="AZ231" s="66"/>
      <c r="BA231" s="66"/>
      <c r="BB231" s="710"/>
      <c r="BC231" s="66"/>
      <c r="BD231" s="66"/>
      <c r="BE231" s="66"/>
      <c r="BF231" s="710"/>
      <c r="BG231" s="66"/>
      <c r="BH231" s="66"/>
      <c r="BI231" s="66"/>
      <c r="BJ231" s="710"/>
      <c r="BK231" s="66"/>
      <c r="BL231" s="66"/>
      <c r="BM231" s="66"/>
      <c r="BN231" s="710"/>
      <c r="BO231" s="66"/>
      <c r="BP231" s="66"/>
      <c r="BQ231" s="66"/>
    </row>
    <row r="232" spans="1:101" hidden="1" outlineLevel="2">
      <c r="J232" s="306" t="s">
        <v>104</v>
      </c>
      <c r="K232" s="11"/>
      <c r="L232" s="11"/>
      <c r="M232" s="11"/>
      <c r="N232" s="86"/>
      <c r="O232" s="86"/>
      <c r="P232" s="86"/>
      <c r="Q232" s="86"/>
      <c r="R232" s="86"/>
      <c r="S232" s="86"/>
      <c r="T232" s="86"/>
      <c r="U232" s="86"/>
      <c r="V232" s="86"/>
      <c r="W232" s="86"/>
      <c r="X232" s="86"/>
      <c r="Y232" s="86"/>
      <c r="Z232" s="86"/>
      <c r="AA232" s="86"/>
      <c r="AB232" s="86"/>
      <c r="AC232" s="86"/>
      <c r="AD232" s="86"/>
      <c r="AE232" s="11"/>
      <c r="AF232" s="11"/>
      <c r="AG232" s="95"/>
      <c r="AH232" s="38"/>
      <c r="AI232" s="38"/>
      <c r="AJ232" s="38"/>
      <c r="AK232" s="38"/>
      <c r="AL232" s="682"/>
      <c r="AM232" s="38"/>
      <c r="AN232" s="38"/>
      <c r="AO232" s="38"/>
      <c r="AP232" s="682"/>
      <c r="AQ232" s="38"/>
      <c r="AR232" s="38"/>
      <c r="AS232" s="38"/>
      <c r="AT232" s="682"/>
      <c r="AU232" s="38"/>
      <c r="AV232" s="38"/>
      <c r="AW232" s="86"/>
      <c r="AX232" s="682"/>
      <c r="AY232" s="86"/>
      <c r="AZ232" s="66"/>
      <c r="BA232" s="66"/>
      <c r="BB232" s="710"/>
      <c r="BC232" s="66"/>
      <c r="BD232" s="66"/>
      <c r="BE232" s="66"/>
      <c r="BF232" s="710"/>
      <c r="BG232" s="66"/>
      <c r="BH232" s="66"/>
      <c r="BI232" s="66"/>
      <c r="BJ232" s="710"/>
      <c r="BK232" s="66"/>
      <c r="BL232" s="66"/>
      <c r="BM232" s="66"/>
      <c r="BN232" s="710"/>
      <c r="BO232" s="66"/>
      <c r="BP232" s="66"/>
      <c r="BQ232" s="66"/>
    </row>
    <row r="233" spans="1:101" hidden="1" outlineLevel="2">
      <c r="J233" s="33" t="s">
        <v>335</v>
      </c>
      <c r="K233" s="11"/>
      <c r="L233" s="11"/>
      <c r="M233" s="11"/>
      <c r="N233" s="38"/>
      <c r="O233" s="38"/>
      <c r="P233" s="82"/>
      <c r="Q233" s="198">
        <f>(Q226/Q$225)</f>
        <v>0.4988565828160732</v>
      </c>
      <c r="R233" s="198">
        <f t="shared" ref="R233:AD233" si="295">(R226/R$225)</f>
        <v>0.48795327330250671</v>
      </c>
      <c r="S233" s="651">
        <f t="shared" si="295"/>
        <v>0.50960704103136234</v>
      </c>
      <c r="T233" s="651">
        <f t="shared" si="295"/>
        <v>0.52359744271244879</v>
      </c>
      <c r="U233" s="651">
        <f t="shared" si="295"/>
        <v>0.54884461502965809</v>
      </c>
      <c r="V233" s="651">
        <f t="shared" ca="1" si="295"/>
        <v>0.36193277508359328</v>
      </c>
      <c r="W233" s="198">
        <f t="shared" ca="1" si="295"/>
        <v>0.32465398582556332</v>
      </c>
      <c r="X233" s="198">
        <f t="shared" ca="1" si="295"/>
        <v>0.32639027882999516</v>
      </c>
      <c r="Y233" s="198">
        <f t="shared" si="295"/>
        <v>0.42874326036407817</v>
      </c>
      <c r="Z233" s="198">
        <f t="shared" si="295"/>
        <v>0.41826585736503669</v>
      </c>
      <c r="AA233" s="198">
        <f t="shared" si="295"/>
        <v>0.41505918881345999</v>
      </c>
      <c r="AB233" s="198">
        <f t="shared" si="295"/>
        <v>0.38900003066241545</v>
      </c>
      <c r="AC233" s="198">
        <f t="shared" si="295"/>
        <v>0.36432633247018859</v>
      </c>
      <c r="AD233" s="198">
        <f t="shared" si="295"/>
        <v>0.33736823918866249</v>
      </c>
      <c r="AE233" s="11"/>
      <c r="AF233" s="11"/>
      <c r="AG233" s="95"/>
      <c r="AH233" s="38"/>
      <c r="AI233" s="38"/>
      <c r="AJ233" s="38"/>
      <c r="AK233" s="38"/>
      <c r="AL233" s="682"/>
      <c r="AM233" s="38"/>
      <c r="AN233" s="38"/>
      <c r="AO233" s="38"/>
      <c r="AP233" s="682"/>
      <c r="AQ233" s="38"/>
      <c r="AR233" s="38"/>
      <c r="AS233" s="38"/>
      <c r="AT233" s="682"/>
      <c r="AU233" s="38"/>
      <c r="AV233" s="38"/>
      <c r="AW233" s="86"/>
      <c r="AX233" s="682"/>
      <c r="AY233" s="86"/>
      <c r="AZ233" s="66"/>
      <c r="BA233" s="66"/>
      <c r="BB233" s="710"/>
      <c r="BC233" s="66"/>
      <c r="BD233" s="66"/>
      <c r="BE233" s="66"/>
      <c r="BF233" s="710"/>
      <c r="BG233" s="66"/>
      <c r="BH233" s="66"/>
      <c r="BI233" s="66"/>
      <c r="BJ233" s="710"/>
      <c r="BK233" s="66"/>
      <c r="BL233" s="66"/>
      <c r="BM233" s="66"/>
      <c r="BN233" s="710"/>
      <c r="BO233" s="66"/>
      <c r="BP233" s="66"/>
      <c r="BQ233" s="66"/>
    </row>
    <row r="234" spans="1:101" hidden="1" outlineLevel="2">
      <c r="J234" s="33" t="s">
        <v>364</v>
      </c>
      <c r="K234" s="11"/>
      <c r="L234" s="11"/>
      <c r="M234" s="11"/>
      <c r="N234" s="38"/>
      <c r="O234" s="38"/>
      <c r="P234" s="82"/>
      <c r="Q234" s="198">
        <f>Q227/Q225</f>
        <v>0.21594250245017968</v>
      </c>
      <c r="R234" s="198">
        <f t="shared" ref="R234:AD234" si="296">R227/R225</f>
        <v>0.19323436359211488</v>
      </c>
      <c r="S234" s="651">
        <f t="shared" si="296"/>
        <v>0.15991074748977316</v>
      </c>
      <c r="T234" s="651">
        <f t="shared" si="296"/>
        <v>0.14790604123267007</v>
      </c>
      <c r="U234" s="651">
        <f t="shared" si="296"/>
        <v>0.1714095630341588</v>
      </c>
      <c r="V234" s="651">
        <f t="shared" ca="1" si="296"/>
        <v>0.11303515990854131</v>
      </c>
      <c r="W234" s="198">
        <f t="shared" ca="1" si="296"/>
        <v>8.0888705093462174E-2</v>
      </c>
      <c r="X234" s="198">
        <f t="shared" ca="1" si="296"/>
        <v>8.1963917976396392E-2</v>
      </c>
      <c r="Y234" s="198">
        <f t="shared" ca="1" si="296"/>
        <v>7.9875462779817843E-2</v>
      </c>
      <c r="Z234" s="198">
        <f t="shared" ca="1" si="296"/>
        <v>7.8851168911254599E-2</v>
      </c>
      <c r="AA234" s="198">
        <f t="shared" ca="1" si="296"/>
        <v>7.9189380861068095E-2</v>
      </c>
      <c r="AB234" s="198">
        <f t="shared" ca="1" si="296"/>
        <v>7.7000696837536825E-2</v>
      </c>
      <c r="AC234" s="198">
        <f t="shared" ca="1" si="296"/>
        <v>7.4926396061022985E-2</v>
      </c>
      <c r="AD234" s="198">
        <f t="shared" ca="1" si="296"/>
        <v>7.219505998952408E-2</v>
      </c>
      <c r="AE234" s="11"/>
      <c r="AF234" s="11"/>
      <c r="AG234" s="95"/>
      <c r="AH234" s="38"/>
      <c r="AI234" s="38"/>
      <c r="AJ234" s="38"/>
      <c r="AK234" s="38"/>
      <c r="AL234" s="682"/>
      <c r="AM234" s="38"/>
      <c r="AN234" s="38"/>
      <c r="AO234" s="38"/>
      <c r="AP234" s="682"/>
      <c r="AQ234" s="38"/>
      <c r="AR234" s="38"/>
      <c r="AS234" s="38"/>
      <c r="AT234" s="682"/>
      <c r="AU234" s="38"/>
      <c r="AV234" s="38"/>
      <c r="AW234" s="86"/>
      <c r="AX234" s="682"/>
      <c r="AY234" s="86"/>
      <c r="AZ234" s="66"/>
      <c r="BA234" s="66"/>
      <c r="BB234" s="710"/>
      <c r="BC234" s="66"/>
      <c r="BD234" s="66"/>
      <c r="BE234" s="66"/>
      <c r="BF234" s="710"/>
      <c r="BG234" s="66"/>
      <c r="BH234" s="66"/>
      <c r="BI234" s="66"/>
      <c r="BJ234" s="710"/>
      <c r="BK234" s="66"/>
      <c r="BL234" s="66"/>
      <c r="BM234" s="66"/>
      <c r="BN234" s="710"/>
      <c r="BO234" s="66"/>
      <c r="BP234" s="66"/>
      <c r="BQ234" s="66"/>
    </row>
    <row r="235" spans="1:101" hidden="1" outlineLevel="2">
      <c r="J235" s="33" t="s">
        <v>362</v>
      </c>
      <c r="K235" s="11"/>
      <c r="L235" s="11"/>
      <c r="M235" s="11"/>
      <c r="N235" s="38"/>
      <c r="O235" s="38"/>
      <c r="P235" s="38"/>
      <c r="Q235" s="198">
        <f>(Q228+Q229)/Q$225</f>
        <v>0.14710127409343352</v>
      </c>
      <c r="R235" s="198">
        <f>(R228+R229)/R$225</f>
        <v>0.16529885616938428</v>
      </c>
      <c r="S235" s="651">
        <f t="shared" ref="S235:AD235" si="297">(S228+S229)/S$225</f>
        <v>0.29323577538118256</v>
      </c>
      <c r="T235" s="651">
        <f t="shared" si="297"/>
        <v>0.27742698082034339</v>
      </c>
      <c r="U235" s="651">
        <f t="shared" si="297"/>
        <v>0.28458673771771026</v>
      </c>
      <c r="V235" s="651">
        <f t="shared" ca="1" si="297"/>
        <v>0.1484797412719541</v>
      </c>
      <c r="W235" s="198">
        <f t="shared" ca="1" si="297"/>
        <v>0.14652071338525377</v>
      </c>
      <c r="X235" s="198">
        <f t="shared" ca="1" si="297"/>
        <v>0.13873100821390594</v>
      </c>
      <c r="Y235" s="198">
        <f t="shared" ca="1" si="297"/>
        <v>0.12007065030538439</v>
      </c>
      <c r="Z235" s="198">
        <f t="shared" ca="1" si="297"/>
        <v>0.10746204607914657</v>
      </c>
      <c r="AA235" s="198">
        <f t="shared" ca="1" si="297"/>
        <v>0.10172791999322582</v>
      </c>
      <c r="AB235" s="198">
        <f t="shared" ca="1" si="297"/>
        <v>9.7702383818694949E-2</v>
      </c>
      <c r="AC235" s="198">
        <f t="shared" ca="1" si="297"/>
        <v>9.3343096257107544E-2</v>
      </c>
      <c r="AD235" s="198">
        <f t="shared" ca="1" si="297"/>
        <v>8.7369017439026031E-2</v>
      </c>
      <c r="AE235" s="11"/>
      <c r="AF235" s="11"/>
      <c r="AG235" s="95"/>
      <c r="AH235" s="38"/>
      <c r="AI235" s="38"/>
      <c r="AJ235" s="38"/>
      <c r="AK235" s="38"/>
      <c r="AL235" s="682"/>
      <c r="AM235" s="38"/>
      <c r="AN235" s="38"/>
      <c r="AO235" s="38"/>
      <c r="AP235" s="682"/>
      <c r="AQ235" s="38"/>
      <c r="AR235" s="38"/>
      <c r="AS235" s="38"/>
      <c r="AT235" s="682"/>
      <c r="AU235" s="38"/>
      <c r="AV235" s="38"/>
      <c r="AW235" s="86"/>
      <c r="AX235" s="682"/>
      <c r="AY235" s="86"/>
      <c r="AZ235" s="66"/>
      <c r="BA235" s="66"/>
      <c r="BB235" s="710"/>
      <c r="BC235" s="66"/>
      <c r="BD235" s="66"/>
      <c r="BE235" s="66"/>
      <c r="BF235" s="710"/>
      <c r="BG235" s="66"/>
      <c r="BH235" s="66"/>
      <c r="BI235" s="66"/>
      <c r="BJ235" s="710"/>
      <c r="BK235" s="66"/>
      <c r="BL235" s="66"/>
      <c r="BM235" s="66"/>
      <c r="BN235" s="710"/>
      <c r="BO235" s="66"/>
      <c r="BP235" s="66"/>
      <c r="BQ235" s="66"/>
    </row>
    <row r="236" spans="1:101" hidden="1" outlineLevel="2">
      <c r="J236" s="33" t="s">
        <v>321</v>
      </c>
      <c r="K236" s="11"/>
      <c r="L236" s="11"/>
      <c r="M236" s="11"/>
      <c r="N236" s="38"/>
      <c r="O236" s="38"/>
      <c r="P236" s="38"/>
      <c r="Q236" s="198">
        <f t="shared" ref="Q236:AD236" si="298">Q230/Q$225</f>
        <v>3.789611238157465E-2</v>
      </c>
      <c r="R236" s="198">
        <f t="shared" si="298"/>
        <v>5.7191530786079338E-2</v>
      </c>
      <c r="S236" s="651">
        <f t="shared" si="298"/>
        <v>5.3923391595388621E-2</v>
      </c>
      <c r="T236" s="651">
        <f t="shared" si="298"/>
        <v>4.4034192945909059E-2</v>
      </c>
      <c r="U236" s="651">
        <f t="shared" si="298"/>
        <v>0</v>
      </c>
      <c r="V236" s="651">
        <f t="shared" si="298"/>
        <v>4.5358236355151071E-2</v>
      </c>
      <c r="W236" s="198">
        <f t="shared" si="298"/>
        <v>3.1718390689360824E-2</v>
      </c>
      <c r="X236" s="198">
        <f t="shared" si="298"/>
        <v>2.9991174291487722E-2</v>
      </c>
      <c r="Y236" s="198">
        <f t="shared" si="298"/>
        <v>2.6835694344496876E-2</v>
      </c>
      <c r="Z236" s="198">
        <f t="shared" si="298"/>
        <v>2.408083091748086E-2</v>
      </c>
      <c r="AA236" s="198">
        <f t="shared" si="298"/>
        <v>2.171196505437643E-2</v>
      </c>
      <c r="AB236" s="198">
        <f t="shared" si="298"/>
        <v>1.8657620969020274E-2</v>
      </c>
      <c r="AC236" s="198">
        <f t="shared" si="298"/>
        <v>1.3097541777938983E-2</v>
      </c>
      <c r="AD236" s="198">
        <f t="shared" si="298"/>
        <v>1.2746290262506718E-2</v>
      </c>
      <c r="AE236" s="11"/>
      <c r="AF236" s="11"/>
      <c r="AG236" s="95"/>
      <c r="AH236" s="38"/>
      <c r="AI236" s="38"/>
      <c r="AJ236" s="38"/>
      <c r="AK236" s="38"/>
      <c r="AL236" s="682"/>
      <c r="AM236" s="38"/>
      <c r="AN236" s="38"/>
      <c r="AO236" s="38"/>
      <c r="AP236" s="682"/>
      <c r="AQ236" s="38"/>
      <c r="AR236" s="38"/>
      <c r="AS236" s="38"/>
      <c r="AT236" s="682"/>
      <c r="AU236" s="38"/>
      <c r="AV236" s="38"/>
      <c r="AW236" s="86"/>
      <c r="AX236" s="682"/>
      <c r="AY236" s="86"/>
      <c r="AZ236" s="66"/>
      <c r="BA236" s="66"/>
      <c r="BB236" s="710"/>
      <c r="BC236" s="66"/>
      <c r="BD236" s="66"/>
      <c r="BE236" s="66"/>
      <c r="BF236" s="710"/>
      <c r="BG236" s="66"/>
      <c r="BH236" s="66"/>
      <c r="BI236" s="66"/>
      <c r="BJ236" s="710"/>
      <c r="BK236" s="66"/>
      <c r="BL236" s="66"/>
      <c r="BM236" s="66"/>
      <c r="BN236" s="710"/>
      <c r="BO236" s="66"/>
      <c r="BP236" s="66"/>
      <c r="BQ236" s="66"/>
    </row>
    <row r="237" spans="1:101" hidden="1" outlineLevel="2">
      <c r="J237" s="33" t="s">
        <v>474</v>
      </c>
      <c r="K237" s="11"/>
      <c r="L237" s="11"/>
      <c r="M237" s="11"/>
      <c r="N237" s="38"/>
      <c r="O237" s="38"/>
      <c r="P237" s="38"/>
      <c r="Q237" s="198">
        <f t="shared" ref="Q237:AD237" si="299">Q231/Q$225</f>
        <v>0.10020352825873896</v>
      </c>
      <c r="R237" s="198">
        <f t="shared" si="299"/>
        <v>9.6321976149914779E-2</v>
      </c>
      <c r="S237" s="651">
        <f t="shared" si="299"/>
        <v>-1.6676955497706637E-2</v>
      </c>
      <c r="T237" s="651">
        <f t="shared" si="299"/>
        <v>7.0353422886287121E-3</v>
      </c>
      <c r="U237" s="651">
        <f t="shared" si="299"/>
        <v>-4.8409157815272755E-3</v>
      </c>
      <c r="V237" s="651">
        <f t="shared" ca="1" si="299"/>
        <v>0.33119408738076034</v>
      </c>
      <c r="W237" s="198">
        <f t="shared" ca="1" si="299"/>
        <v>0.41621820500635986</v>
      </c>
      <c r="X237" s="198">
        <f t="shared" ca="1" si="299"/>
        <v>0.42292362068821482</v>
      </c>
      <c r="Y237" s="198">
        <f t="shared" ca="1" si="299"/>
        <v>0.34447493220622266</v>
      </c>
      <c r="Z237" s="198">
        <f t="shared" ca="1" si="299"/>
        <v>0.37134009672708135</v>
      </c>
      <c r="AA237" s="198">
        <f t="shared" ca="1" si="299"/>
        <v>0.3823115452778697</v>
      </c>
      <c r="AB237" s="198">
        <f t="shared" ca="1" si="299"/>
        <v>0.41763926771233245</v>
      </c>
      <c r="AC237" s="198">
        <f t="shared" ca="1" si="299"/>
        <v>0.45430663343374178</v>
      </c>
      <c r="AD237" s="198">
        <f t="shared" ca="1" si="299"/>
        <v>0.49032139312028072</v>
      </c>
      <c r="AE237" s="11"/>
      <c r="AF237" s="11"/>
      <c r="AG237" s="95"/>
      <c r="AH237" s="38"/>
      <c r="AI237" s="38"/>
      <c r="AJ237" s="38"/>
      <c r="AK237" s="38"/>
      <c r="AL237" s="682"/>
      <c r="AM237" s="38"/>
      <c r="AN237" s="38"/>
      <c r="AO237" s="38"/>
      <c r="AP237" s="682"/>
      <c r="AQ237" s="38"/>
      <c r="AR237" s="38"/>
      <c r="AS237" s="38"/>
      <c r="AT237" s="682"/>
      <c r="AU237" s="38"/>
      <c r="AV237" s="38"/>
      <c r="AW237" s="86"/>
      <c r="AX237" s="682"/>
      <c r="AY237" s="86"/>
      <c r="AZ237" s="66"/>
      <c r="BA237" s="66"/>
      <c r="BB237" s="710"/>
      <c r="BC237" s="66"/>
      <c r="BD237" s="66"/>
      <c r="BE237" s="66"/>
      <c r="BF237" s="710"/>
      <c r="BG237" s="66"/>
      <c r="BH237" s="66"/>
      <c r="BI237" s="66"/>
      <c r="BJ237" s="710"/>
      <c r="BK237" s="66"/>
      <c r="BL237" s="66"/>
      <c r="BM237" s="66"/>
      <c r="BN237" s="710"/>
      <c r="BO237" s="66"/>
      <c r="BP237" s="66"/>
      <c r="BQ237" s="66"/>
    </row>
    <row r="238" spans="1:101" hidden="1" outlineLevel="2">
      <c r="J238" s="11"/>
      <c r="K238" s="11"/>
      <c r="L238" s="11"/>
      <c r="M238" s="11"/>
      <c r="N238" s="11"/>
      <c r="O238" s="11"/>
      <c r="P238" s="63"/>
      <c r="Q238" s="63"/>
      <c r="R238" s="63"/>
      <c r="S238" s="174"/>
      <c r="T238" s="174"/>
      <c r="U238" s="174"/>
      <c r="V238" s="174"/>
      <c r="W238" s="63"/>
      <c r="X238" s="63"/>
      <c r="Y238" s="63"/>
      <c r="Z238" s="63"/>
      <c r="AA238" s="63"/>
      <c r="AB238" s="63"/>
      <c r="AC238" s="63"/>
      <c r="AD238" s="63"/>
      <c r="AE238" s="11"/>
      <c r="AF238" s="11"/>
      <c r="AG238" s="95"/>
      <c r="AH238" s="11"/>
      <c r="AI238" s="11"/>
      <c r="AJ238" s="11"/>
      <c r="AK238" s="11"/>
      <c r="AL238" s="1719"/>
      <c r="AM238" s="29"/>
      <c r="AN238" s="29"/>
      <c r="AO238" s="29"/>
      <c r="AP238" s="1719"/>
      <c r="AQ238" s="29"/>
      <c r="AR238" s="29"/>
      <c r="AS238" s="29"/>
      <c r="AT238" s="1719"/>
      <c r="AU238" s="29"/>
      <c r="AV238" s="29"/>
      <c r="AW238" s="80"/>
      <c r="AX238" s="1719"/>
      <c r="AY238" s="80"/>
      <c r="AZ238" s="66"/>
      <c r="BA238" s="66"/>
      <c r="BB238" s="710"/>
      <c r="BC238" s="66"/>
      <c r="BD238" s="66"/>
      <c r="BE238" s="66"/>
      <c r="BF238" s="710"/>
      <c r="BG238" s="66"/>
      <c r="BH238" s="66"/>
      <c r="BI238" s="66"/>
      <c r="BJ238" s="710"/>
      <c r="BK238" s="66"/>
      <c r="BL238" s="66"/>
      <c r="BM238" s="66"/>
      <c r="BN238" s="710"/>
      <c r="BO238" s="66"/>
      <c r="BP238" s="66"/>
      <c r="BQ238" s="66"/>
    </row>
    <row r="239" spans="1:101" hidden="1" outlineLevel="2">
      <c r="A239" s="573"/>
      <c r="J239" s="193" t="s">
        <v>86</v>
      </c>
      <c r="K239" s="11"/>
      <c r="L239" s="11"/>
      <c r="M239" s="11"/>
      <c r="N239" s="11"/>
      <c r="O239" s="11"/>
      <c r="P239" s="63"/>
      <c r="Q239" s="63"/>
      <c r="R239" s="63"/>
      <c r="S239" s="174"/>
      <c r="T239" s="174"/>
      <c r="U239" s="174"/>
      <c r="V239" s="174"/>
      <c r="W239" s="63"/>
      <c r="X239" s="63"/>
      <c r="Y239" s="63"/>
      <c r="Z239" s="63"/>
      <c r="AA239" s="63"/>
      <c r="AB239" s="63"/>
      <c r="AC239" s="63"/>
      <c r="AD239" s="63"/>
      <c r="AE239" s="11"/>
      <c r="AF239" s="11"/>
      <c r="AG239" s="95"/>
      <c r="AH239" s="11"/>
      <c r="AI239" s="11"/>
      <c r="AJ239" s="11"/>
      <c r="AK239" s="11"/>
      <c r="AL239" s="1719"/>
      <c r="AM239" s="29"/>
      <c r="AN239" s="29"/>
      <c r="AO239" s="29"/>
      <c r="AP239" s="675"/>
      <c r="AQ239" s="74"/>
      <c r="AR239" s="74"/>
      <c r="AS239" s="74"/>
      <c r="AT239" s="675"/>
      <c r="AU239" s="74"/>
      <c r="AV239" s="74"/>
      <c r="AW239" s="77"/>
      <c r="AX239" s="675"/>
      <c r="AY239" s="77"/>
      <c r="AZ239" s="66"/>
      <c r="BA239" s="66"/>
      <c r="BB239" s="710"/>
      <c r="BC239" s="66"/>
      <c r="BD239" s="66"/>
      <c r="BE239" s="66"/>
      <c r="BF239" s="710"/>
      <c r="BG239" s="66"/>
      <c r="BH239" s="66"/>
      <c r="BI239" s="66"/>
      <c r="BJ239" s="710"/>
      <c r="BK239" s="66"/>
      <c r="BL239" s="66"/>
      <c r="BM239" s="66"/>
      <c r="BN239" s="710"/>
      <c r="BO239" s="66"/>
      <c r="BP239" s="66"/>
      <c r="BQ239" s="66"/>
    </row>
    <row r="240" spans="1:101" hidden="1" outlineLevel="2">
      <c r="A240" s="573"/>
      <c r="J240" s="33" t="s">
        <v>537</v>
      </c>
      <c r="K240" s="11"/>
      <c r="L240" s="11"/>
      <c r="M240" s="11"/>
      <c r="N240" s="11"/>
      <c r="O240" s="11"/>
      <c r="P240" s="63"/>
      <c r="Q240" s="707">
        <v>0.27</v>
      </c>
      <c r="R240" s="707">
        <v>0.27</v>
      </c>
      <c r="S240" s="708">
        <v>0.26</v>
      </c>
      <c r="T240" s="708">
        <v>0.25</v>
      </c>
      <c r="U240" s="708">
        <v>0.25</v>
      </c>
      <c r="V240" s="708">
        <v>0.25</v>
      </c>
      <c r="W240" s="708">
        <v>0.25</v>
      </c>
      <c r="X240" s="708">
        <v>0.25</v>
      </c>
      <c r="Y240" s="708">
        <v>0.25</v>
      </c>
      <c r="Z240" s="708">
        <v>0.25</v>
      </c>
      <c r="AA240" s="708">
        <v>0.25</v>
      </c>
      <c r="AB240" s="708">
        <v>0.25</v>
      </c>
      <c r="AC240" s="708">
        <v>0.25</v>
      </c>
      <c r="AD240" s="708">
        <v>0.25</v>
      </c>
      <c r="AE240" s="11"/>
      <c r="AF240" s="11"/>
      <c r="AG240" s="95"/>
      <c r="AH240" s="11"/>
      <c r="AI240" s="11"/>
      <c r="AJ240" s="11"/>
      <c r="AK240" s="11"/>
      <c r="AL240" s="1719"/>
      <c r="AM240" s="29"/>
      <c r="AN240" s="29"/>
      <c r="AO240" s="29"/>
      <c r="AP240" s="675"/>
      <c r="AQ240" s="74"/>
      <c r="AR240" s="74"/>
      <c r="AS240" s="74"/>
      <c r="AT240" s="1682"/>
      <c r="AU240" s="708"/>
      <c r="AV240" s="708"/>
      <c r="AW240" s="708"/>
      <c r="AX240" s="1681">
        <v>0.28000000000000003</v>
      </c>
      <c r="AY240" s="515">
        <v>0.28000000000000003</v>
      </c>
      <c r="AZ240" s="515">
        <v>0.28000000000000003</v>
      </c>
      <c r="BA240" s="515">
        <v>0.28000000000000003</v>
      </c>
      <c r="BB240" s="1681">
        <v>0.28000000000000003</v>
      </c>
      <c r="BC240" s="515">
        <v>0.27</v>
      </c>
      <c r="BD240" s="515">
        <v>0.26</v>
      </c>
      <c r="BE240" s="515">
        <v>0.25</v>
      </c>
      <c r="BF240" s="1681">
        <v>0.28000000000000003</v>
      </c>
      <c r="BG240" s="613">
        <f>BF240</f>
        <v>0.28000000000000003</v>
      </c>
      <c r="BH240" s="613">
        <f t="shared" ref="BH240:BM240" si="300">BG240</f>
        <v>0.28000000000000003</v>
      </c>
      <c r="BI240" s="613">
        <f t="shared" si="300"/>
        <v>0.28000000000000003</v>
      </c>
      <c r="BJ240" s="976">
        <v>0.3</v>
      </c>
      <c r="BK240" s="613">
        <f t="shared" si="300"/>
        <v>0.3</v>
      </c>
      <c r="BL240" s="613">
        <f t="shared" si="300"/>
        <v>0.3</v>
      </c>
      <c r="BM240" s="613">
        <f t="shared" si="300"/>
        <v>0.3</v>
      </c>
      <c r="BN240" s="976">
        <v>0.3</v>
      </c>
      <c r="BO240" s="613">
        <f>BN240</f>
        <v>0.3</v>
      </c>
      <c r="BP240" s="613">
        <f>BO240</f>
        <v>0.3</v>
      </c>
      <c r="BQ240" s="613">
        <f>BP240</f>
        <v>0.3</v>
      </c>
    </row>
    <row r="241" spans="1:101" hidden="1" outlineLevel="2">
      <c r="A241" s="573"/>
      <c r="J241" s="33"/>
      <c r="K241" s="11"/>
      <c r="L241" s="11"/>
      <c r="M241" s="11"/>
      <c r="N241" s="11"/>
      <c r="O241" s="11"/>
      <c r="P241" s="63"/>
      <c r="Q241" s="707"/>
      <c r="R241" s="707"/>
      <c r="S241" s="708"/>
      <c r="T241" s="708"/>
      <c r="U241" s="708"/>
      <c r="V241" s="708"/>
      <c r="W241" s="708"/>
      <c r="X241" s="708"/>
      <c r="Y241" s="708"/>
      <c r="Z241" s="708"/>
      <c r="AA241" s="708"/>
      <c r="AB241" s="708"/>
      <c r="AC241" s="708"/>
      <c r="AD241" s="708"/>
      <c r="AE241" s="11"/>
      <c r="AF241" s="11"/>
      <c r="AG241" s="95"/>
      <c r="AH241" s="11"/>
      <c r="AI241" s="11"/>
      <c r="AJ241" s="11"/>
      <c r="AK241" s="11"/>
      <c r="AL241" s="1719"/>
      <c r="AM241" s="29"/>
      <c r="AN241" s="29"/>
      <c r="AO241" s="29"/>
      <c r="AP241" s="675"/>
      <c r="AQ241" s="74"/>
      <c r="AR241" s="74"/>
      <c r="AS241" s="74"/>
      <c r="AT241" s="1682"/>
      <c r="AU241" s="708"/>
      <c r="AV241" s="708"/>
      <c r="AW241" s="708"/>
      <c r="AX241" s="1682"/>
      <c r="AY241" s="708"/>
      <c r="AZ241" s="708"/>
      <c r="BA241" s="708"/>
      <c r="BB241" s="1682"/>
      <c r="BC241" s="708"/>
      <c r="BD241" s="708"/>
      <c r="BE241" s="708"/>
      <c r="BF241" s="1682"/>
      <c r="BG241" s="774"/>
      <c r="BH241" s="774"/>
      <c r="BI241" s="774"/>
      <c r="BJ241" s="818"/>
      <c r="BK241" s="774"/>
      <c r="BL241" s="774"/>
      <c r="BM241" s="774"/>
      <c r="BN241" s="818"/>
      <c r="BO241" s="774"/>
      <c r="BP241" s="774"/>
      <c r="BQ241" s="774"/>
    </row>
    <row r="242" spans="1:101" s="381" customFormat="1" hidden="1" outlineLevel="2">
      <c r="A242" s="573"/>
      <c r="H242" s="579"/>
      <c r="I242" s="579"/>
      <c r="J242" s="316" t="s">
        <v>111</v>
      </c>
      <c r="K242" s="19"/>
      <c r="L242" s="19"/>
      <c r="M242" s="19"/>
      <c r="N242" s="19"/>
      <c r="O242" s="19"/>
      <c r="P242" s="4"/>
      <c r="Q242" s="6">
        <f t="shared" ref="Q242:AD242" si="301">Q75</f>
        <v>73300</v>
      </c>
      <c r="R242" s="6">
        <f t="shared" si="301"/>
        <v>125500</v>
      </c>
      <c r="S242" s="6">
        <f t="shared" si="301"/>
        <v>260200</v>
      </c>
      <c r="T242" s="6">
        <f t="shared" si="301"/>
        <v>462700</v>
      </c>
      <c r="U242" s="6">
        <f t="shared" si="301"/>
        <v>658200</v>
      </c>
      <c r="V242" s="6">
        <f t="shared" si="301"/>
        <v>906080</v>
      </c>
      <c r="W242" s="6">
        <f t="shared" si="301"/>
        <v>1188301.2679999997</v>
      </c>
      <c r="X242" s="6">
        <f t="shared" si="301"/>
        <v>1482019.6339178996</v>
      </c>
      <c r="Y242" s="6">
        <f t="shared" si="301"/>
        <v>1779312.7724818301</v>
      </c>
      <c r="Z242" s="6">
        <f t="shared" si="301"/>
        <v>2025747.5914705636</v>
      </c>
      <c r="AA242" s="6">
        <f t="shared" si="301"/>
        <v>2180514.7074589147</v>
      </c>
      <c r="AB242" s="6">
        <f t="shared" si="301"/>
        <v>2347106.0311087756</v>
      </c>
      <c r="AC242" s="6">
        <f t="shared" si="301"/>
        <v>2526424.931885486</v>
      </c>
      <c r="AD242" s="6">
        <f t="shared" si="301"/>
        <v>2719443.7966815373</v>
      </c>
      <c r="AE242" s="19"/>
      <c r="AF242" s="19"/>
      <c r="AG242" s="101"/>
      <c r="AH242" s="19"/>
      <c r="AI242" s="19"/>
      <c r="AJ242" s="19"/>
      <c r="AK242" s="19"/>
      <c r="AL242" s="1776"/>
      <c r="AM242" s="771"/>
      <c r="AN242" s="771"/>
      <c r="AO242" s="771"/>
      <c r="AP242" s="676"/>
      <c r="AQ242" s="464"/>
      <c r="AR242" s="464"/>
      <c r="AS242" s="464"/>
      <c r="AT242" s="1737"/>
      <c r="AU242" s="772"/>
      <c r="AV242" s="772"/>
      <c r="AW242" s="772"/>
      <c r="AX242" s="975">
        <f t="shared" ref="AX242:BQ242" si="302">AX75</f>
        <v>44100</v>
      </c>
      <c r="AY242" s="974">
        <f t="shared" si="302"/>
        <v>63000</v>
      </c>
      <c r="AZ242" s="974">
        <f t="shared" si="302"/>
        <v>67300</v>
      </c>
      <c r="BA242" s="974">
        <f t="shared" si="302"/>
        <v>85800</v>
      </c>
      <c r="BB242" s="975">
        <f t="shared" si="302"/>
        <v>87800</v>
      </c>
      <c r="BC242" s="974">
        <f t="shared" si="302"/>
        <v>114500</v>
      </c>
      <c r="BD242" s="974">
        <f t="shared" si="302"/>
        <v>115000</v>
      </c>
      <c r="BE242" s="974">
        <f t="shared" si="302"/>
        <v>145300</v>
      </c>
      <c r="BF242" s="975">
        <f t="shared" si="302"/>
        <v>129300</v>
      </c>
      <c r="BG242" s="974">
        <f t="shared" si="302"/>
        <v>160400</v>
      </c>
      <c r="BH242" s="974">
        <f t="shared" si="302"/>
        <v>158800</v>
      </c>
      <c r="BI242" s="974">
        <f t="shared" si="302"/>
        <v>209700</v>
      </c>
      <c r="BJ242" s="975">
        <f t="shared" si="302"/>
        <v>184100</v>
      </c>
      <c r="BK242" s="974">
        <f t="shared" si="302"/>
        <v>234800</v>
      </c>
      <c r="BL242" s="974">
        <f t="shared" si="302"/>
        <v>212816.61487291247</v>
      </c>
      <c r="BM242" s="974">
        <f t="shared" si="302"/>
        <v>274363.38512708759</v>
      </c>
      <c r="BN242" s="975">
        <f t="shared" si="302"/>
        <v>239323.87537519995</v>
      </c>
      <c r="BO242" s="974">
        <f t="shared" si="302"/>
        <v>303848.63422759995</v>
      </c>
      <c r="BP242" s="974">
        <f t="shared" si="302"/>
        <v>266535.97441239993</v>
      </c>
      <c r="BQ242" s="974">
        <f t="shared" si="302"/>
        <v>378592.78398479993</v>
      </c>
      <c r="BR242" s="580"/>
      <c r="CR242"/>
      <c r="CS242"/>
      <c r="CT242"/>
      <c r="CU242"/>
      <c r="CV242"/>
      <c r="CW242"/>
    </row>
    <row r="243" spans="1:101" hidden="1" outlineLevel="2">
      <c r="A243" s="573"/>
      <c r="J243" s="186" t="s">
        <v>287</v>
      </c>
      <c r="K243" s="11"/>
      <c r="L243" s="11"/>
      <c r="M243" s="11"/>
      <c r="N243" s="11"/>
      <c r="O243" s="11"/>
      <c r="P243" s="63"/>
      <c r="Q243" s="40">
        <f t="shared" ref="Q243:AD243" si="303">Q76</f>
        <v>56700</v>
      </c>
      <c r="R243" s="40">
        <f t="shared" si="303"/>
        <v>93705.882352941175</v>
      </c>
      <c r="S243" s="40">
        <f t="shared" si="303"/>
        <v>159300</v>
      </c>
      <c r="T243" s="40">
        <f t="shared" si="303"/>
        <v>255600</v>
      </c>
      <c r="U243" s="40">
        <f t="shared" si="303"/>
        <v>372300</v>
      </c>
      <c r="V243" s="40">
        <f t="shared" si="303"/>
        <v>527338.56000000006</v>
      </c>
      <c r="W243" s="40">
        <f t="shared" si="303"/>
        <v>677331.72275999992</v>
      </c>
      <c r="X243" s="40">
        <f t="shared" si="303"/>
        <v>837341.09316361323</v>
      </c>
      <c r="Y243" s="40">
        <f t="shared" si="303"/>
        <v>996415.15258982498</v>
      </c>
      <c r="Z243" s="40">
        <f t="shared" si="303"/>
        <v>1114161.1753088101</v>
      </c>
      <c r="AA243" s="40">
        <f t="shared" si="303"/>
        <v>1199283.0891024033</v>
      </c>
      <c r="AB243" s="40">
        <f t="shared" si="303"/>
        <v>1290908.3171098267</v>
      </c>
      <c r="AC243" s="40">
        <f t="shared" si="303"/>
        <v>1389533.7125370174</v>
      </c>
      <c r="AD243" s="40">
        <f t="shared" si="303"/>
        <v>1495694.0881748456</v>
      </c>
      <c r="AE243" s="11"/>
      <c r="AF243" s="11"/>
      <c r="AG243" s="95"/>
      <c r="AH243" s="11"/>
      <c r="AI243" s="11"/>
      <c r="AJ243" s="11"/>
      <c r="AK243" s="11"/>
      <c r="AL243" s="1719"/>
      <c r="AM243" s="29"/>
      <c r="AN243" s="29"/>
      <c r="AO243" s="29"/>
      <c r="AP243" s="675"/>
      <c r="AQ243" s="74"/>
      <c r="AR243" s="74"/>
      <c r="AS243" s="74"/>
      <c r="AT243" s="1738"/>
      <c r="AU243" s="773"/>
      <c r="AV243" s="773"/>
      <c r="AW243" s="773"/>
      <c r="AX243" s="787">
        <f t="shared" ref="AX243:BQ243" si="304">AX76</f>
        <v>31200</v>
      </c>
      <c r="AY243" s="784">
        <f t="shared" si="304"/>
        <v>39200</v>
      </c>
      <c r="AZ243" s="784">
        <f t="shared" si="304"/>
        <v>40500</v>
      </c>
      <c r="BA243" s="784">
        <f t="shared" si="304"/>
        <v>48400</v>
      </c>
      <c r="BB243" s="787">
        <f t="shared" si="304"/>
        <v>50900</v>
      </c>
      <c r="BC243" s="784">
        <f t="shared" si="304"/>
        <v>64700</v>
      </c>
      <c r="BD243" s="784">
        <f t="shared" si="304"/>
        <v>61300</v>
      </c>
      <c r="BE243" s="784">
        <f t="shared" si="304"/>
        <v>78700</v>
      </c>
      <c r="BF243" s="787">
        <f t="shared" si="304"/>
        <v>76200</v>
      </c>
      <c r="BG243" s="784">
        <f t="shared" si="304"/>
        <v>94700</v>
      </c>
      <c r="BH243" s="784">
        <f t="shared" si="304"/>
        <v>86800</v>
      </c>
      <c r="BI243" s="784">
        <f t="shared" si="304"/>
        <v>114700</v>
      </c>
      <c r="BJ243" s="787">
        <f t="shared" si="304"/>
        <v>107900</v>
      </c>
      <c r="BK243" s="784">
        <f t="shared" si="304"/>
        <v>136600</v>
      </c>
      <c r="BL243" s="784">
        <f t="shared" si="304"/>
        <v>121287.86880000001</v>
      </c>
      <c r="BM243" s="784">
        <f t="shared" si="304"/>
        <v>161550.69120000006</v>
      </c>
      <c r="BN243" s="787">
        <f t="shared" si="304"/>
        <v>142239.66177959996</v>
      </c>
      <c r="BO243" s="784">
        <f t="shared" si="304"/>
        <v>176106.24791759998</v>
      </c>
      <c r="BP243" s="784">
        <f t="shared" si="304"/>
        <v>149012.97900719999</v>
      </c>
      <c r="BQ243" s="784">
        <f t="shared" si="304"/>
        <v>209972.83405559999</v>
      </c>
    </row>
    <row r="244" spans="1:101" hidden="1" outlineLevel="2">
      <c r="A244" s="573"/>
      <c r="J244" s="186" t="s">
        <v>288</v>
      </c>
      <c r="K244" s="11"/>
      <c r="L244" s="11"/>
      <c r="M244" s="11"/>
      <c r="N244" s="11"/>
      <c r="O244" s="11"/>
      <c r="P244" s="63"/>
      <c r="Q244" s="40">
        <f t="shared" ref="Q244:AD244" si="305">Q77</f>
        <v>16600</v>
      </c>
      <c r="R244" s="40">
        <f t="shared" si="305"/>
        <v>31829.652996845427</v>
      </c>
      <c r="S244" s="40">
        <f t="shared" si="305"/>
        <v>100900</v>
      </c>
      <c r="T244" s="40">
        <f t="shared" si="305"/>
        <v>207100</v>
      </c>
      <c r="U244" s="40">
        <f t="shared" si="305"/>
        <v>285900</v>
      </c>
      <c r="V244" s="40">
        <f t="shared" si="305"/>
        <v>378741.44</v>
      </c>
      <c r="W244" s="40">
        <f t="shared" si="305"/>
        <v>510969.54523999983</v>
      </c>
      <c r="X244" s="40">
        <f t="shared" si="305"/>
        <v>644678.54075428634</v>
      </c>
      <c r="Y244" s="40">
        <f t="shared" si="305"/>
        <v>782897.61989200523</v>
      </c>
      <c r="Z244" s="40">
        <f t="shared" si="305"/>
        <v>911586.41616175359</v>
      </c>
      <c r="AA244" s="40">
        <f t="shared" si="305"/>
        <v>981231.6183565117</v>
      </c>
      <c r="AB244" s="40">
        <f t="shared" si="305"/>
        <v>1056197.7139989492</v>
      </c>
      <c r="AC244" s="40">
        <f t="shared" si="305"/>
        <v>1136891.2193484688</v>
      </c>
      <c r="AD244" s="40">
        <f t="shared" si="305"/>
        <v>1223749.7085066917</v>
      </c>
      <c r="AE244" s="11"/>
      <c r="AF244" s="11"/>
      <c r="AG244" s="95"/>
      <c r="AH244" s="11"/>
      <c r="AI244" s="11"/>
      <c r="AJ244" s="11"/>
      <c r="AK244" s="11"/>
      <c r="AL244" s="1719"/>
      <c r="AM244" s="29"/>
      <c r="AN244" s="29"/>
      <c r="AO244" s="29"/>
      <c r="AP244" s="675"/>
      <c r="AQ244" s="74"/>
      <c r="AR244" s="74"/>
      <c r="AS244" s="74"/>
      <c r="AT244" s="1738"/>
      <c r="AU244" s="773"/>
      <c r="AV244" s="773"/>
      <c r="AW244" s="773"/>
      <c r="AX244" s="787">
        <f t="shared" ref="AX244:BQ244" si="306">AX77</f>
        <v>12900</v>
      </c>
      <c r="AY244" s="784">
        <f t="shared" si="306"/>
        <v>23800</v>
      </c>
      <c r="AZ244" s="784">
        <f t="shared" si="306"/>
        <v>26800</v>
      </c>
      <c r="BA244" s="784">
        <f t="shared" si="306"/>
        <v>37400</v>
      </c>
      <c r="BB244" s="787">
        <f t="shared" si="306"/>
        <v>36900</v>
      </c>
      <c r="BC244" s="784">
        <f t="shared" si="306"/>
        <v>49800</v>
      </c>
      <c r="BD244" s="784">
        <f t="shared" si="306"/>
        <v>53700</v>
      </c>
      <c r="BE244" s="784">
        <f t="shared" si="306"/>
        <v>66700</v>
      </c>
      <c r="BF244" s="787">
        <f t="shared" si="306"/>
        <v>53100</v>
      </c>
      <c r="BG244" s="784">
        <f t="shared" si="306"/>
        <v>65700</v>
      </c>
      <c r="BH244" s="784">
        <f t="shared" si="306"/>
        <v>72000</v>
      </c>
      <c r="BI244" s="784">
        <f t="shared" si="306"/>
        <v>95000</v>
      </c>
      <c r="BJ244" s="787">
        <f t="shared" si="306"/>
        <v>76200</v>
      </c>
      <c r="BK244" s="784">
        <f t="shared" si="306"/>
        <v>98200</v>
      </c>
      <c r="BL244" s="784">
        <f t="shared" si="306"/>
        <v>91528.746072912458</v>
      </c>
      <c r="BM244" s="784">
        <f t="shared" si="306"/>
        <v>112812.69392708753</v>
      </c>
      <c r="BN244" s="787">
        <f t="shared" si="306"/>
        <v>97084.213595599969</v>
      </c>
      <c r="BO244" s="784">
        <f t="shared" si="306"/>
        <v>127742.38630999996</v>
      </c>
      <c r="BP244" s="784">
        <f t="shared" si="306"/>
        <v>117522.99540519997</v>
      </c>
      <c r="BQ244" s="784">
        <f t="shared" si="306"/>
        <v>168619.94992919994</v>
      </c>
    </row>
    <row r="245" spans="1:101" s="381" customFormat="1" hidden="1" outlineLevel="2">
      <c r="A245" s="573"/>
      <c r="H245" s="579"/>
      <c r="I245" s="579"/>
      <c r="J245" s="316" t="s">
        <v>538</v>
      </c>
      <c r="K245" s="19"/>
      <c r="L245" s="19"/>
      <c r="M245" s="19"/>
      <c r="N245" s="19"/>
      <c r="O245" s="19"/>
      <c r="P245" s="4"/>
      <c r="Q245" s="6">
        <f>Q242/Q248</f>
        <v>378.22497420020636</v>
      </c>
      <c r="R245" s="6">
        <f>R242/R248</f>
        <v>388.18434890194862</v>
      </c>
      <c r="S245" s="6">
        <f t="shared" ref="S245:AD245" si="307">S242/S248</f>
        <v>377.64876632801162</v>
      </c>
      <c r="T245" s="6">
        <f t="shared" si="307"/>
        <v>366.32095637716731</v>
      </c>
      <c r="U245" s="460">
        <f t="shared" si="307"/>
        <v>413.10487667106008</v>
      </c>
      <c r="V245" s="460">
        <f t="shared" si="307"/>
        <v>413.10487667106003</v>
      </c>
      <c r="W245" s="6">
        <f t="shared" si="307"/>
        <v>417.23592543777062</v>
      </c>
      <c r="X245" s="6">
        <f t="shared" si="307"/>
        <v>421.40828469214836</v>
      </c>
      <c r="Y245" s="6">
        <f t="shared" si="307"/>
        <v>425.6223675390699</v>
      </c>
      <c r="Z245" s="6">
        <f t="shared" si="307"/>
        <v>429.87859121446058</v>
      </c>
      <c r="AA245" s="6">
        <f t="shared" si="307"/>
        <v>434.17737712660522</v>
      </c>
      <c r="AB245" s="6">
        <f t="shared" si="307"/>
        <v>438.51915089787121</v>
      </c>
      <c r="AC245" s="6">
        <f t="shared" si="307"/>
        <v>442.90434240684999</v>
      </c>
      <c r="AD245" s="6">
        <f t="shared" si="307"/>
        <v>447.33338583091853</v>
      </c>
      <c r="AE245" s="19"/>
      <c r="AF245" s="19"/>
      <c r="AG245" s="101"/>
      <c r="AH245" s="19"/>
      <c r="AI245" s="19"/>
      <c r="AJ245" s="19"/>
      <c r="AK245" s="19"/>
      <c r="AL245" s="1776"/>
      <c r="AM245" s="771"/>
      <c r="AN245" s="771"/>
      <c r="AO245" s="771"/>
      <c r="AP245" s="676"/>
      <c r="AQ245" s="464"/>
      <c r="AR245" s="464"/>
      <c r="AS245" s="464"/>
      <c r="AT245" s="1739"/>
      <c r="AU245" s="10"/>
      <c r="AV245" s="10"/>
      <c r="AW245" s="10"/>
      <c r="AX245" s="958">
        <f t="shared" ref="AX245:BF245" si="308">AX242/AX248</f>
        <v>341.06728538283062</v>
      </c>
      <c r="AY245" s="957">
        <f t="shared" si="308"/>
        <v>384.85033598045209</v>
      </c>
      <c r="AZ245" s="957">
        <f t="shared" si="308"/>
        <v>377.66554433221103</v>
      </c>
      <c r="BA245" s="957">
        <f t="shared" si="308"/>
        <v>393.93939393939394</v>
      </c>
      <c r="BB245" s="958">
        <f t="shared" si="308"/>
        <v>386.44366197183098</v>
      </c>
      <c r="BC245" s="957">
        <f t="shared" si="308"/>
        <v>374.6727748691099</v>
      </c>
      <c r="BD245" s="957">
        <f t="shared" si="308"/>
        <v>348.80194115862906</v>
      </c>
      <c r="BE245" s="957">
        <f t="shared" si="308"/>
        <v>347.77405457156533</v>
      </c>
      <c r="BF245" s="958">
        <f t="shared" si="308"/>
        <v>377.95966091786028</v>
      </c>
      <c r="BG245" s="957">
        <f t="shared" ref="BG245:BM245" si="309">BG242/BG248</f>
        <v>382.90761518262116</v>
      </c>
      <c r="BH245" s="957">
        <f t="shared" si="309"/>
        <v>348.09294169224023</v>
      </c>
      <c r="BI245" s="957">
        <f t="shared" si="309"/>
        <v>375.67180222142599</v>
      </c>
      <c r="BJ245" s="958">
        <f t="shared" si="309"/>
        <v>385.8729826032278</v>
      </c>
      <c r="BK245" s="957">
        <f t="shared" si="309"/>
        <v>413.10487667106003</v>
      </c>
      <c r="BL245" s="957">
        <f t="shared" si="309"/>
        <v>413.10487667106003</v>
      </c>
      <c r="BM245" s="957">
        <f t="shared" si="309"/>
        <v>413.10487667106008</v>
      </c>
      <c r="BN245" s="958">
        <f>BN242/BN248</f>
        <v>417.23592543777067</v>
      </c>
      <c r="BO245" s="957">
        <f>BO242/BO248</f>
        <v>417.23592543777056</v>
      </c>
      <c r="BP245" s="957">
        <f>BP242/BP248</f>
        <v>417.23592543777067</v>
      </c>
      <c r="BQ245" s="957">
        <f>BQ242/BQ248</f>
        <v>417.23592543777067</v>
      </c>
      <c r="BR245" s="580"/>
      <c r="CR245"/>
      <c r="CS245"/>
      <c r="CT245"/>
      <c r="CU245"/>
      <c r="CV245"/>
      <c r="CW245"/>
    </row>
    <row r="246" spans="1:101" hidden="1" outlineLevel="2">
      <c r="A246" s="573"/>
      <c r="J246" s="186" t="s">
        <v>287</v>
      </c>
      <c r="K246" s="11"/>
      <c r="L246" s="11"/>
      <c r="M246" s="11"/>
      <c r="N246" s="11"/>
      <c r="O246" s="11"/>
      <c r="P246" s="63"/>
      <c r="Q246" s="509">
        <f t="shared" ref="Q246:V246" si="310">600*0.75+50*0.25</f>
        <v>462.5</v>
      </c>
      <c r="R246" s="509">
        <f t="shared" si="310"/>
        <v>462.5</v>
      </c>
      <c r="S246" s="509">
        <f t="shared" si="310"/>
        <v>462.5</v>
      </c>
      <c r="T246" s="509">
        <f t="shared" si="310"/>
        <v>462.5</v>
      </c>
      <c r="U246" s="509">
        <f t="shared" si="310"/>
        <v>462.5</v>
      </c>
      <c r="V246" s="509">
        <f t="shared" si="310"/>
        <v>462.5</v>
      </c>
      <c r="W246" s="934">
        <f t="shared" ref="W246:AD246" si="311">V246</f>
        <v>462.5</v>
      </c>
      <c r="X246" s="934">
        <f t="shared" si="311"/>
        <v>462.5</v>
      </c>
      <c r="Y246" s="934">
        <f t="shared" si="311"/>
        <v>462.5</v>
      </c>
      <c r="Z246" s="934">
        <f t="shared" si="311"/>
        <v>462.5</v>
      </c>
      <c r="AA246" s="934">
        <f t="shared" si="311"/>
        <v>462.5</v>
      </c>
      <c r="AB246" s="934">
        <f t="shared" si="311"/>
        <v>462.5</v>
      </c>
      <c r="AC246" s="934">
        <f t="shared" si="311"/>
        <v>462.5</v>
      </c>
      <c r="AD246" s="934">
        <f t="shared" si="311"/>
        <v>462.5</v>
      </c>
      <c r="AE246" s="11"/>
      <c r="AF246" s="11"/>
      <c r="AG246" s="95"/>
      <c r="AH246" s="11"/>
      <c r="AI246" s="11"/>
      <c r="AJ246" s="11"/>
      <c r="AK246" s="11"/>
      <c r="AL246" s="1719"/>
      <c r="AM246" s="29"/>
      <c r="AN246" s="29"/>
      <c r="AO246" s="29"/>
      <c r="AP246" s="675"/>
      <c r="AQ246" s="74"/>
      <c r="AR246" s="74"/>
      <c r="AS246" s="74"/>
      <c r="AT246" s="1740"/>
      <c r="AU246" s="955"/>
      <c r="AV246" s="955"/>
      <c r="AW246" s="955"/>
      <c r="AX246" s="962">
        <f t="shared" ref="AX246:BQ246" si="312">600*0.75+50*0.25</f>
        <v>462.5</v>
      </c>
      <c r="AY246" s="961">
        <f t="shared" si="312"/>
        <v>462.5</v>
      </c>
      <c r="AZ246" s="961">
        <f t="shared" si="312"/>
        <v>462.5</v>
      </c>
      <c r="BA246" s="961">
        <f t="shared" si="312"/>
        <v>462.5</v>
      </c>
      <c r="BB246" s="962">
        <f t="shared" si="312"/>
        <v>462.5</v>
      </c>
      <c r="BC246" s="961">
        <f t="shared" si="312"/>
        <v>462.5</v>
      </c>
      <c r="BD246" s="961">
        <f t="shared" si="312"/>
        <v>462.5</v>
      </c>
      <c r="BE246" s="961">
        <f t="shared" si="312"/>
        <v>462.5</v>
      </c>
      <c r="BF246" s="962">
        <f t="shared" si="312"/>
        <v>462.5</v>
      </c>
      <c r="BG246" s="961">
        <f t="shared" si="312"/>
        <v>462.5</v>
      </c>
      <c r="BH246" s="961">
        <f t="shared" si="312"/>
        <v>462.5</v>
      </c>
      <c r="BI246" s="961">
        <f t="shared" si="312"/>
        <v>462.5</v>
      </c>
      <c r="BJ246" s="962">
        <f t="shared" si="312"/>
        <v>462.5</v>
      </c>
      <c r="BK246" s="961">
        <f t="shared" si="312"/>
        <v>462.5</v>
      </c>
      <c r="BL246" s="961">
        <f t="shared" si="312"/>
        <v>462.5</v>
      </c>
      <c r="BM246" s="961">
        <f t="shared" si="312"/>
        <v>462.5</v>
      </c>
      <c r="BN246" s="962">
        <f t="shared" si="312"/>
        <v>462.5</v>
      </c>
      <c r="BO246" s="961">
        <f t="shared" si="312"/>
        <v>462.5</v>
      </c>
      <c r="BP246" s="961">
        <f t="shared" si="312"/>
        <v>462.5</v>
      </c>
      <c r="BQ246" s="961">
        <f t="shared" si="312"/>
        <v>462.5</v>
      </c>
    </row>
    <row r="247" spans="1:101" hidden="1" outlineLevel="2">
      <c r="A247" s="573"/>
      <c r="J247" s="186" t="s">
        <v>288</v>
      </c>
      <c r="K247" s="11"/>
      <c r="L247" s="11"/>
      <c r="M247" s="11"/>
      <c r="N247" s="11"/>
      <c r="O247" s="11"/>
      <c r="P247" s="63"/>
      <c r="Q247" s="91">
        <f t="shared" ref="Q247:AD247" si="313">Q244/Q250</f>
        <v>233.1283686328095</v>
      </c>
      <c r="R247" s="91">
        <f t="shared" si="313"/>
        <v>263.72478597991949</v>
      </c>
      <c r="S247" s="91">
        <f t="shared" si="313"/>
        <v>292.83081025962821</v>
      </c>
      <c r="T247" s="91">
        <f t="shared" si="313"/>
        <v>291.50482943846129</v>
      </c>
      <c r="U247" s="91">
        <f t="shared" si="313"/>
        <v>362.66674894833744</v>
      </c>
      <c r="V247" s="91">
        <f t="shared" si="313"/>
        <v>359.62730286125628</v>
      </c>
      <c r="W247" s="91">
        <f t="shared" si="313"/>
        <v>369.3228071663338</v>
      </c>
      <c r="X247" s="91">
        <f t="shared" si="313"/>
        <v>377.80948066437213</v>
      </c>
      <c r="Y247" s="91">
        <f t="shared" si="313"/>
        <v>386.40902145204376</v>
      </c>
      <c r="Z247" s="91">
        <f t="shared" si="313"/>
        <v>395.76130487542474</v>
      </c>
      <c r="AA247" s="91">
        <f t="shared" si="313"/>
        <v>403.94358493430821</v>
      </c>
      <c r="AB247" s="91">
        <f t="shared" si="313"/>
        <v>412.38514370628428</v>
      </c>
      <c r="AC247" s="91">
        <f t="shared" si="313"/>
        <v>421.09806528833724</v>
      </c>
      <c r="AD247" s="91">
        <f t="shared" si="313"/>
        <v>430.09519561666531</v>
      </c>
      <c r="AE247" s="11"/>
      <c r="AF247" s="11"/>
      <c r="AG247" s="95"/>
      <c r="AH247" s="11"/>
      <c r="AI247" s="11"/>
      <c r="AJ247" s="11"/>
      <c r="AK247" s="11"/>
      <c r="AL247" s="1719"/>
      <c r="AM247" s="29"/>
      <c r="AN247" s="29"/>
      <c r="AO247" s="29"/>
      <c r="AP247" s="675"/>
      <c r="AQ247" s="74"/>
      <c r="AR247" s="74"/>
      <c r="AS247" s="74"/>
      <c r="AT247" s="1652"/>
      <c r="AU247" s="299"/>
      <c r="AV247" s="299"/>
      <c r="AW247" s="299"/>
      <c r="AX247" s="960">
        <f t="shared" ref="AX247:BE247" si="314">AX244/AX250</f>
        <v>208.60102268257501</v>
      </c>
      <c r="AY247" s="959">
        <f t="shared" si="314"/>
        <v>301.48241980211583</v>
      </c>
      <c r="AZ247" s="959">
        <f t="shared" si="314"/>
        <v>295.69988668217337</v>
      </c>
      <c r="BA247" s="959">
        <f t="shared" si="314"/>
        <v>330.53074093536515</v>
      </c>
      <c r="BB247" s="960">
        <f t="shared" si="314"/>
        <v>314.99169435215947</v>
      </c>
      <c r="BC247" s="959">
        <f t="shared" si="314"/>
        <v>300.52844467640915</v>
      </c>
      <c r="BD247" s="959">
        <f t="shared" si="314"/>
        <v>272.36836694128777</v>
      </c>
      <c r="BE247" s="959">
        <f t="shared" si="314"/>
        <v>269.34494575775432</v>
      </c>
      <c r="BF247" s="960">
        <f>BF244/BF250</f>
        <v>299.41935778837797</v>
      </c>
      <c r="BG247" s="959">
        <f t="shared" ref="BG247:BM247" si="315">BG244/BG250</f>
        <v>306.80398318882283</v>
      </c>
      <c r="BH247" s="959">
        <f t="shared" si="315"/>
        <v>268.13213358294587</v>
      </c>
      <c r="BI247" s="959">
        <f t="shared" si="315"/>
        <v>306.25402965828494</v>
      </c>
      <c r="BJ247" s="960">
        <f t="shared" si="315"/>
        <v>312.54780671123081</v>
      </c>
      <c r="BK247" s="959">
        <f t="shared" si="315"/>
        <v>359.67096922985928</v>
      </c>
      <c r="BL247" s="959">
        <f>BL244/BL250</f>
        <v>361.88869412472536</v>
      </c>
      <c r="BM247" s="959">
        <f t="shared" si="315"/>
        <v>358.30538579545072</v>
      </c>
      <c r="BN247" s="960">
        <f>BN244/BN250</f>
        <v>364.91180723166912</v>
      </c>
      <c r="BO247" s="959">
        <f>BO244/BO250</f>
        <v>367.63412255213359</v>
      </c>
      <c r="BP247" s="959">
        <f>BP244/BP250</f>
        <v>371.17601792606047</v>
      </c>
      <c r="BQ247" s="959">
        <f>BQ244/BQ250</f>
        <v>371.91118718679382</v>
      </c>
    </row>
    <row r="248" spans="1:101" s="381" customFormat="1" hidden="1" outlineLevel="2">
      <c r="A248" s="573"/>
      <c r="H248" s="579"/>
      <c r="I248" s="579"/>
      <c r="J248" s="316" t="s">
        <v>367</v>
      </c>
      <c r="K248" s="19"/>
      <c r="L248" s="19"/>
      <c r="M248" s="19"/>
      <c r="N248" s="19"/>
      <c r="O248" s="19"/>
      <c r="P248" s="4"/>
      <c r="Q248" s="460">
        <f t="shared" ref="Q248:AD248" si="316">Q49/1000</f>
        <v>193.8</v>
      </c>
      <c r="R248" s="460">
        <f t="shared" si="316"/>
        <v>323.3</v>
      </c>
      <c r="S248" s="460">
        <f t="shared" si="316"/>
        <v>689</v>
      </c>
      <c r="T248" s="460">
        <f t="shared" si="316"/>
        <v>1263.0999999999999</v>
      </c>
      <c r="U248" s="460">
        <f t="shared" si="316"/>
        <v>1593.3</v>
      </c>
      <c r="V248" s="460">
        <f t="shared" si="316"/>
        <v>2193.3413309024613</v>
      </c>
      <c r="W248" s="460">
        <f t="shared" si="316"/>
        <v>2848.0320019260444</v>
      </c>
      <c r="X248" s="460">
        <f t="shared" si="316"/>
        <v>3516.8260514872418</v>
      </c>
      <c r="Y248" s="460">
        <f t="shared" si="316"/>
        <v>4180.4963934807738</v>
      </c>
      <c r="Z248" s="460">
        <f t="shared" si="316"/>
        <v>4712.3714296810504</v>
      </c>
      <c r="AA248" s="460">
        <f t="shared" si="316"/>
        <v>5022.1748583254284</v>
      </c>
      <c r="AB248" s="460">
        <f t="shared" si="316"/>
        <v>5352.3455618826647</v>
      </c>
      <c r="AC248" s="460">
        <f t="shared" si="316"/>
        <v>5704.2225374361378</v>
      </c>
      <c r="AD248" s="460">
        <f t="shared" si="316"/>
        <v>6079.2328111844145</v>
      </c>
      <c r="AE248" s="19"/>
      <c r="AF248" s="19"/>
      <c r="AG248" s="101"/>
      <c r="AH248" s="19"/>
      <c r="AI248" s="19"/>
      <c r="AJ248" s="19"/>
      <c r="AK248" s="19"/>
      <c r="AL248" s="1776"/>
      <c r="AM248" s="771"/>
      <c r="AN248" s="771"/>
      <c r="AO248" s="771"/>
      <c r="AP248" s="676"/>
      <c r="AQ248" s="464"/>
      <c r="AR248" s="464"/>
      <c r="AS248" s="464"/>
      <c r="AT248" s="747"/>
      <c r="AU248" s="460"/>
      <c r="AV248" s="460"/>
      <c r="AW248" s="460"/>
      <c r="AX248" s="747">
        <f t="shared" ref="AX248:BJ248" si="317">AX50/1000</f>
        <v>129.30000000000001</v>
      </c>
      <c r="AY248" s="460">
        <f t="shared" si="317"/>
        <v>163.69999999999999</v>
      </c>
      <c r="AZ248" s="460">
        <f t="shared" si="317"/>
        <v>178.2</v>
      </c>
      <c r="BA248" s="460">
        <f t="shared" si="317"/>
        <v>217.8</v>
      </c>
      <c r="BB248" s="747">
        <f t="shared" si="317"/>
        <v>227.2</v>
      </c>
      <c r="BC248" s="460">
        <f t="shared" si="317"/>
        <v>305.60000000000002</v>
      </c>
      <c r="BD248" s="460">
        <f t="shared" si="317"/>
        <v>329.7</v>
      </c>
      <c r="BE248" s="460">
        <f t="shared" si="317"/>
        <v>417.8</v>
      </c>
      <c r="BF248" s="747">
        <f t="shared" si="317"/>
        <v>342.1</v>
      </c>
      <c r="BG248" s="460">
        <f t="shared" si="317"/>
        <v>418.9</v>
      </c>
      <c r="BH248" s="460">
        <f t="shared" si="317"/>
        <v>456.2</v>
      </c>
      <c r="BI248" s="460">
        <f t="shared" si="317"/>
        <v>558.20000000000005</v>
      </c>
      <c r="BJ248" s="747">
        <f t="shared" si="317"/>
        <v>477.1</v>
      </c>
      <c r="BK248" s="460">
        <f>$V49*BK56/1000</f>
        <v>568.37866909753882</v>
      </c>
      <c r="BL248" s="460">
        <f>$V49*BL56/1000</f>
        <v>515.16364703283421</v>
      </c>
      <c r="BM248" s="460">
        <f>$V49*BM56/1000</f>
        <v>664.14947056060259</v>
      </c>
      <c r="BN248" s="747">
        <f>$W49*BN56/1000</f>
        <v>573.59364518790528</v>
      </c>
      <c r="BO248" s="460">
        <f>$W49*BO56/1000</f>
        <v>728.24178289248971</v>
      </c>
      <c r="BP248" s="460">
        <f>$W49*BP56/1000</f>
        <v>638.81357803201172</v>
      </c>
      <c r="BQ248" s="460">
        <f>$W49*BQ56/1000</f>
        <v>907.38299581363776</v>
      </c>
      <c r="BR248" s="580"/>
      <c r="CR248"/>
      <c r="CS248"/>
      <c r="CT248"/>
      <c r="CU248"/>
      <c r="CV248"/>
      <c r="CW248"/>
    </row>
    <row r="249" spans="1:101" hidden="1" outlineLevel="2">
      <c r="A249" s="573"/>
      <c r="J249" s="186" t="s">
        <v>287</v>
      </c>
      <c r="K249" s="11"/>
      <c r="L249" s="11"/>
      <c r="M249" s="11"/>
      <c r="N249" s="11"/>
      <c r="O249" s="11"/>
      <c r="P249" s="63"/>
      <c r="Q249" s="91">
        <f>Q243/Q246</f>
        <v>122.5945945945946</v>
      </c>
      <c r="R249" s="91">
        <f>R243/R246</f>
        <v>202.6073131955485</v>
      </c>
      <c r="S249" s="91">
        <f>S243/S246</f>
        <v>344.43243243243245</v>
      </c>
      <c r="T249" s="91">
        <f>T243/T246</f>
        <v>552.64864864864865</v>
      </c>
      <c r="U249" s="91">
        <f t="shared" ref="U249:AD249" si="318">U243/U246</f>
        <v>804.97297297297303</v>
      </c>
      <c r="V249" s="91">
        <f t="shared" si="318"/>
        <v>1140.1914810810813</v>
      </c>
      <c r="W249" s="91">
        <f t="shared" si="318"/>
        <v>1464.5010221837836</v>
      </c>
      <c r="X249" s="91">
        <f t="shared" si="318"/>
        <v>1810.4672284618664</v>
      </c>
      <c r="Y249" s="91">
        <f t="shared" si="318"/>
        <v>2154.4111407347568</v>
      </c>
      <c r="Z249" s="91">
        <f t="shared" si="318"/>
        <v>2408.9971358028324</v>
      </c>
      <c r="AA249" s="91">
        <f t="shared" si="318"/>
        <v>2593.0445169781692</v>
      </c>
      <c r="AB249" s="91">
        <f t="shared" si="318"/>
        <v>2791.1531180753009</v>
      </c>
      <c r="AC249" s="91">
        <f t="shared" si="318"/>
        <v>3004.3972162962541</v>
      </c>
      <c r="AD249" s="91">
        <f t="shared" si="318"/>
        <v>3233.9331636212878</v>
      </c>
      <c r="AE249" s="11"/>
      <c r="AF249" s="11"/>
      <c r="AG249" s="95"/>
      <c r="AH249" s="11"/>
      <c r="AI249" s="11"/>
      <c r="AJ249" s="11"/>
      <c r="AK249" s="11"/>
      <c r="AL249" s="1719"/>
      <c r="AM249" s="29"/>
      <c r="AN249" s="29"/>
      <c r="AO249" s="29"/>
      <c r="AP249" s="675"/>
      <c r="AQ249" s="74"/>
      <c r="AR249" s="74"/>
      <c r="AS249" s="74"/>
      <c r="AT249" s="693"/>
      <c r="AU249" s="91"/>
      <c r="AV249" s="91"/>
      <c r="AW249" s="91"/>
      <c r="AX249" s="693">
        <f>AX243/AX246</f>
        <v>67.459459459459453</v>
      </c>
      <c r="AY249" s="91">
        <f t="shared" ref="AY249:BE249" si="319">AY243/AY246</f>
        <v>84.756756756756758</v>
      </c>
      <c r="AZ249" s="91">
        <f t="shared" si="319"/>
        <v>87.567567567567565</v>
      </c>
      <c r="BA249" s="91">
        <f t="shared" si="319"/>
        <v>104.64864864864865</v>
      </c>
      <c r="BB249" s="693">
        <f t="shared" si="319"/>
        <v>110.05405405405405</v>
      </c>
      <c r="BC249" s="91">
        <f t="shared" si="319"/>
        <v>139.8918918918919</v>
      </c>
      <c r="BD249" s="91">
        <f t="shared" si="319"/>
        <v>132.54054054054055</v>
      </c>
      <c r="BE249" s="91">
        <f t="shared" si="319"/>
        <v>170.16216216216216</v>
      </c>
      <c r="BF249" s="693">
        <f>BF243/BF246</f>
        <v>164.75675675675674</v>
      </c>
      <c r="BG249" s="91">
        <f t="shared" ref="BG249:BM249" si="320">BG243/BG246</f>
        <v>204.75675675675674</v>
      </c>
      <c r="BH249" s="91">
        <f t="shared" si="320"/>
        <v>187.67567567567568</v>
      </c>
      <c r="BI249" s="91">
        <f t="shared" si="320"/>
        <v>248</v>
      </c>
      <c r="BJ249" s="693">
        <f t="shared" si="320"/>
        <v>233.29729729729729</v>
      </c>
      <c r="BK249" s="91">
        <f t="shared" si="320"/>
        <v>295.35135135135135</v>
      </c>
      <c r="BL249" s="91">
        <f>BL243/BL246</f>
        <v>262.24404064864865</v>
      </c>
      <c r="BM249" s="91">
        <f t="shared" si="320"/>
        <v>349.29879178378394</v>
      </c>
      <c r="BN249" s="693">
        <f>BN243/BN246</f>
        <v>307.54521465859449</v>
      </c>
      <c r="BO249" s="91">
        <f>BO243/BO246</f>
        <v>380.77026576778371</v>
      </c>
      <c r="BP249" s="91">
        <f>BP243/BP246</f>
        <v>322.19022488043242</v>
      </c>
      <c r="BQ249" s="91">
        <f>BQ243/BQ246</f>
        <v>453.99531687697294</v>
      </c>
    </row>
    <row r="250" spans="1:101" hidden="1" outlineLevel="2">
      <c r="A250" s="573"/>
      <c r="J250" s="186" t="s">
        <v>288</v>
      </c>
      <c r="K250" s="11"/>
      <c r="L250" s="11"/>
      <c r="M250" s="11"/>
      <c r="N250" s="11"/>
      <c r="O250" s="11"/>
      <c r="P250" s="63"/>
      <c r="Q250" s="91">
        <f>Q248-Q249</f>
        <v>71.205405405405415</v>
      </c>
      <c r="R250" s="91">
        <f>R248-R249</f>
        <v>120.69268680445151</v>
      </c>
      <c r="S250" s="91">
        <f>S248-S249</f>
        <v>344.56756756756755</v>
      </c>
      <c r="T250" s="91">
        <f>T248-T249</f>
        <v>710.45135135135126</v>
      </c>
      <c r="U250" s="91">
        <f t="shared" ref="U250:AD250" si="321">U248-U249</f>
        <v>788.32702702702693</v>
      </c>
      <c r="V250" s="91">
        <f t="shared" si="321"/>
        <v>1053.14984982138</v>
      </c>
      <c r="W250" s="91">
        <f t="shared" si="321"/>
        <v>1383.5309797422608</v>
      </c>
      <c r="X250" s="91">
        <f t="shared" si="321"/>
        <v>1706.3588230253754</v>
      </c>
      <c r="Y250" s="91">
        <f t="shared" si="321"/>
        <v>2026.085252746017</v>
      </c>
      <c r="Z250" s="91">
        <f t="shared" si="321"/>
        <v>2303.3742938782179</v>
      </c>
      <c r="AA250" s="91">
        <f t="shared" si="321"/>
        <v>2429.1303413472592</v>
      </c>
      <c r="AB250" s="91">
        <f t="shared" si="321"/>
        <v>2561.1924438073638</v>
      </c>
      <c r="AC250" s="91">
        <f t="shared" si="321"/>
        <v>2699.8253211398837</v>
      </c>
      <c r="AD250" s="91">
        <f t="shared" si="321"/>
        <v>2845.2996475631267</v>
      </c>
      <c r="AE250" s="11"/>
      <c r="AF250" s="11"/>
      <c r="AG250" s="95"/>
      <c r="AH250" s="11"/>
      <c r="AI250" s="11"/>
      <c r="AJ250" s="11"/>
      <c r="AK250" s="11"/>
      <c r="AL250" s="1719"/>
      <c r="AM250" s="29"/>
      <c r="AN250" s="29"/>
      <c r="AO250" s="29"/>
      <c r="AP250" s="675"/>
      <c r="AQ250" s="74"/>
      <c r="AR250" s="74"/>
      <c r="AS250" s="74"/>
      <c r="AT250" s="693"/>
      <c r="AU250" s="91"/>
      <c r="AV250" s="91"/>
      <c r="AW250" s="91"/>
      <c r="AX250" s="693">
        <f t="shared" ref="AX250:BM250" si="322">AX248-AX249</f>
        <v>61.840540540540559</v>
      </c>
      <c r="AY250" s="91">
        <f t="shared" si="322"/>
        <v>78.943243243243231</v>
      </c>
      <c r="AZ250" s="91">
        <f t="shared" si="322"/>
        <v>90.632432432432424</v>
      </c>
      <c r="BA250" s="91">
        <f t="shared" si="322"/>
        <v>113.15135135135137</v>
      </c>
      <c r="BB250" s="693">
        <f t="shared" si="322"/>
        <v>117.14594594594594</v>
      </c>
      <c r="BC250" s="91">
        <f t="shared" si="322"/>
        <v>165.70810810810812</v>
      </c>
      <c r="BD250" s="91">
        <f t="shared" si="322"/>
        <v>197.15945945945944</v>
      </c>
      <c r="BE250" s="91">
        <f t="shared" si="322"/>
        <v>247.63783783783785</v>
      </c>
      <c r="BF250" s="693">
        <f t="shared" si="322"/>
        <v>177.34324324324328</v>
      </c>
      <c r="BG250" s="91">
        <f t="shared" si="322"/>
        <v>214.14324324324323</v>
      </c>
      <c r="BH250" s="91">
        <f t="shared" si="322"/>
        <v>268.52432432432431</v>
      </c>
      <c r="BI250" s="91">
        <f t="shared" si="322"/>
        <v>310.20000000000005</v>
      </c>
      <c r="BJ250" s="693">
        <f t="shared" si="322"/>
        <v>243.80270270270273</v>
      </c>
      <c r="BK250" s="91">
        <f t="shared" si="322"/>
        <v>273.02731774618746</v>
      </c>
      <c r="BL250" s="91">
        <f>BL248-BL249</f>
        <v>252.91960638418556</v>
      </c>
      <c r="BM250" s="91">
        <f t="shared" si="322"/>
        <v>314.85067877681865</v>
      </c>
      <c r="BN250" s="693">
        <f>BN248-BN249</f>
        <v>266.04843052931079</v>
      </c>
      <c r="BO250" s="91">
        <f>BO248-BO249</f>
        <v>347.471517124706</v>
      </c>
      <c r="BP250" s="91">
        <f>BP248-BP249</f>
        <v>316.62335315157929</v>
      </c>
      <c r="BQ250" s="91">
        <f>BQ248-BQ249</f>
        <v>453.38767893666483</v>
      </c>
    </row>
    <row r="251" spans="1:101" s="381" customFormat="1" hidden="1" outlineLevel="2">
      <c r="A251" s="573"/>
      <c r="H251" s="579"/>
      <c r="I251" s="579"/>
      <c r="J251" s="316" t="s">
        <v>549</v>
      </c>
      <c r="K251" s="19"/>
      <c r="L251" s="19"/>
      <c r="M251" s="19"/>
      <c r="N251" s="19"/>
      <c r="O251" s="19"/>
      <c r="P251" s="4"/>
      <c r="Q251" s="460">
        <f>SUM(Q252:Q253)</f>
        <v>141.82005405405405</v>
      </c>
      <c r="R251" s="460">
        <f>SUM(R252:R253)</f>
        <v>235.1943386327504</v>
      </c>
      <c r="S251" s="460">
        <f>SUM(S252:S253)</f>
        <v>434.02</v>
      </c>
      <c r="T251" s="460">
        <f>SUM(T252:T253)</f>
        <v>730.26148648648643</v>
      </c>
      <c r="U251" s="460">
        <f t="shared" ref="U251:AD251" si="323">SUM(U252:U253)</f>
        <v>1002.0547297297297</v>
      </c>
      <c r="V251" s="460">
        <f t="shared" si="323"/>
        <v>1403.4789435364264</v>
      </c>
      <c r="W251" s="460">
        <f t="shared" si="323"/>
        <v>1810.3837671193487</v>
      </c>
      <c r="X251" s="460">
        <f t="shared" si="323"/>
        <v>2237.0569342182102</v>
      </c>
      <c r="Y251" s="460">
        <f t="shared" si="323"/>
        <v>2660.9324539212612</v>
      </c>
      <c r="Z251" s="460">
        <f t="shared" si="323"/>
        <v>2984.8407092723869</v>
      </c>
      <c r="AA251" s="460">
        <f t="shared" si="323"/>
        <v>3200.3271023149841</v>
      </c>
      <c r="AB251" s="460">
        <f t="shared" si="323"/>
        <v>3431.4512290271418</v>
      </c>
      <c r="AC251" s="460">
        <f t="shared" si="323"/>
        <v>3679.3535465812251</v>
      </c>
      <c r="AD251" s="460">
        <f t="shared" si="323"/>
        <v>3945.2580755120694</v>
      </c>
      <c r="AE251" s="19"/>
      <c r="AF251" s="19"/>
      <c r="AG251" s="101"/>
      <c r="AH251" s="19"/>
      <c r="AI251" s="19"/>
      <c r="AJ251" s="19"/>
      <c r="AK251" s="19"/>
      <c r="AL251" s="1776"/>
      <c r="AM251" s="771"/>
      <c r="AN251" s="771"/>
      <c r="AO251" s="771"/>
      <c r="AP251" s="676"/>
      <c r="AQ251" s="464"/>
      <c r="AR251" s="464"/>
      <c r="AS251" s="464"/>
      <c r="AT251" s="747"/>
      <c r="AU251" s="460"/>
      <c r="AV251" s="460"/>
      <c r="AW251" s="460"/>
      <c r="AX251" s="747">
        <f t="shared" ref="AX251:BE251" si="324">SUM(AX252:AX253)</f>
        <v>84.774810810810806</v>
      </c>
      <c r="AY251" s="460">
        <f t="shared" si="324"/>
        <v>106.86086486486487</v>
      </c>
      <c r="AZ251" s="460">
        <f t="shared" si="324"/>
        <v>112.94464864864864</v>
      </c>
      <c r="BA251" s="460">
        <f t="shared" si="324"/>
        <v>136.33102702702703</v>
      </c>
      <c r="BB251" s="747">
        <f t="shared" si="324"/>
        <v>142.85491891891891</v>
      </c>
      <c r="BC251" s="460">
        <f t="shared" si="324"/>
        <v>184.63308108108109</v>
      </c>
      <c r="BD251" s="460">
        <f t="shared" si="324"/>
        <v>183.80200000000002</v>
      </c>
      <c r="BE251" s="460">
        <f t="shared" si="324"/>
        <v>232.07162162162163</v>
      </c>
      <c r="BF251" s="747">
        <f t="shared" ref="BF251:BM251" si="325">SUM(BF252:BF253)</f>
        <v>214.41286486486487</v>
      </c>
      <c r="BG251" s="460">
        <f t="shared" si="325"/>
        <v>264.71686486486487</v>
      </c>
      <c r="BH251" s="460">
        <f t="shared" si="325"/>
        <v>262.86248648648649</v>
      </c>
      <c r="BI251" s="460">
        <f t="shared" si="325"/>
        <v>334.85599999999999</v>
      </c>
      <c r="BJ251" s="747">
        <f t="shared" si="325"/>
        <v>306.43810810810811</v>
      </c>
      <c r="BK251" s="460">
        <f t="shared" si="325"/>
        <v>377.25954667520762</v>
      </c>
      <c r="BL251" s="460">
        <f>SUM(BL252:BL253)</f>
        <v>338.11992256390431</v>
      </c>
      <c r="BM251" s="460">
        <f t="shared" si="325"/>
        <v>443.75399541682953</v>
      </c>
      <c r="BN251" s="747">
        <f>SUM(BN252:BN253)</f>
        <v>387.35974381738771</v>
      </c>
      <c r="BO251" s="460">
        <f>SUM(BO252:BO253)</f>
        <v>485.01172090519549</v>
      </c>
      <c r="BP251" s="460">
        <f>SUM(BP252:BP253)</f>
        <v>417.17723082590624</v>
      </c>
      <c r="BQ251" s="460">
        <f>SUM(BQ252:BQ253)</f>
        <v>590.01162055797238</v>
      </c>
      <c r="BR251" s="580"/>
      <c r="CR251"/>
      <c r="CS251"/>
      <c r="CT251"/>
      <c r="CU251"/>
      <c r="CV251"/>
      <c r="CW251"/>
    </row>
    <row r="252" spans="1:101" hidden="1" outlineLevel="2">
      <c r="A252" s="573"/>
      <c r="J252" s="186" t="s">
        <v>287</v>
      </c>
      <c r="K252" s="11"/>
      <c r="L252" s="11"/>
      <c r="M252" s="11"/>
      <c r="N252" s="11"/>
      <c r="O252" s="11"/>
      <c r="P252" s="63"/>
      <c r="Q252" s="501">
        <f t="shared" ref="Q252:AD252" si="326">Q249</f>
        <v>122.5945945945946</v>
      </c>
      <c r="R252" s="501">
        <f t="shared" si="326"/>
        <v>202.6073131955485</v>
      </c>
      <c r="S252" s="501">
        <f t="shared" si="326"/>
        <v>344.43243243243245</v>
      </c>
      <c r="T252" s="501">
        <f>T249</f>
        <v>552.64864864864865</v>
      </c>
      <c r="U252" s="507">
        <f t="shared" si="326"/>
        <v>804.97297297297303</v>
      </c>
      <c r="V252" s="507">
        <f t="shared" si="326"/>
        <v>1140.1914810810813</v>
      </c>
      <c r="W252" s="501">
        <f t="shared" si="326"/>
        <v>1464.5010221837836</v>
      </c>
      <c r="X252" s="501">
        <f t="shared" si="326"/>
        <v>1810.4672284618664</v>
      </c>
      <c r="Y252" s="501">
        <f t="shared" si="326"/>
        <v>2154.4111407347568</v>
      </c>
      <c r="Z252" s="501">
        <f t="shared" si="326"/>
        <v>2408.9971358028324</v>
      </c>
      <c r="AA252" s="501">
        <f t="shared" si="326"/>
        <v>2593.0445169781692</v>
      </c>
      <c r="AB252" s="501">
        <f t="shared" si="326"/>
        <v>2791.1531180753009</v>
      </c>
      <c r="AC252" s="501">
        <f t="shared" si="326"/>
        <v>3004.3972162962541</v>
      </c>
      <c r="AD252" s="501">
        <f t="shared" si="326"/>
        <v>3233.9331636212878</v>
      </c>
      <c r="AE252" s="11"/>
      <c r="AF252" s="11"/>
      <c r="AG252" s="95"/>
      <c r="AH252" s="11"/>
      <c r="AI252" s="11"/>
      <c r="AJ252" s="11"/>
      <c r="AK252" s="11"/>
      <c r="AL252" s="1719"/>
      <c r="AM252" s="29"/>
      <c r="AN252" s="29"/>
      <c r="AO252" s="29"/>
      <c r="AP252" s="675"/>
      <c r="AQ252" s="74"/>
      <c r="AR252" s="74"/>
      <c r="AS252" s="74"/>
      <c r="AT252" s="701"/>
      <c r="AU252" s="501"/>
      <c r="AV252" s="501"/>
      <c r="AW252" s="501"/>
      <c r="AX252" s="701">
        <f>AX243/AX246</f>
        <v>67.459459459459453</v>
      </c>
      <c r="AY252" s="507">
        <f>AY243/AY246</f>
        <v>84.756756756756758</v>
      </c>
      <c r="AZ252" s="507">
        <f t="shared" ref="AZ252:BE252" si="327">AZ243/AZ246</f>
        <v>87.567567567567565</v>
      </c>
      <c r="BA252" s="507">
        <f t="shared" si="327"/>
        <v>104.64864864864865</v>
      </c>
      <c r="BB252" s="701">
        <f t="shared" si="327"/>
        <v>110.05405405405405</v>
      </c>
      <c r="BC252" s="507">
        <f t="shared" si="327"/>
        <v>139.8918918918919</v>
      </c>
      <c r="BD252" s="507">
        <f t="shared" si="327"/>
        <v>132.54054054054055</v>
      </c>
      <c r="BE252" s="507">
        <f t="shared" si="327"/>
        <v>170.16216216216216</v>
      </c>
      <c r="BF252" s="701">
        <f t="shared" ref="BF252:BM252" si="328">BF243/BF246</f>
        <v>164.75675675675674</v>
      </c>
      <c r="BG252" s="507">
        <f t="shared" si="328"/>
        <v>204.75675675675674</v>
      </c>
      <c r="BH252" s="507">
        <f t="shared" si="328"/>
        <v>187.67567567567568</v>
      </c>
      <c r="BI252" s="507">
        <f t="shared" si="328"/>
        <v>248</v>
      </c>
      <c r="BJ252" s="701">
        <f t="shared" si="328"/>
        <v>233.29729729729729</v>
      </c>
      <c r="BK252" s="507">
        <f t="shared" si="328"/>
        <v>295.35135135135135</v>
      </c>
      <c r="BL252" s="507">
        <f>BL243/BL246</f>
        <v>262.24404064864865</v>
      </c>
      <c r="BM252" s="507">
        <f t="shared" si="328"/>
        <v>349.29879178378394</v>
      </c>
      <c r="BN252" s="701">
        <f>BN243/BN246</f>
        <v>307.54521465859449</v>
      </c>
      <c r="BO252" s="507">
        <f>BO243/BO246</f>
        <v>380.77026576778371</v>
      </c>
      <c r="BP252" s="507">
        <f>BP243/BP246</f>
        <v>322.19022488043242</v>
      </c>
      <c r="BQ252" s="507">
        <f>BQ243/BQ246</f>
        <v>453.99531687697294</v>
      </c>
    </row>
    <row r="253" spans="1:101" hidden="1" outlineLevel="2">
      <c r="A253" s="573"/>
      <c r="J253" s="186" t="s">
        <v>288</v>
      </c>
      <c r="K253" s="11"/>
      <c r="L253" s="11"/>
      <c r="M253" s="11"/>
      <c r="N253" s="11"/>
      <c r="O253" s="11"/>
      <c r="P253" s="63"/>
      <c r="Q253" s="501">
        <f>Q250*Q240</f>
        <v>19.225459459459465</v>
      </c>
      <c r="R253" s="501">
        <f>R250*R240</f>
        <v>32.587025437201909</v>
      </c>
      <c r="S253" s="501">
        <f>S250*S240</f>
        <v>89.587567567567561</v>
      </c>
      <c r="T253" s="501">
        <f>T250*T240</f>
        <v>177.61283783783782</v>
      </c>
      <c r="U253" s="507">
        <f t="shared" ref="U253:AD253" si="329">U250*U240</f>
        <v>197.08175675675673</v>
      </c>
      <c r="V253" s="507">
        <f t="shared" si="329"/>
        <v>263.28746245534501</v>
      </c>
      <c r="W253" s="501">
        <f t="shared" si="329"/>
        <v>345.8827449355652</v>
      </c>
      <c r="X253" s="501">
        <f t="shared" si="329"/>
        <v>426.58970575634385</v>
      </c>
      <c r="Y253" s="501">
        <f t="shared" si="329"/>
        <v>506.52131318650424</v>
      </c>
      <c r="Z253" s="501">
        <f t="shared" si="329"/>
        <v>575.84357346955449</v>
      </c>
      <c r="AA253" s="501">
        <f t="shared" si="329"/>
        <v>607.2825853368148</v>
      </c>
      <c r="AB253" s="501">
        <f t="shared" si="329"/>
        <v>640.29811095184095</v>
      </c>
      <c r="AC253" s="501">
        <f t="shared" si="329"/>
        <v>674.95633028497093</v>
      </c>
      <c r="AD253" s="501">
        <f t="shared" si="329"/>
        <v>711.32491189078166</v>
      </c>
      <c r="AE253" s="11"/>
      <c r="AF253" s="11"/>
      <c r="AG253" s="95"/>
      <c r="AH253" s="11"/>
      <c r="AI253" s="11"/>
      <c r="AJ253" s="11"/>
      <c r="AK253" s="11"/>
      <c r="AL253" s="1719"/>
      <c r="AM253" s="29"/>
      <c r="AN253" s="29"/>
      <c r="AO253" s="29"/>
      <c r="AP253" s="675"/>
      <c r="AQ253" s="74"/>
      <c r="AR253" s="74"/>
      <c r="AS253" s="74"/>
      <c r="AT253" s="701"/>
      <c r="AU253" s="501"/>
      <c r="AV253" s="501"/>
      <c r="AW253" s="501"/>
      <c r="AX253" s="701">
        <f>AX244/AX247*AX240</f>
        <v>17.315351351351357</v>
      </c>
      <c r="AY253" s="507">
        <f>AY244/AY247*AY240</f>
        <v>22.104108108108107</v>
      </c>
      <c r="AZ253" s="507">
        <f t="shared" ref="AZ253:BE253" si="330">AZ244/AZ247*AZ240</f>
        <v>25.377081081081077</v>
      </c>
      <c r="BA253" s="507">
        <f t="shared" si="330"/>
        <v>31.682378378378388</v>
      </c>
      <c r="BB253" s="701">
        <f t="shared" si="330"/>
        <v>32.800864864864863</v>
      </c>
      <c r="BC253" s="507">
        <f t="shared" si="330"/>
        <v>44.741189189189193</v>
      </c>
      <c r="BD253" s="507">
        <f t="shared" si="330"/>
        <v>51.261459459459459</v>
      </c>
      <c r="BE253" s="507">
        <f t="shared" si="330"/>
        <v>61.90945945945947</v>
      </c>
      <c r="BF253" s="701">
        <f t="shared" ref="BF253:BM253" si="331">BF244/BF247*BF240</f>
        <v>49.656108108108121</v>
      </c>
      <c r="BG253" s="507">
        <f t="shared" si="331"/>
        <v>59.960108108108116</v>
      </c>
      <c r="BH253" s="507">
        <f t="shared" si="331"/>
        <v>75.186810810810812</v>
      </c>
      <c r="BI253" s="507">
        <f t="shared" si="331"/>
        <v>86.856000000000023</v>
      </c>
      <c r="BJ253" s="701">
        <f t="shared" si="331"/>
        <v>73.140810810810819</v>
      </c>
      <c r="BK253" s="507">
        <f t="shared" si="331"/>
        <v>81.908195323856233</v>
      </c>
      <c r="BL253" s="507">
        <f>BL244/BL247*BL240</f>
        <v>75.875881915255661</v>
      </c>
      <c r="BM253" s="507">
        <f t="shared" si="331"/>
        <v>94.455203633045599</v>
      </c>
      <c r="BN253" s="701">
        <f>BN244/BN247*BN240</f>
        <v>79.814529158793235</v>
      </c>
      <c r="BO253" s="507">
        <f>BO244/BO247*BO240</f>
        <v>104.24145513741179</v>
      </c>
      <c r="BP253" s="507">
        <f>BP244/BP247*BP240</f>
        <v>94.987005945473783</v>
      </c>
      <c r="BQ253" s="507">
        <f>BQ244/BQ247*BQ240</f>
        <v>136.01630368099944</v>
      </c>
    </row>
    <row r="254" spans="1:101" hidden="1" outlineLevel="2">
      <c r="A254" s="573"/>
      <c r="J254" s="316" t="s">
        <v>550</v>
      </c>
      <c r="K254" s="11"/>
      <c r="L254" s="11"/>
      <c r="M254" s="11"/>
      <c r="N254" s="11"/>
      <c r="O254" s="11"/>
      <c r="P254" s="63"/>
      <c r="Q254" s="442">
        <f t="shared" ref="Q254:AD254" si="332">Q225/Q251</f>
        <v>21.583689418376007</v>
      </c>
      <c r="R254" s="442">
        <f t="shared" si="332"/>
        <v>17.470658621660501</v>
      </c>
      <c r="S254" s="442">
        <f t="shared" si="332"/>
        <v>18.586701073683241</v>
      </c>
      <c r="T254" s="442">
        <f t="shared" si="332"/>
        <v>19.063034621993047</v>
      </c>
      <c r="U254" s="442">
        <f t="shared" si="332"/>
        <v>19.71917342811156</v>
      </c>
      <c r="V254" s="442">
        <f t="shared" si="332"/>
        <v>21.349894943559089</v>
      </c>
      <c r="W254" s="442">
        <f t="shared" si="332"/>
        <v>24.83281856886299</v>
      </c>
      <c r="X254" s="442">
        <f t="shared" si="332"/>
        <v>24.298313688466223</v>
      </c>
      <c r="Y254" s="442">
        <f t="shared" si="332"/>
        <v>24.91756553732937</v>
      </c>
      <c r="Z254" s="442">
        <f t="shared" si="332"/>
        <v>25.365020231860964</v>
      </c>
      <c r="AA254" s="442">
        <f t="shared" si="332"/>
        <v>25.104727205883513</v>
      </c>
      <c r="AB254" s="442">
        <f t="shared" si="332"/>
        <v>25.662363517759747</v>
      </c>
      <c r="AC254" s="442">
        <f t="shared" si="332"/>
        <v>26.212901135258264</v>
      </c>
      <c r="AD254" s="442">
        <f t="shared" si="332"/>
        <v>27.039015224595275</v>
      </c>
      <c r="AE254" s="11"/>
      <c r="AF254" s="11"/>
      <c r="AG254" s="95"/>
      <c r="AH254" s="11"/>
      <c r="AI254" s="11"/>
      <c r="AJ254" s="11"/>
      <c r="AK254" s="11"/>
      <c r="AL254" s="1719"/>
      <c r="AM254" s="29"/>
      <c r="AN254" s="29"/>
      <c r="AO254" s="29"/>
      <c r="AP254" s="675"/>
      <c r="AQ254" s="74"/>
      <c r="AR254" s="74"/>
      <c r="AS254" s="74"/>
      <c r="AT254" s="786"/>
      <c r="AU254" s="709"/>
      <c r="AV254" s="709"/>
      <c r="AW254" s="709"/>
      <c r="AX254" s="786">
        <f t="shared" ref="AX254:BQ254" si="333">AX225/AX251</f>
        <v>16.042501150902805</v>
      </c>
      <c r="AY254" s="709">
        <f t="shared" si="333"/>
        <v>18.732330142858153</v>
      </c>
      <c r="AZ254" s="709">
        <f t="shared" si="333"/>
        <v>18.764031986967069</v>
      </c>
      <c r="BA254" s="709">
        <f t="shared" si="333"/>
        <v>18.964355043606101</v>
      </c>
      <c r="BB254" s="786">
        <f t="shared" si="333"/>
        <v>18.74384879613261</v>
      </c>
      <c r="BC254" s="709">
        <f t="shared" si="333"/>
        <v>17.613365822411257</v>
      </c>
      <c r="BD254" s="709">
        <f t="shared" si="333"/>
        <v>18.81980065505272</v>
      </c>
      <c r="BE254" s="709">
        <f t="shared" si="333"/>
        <v>19.529358946737087</v>
      </c>
      <c r="BF254" s="786">
        <f t="shared" si="333"/>
        <v>19.727608241538551</v>
      </c>
      <c r="BG254" s="709">
        <f t="shared" si="333"/>
        <v>18.53241198857647</v>
      </c>
      <c r="BH254" s="709">
        <f t="shared" si="333"/>
        <v>18.222748571033751</v>
      </c>
      <c r="BI254" s="709">
        <f t="shared" si="333"/>
        <v>17.422172515947153</v>
      </c>
      <c r="BJ254" s="786">
        <f t="shared" si="333"/>
        <v>17.786900048596735</v>
      </c>
      <c r="BK254" s="709">
        <f t="shared" si="333"/>
        <v>18.503595366957878</v>
      </c>
      <c r="BL254" s="709">
        <f t="shared" si="333"/>
        <v>20.622236474936344</v>
      </c>
      <c r="BM254" s="709">
        <f t="shared" si="333"/>
        <v>23.79718742606617</v>
      </c>
      <c r="BN254" s="786">
        <f t="shared" si="333"/>
        <v>19.211985462960964</v>
      </c>
      <c r="BO254" s="709">
        <f t="shared" si="333"/>
        <v>17.934235767313297</v>
      </c>
      <c r="BP254" s="709">
        <f t="shared" si="333"/>
        <v>20.151027602213837</v>
      </c>
      <c r="BQ254" s="709">
        <f t="shared" si="333"/>
        <v>16.088301117832494</v>
      </c>
    </row>
    <row r="255" spans="1:101" hidden="1" outlineLevel="2">
      <c r="A255" s="573"/>
      <c r="J255" s="316" t="s">
        <v>539</v>
      </c>
      <c r="K255" s="11"/>
      <c r="L255" s="11"/>
      <c r="M255" s="11"/>
      <c r="N255" s="11"/>
      <c r="O255" s="11"/>
      <c r="P255" s="63"/>
      <c r="Q255" s="442">
        <f t="shared" ref="Q255:AD255" si="334">Q225/Q248</f>
        <v>15.794633642930856</v>
      </c>
      <c r="R255" s="442">
        <f t="shared" si="334"/>
        <v>12.709557686359418</v>
      </c>
      <c r="S255" s="442">
        <f t="shared" si="334"/>
        <v>11.708272859216255</v>
      </c>
      <c r="T255" s="442">
        <f t="shared" si="334"/>
        <v>11.0212968094371</v>
      </c>
      <c r="U255" s="442">
        <f t="shared" si="334"/>
        <v>12.401739157722965</v>
      </c>
      <c r="V255" s="442">
        <f t="shared" si="334"/>
        <v>13.661406721256244</v>
      </c>
      <c r="W255" s="442">
        <f t="shared" si="334"/>
        <v>15.785262103265124</v>
      </c>
      <c r="X255" s="442">
        <f t="shared" si="334"/>
        <v>15.456184164583727</v>
      </c>
      <c r="Y255" s="442">
        <f t="shared" si="334"/>
        <v>15.860307621455341</v>
      </c>
      <c r="Z255" s="442">
        <f t="shared" si="334"/>
        <v>16.066336473969471</v>
      </c>
      <c r="AA255" s="442">
        <f t="shared" si="334"/>
        <v>15.997718347067401</v>
      </c>
      <c r="AB255" s="442">
        <f t="shared" si="334"/>
        <v>16.452440862540936</v>
      </c>
      <c r="AC255" s="442">
        <f t="shared" si="334"/>
        <v>16.90791867344381</v>
      </c>
      <c r="AD255" s="442">
        <f t="shared" si="334"/>
        <v>17.54759136259246</v>
      </c>
      <c r="AE255" s="11"/>
      <c r="AF255" s="11"/>
      <c r="AG255" s="95"/>
      <c r="AH255" s="11"/>
      <c r="AI255" s="11"/>
      <c r="AJ255" s="11"/>
      <c r="AK255" s="11"/>
      <c r="AL255" s="1719"/>
      <c r="AM255" s="29"/>
      <c r="AN255" s="29"/>
      <c r="AO255" s="29"/>
      <c r="AP255" s="675"/>
      <c r="AQ255" s="74"/>
      <c r="AR255" s="74"/>
      <c r="AS255" s="74"/>
      <c r="AT255" s="675"/>
      <c r="AU255" s="74"/>
      <c r="AV255" s="74"/>
      <c r="AW255" s="77"/>
      <c r="AX255" s="786">
        <f t="shared" ref="AX255:BQ255" si="335">AX225/AX248</f>
        <v>10.518174787316317</v>
      </c>
      <c r="AY255" s="709">
        <f t="shared" si="335"/>
        <v>12.228179596823457</v>
      </c>
      <c r="AZ255" s="709">
        <f t="shared" si="335"/>
        <v>11.892800224466892</v>
      </c>
      <c r="BA255" s="709">
        <f t="shared" si="335"/>
        <v>11.870661157024792</v>
      </c>
      <c r="BB255" s="786">
        <f t="shared" si="335"/>
        <v>11.78543573943662</v>
      </c>
      <c r="BC255" s="709">
        <f t="shared" si="335"/>
        <v>10.641393979057591</v>
      </c>
      <c r="BD255" s="709">
        <f t="shared" si="335"/>
        <v>10.491710646041858</v>
      </c>
      <c r="BE255" s="709">
        <f t="shared" si="335"/>
        <v>10.847797989468646</v>
      </c>
      <c r="BF255" s="786">
        <f t="shared" si="335"/>
        <v>12.364375913475591</v>
      </c>
      <c r="BG255" s="709">
        <f t="shared" si="335"/>
        <v>11.711248507997135</v>
      </c>
      <c r="BH255" s="709">
        <f t="shared" si="335"/>
        <v>10.499949583516003</v>
      </c>
      <c r="BI255" s="709">
        <f t="shared" si="335"/>
        <v>10.45130598351845</v>
      </c>
      <c r="BJ255" s="786">
        <f t="shared" si="335"/>
        <v>11.424405784950743</v>
      </c>
      <c r="BK255" s="709">
        <f t="shared" si="335"/>
        <v>12.281702990514686</v>
      </c>
      <c r="BL255" s="709">
        <f t="shared" si="335"/>
        <v>13.535095188025924</v>
      </c>
      <c r="BM255" s="709">
        <f t="shared" si="335"/>
        <v>15.900181311725381</v>
      </c>
      <c r="BN255" s="786">
        <f t="shared" si="335"/>
        <v>12.9742542121749</v>
      </c>
      <c r="BO255" s="709">
        <f t="shared" si="335"/>
        <v>11.944267353179683</v>
      </c>
      <c r="BP255" s="709">
        <f t="shared" si="335"/>
        <v>13.159629322980212</v>
      </c>
      <c r="BQ255" s="709">
        <f t="shared" si="335"/>
        <v>10.461166517723189</v>
      </c>
    </row>
    <row r="256" spans="1:101" hidden="1" outlineLevel="2">
      <c r="A256" s="573"/>
      <c r="J256" s="316"/>
      <c r="K256" s="11"/>
      <c r="L256" s="11"/>
      <c r="M256" s="11"/>
      <c r="N256" s="11"/>
      <c r="O256" s="11"/>
      <c r="P256" s="63"/>
      <c r="Q256" s="442"/>
      <c r="R256" s="442"/>
      <c r="S256" s="442"/>
      <c r="T256" s="442"/>
      <c r="U256" s="158"/>
      <c r="V256" s="158"/>
      <c r="W256" s="442"/>
      <c r="X256" s="442"/>
      <c r="Y256" s="442"/>
      <c r="Z256" s="442"/>
      <c r="AA256" s="442"/>
      <c r="AB256" s="442"/>
      <c r="AC256" s="442"/>
      <c r="AD256" s="442"/>
      <c r="AE256" s="11"/>
      <c r="AF256" s="11"/>
      <c r="AG256" s="95"/>
      <c r="AH256" s="11"/>
      <c r="AI256" s="11"/>
      <c r="AJ256" s="11"/>
      <c r="AK256" s="11"/>
      <c r="AL256" s="1719"/>
      <c r="AM256" s="29"/>
      <c r="AN256" s="29"/>
      <c r="AO256" s="29"/>
      <c r="AP256" s="675"/>
      <c r="AQ256" s="74"/>
      <c r="AR256" s="74"/>
      <c r="AS256" s="74"/>
      <c r="AT256" s="675"/>
      <c r="AU256" s="74"/>
      <c r="AV256" s="74"/>
      <c r="AW256" s="77"/>
      <c r="AX256" s="786"/>
      <c r="AY256" s="709"/>
      <c r="AZ256" s="709"/>
      <c r="BA256" s="709"/>
      <c r="BB256" s="786"/>
      <c r="BC256" s="709"/>
      <c r="BD256" s="709"/>
      <c r="BE256" s="709"/>
      <c r="BF256" s="786"/>
      <c r="BG256" s="709"/>
      <c r="BH256" s="709"/>
      <c r="BI256" s="709"/>
      <c r="BJ256" s="786"/>
      <c r="BK256" s="709"/>
      <c r="BL256" s="709"/>
      <c r="BM256" s="709"/>
      <c r="BN256" s="786"/>
      <c r="BO256" s="709"/>
      <c r="BP256" s="709"/>
      <c r="BQ256" s="709"/>
    </row>
    <row r="257" spans="1:101" hidden="1" outlineLevel="2">
      <c r="A257" s="573"/>
      <c r="J257" s="195"/>
      <c r="K257" s="11"/>
      <c r="L257" s="11"/>
      <c r="M257" s="11"/>
      <c r="N257" s="76"/>
      <c r="O257" s="76"/>
      <c r="P257" s="76"/>
      <c r="Q257" s="76"/>
      <c r="R257" s="76"/>
      <c r="S257" s="76"/>
      <c r="T257" s="174"/>
      <c r="U257" s="174"/>
      <c r="V257" s="174"/>
      <c r="W257" s="63"/>
      <c r="X257" s="63"/>
      <c r="Y257" s="63"/>
      <c r="Z257" s="63"/>
      <c r="AA257" s="63"/>
      <c r="AB257" s="63"/>
      <c r="AC257" s="63"/>
      <c r="AD257" s="63"/>
      <c r="AE257" s="11"/>
      <c r="AF257" s="11"/>
      <c r="AG257" s="95"/>
      <c r="AH257" s="35"/>
      <c r="AI257" s="35"/>
      <c r="AJ257" s="35"/>
      <c r="AK257" s="35"/>
      <c r="AL257" s="1720"/>
      <c r="AM257" s="35"/>
      <c r="AN257" s="35"/>
      <c r="AO257" s="35"/>
      <c r="AP257" s="1720"/>
      <c r="AQ257" s="35"/>
      <c r="AR257" s="35"/>
      <c r="AS257" s="35"/>
      <c r="AT257" s="1720"/>
      <c r="AU257" s="35"/>
      <c r="AV257" s="35"/>
      <c r="AW257" s="76"/>
      <c r="AX257" s="1720"/>
      <c r="AY257" s="76"/>
      <c r="AZ257" s="181"/>
      <c r="BA257" s="181"/>
      <c r="BB257" s="755"/>
      <c r="BC257" s="181"/>
      <c r="BD257" s="181"/>
      <c r="BE257" s="181"/>
      <c r="BF257" s="755"/>
      <c r="BG257" s="181"/>
      <c r="BH257" s="181"/>
      <c r="BI257" s="181"/>
      <c r="BJ257" s="755"/>
      <c r="BK257" s="181"/>
      <c r="BL257" s="181"/>
      <c r="BM257" s="181"/>
      <c r="BN257" s="755"/>
      <c r="BO257" s="181"/>
      <c r="BP257" s="181"/>
      <c r="BQ257" s="181"/>
    </row>
    <row r="258" spans="1:101" s="581" customFormat="1" hidden="1" outlineLevel="2">
      <c r="A258" s="573"/>
      <c r="H258" s="582"/>
      <c r="I258" s="582"/>
      <c r="J258" s="315" t="s">
        <v>353</v>
      </c>
      <c r="K258" s="25"/>
      <c r="L258" s="25"/>
      <c r="M258" s="25"/>
      <c r="N258" s="325"/>
      <c r="O258" s="325"/>
      <c r="P258" s="886">
        <f>SUM(P259:P260)</f>
        <v>832.16399999999999</v>
      </c>
      <c r="Q258" s="886">
        <f>SUM(Q259:Q260)</f>
        <v>2188</v>
      </c>
      <c r="R258" s="886">
        <f>SUM(R259:R260)</f>
        <v>2799</v>
      </c>
      <c r="S258" s="886">
        <f>SUM(S259:S260)</f>
        <v>5401</v>
      </c>
      <c r="T258" s="887">
        <f>SUM(T259:T260)</f>
        <v>9348</v>
      </c>
      <c r="U258" s="887">
        <f t="shared" ref="U258:AD258" si="336">SUM(U259:U260)</f>
        <v>14232</v>
      </c>
      <c r="V258" s="887">
        <f t="shared" ca="1" si="336"/>
        <v>14232</v>
      </c>
      <c r="W258" s="888">
        <f t="shared" ca="1" si="336"/>
        <v>18231.955028242493</v>
      </c>
      <c r="X258" s="888">
        <f t="shared" ca="1" si="336"/>
        <v>22196.791113136776</v>
      </c>
      <c r="Y258" s="888">
        <f t="shared" ca="1" si="336"/>
        <v>33723.43486983105</v>
      </c>
      <c r="Z258" s="888">
        <f t="shared" ca="1" si="336"/>
        <v>37637.000978004377</v>
      </c>
      <c r="AA258" s="888">
        <f t="shared" ca="1" si="336"/>
        <v>39709.580320961599</v>
      </c>
      <c r="AB258" s="888">
        <f t="shared" ca="1" si="336"/>
        <v>41035.62741909179</v>
      </c>
      <c r="AC258" s="888">
        <f t="shared" ca="1" si="336"/>
        <v>42364.401792906807</v>
      </c>
      <c r="AD258" s="888">
        <f t="shared" ca="1" si="336"/>
        <v>43690.530748964142</v>
      </c>
      <c r="AE258" s="25"/>
      <c r="AF258" s="25"/>
      <c r="AG258" s="103"/>
      <c r="AH258" s="326"/>
      <c r="AI258" s="326"/>
      <c r="AJ258" s="326"/>
      <c r="AK258" s="326"/>
      <c r="AL258" s="1721"/>
      <c r="AM258" s="326"/>
      <c r="AN258" s="326"/>
      <c r="AO258" s="326"/>
      <c r="AP258" s="1721"/>
      <c r="AQ258" s="326"/>
      <c r="AR258" s="326"/>
      <c r="AS258" s="326"/>
      <c r="AT258" s="1721"/>
      <c r="AU258" s="326"/>
      <c r="AV258" s="326"/>
      <c r="AW258" s="325"/>
      <c r="AX258" s="1721"/>
      <c r="AY258" s="325"/>
      <c r="AZ258" s="525"/>
      <c r="BA258" s="525"/>
      <c r="BB258" s="762"/>
      <c r="BC258" s="525"/>
      <c r="BD258" s="525"/>
      <c r="BE258" s="525"/>
      <c r="BF258" s="762"/>
      <c r="BG258" s="525"/>
      <c r="BH258" s="525"/>
      <c r="BI258" s="525"/>
      <c r="BJ258" s="762"/>
      <c r="BK258" s="525"/>
      <c r="BL258" s="525"/>
      <c r="BM258" s="525"/>
      <c r="BN258" s="762"/>
      <c r="BO258" s="525"/>
      <c r="BP258" s="525"/>
      <c r="BQ258" s="525"/>
      <c r="BR258" s="1678"/>
      <c r="CR258"/>
      <c r="CS258"/>
      <c r="CT258"/>
      <c r="CU258"/>
      <c r="CV258"/>
      <c r="CW258"/>
    </row>
    <row r="259" spans="1:101" hidden="1" outlineLevel="2">
      <c r="A259" s="573"/>
      <c r="J259" s="33" t="s">
        <v>309</v>
      </c>
      <c r="K259" s="11"/>
      <c r="L259" s="11"/>
      <c r="M259" s="11"/>
      <c r="N259" s="192"/>
      <c r="O259" s="192"/>
      <c r="P259" s="94">
        <f t="shared" ref="P259:V259" si="337">P226</f>
        <v>832.16399999999999</v>
      </c>
      <c r="Q259" s="94">
        <f t="shared" si="337"/>
        <v>1527</v>
      </c>
      <c r="R259" s="94">
        <f t="shared" si="337"/>
        <v>2005</v>
      </c>
      <c r="S259" s="94">
        <f t="shared" si="337"/>
        <v>4111</v>
      </c>
      <c r="T259" s="94">
        <f t="shared" si="337"/>
        <v>7289</v>
      </c>
      <c r="U259" s="94">
        <f t="shared" si="337"/>
        <v>10845</v>
      </c>
      <c r="V259" s="94">
        <f t="shared" ca="1" si="337"/>
        <v>10845</v>
      </c>
      <c r="W259" s="895">
        <f t="shared" ref="W259:AD259" ca="1" si="338">W265*W270/1000</f>
        <v>14595.447043806309</v>
      </c>
      <c r="X259" s="895">
        <f t="shared" ca="1" si="338"/>
        <v>17741.502100890066</v>
      </c>
      <c r="Y259" s="895">
        <f t="shared" si="338"/>
        <v>28427.375475669265</v>
      </c>
      <c r="Z259" s="895">
        <f t="shared" si="338"/>
        <v>31667.136007456666</v>
      </c>
      <c r="AA259" s="895">
        <f t="shared" si="338"/>
        <v>33347.241059280852</v>
      </c>
      <c r="AB259" s="895">
        <f t="shared" si="338"/>
        <v>34255.011596049058</v>
      </c>
      <c r="AC259" s="895">
        <f t="shared" si="338"/>
        <v>35138.01083060661</v>
      </c>
      <c r="AD259" s="895">
        <f t="shared" si="338"/>
        <v>35989.058242211737</v>
      </c>
      <c r="AE259" s="11"/>
      <c r="AF259" s="11"/>
      <c r="AG259" s="95"/>
      <c r="AH259" s="72"/>
      <c r="AI259" s="72"/>
      <c r="AJ259" s="72"/>
      <c r="AK259" s="72"/>
      <c r="AL259" s="755"/>
      <c r="AM259" s="73"/>
      <c r="AN259" s="73"/>
      <c r="AO259" s="73"/>
      <c r="AP259" s="755"/>
      <c r="AQ259" s="73"/>
      <c r="AR259" s="73"/>
      <c r="AS259" s="73"/>
      <c r="AT259" s="755"/>
      <c r="AU259" s="73"/>
      <c r="AV259" s="73"/>
      <c r="AW259" s="181"/>
      <c r="AX259" s="755"/>
      <c r="AY259" s="181"/>
      <c r="AZ259" s="66"/>
      <c r="BA259" s="66"/>
      <c r="BB259" s="710"/>
      <c r="BC259" s="66"/>
      <c r="BD259" s="66"/>
      <c r="BE259" s="66"/>
      <c r="BF259" s="710"/>
      <c r="BG259" s="66"/>
      <c r="BH259" s="66"/>
      <c r="BI259" s="66"/>
      <c r="BJ259" s="710"/>
      <c r="BK259" s="66"/>
      <c r="BL259" s="66"/>
      <c r="BM259" s="66"/>
      <c r="BN259" s="710"/>
      <c r="BO259" s="66"/>
      <c r="BP259" s="66"/>
      <c r="BQ259" s="66"/>
    </row>
    <row r="260" spans="1:101" hidden="1" outlineLevel="2">
      <c r="A260" s="573"/>
      <c r="J260" s="33" t="s">
        <v>310</v>
      </c>
      <c r="K260" s="11"/>
      <c r="L260" s="11"/>
      <c r="M260" s="11"/>
      <c r="N260" s="192"/>
      <c r="O260" s="192"/>
      <c r="P260" s="94"/>
      <c r="Q260" s="94">
        <f t="shared" ref="Q260:V260" si="339">Q227</f>
        <v>661</v>
      </c>
      <c r="R260" s="94">
        <f t="shared" si="339"/>
        <v>794</v>
      </c>
      <c r="S260" s="94">
        <f t="shared" si="339"/>
        <v>1290</v>
      </c>
      <c r="T260" s="94">
        <f t="shared" si="339"/>
        <v>2059</v>
      </c>
      <c r="U260" s="94">
        <f t="shared" si="339"/>
        <v>3387</v>
      </c>
      <c r="V260" s="94">
        <f t="shared" ca="1" si="339"/>
        <v>3387</v>
      </c>
      <c r="W260" s="895">
        <f t="shared" ref="W260:AD260" ca="1" si="340">W266*W271/1000</f>
        <v>3636.5079844361844</v>
      </c>
      <c r="X260" s="895">
        <f t="shared" ca="1" si="340"/>
        <v>4455.2890122467106</v>
      </c>
      <c r="Y260" s="895">
        <f t="shared" ca="1" si="340"/>
        <v>5296.0593941617817</v>
      </c>
      <c r="Z260" s="895">
        <f t="shared" ca="1" si="340"/>
        <v>5969.8649705477119</v>
      </c>
      <c r="AA260" s="895">
        <f t="shared" ca="1" si="340"/>
        <v>6362.3392616807487</v>
      </c>
      <c r="AB260" s="895">
        <f t="shared" ca="1" si="340"/>
        <v>6780.6158230427309</v>
      </c>
      <c r="AC260" s="895">
        <f t="shared" ca="1" si="340"/>
        <v>7226.3909623001928</v>
      </c>
      <c r="AD260" s="895">
        <f t="shared" ca="1" si="340"/>
        <v>7701.4725067524023</v>
      </c>
      <c r="AE260" s="11"/>
      <c r="AF260" s="11"/>
      <c r="AG260" s="95"/>
      <c r="AH260" s="72"/>
      <c r="AI260" s="72"/>
      <c r="AJ260" s="72"/>
      <c r="AK260" s="72"/>
      <c r="AL260" s="755"/>
      <c r="AM260" s="73"/>
      <c r="AN260" s="73"/>
      <c r="AO260" s="73"/>
      <c r="AP260" s="755"/>
      <c r="AQ260" s="73"/>
      <c r="AR260" s="73"/>
      <c r="AS260" s="73"/>
      <c r="AT260" s="755"/>
      <c r="AU260" s="73"/>
      <c r="AV260" s="73"/>
      <c r="AW260" s="181"/>
      <c r="AX260" s="755"/>
      <c r="AY260" s="181"/>
      <c r="AZ260" s="66"/>
      <c r="BA260" s="66"/>
      <c r="BB260" s="710"/>
      <c r="BC260" s="66"/>
      <c r="BD260" s="66"/>
      <c r="BE260" s="66"/>
      <c r="BF260" s="710"/>
      <c r="BG260" s="66"/>
      <c r="BH260" s="66"/>
      <c r="BI260" s="66"/>
      <c r="BJ260" s="710"/>
      <c r="BK260" s="66"/>
      <c r="BL260" s="66"/>
      <c r="BM260" s="66"/>
      <c r="BN260" s="710"/>
      <c r="BO260" s="66"/>
      <c r="BP260" s="66"/>
      <c r="BQ260" s="66"/>
    </row>
    <row r="261" spans="1:101" hidden="1" outlineLevel="2">
      <c r="A261" s="573"/>
      <c r="J261" s="33" t="s">
        <v>351</v>
      </c>
      <c r="K261" s="11"/>
      <c r="L261" s="11"/>
      <c r="M261" s="11"/>
      <c r="N261" s="76"/>
      <c r="O261" s="76"/>
      <c r="P261" s="76"/>
      <c r="Q261" s="79">
        <f t="shared" ref="Q261:AD261" si="341">Q259/Q$258</f>
        <v>0.69789762340036565</v>
      </c>
      <c r="R261" s="79">
        <f t="shared" si="341"/>
        <v>0.71632725973561984</v>
      </c>
      <c r="S261" s="79">
        <f t="shared" si="341"/>
        <v>0.76115534160340681</v>
      </c>
      <c r="T261" s="79">
        <f t="shared" si="341"/>
        <v>0.77973898160034227</v>
      </c>
      <c r="U261" s="79">
        <f t="shared" si="341"/>
        <v>0.76201517706576727</v>
      </c>
      <c r="V261" s="79">
        <f t="shared" ca="1" si="341"/>
        <v>0.76201517706576727</v>
      </c>
      <c r="W261" s="79">
        <f t="shared" ca="1" si="341"/>
        <v>0.80054207139042444</v>
      </c>
      <c r="X261" s="79">
        <f t="shared" ca="1" si="341"/>
        <v>0.7992822931234449</v>
      </c>
      <c r="Y261" s="79">
        <f t="shared" ca="1" si="341"/>
        <v>0.84295611005806426</v>
      </c>
      <c r="Z261" s="79">
        <f t="shared" ca="1" si="341"/>
        <v>0.84138308538354079</v>
      </c>
      <c r="AA261" s="79">
        <f t="shared" ca="1" si="341"/>
        <v>0.8397782295794689</v>
      </c>
      <c r="AB261" s="79">
        <f t="shared" ca="1" si="341"/>
        <v>0.83476271109996347</v>
      </c>
      <c r="AC261" s="79">
        <f t="shared" ca="1" si="341"/>
        <v>0.8294230378225208</v>
      </c>
      <c r="AD261" s="79">
        <f t="shared" ca="1" si="341"/>
        <v>0.82372673495308824</v>
      </c>
      <c r="AE261" s="11"/>
      <c r="AF261" s="11"/>
      <c r="AG261" s="95"/>
      <c r="AH261" s="35"/>
      <c r="AI261" s="35"/>
      <c r="AJ261" s="35"/>
      <c r="AK261" s="35"/>
      <c r="AL261" s="1720"/>
      <c r="AM261" s="35"/>
      <c r="AN261" s="35"/>
      <c r="AO261" s="35"/>
      <c r="AP261" s="1720"/>
      <c r="AQ261" s="35"/>
      <c r="AR261" s="35"/>
      <c r="AS261" s="35"/>
      <c r="AT261" s="1720"/>
      <c r="AU261" s="35"/>
      <c r="AV261" s="35"/>
      <c r="AW261" s="76"/>
      <c r="AX261" s="1720"/>
      <c r="AY261" s="76"/>
      <c r="AZ261" s="181"/>
      <c r="BA261" s="181"/>
      <c r="BB261" s="755"/>
      <c r="BC261" s="181"/>
      <c r="BD261" s="181"/>
      <c r="BE261" s="181"/>
      <c r="BF261" s="755"/>
      <c r="BG261" s="181"/>
      <c r="BH261" s="181"/>
      <c r="BI261" s="181"/>
      <c r="BJ261" s="755"/>
      <c r="BK261" s="181"/>
      <c r="BL261" s="181"/>
      <c r="BM261" s="181"/>
      <c r="BN261" s="755"/>
      <c r="BO261" s="181"/>
      <c r="BP261" s="181"/>
      <c r="BQ261" s="181"/>
    </row>
    <row r="262" spans="1:101" hidden="1" outlineLevel="2">
      <c r="A262" s="573"/>
      <c r="J262" s="33" t="s">
        <v>352</v>
      </c>
      <c r="K262" s="11"/>
      <c r="L262" s="11"/>
      <c r="M262" s="11"/>
      <c r="N262" s="76"/>
      <c r="O262" s="76"/>
      <c r="P262" s="76"/>
      <c r="Q262" s="79">
        <f t="shared" ref="Q262:AD262" si="342">Q260/Q$258</f>
        <v>0.30210237659963435</v>
      </c>
      <c r="R262" s="79">
        <f t="shared" si="342"/>
        <v>0.28367274026438016</v>
      </c>
      <c r="S262" s="79">
        <f t="shared" si="342"/>
        <v>0.23884465839659322</v>
      </c>
      <c r="T262" s="79">
        <f t="shared" si="342"/>
        <v>0.22026101839965767</v>
      </c>
      <c r="U262" s="79">
        <f t="shared" si="342"/>
        <v>0.2379848229342327</v>
      </c>
      <c r="V262" s="79">
        <f t="shared" ca="1" si="342"/>
        <v>0.2379848229342327</v>
      </c>
      <c r="W262" s="79">
        <f t="shared" ca="1" si="342"/>
        <v>0.19945792860957562</v>
      </c>
      <c r="X262" s="79">
        <f t="shared" ca="1" si="342"/>
        <v>0.2007177068765551</v>
      </c>
      <c r="Y262" s="79">
        <f t="shared" ca="1" si="342"/>
        <v>0.15704388994193563</v>
      </c>
      <c r="Z262" s="79">
        <f t="shared" ca="1" si="342"/>
        <v>0.15861691461645921</v>
      </c>
      <c r="AA262" s="79">
        <f t="shared" ca="1" si="342"/>
        <v>0.1602217704205311</v>
      </c>
      <c r="AB262" s="79">
        <f t="shared" ca="1" si="342"/>
        <v>0.16523728890003653</v>
      </c>
      <c r="AC262" s="79">
        <f t="shared" ca="1" si="342"/>
        <v>0.17057696217747911</v>
      </c>
      <c r="AD262" s="79">
        <f t="shared" ca="1" si="342"/>
        <v>0.17627326504691171</v>
      </c>
      <c r="AE262" s="11"/>
      <c r="AF262" s="11"/>
      <c r="AG262" s="95"/>
      <c r="AH262" s="35"/>
      <c r="AI262" s="35"/>
      <c r="AJ262" s="35"/>
      <c r="AK262" s="35"/>
      <c r="AL262" s="1720"/>
      <c r="AM262" s="35"/>
      <c r="AN262" s="35"/>
      <c r="AO262" s="35"/>
      <c r="AP262" s="1720"/>
      <c r="AQ262" s="35"/>
      <c r="AR262" s="35"/>
      <c r="AS262" s="35"/>
      <c r="AT262" s="1720"/>
      <c r="AU262" s="35"/>
      <c r="AV262" s="35"/>
      <c r="AW262" s="76"/>
      <c r="AX262" s="1720"/>
      <c r="AY262" s="76"/>
      <c r="AZ262" s="181"/>
      <c r="BA262" s="181"/>
      <c r="BB262" s="755"/>
      <c r="BC262" s="181"/>
      <c r="BD262" s="181"/>
      <c r="BE262" s="181"/>
      <c r="BF262" s="755"/>
      <c r="BG262" s="181"/>
      <c r="BH262" s="181"/>
      <c r="BI262" s="181"/>
      <c r="BJ262" s="755"/>
      <c r="BK262" s="181"/>
      <c r="BL262" s="181"/>
      <c r="BM262" s="181"/>
      <c r="BN262" s="755"/>
      <c r="BO262" s="181"/>
      <c r="BP262" s="181"/>
      <c r="BQ262" s="181"/>
    </row>
    <row r="263" spans="1:101" hidden="1" outlineLevel="2">
      <c r="A263" s="573"/>
      <c r="J263" s="315"/>
      <c r="K263" s="11"/>
      <c r="L263" s="11"/>
      <c r="M263" s="11"/>
      <c r="N263" s="76"/>
      <c r="O263" s="76"/>
      <c r="P263" s="607"/>
      <c r="Q263" s="352"/>
      <c r="R263" s="352"/>
      <c r="S263" s="352"/>
      <c r="T263" s="352"/>
      <c r="U263" s="352"/>
      <c r="V263" s="352"/>
      <c r="W263" s="352"/>
      <c r="X263" s="352"/>
      <c r="Y263" s="352"/>
      <c r="Z263" s="352"/>
      <c r="AA263" s="352"/>
      <c r="AB263" s="352"/>
      <c r="AC263" s="352"/>
      <c r="AD263" s="352"/>
      <c r="AE263" s="11"/>
      <c r="AF263" s="11"/>
      <c r="AG263" s="95"/>
      <c r="AH263" s="35"/>
      <c r="AI263" s="35"/>
      <c r="AJ263" s="35"/>
      <c r="AK263" s="35"/>
      <c r="AL263" s="1720"/>
      <c r="AM263" s="35"/>
      <c r="AN263" s="35"/>
      <c r="AO263" s="35"/>
      <c r="AP263" s="1720"/>
      <c r="AQ263" s="35"/>
      <c r="AR263" s="35"/>
      <c r="AS263" s="35"/>
      <c r="AT263" s="1720"/>
      <c r="AU263" s="35"/>
      <c r="AV263" s="35"/>
      <c r="AW263" s="76"/>
      <c r="AX263" s="1720"/>
      <c r="AY263" s="76"/>
      <c r="AZ263" s="181"/>
      <c r="BA263" s="181"/>
      <c r="BB263" s="755"/>
      <c r="BC263" s="181"/>
      <c r="BD263" s="181"/>
      <c r="BE263" s="181"/>
      <c r="BF263" s="755"/>
      <c r="BG263" s="181"/>
      <c r="BH263" s="181"/>
      <c r="BI263" s="181"/>
      <c r="BJ263" s="755"/>
      <c r="BK263" s="181"/>
      <c r="BL263" s="181"/>
      <c r="BM263" s="181"/>
      <c r="BN263" s="755"/>
      <c r="BO263" s="181"/>
      <c r="BP263" s="181"/>
      <c r="BQ263" s="181"/>
    </row>
    <row r="264" spans="1:101" hidden="1" outlineLevel="2">
      <c r="A264" s="573"/>
      <c r="J264" s="228" t="s">
        <v>304</v>
      </c>
      <c r="K264" s="11"/>
      <c r="L264" s="11"/>
      <c r="M264" s="11"/>
      <c r="N264" s="76"/>
      <c r="O264" s="76"/>
      <c r="P264" s="323">
        <f>(P226+P227)*1000/P267</f>
        <v>12.627678300455235</v>
      </c>
      <c r="Q264" s="323">
        <f>(Q226+Q227)*1000/Q267</f>
        <v>11.289989680082559</v>
      </c>
      <c r="R264" s="323">
        <f>(R226+R227)*1000/R267</f>
        <v>8.657593566347046</v>
      </c>
      <c r="S264" s="323">
        <f>(S226+S227)*1000/S267</f>
        <v>7.8388969521044993</v>
      </c>
      <c r="T264" s="323">
        <f>T258*1000/T267</f>
        <v>7.400839205130235</v>
      </c>
      <c r="U264" s="323">
        <f t="shared" ref="U264:AD264" si="343">U258*1000/U267</f>
        <v>8.9324044436076075</v>
      </c>
      <c r="V264" s="323">
        <f t="shared" ca="1" si="343"/>
        <v>6.4887301394827457</v>
      </c>
      <c r="W264" s="323">
        <f t="shared" ca="1" si="343"/>
        <v>6.4015976702202551</v>
      </c>
      <c r="X264" s="323">
        <f t="shared" ca="1" si="343"/>
        <v>6.3115976702202552</v>
      </c>
      <c r="Y264" s="323">
        <f t="shared" ca="1" si="343"/>
        <v>8.0668494110940188</v>
      </c>
      <c r="Z264" s="323">
        <f t="shared" ca="1" si="343"/>
        <v>7.9868494110940178</v>
      </c>
      <c r="AA264" s="323">
        <f t="shared" ca="1" si="343"/>
        <v>7.9068494110940195</v>
      </c>
      <c r="AB264" s="323">
        <f t="shared" ca="1" si="343"/>
        <v>7.6668494110940184</v>
      </c>
      <c r="AC264" s="323">
        <f t="shared" ca="1" si="343"/>
        <v>7.4268494110940182</v>
      </c>
      <c r="AD264" s="323">
        <f t="shared" ca="1" si="343"/>
        <v>7.1868494110940171</v>
      </c>
      <c r="AE264" s="11"/>
      <c r="AF264" s="11"/>
      <c r="AG264" s="95"/>
      <c r="AH264" s="35"/>
      <c r="AI264" s="35"/>
      <c r="AJ264" s="35"/>
      <c r="AK264" s="35"/>
      <c r="AL264" s="1720"/>
      <c r="AM264" s="35"/>
      <c r="AN264" s="35"/>
      <c r="AO264" s="35"/>
      <c r="AP264" s="1720"/>
      <c r="AQ264" s="35"/>
      <c r="AR264" s="35"/>
      <c r="AS264" s="35"/>
      <c r="AT264" s="1720"/>
      <c r="AU264" s="35"/>
      <c r="AV264" s="35"/>
      <c r="AW264" s="76"/>
      <c r="AX264" s="1720"/>
      <c r="AY264" s="76"/>
      <c r="AZ264" s="181"/>
      <c r="BA264" s="181"/>
      <c r="BB264" s="755"/>
      <c r="BC264" s="181"/>
      <c r="BD264" s="181"/>
      <c r="BE264" s="181"/>
      <c r="BF264" s="755"/>
      <c r="BG264" s="181"/>
      <c r="BH264" s="181"/>
      <c r="BI264" s="181"/>
      <c r="BJ264" s="755"/>
      <c r="BK264" s="181"/>
      <c r="BL264" s="181"/>
      <c r="BM264" s="181"/>
      <c r="BN264" s="755"/>
      <c r="BO264" s="181"/>
      <c r="BP264" s="181"/>
      <c r="BQ264" s="181"/>
    </row>
    <row r="265" spans="1:101" hidden="1" outlineLevel="2">
      <c r="A265" s="573"/>
      <c r="I265" s="566" t="s">
        <v>320</v>
      </c>
      <c r="J265" s="90" t="s">
        <v>303</v>
      </c>
      <c r="K265" s="11"/>
      <c r="L265" s="11"/>
      <c r="M265" s="11"/>
      <c r="N265" s="76"/>
      <c r="O265" s="76"/>
      <c r="P265" s="76"/>
      <c r="Q265" s="76">
        <f t="shared" ref="Q265:V265" si="344">(Q226*1000)/Q270</f>
        <v>10.505675954592363</v>
      </c>
      <c r="R265" s="76">
        <f t="shared" si="344"/>
        <v>8.2688937003814829</v>
      </c>
      <c r="S265" s="76">
        <f t="shared" si="344"/>
        <v>8.2869698435736172</v>
      </c>
      <c r="T265" s="76">
        <f t="shared" si="344"/>
        <v>7.7982740875623469</v>
      </c>
      <c r="U265" s="76">
        <f t="shared" si="344"/>
        <v>9.0755036716249293</v>
      </c>
      <c r="V265" s="76">
        <f t="shared" ca="1" si="344"/>
        <v>6.5059353239077966</v>
      </c>
      <c r="W265" s="935">
        <f ca="1">V265-0.1</f>
        <v>6.405935323907797</v>
      </c>
      <c r="X265" s="935">
        <f ca="1">W265-0.1</f>
        <v>6.3059353239077973</v>
      </c>
      <c r="Y265" s="935">
        <v>8.5</v>
      </c>
      <c r="Z265" s="935">
        <f>Y265-0.1</f>
        <v>8.4</v>
      </c>
      <c r="AA265" s="935">
        <f>Z265-0.1</f>
        <v>8.3000000000000007</v>
      </c>
      <c r="AB265" s="935">
        <f>AA265-0.3</f>
        <v>8</v>
      </c>
      <c r="AC265" s="935">
        <f>AB265-0.3</f>
        <v>7.7</v>
      </c>
      <c r="AD265" s="935">
        <f>AC265-0.3</f>
        <v>7.4</v>
      </c>
      <c r="AE265" s="11"/>
      <c r="AF265" s="11"/>
      <c r="AG265" s="95"/>
      <c r="AH265" s="35"/>
      <c r="AI265" s="35"/>
      <c r="AJ265" s="35"/>
      <c r="AK265" s="35"/>
      <c r="AL265" s="1720"/>
      <c r="AM265" s="35"/>
      <c r="AN265" s="35"/>
      <c r="AO265" s="35"/>
      <c r="AP265" s="1720"/>
      <c r="AQ265" s="35"/>
      <c r="AR265" s="35"/>
      <c r="AS265" s="35"/>
      <c r="AT265" s="1720"/>
      <c r="AU265" s="35"/>
      <c r="AV265" s="35"/>
      <c r="AW265" s="76"/>
      <c r="AX265" s="1720"/>
      <c r="AY265" s="76"/>
      <c r="AZ265" s="181"/>
      <c r="BA265" s="181"/>
      <c r="BB265" s="755"/>
      <c r="BC265" s="181"/>
      <c r="BD265" s="181"/>
      <c r="BE265" s="181"/>
      <c r="BF265" s="755"/>
      <c r="BG265" s="181"/>
      <c r="BH265" s="181"/>
      <c r="BI265" s="181"/>
      <c r="BJ265" s="755"/>
      <c r="BK265" s="181"/>
      <c r="BL265" s="181"/>
      <c r="BM265" s="181"/>
      <c r="BN265" s="755"/>
      <c r="BO265" s="181"/>
      <c r="BP265" s="181"/>
      <c r="BQ265" s="181"/>
    </row>
    <row r="266" spans="1:101" hidden="1" outlineLevel="2">
      <c r="A266" s="573"/>
      <c r="I266" s="566" t="s">
        <v>320</v>
      </c>
      <c r="J266" s="90" t="s">
        <v>301</v>
      </c>
      <c r="K266" s="11"/>
      <c r="L266" s="11"/>
      <c r="M266" s="11"/>
      <c r="N266" s="76"/>
      <c r="O266" s="76"/>
      <c r="P266" s="320"/>
      <c r="Q266" s="76">
        <f t="shared" ref="Q266:V266" si="345">Q260*1000/Q271</f>
        <v>13.642930856553148</v>
      </c>
      <c r="R266" s="76">
        <f t="shared" si="345"/>
        <v>9.8236931642437373</v>
      </c>
      <c r="S266" s="76">
        <f t="shared" si="345"/>
        <v>6.6867095168981949</v>
      </c>
      <c r="T266" s="76">
        <f t="shared" si="345"/>
        <v>6.2696783859003791</v>
      </c>
      <c r="U266" s="76">
        <f t="shared" si="345"/>
        <v>8.5031067595556387</v>
      </c>
      <c r="V266" s="76">
        <f t="shared" ca="1" si="345"/>
        <v>6.4342470554700855</v>
      </c>
      <c r="W266" s="936">
        <f ca="1">V266-0.05</f>
        <v>6.3842470554700856</v>
      </c>
      <c r="X266" s="936">
        <f ca="1">W266-0.05</f>
        <v>6.3342470554700858</v>
      </c>
      <c r="Y266" s="936">
        <f t="shared" ref="Y266:AD266" ca="1" si="346">X266</f>
        <v>6.3342470554700858</v>
      </c>
      <c r="Z266" s="936">
        <f t="shared" ca="1" si="346"/>
        <v>6.3342470554700858</v>
      </c>
      <c r="AA266" s="936">
        <f t="shared" ca="1" si="346"/>
        <v>6.3342470554700858</v>
      </c>
      <c r="AB266" s="936">
        <f t="shared" ca="1" si="346"/>
        <v>6.3342470554700858</v>
      </c>
      <c r="AC266" s="936">
        <f t="shared" ca="1" si="346"/>
        <v>6.3342470554700858</v>
      </c>
      <c r="AD266" s="936">
        <f t="shared" ca="1" si="346"/>
        <v>6.3342470554700858</v>
      </c>
      <c r="AE266" s="11"/>
      <c r="AF266" s="11"/>
      <c r="AG266" s="95"/>
      <c r="AH266" s="35"/>
      <c r="AI266" s="35"/>
      <c r="AJ266" s="35"/>
      <c r="AK266" s="35"/>
      <c r="AL266" s="1720"/>
      <c r="AM266" s="35"/>
      <c r="AN266" s="35"/>
      <c r="AO266" s="35"/>
      <c r="AP266" s="1720"/>
      <c r="AQ266" s="35"/>
      <c r="AR266" s="35"/>
      <c r="AS266" s="35"/>
      <c r="AT266" s="1720"/>
      <c r="AU266" s="35"/>
      <c r="AV266" s="35"/>
      <c r="AW266" s="76"/>
      <c r="AX266" s="1720"/>
      <c r="AY266" s="76"/>
      <c r="AZ266" s="181"/>
      <c r="BA266" s="181"/>
      <c r="BB266" s="755"/>
      <c r="BC266" s="181"/>
      <c r="BD266" s="181"/>
      <c r="BE266" s="181"/>
      <c r="BF266" s="755"/>
      <c r="BG266" s="181"/>
      <c r="BH266" s="181"/>
      <c r="BI266" s="181"/>
      <c r="BJ266" s="755"/>
      <c r="BK266" s="181"/>
      <c r="BL266" s="181"/>
      <c r="BM266" s="181"/>
      <c r="BN266" s="755"/>
      <c r="BO266" s="181"/>
      <c r="BP266" s="181"/>
      <c r="BQ266" s="181"/>
    </row>
    <row r="267" spans="1:101" s="381" customFormat="1" hidden="1" outlineLevel="2">
      <c r="A267" s="573"/>
      <c r="H267" s="579"/>
      <c r="I267" s="579"/>
      <c r="J267" s="228" t="s">
        <v>302</v>
      </c>
      <c r="K267" s="19"/>
      <c r="L267" s="19"/>
      <c r="M267" s="19"/>
      <c r="N267" s="323"/>
      <c r="O267" s="323"/>
      <c r="P267" s="318">
        <f t="shared" ref="P267:AD267" si="347">P49</f>
        <v>65900</v>
      </c>
      <c r="Q267" s="318">
        <f t="shared" si="347"/>
        <v>193800</v>
      </c>
      <c r="R267" s="318">
        <f t="shared" si="347"/>
        <v>323300</v>
      </c>
      <c r="S267" s="318">
        <f t="shared" si="347"/>
        <v>689000</v>
      </c>
      <c r="T267" s="318">
        <f t="shared" si="347"/>
        <v>1263100</v>
      </c>
      <c r="U267" s="318">
        <f t="shared" si="347"/>
        <v>1593300</v>
      </c>
      <c r="V267" s="318">
        <f t="shared" si="347"/>
        <v>2193341.3309024614</v>
      </c>
      <c r="W267" s="318">
        <f t="shared" si="347"/>
        <v>2848032.0019260445</v>
      </c>
      <c r="X267" s="318">
        <f t="shared" si="347"/>
        <v>3516826.0514872419</v>
      </c>
      <c r="Y267" s="318">
        <f t="shared" si="347"/>
        <v>4180496.393480774</v>
      </c>
      <c r="Z267" s="318">
        <f t="shared" si="347"/>
        <v>4712371.4296810506</v>
      </c>
      <c r="AA267" s="318">
        <f t="shared" si="347"/>
        <v>5022174.8583254283</v>
      </c>
      <c r="AB267" s="318">
        <f t="shared" si="347"/>
        <v>5352345.5618826644</v>
      </c>
      <c r="AC267" s="318">
        <f t="shared" si="347"/>
        <v>5704222.5374361379</v>
      </c>
      <c r="AD267" s="318">
        <f t="shared" si="347"/>
        <v>6079232.8111844147</v>
      </c>
      <c r="AE267" s="19"/>
      <c r="AF267" s="19"/>
      <c r="AG267" s="101"/>
      <c r="AH267" s="324"/>
      <c r="AI267" s="324"/>
      <c r="AJ267" s="324"/>
      <c r="AK267" s="324"/>
      <c r="AL267" s="1722"/>
      <c r="AM267" s="324"/>
      <c r="AN267" s="324"/>
      <c r="AO267" s="324"/>
      <c r="AP267" s="1722"/>
      <c r="AQ267" s="324"/>
      <c r="AR267" s="324"/>
      <c r="AS267" s="324"/>
      <c r="AT267" s="1722"/>
      <c r="AU267" s="324"/>
      <c r="AV267" s="324"/>
      <c r="AW267" s="323"/>
      <c r="AX267" s="1722"/>
      <c r="AY267" s="323"/>
      <c r="AZ267" s="526"/>
      <c r="BA267" s="526"/>
      <c r="BB267" s="763"/>
      <c r="BC267" s="526"/>
      <c r="BD267" s="526"/>
      <c r="BE267" s="526"/>
      <c r="BF267" s="763"/>
      <c r="BG267" s="526"/>
      <c r="BH267" s="526"/>
      <c r="BI267" s="526"/>
      <c r="BJ267" s="763"/>
      <c r="BK267" s="526"/>
      <c r="BL267" s="526"/>
      <c r="BM267" s="526"/>
      <c r="BN267" s="763"/>
      <c r="BO267" s="526"/>
      <c r="BP267" s="526"/>
      <c r="BQ267" s="526"/>
      <c r="BR267" s="580"/>
      <c r="CR267"/>
      <c r="CS267"/>
      <c r="CT267"/>
      <c r="CU267"/>
      <c r="CV267"/>
      <c r="CW267"/>
    </row>
    <row r="268" spans="1:101" s="381" customFormat="1" hidden="1" outlineLevel="2">
      <c r="A268" s="573"/>
      <c r="H268" s="579"/>
      <c r="I268" s="579"/>
      <c r="J268" s="228"/>
      <c r="K268" s="19"/>
      <c r="L268" s="19"/>
      <c r="M268" s="19"/>
      <c r="N268" s="323"/>
      <c r="O268" s="323"/>
      <c r="P268" s="318"/>
      <c r="Q268" s="318"/>
      <c r="R268" s="318"/>
      <c r="S268" s="318"/>
      <c r="T268" s="318"/>
      <c r="U268" s="318"/>
      <c r="V268" s="318"/>
      <c r="W268" s="318"/>
      <c r="X268" s="318"/>
      <c r="Y268" s="318"/>
      <c r="Z268" s="318"/>
      <c r="AA268" s="318"/>
      <c r="AB268" s="318"/>
      <c r="AC268" s="318"/>
      <c r="AD268" s="318"/>
      <c r="AE268" s="19"/>
      <c r="AF268" s="19"/>
      <c r="AG268" s="101"/>
      <c r="AH268" s="324"/>
      <c r="AI268" s="324"/>
      <c r="AJ268" s="324"/>
      <c r="AK268" s="324"/>
      <c r="AL268" s="1722"/>
      <c r="AM268" s="324"/>
      <c r="AN268" s="324"/>
      <c r="AO268" s="324"/>
      <c r="AP268" s="1722"/>
      <c r="AQ268" s="324"/>
      <c r="AR268" s="324"/>
      <c r="AS268" s="324"/>
      <c r="AT268" s="1722"/>
      <c r="AU268" s="324"/>
      <c r="AV268" s="324"/>
      <c r="AW268" s="323"/>
      <c r="AX268" s="1722"/>
      <c r="AY268" s="323"/>
      <c r="AZ268" s="526"/>
      <c r="BA268" s="526"/>
      <c r="BB268" s="763"/>
      <c r="BC268" s="526"/>
      <c r="BD268" s="526"/>
      <c r="BE268" s="526"/>
      <c r="BF268" s="763"/>
      <c r="BG268" s="526"/>
      <c r="BH268" s="526"/>
      <c r="BI268" s="526"/>
      <c r="BJ268" s="763"/>
      <c r="BK268" s="526"/>
      <c r="BL268" s="526"/>
      <c r="BM268" s="526"/>
      <c r="BN268" s="763"/>
      <c r="BO268" s="526"/>
      <c r="BP268" s="526"/>
      <c r="BQ268" s="526"/>
      <c r="BR268" s="580"/>
      <c r="CR268"/>
      <c r="CS268"/>
      <c r="CT268"/>
      <c r="CU268"/>
      <c r="CV268"/>
      <c r="CW268"/>
    </row>
    <row r="269" spans="1:101" s="381" customFormat="1" hidden="1" outlineLevel="2">
      <c r="A269" s="573"/>
      <c r="H269" s="579"/>
      <c r="I269" s="579"/>
      <c r="J269" s="228"/>
      <c r="K269" s="19"/>
      <c r="L269" s="19"/>
      <c r="M269" s="19"/>
      <c r="N269" s="323"/>
      <c r="O269" s="323"/>
      <c r="P269" s="318"/>
      <c r="Q269" s="318"/>
      <c r="R269" s="318"/>
      <c r="S269" s="318"/>
      <c r="T269" s="318"/>
      <c r="U269" s="318"/>
      <c r="V269" s="318"/>
      <c r="W269" s="318"/>
      <c r="X269" s="318"/>
      <c r="Y269" s="318"/>
      <c r="Z269" s="318"/>
      <c r="AA269" s="318"/>
      <c r="AB269" s="318"/>
      <c r="AC269" s="318"/>
      <c r="AD269" s="318"/>
      <c r="AE269" s="19"/>
      <c r="AF269" s="19"/>
      <c r="AG269" s="101"/>
      <c r="AH269" s="324"/>
      <c r="AI269" s="324"/>
      <c r="AJ269" s="324"/>
      <c r="AK269" s="324"/>
      <c r="AL269" s="1722"/>
      <c r="AM269" s="324"/>
      <c r="AN269" s="324"/>
      <c r="AO269" s="324"/>
      <c r="AP269" s="1722"/>
      <c r="AQ269" s="324"/>
      <c r="AR269" s="324"/>
      <c r="AS269" s="324"/>
      <c r="AT269" s="1722"/>
      <c r="AU269" s="324"/>
      <c r="AV269" s="324"/>
      <c r="AW269" s="323"/>
      <c r="AX269" s="1722"/>
      <c r="AY269" s="323"/>
      <c r="AZ269" s="526"/>
      <c r="BA269" s="526"/>
      <c r="BB269" s="763"/>
      <c r="BC269" s="526"/>
      <c r="BD269" s="526"/>
      <c r="BE269" s="526"/>
      <c r="BF269" s="763"/>
      <c r="BG269" s="526"/>
      <c r="BH269" s="526"/>
      <c r="BI269" s="526"/>
      <c r="BJ269" s="763"/>
      <c r="BK269" s="526"/>
      <c r="BL269" s="526"/>
      <c r="BM269" s="526"/>
      <c r="BN269" s="763"/>
      <c r="BO269" s="526"/>
      <c r="BP269" s="526"/>
      <c r="BQ269" s="526"/>
      <c r="BR269" s="580"/>
      <c r="CR269"/>
      <c r="CS269"/>
      <c r="CT269"/>
      <c r="CU269"/>
      <c r="CV269"/>
      <c r="CW269"/>
    </row>
    <row r="270" spans="1:101" hidden="1" outlineLevel="2">
      <c r="A270" s="573"/>
      <c r="J270" s="90" t="s">
        <v>346</v>
      </c>
      <c r="K270" s="11"/>
      <c r="L270" s="11"/>
      <c r="M270" s="11"/>
      <c r="N270" s="76"/>
      <c r="O270" s="76"/>
      <c r="P270" s="66"/>
      <c r="Q270" s="66">
        <f>Q267-Q271</f>
        <v>145350</v>
      </c>
      <c r="R270" s="66">
        <f>R267-R271</f>
        <v>242475</v>
      </c>
      <c r="S270" s="66">
        <f>S267-S271</f>
        <v>496080</v>
      </c>
      <c r="T270" s="66">
        <f>T267-T271</f>
        <v>934694</v>
      </c>
      <c r="U270" s="66">
        <f t="shared" ref="U270:AD270" si="348">U267*U275</f>
        <v>1194975</v>
      </c>
      <c r="V270" s="66">
        <f t="shared" si="348"/>
        <v>1666939.4114858706</v>
      </c>
      <c r="W270" s="66">
        <f t="shared" si="348"/>
        <v>2278425.6015408356</v>
      </c>
      <c r="X270" s="66">
        <f t="shared" si="348"/>
        <v>2813460.8411897938</v>
      </c>
      <c r="Y270" s="66">
        <f t="shared" si="348"/>
        <v>3344397.1147846193</v>
      </c>
      <c r="Z270" s="66">
        <f t="shared" si="348"/>
        <v>3769897.1437448408</v>
      </c>
      <c r="AA270" s="66">
        <f t="shared" si="348"/>
        <v>4017739.886660343</v>
      </c>
      <c r="AB270" s="66">
        <f t="shared" si="348"/>
        <v>4281876.4495061319</v>
      </c>
      <c r="AC270" s="66">
        <f t="shared" si="348"/>
        <v>4563378.0299489107</v>
      </c>
      <c r="AD270" s="66">
        <f t="shared" si="348"/>
        <v>4863386.2489475319</v>
      </c>
      <c r="AE270" s="11"/>
      <c r="AF270" s="11"/>
      <c r="AG270" s="95"/>
      <c r="AH270" s="35"/>
      <c r="AI270" s="35"/>
      <c r="AJ270" s="35"/>
      <c r="AK270" s="35"/>
      <c r="AL270" s="1720"/>
      <c r="AM270" s="35"/>
      <c r="AN270" s="35"/>
      <c r="AO270" s="35"/>
      <c r="AP270" s="1720"/>
      <c r="AQ270" s="35"/>
      <c r="AR270" s="35"/>
      <c r="AS270" s="35"/>
      <c r="AT270" s="1720"/>
      <c r="AU270" s="35"/>
      <c r="AV270" s="35"/>
      <c r="AW270" s="76"/>
      <c r="AX270" s="1720"/>
      <c r="AY270" s="76"/>
      <c r="AZ270" s="181"/>
      <c r="BA270" s="181"/>
      <c r="BB270" s="755"/>
      <c r="BC270" s="181"/>
      <c r="BD270" s="181"/>
      <c r="BE270" s="181"/>
      <c r="BF270" s="755"/>
      <c r="BG270" s="181"/>
      <c r="BH270" s="181"/>
      <c r="BI270" s="181"/>
      <c r="BJ270" s="755"/>
      <c r="BK270" s="181"/>
      <c r="BL270" s="181"/>
      <c r="BM270" s="181"/>
      <c r="BN270" s="755"/>
      <c r="BO270" s="181"/>
      <c r="BP270" s="181"/>
      <c r="BQ270" s="181"/>
    </row>
    <row r="271" spans="1:101" hidden="1" outlineLevel="2">
      <c r="A271" s="573"/>
      <c r="J271" s="90" t="s">
        <v>347</v>
      </c>
      <c r="K271" s="11"/>
      <c r="L271" s="11"/>
      <c r="M271" s="11"/>
      <c r="N271" s="76"/>
      <c r="O271" s="76"/>
      <c r="P271" s="66"/>
      <c r="Q271" s="896">
        <f t="shared" ref="Q271:AD271" si="349">Q267*Q276</f>
        <v>48450</v>
      </c>
      <c r="R271" s="896">
        <f t="shared" si="349"/>
        <v>80825</v>
      </c>
      <c r="S271" s="896">
        <f t="shared" si="349"/>
        <v>192920.00000000003</v>
      </c>
      <c r="T271" s="896">
        <f t="shared" si="349"/>
        <v>328406</v>
      </c>
      <c r="U271" s="896">
        <f t="shared" si="349"/>
        <v>398325</v>
      </c>
      <c r="V271" s="1263">
        <f t="shared" si="349"/>
        <v>526401.91941659071</v>
      </c>
      <c r="W271" s="896">
        <f t="shared" si="349"/>
        <v>569606.40038520889</v>
      </c>
      <c r="X271" s="896">
        <f t="shared" si="349"/>
        <v>703365.21029744844</v>
      </c>
      <c r="Y271" s="896">
        <f t="shared" si="349"/>
        <v>836099.27869615483</v>
      </c>
      <c r="Z271" s="896">
        <f t="shared" si="349"/>
        <v>942474.28593621019</v>
      </c>
      <c r="AA271" s="896">
        <f t="shared" si="349"/>
        <v>1004434.9716650858</v>
      </c>
      <c r="AB271" s="896">
        <f t="shared" si="349"/>
        <v>1070469.112376533</v>
      </c>
      <c r="AC271" s="896">
        <f t="shared" si="349"/>
        <v>1140844.5074872277</v>
      </c>
      <c r="AD271" s="896">
        <f t="shared" si="349"/>
        <v>1215846.562236883</v>
      </c>
      <c r="AE271" s="11"/>
      <c r="AF271" s="11"/>
      <c r="AG271" s="95"/>
      <c r="AH271" s="35"/>
      <c r="AI271" s="35"/>
      <c r="AJ271" s="35"/>
      <c r="AK271" s="35"/>
      <c r="AL271" s="1720"/>
      <c r="AM271" s="35"/>
      <c r="AN271" s="35"/>
      <c r="AO271" s="35"/>
      <c r="AP271" s="1720"/>
      <c r="AQ271" s="35"/>
      <c r="AR271" s="35"/>
      <c r="AS271" s="35"/>
      <c r="AT271" s="1720"/>
      <c r="AU271" s="35"/>
      <c r="AV271" s="35"/>
      <c r="AW271" s="76"/>
      <c r="AX271" s="1720"/>
      <c r="AY271" s="76"/>
      <c r="AZ271" s="181"/>
      <c r="BA271" s="181"/>
      <c r="BB271" s="755"/>
      <c r="BC271" s="181"/>
      <c r="BD271" s="181"/>
      <c r="BE271" s="181"/>
      <c r="BF271" s="755"/>
      <c r="BG271" s="181"/>
      <c r="BH271" s="181"/>
      <c r="BI271" s="181"/>
      <c r="BJ271" s="755"/>
      <c r="BK271" s="181"/>
      <c r="BL271" s="181"/>
      <c r="BM271" s="181"/>
      <c r="BN271" s="755"/>
      <c r="BO271" s="181"/>
      <c r="BP271" s="181"/>
      <c r="BQ271" s="181"/>
    </row>
    <row r="272" spans="1:101" s="381" customFormat="1" hidden="1" outlineLevel="2">
      <c r="A272" s="573"/>
      <c r="H272" s="579"/>
      <c r="I272" s="579"/>
      <c r="J272" s="228" t="s">
        <v>350</v>
      </c>
      <c r="K272" s="19"/>
      <c r="L272" s="19"/>
      <c r="M272" s="19"/>
      <c r="N272" s="323"/>
      <c r="O272" s="323"/>
      <c r="P272" s="318"/>
      <c r="Q272" s="318">
        <f t="shared" ref="Q272:AD272" si="350">Q267/365</f>
        <v>530.95890410958907</v>
      </c>
      <c r="R272" s="318">
        <f t="shared" si="350"/>
        <v>885.7534246575342</v>
      </c>
      <c r="S272" s="318">
        <f t="shared" si="350"/>
        <v>1887.6712328767123</v>
      </c>
      <c r="T272" s="318">
        <f t="shared" si="350"/>
        <v>3460.5479452054797</v>
      </c>
      <c r="U272" s="318">
        <f t="shared" si="350"/>
        <v>4365.2054794520545</v>
      </c>
      <c r="V272" s="318">
        <f t="shared" si="350"/>
        <v>6009.1543312396207</v>
      </c>
      <c r="W272" s="318">
        <f t="shared" si="350"/>
        <v>7802.8274025371084</v>
      </c>
      <c r="X272" s="318">
        <f t="shared" si="350"/>
        <v>9635.1398670883336</v>
      </c>
      <c r="Y272" s="318">
        <f t="shared" si="350"/>
        <v>11453.414776659654</v>
      </c>
      <c r="Z272" s="318">
        <f t="shared" si="350"/>
        <v>12910.606656660413</v>
      </c>
      <c r="AA272" s="318">
        <f t="shared" si="350"/>
        <v>13759.383173494325</v>
      </c>
      <c r="AB272" s="318">
        <f t="shared" si="350"/>
        <v>14663.96044351415</v>
      </c>
      <c r="AC272" s="318">
        <f t="shared" si="350"/>
        <v>15628.00695187983</v>
      </c>
      <c r="AD272" s="318">
        <f t="shared" si="350"/>
        <v>16655.432359409355</v>
      </c>
      <c r="AE272" s="19"/>
      <c r="AF272" s="19"/>
      <c r="AG272" s="101"/>
      <c r="AH272" s="324"/>
      <c r="AI272" s="324"/>
      <c r="AJ272" s="324"/>
      <c r="AK272" s="324"/>
      <c r="AL272" s="1722"/>
      <c r="AM272" s="324"/>
      <c r="AN272" s="324"/>
      <c r="AO272" s="324"/>
      <c r="AP272" s="1722"/>
      <c r="AQ272" s="324"/>
      <c r="AR272" s="324"/>
      <c r="AS272" s="324"/>
      <c r="AT272" s="1722"/>
      <c r="AU272" s="324"/>
      <c r="AV272" s="324"/>
      <c r="AW272" s="323"/>
      <c r="AX272" s="1722"/>
      <c r="AY272" s="323"/>
      <c r="AZ272" s="526"/>
      <c r="BA272" s="526"/>
      <c r="BB272" s="763"/>
      <c r="BC272" s="526"/>
      <c r="BD272" s="526"/>
      <c r="BE272" s="526"/>
      <c r="BF272" s="763"/>
      <c r="BG272" s="526"/>
      <c r="BH272" s="526"/>
      <c r="BI272" s="526"/>
      <c r="BJ272" s="763"/>
      <c r="BK272" s="526"/>
      <c r="BL272" s="526"/>
      <c r="BM272" s="526"/>
      <c r="BN272" s="763"/>
      <c r="BO272" s="526"/>
      <c r="BP272" s="526"/>
      <c r="BQ272" s="526"/>
      <c r="BR272" s="580"/>
      <c r="CR272"/>
      <c r="CS272"/>
      <c r="CT272"/>
      <c r="CU272"/>
      <c r="CV272"/>
      <c r="CW272"/>
    </row>
    <row r="273" spans="1:101" hidden="1" outlineLevel="2">
      <c r="A273" s="573"/>
      <c r="J273" s="90" t="s">
        <v>348</v>
      </c>
      <c r="K273" s="11"/>
      <c r="L273" s="11"/>
      <c r="M273" s="65"/>
      <c r="N273" s="76"/>
      <c r="O273" s="76"/>
      <c r="P273" s="66"/>
      <c r="Q273" s="66">
        <f>Q270/365</f>
        <v>398.21917808219177</v>
      </c>
      <c r="R273" s="66">
        <f t="shared" ref="R273:AD273" si="351">R270/365</f>
        <v>664.31506849315065</v>
      </c>
      <c r="S273" s="66">
        <f t="shared" si="351"/>
        <v>1359.1232876712329</v>
      </c>
      <c r="T273" s="66">
        <f t="shared" si="351"/>
        <v>2560.8054794520549</v>
      </c>
      <c r="U273" s="66">
        <f t="shared" si="351"/>
        <v>3273.9041095890411</v>
      </c>
      <c r="V273" s="66">
        <f t="shared" si="351"/>
        <v>4566.957291742111</v>
      </c>
      <c r="W273" s="66">
        <f t="shared" si="351"/>
        <v>6242.2619220296865</v>
      </c>
      <c r="X273" s="66">
        <f t="shared" si="351"/>
        <v>7708.111893670668</v>
      </c>
      <c r="Y273" s="66">
        <f t="shared" si="351"/>
        <v>9162.7318213277249</v>
      </c>
      <c r="Z273" s="66">
        <f t="shared" si="351"/>
        <v>10328.485325328331</v>
      </c>
      <c r="AA273" s="66">
        <f t="shared" si="351"/>
        <v>11007.50653879546</v>
      </c>
      <c r="AB273" s="66">
        <f t="shared" si="351"/>
        <v>11731.16835481132</v>
      </c>
      <c r="AC273" s="66">
        <f t="shared" si="351"/>
        <v>12502.405561503865</v>
      </c>
      <c r="AD273" s="66">
        <f t="shared" si="351"/>
        <v>13324.345887527485</v>
      </c>
      <c r="AE273" s="11"/>
      <c r="AF273" s="11"/>
      <c r="AG273" s="95"/>
      <c r="AH273" s="35"/>
      <c r="AI273" s="35"/>
      <c r="AJ273" s="35"/>
      <c r="AK273" s="35"/>
      <c r="AL273" s="1720"/>
      <c r="AM273" s="35"/>
      <c r="AN273" s="35"/>
      <c r="AO273" s="35"/>
      <c r="AP273" s="1720"/>
      <c r="AQ273" s="35"/>
      <c r="AR273" s="35"/>
      <c r="AS273" s="35"/>
      <c r="AT273" s="1720"/>
      <c r="AU273" s="35"/>
      <c r="AV273" s="35"/>
      <c r="AW273" s="76"/>
      <c r="AX273" s="1720"/>
      <c r="AY273" s="76"/>
      <c r="AZ273" s="181"/>
      <c r="BA273" s="181"/>
      <c r="BB273" s="755"/>
      <c r="BC273" s="181"/>
      <c r="BD273" s="181"/>
      <c r="BE273" s="181"/>
      <c r="BF273" s="755"/>
      <c r="BG273" s="181"/>
      <c r="BH273" s="181"/>
      <c r="BI273" s="181"/>
      <c r="BJ273" s="755"/>
      <c r="BK273" s="181"/>
      <c r="BL273" s="181"/>
      <c r="BM273" s="181"/>
      <c r="BN273" s="755"/>
      <c r="BO273" s="181"/>
      <c r="BP273" s="181"/>
      <c r="BQ273" s="181"/>
    </row>
    <row r="274" spans="1:101" hidden="1" outlineLevel="2">
      <c r="A274" s="573"/>
      <c r="J274" s="90" t="s">
        <v>349</v>
      </c>
      <c r="K274" s="11"/>
      <c r="L274" s="11"/>
      <c r="M274" s="11"/>
      <c r="N274" s="76"/>
      <c r="O274" s="76"/>
      <c r="P274" s="66"/>
      <c r="Q274" s="66">
        <f>Q271/365</f>
        <v>132.73972602739727</v>
      </c>
      <c r="R274" s="66">
        <f t="shared" ref="R274:AD274" si="352">R271/365</f>
        <v>221.43835616438355</v>
      </c>
      <c r="S274" s="66">
        <f t="shared" si="352"/>
        <v>528.54794520547955</v>
      </c>
      <c r="T274" s="66">
        <f t="shared" si="352"/>
        <v>899.74246575342465</v>
      </c>
      <c r="U274" s="66">
        <f t="shared" si="352"/>
        <v>1091.3013698630136</v>
      </c>
      <c r="V274" s="66">
        <f t="shared" si="352"/>
        <v>1442.1970394975087</v>
      </c>
      <c r="W274" s="66">
        <f t="shared" si="352"/>
        <v>1560.5654805074216</v>
      </c>
      <c r="X274" s="66">
        <f t="shared" si="352"/>
        <v>1927.027973417667</v>
      </c>
      <c r="Y274" s="66">
        <f t="shared" si="352"/>
        <v>2290.6829553319312</v>
      </c>
      <c r="Z274" s="66">
        <f t="shared" si="352"/>
        <v>2582.1213313320827</v>
      </c>
      <c r="AA274" s="66">
        <f t="shared" si="352"/>
        <v>2751.876634698865</v>
      </c>
      <c r="AB274" s="66">
        <f t="shared" si="352"/>
        <v>2932.7920887028299</v>
      </c>
      <c r="AC274" s="66">
        <f t="shared" si="352"/>
        <v>3125.6013903759663</v>
      </c>
      <c r="AD274" s="66">
        <f t="shared" si="352"/>
        <v>3331.0864718818711</v>
      </c>
      <c r="AE274" s="11"/>
      <c r="AF274" s="11"/>
      <c r="AG274" s="95"/>
      <c r="AH274" s="35"/>
      <c r="AI274" s="35"/>
      <c r="AJ274" s="35"/>
      <c r="AK274" s="35"/>
      <c r="AL274" s="1720"/>
      <c r="AM274" s="35"/>
      <c r="AN274" s="35"/>
      <c r="AO274" s="35"/>
      <c r="AP274" s="1720"/>
      <c r="AQ274" s="35"/>
      <c r="AR274" s="35"/>
      <c r="AS274" s="35"/>
      <c r="AT274" s="1720"/>
      <c r="AU274" s="35"/>
      <c r="AV274" s="35"/>
      <c r="AW274" s="76"/>
      <c r="AX274" s="1720"/>
      <c r="AY274" s="76"/>
      <c r="AZ274" s="181"/>
      <c r="BA274" s="181"/>
      <c r="BB274" s="755"/>
      <c r="BC274" s="181"/>
      <c r="BD274" s="181"/>
      <c r="BE274" s="181"/>
      <c r="BF274" s="755"/>
      <c r="BG274" s="181"/>
      <c r="BH274" s="181"/>
      <c r="BI274" s="181"/>
      <c r="BJ274" s="755"/>
      <c r="BK274" s="181"/>
      <c r="BL274" s="181"/>
      <c r="BM274" s="181"/>
      <c r="BN274" s="755"/>
      <c r="BO274" s="181"/>
      <c r="BP274" s="181"/>
      <c r="BQ274" s="181"/>
    </row>
    <row r="275" spans="1:101" hidden="1" outlineLevel="2">
      <c r="A275" s="573"/>
      <c r="J275" s="90" t="s">
        <v>305</v>
      </c>
      <c r="K275" s="11"/>
      <c r="L275" s="11"/>
      <c r="M275" s="11"/>
      <c r="N275" s="76"/>
      <c r="O275" s="76"/>
      <c r="P275" s="320"/>
      <c r="Q275" s="79">
        <f>Q270/Q267</f>
        <v>0.75</v>
      </c>
      <c r="R275" s="79">
        <f>R270/R267</f>
        <v>0.75</v>
      </c>
      <c r="S275" s="79">
        <f>1-S276</f>
        <v>0.72</v>
      </c>
      <c r="T275" s="79">
        <f t="shared" ref="T275:AD275" si="353">1-T276</f>
        <v>0.74</v>
      </c>
      <c r="U275" s="79">
        <f t="shared" si="353"/>
        <v>0.75</v>
      </c>
      <c r="V275" s="79">
        <f t="shared" si="353"/>
        <v>0.76</v>
      </c>
      <c r="W275" s="79">
        <f t="shared" si="353"/>
        <v>0.8</v>
      </c>
      <c r="X275" s="79">
        <f t="shared" si="353"/>
        <v>0.8</v>
      </c>
      <c r="Y275" s="79">
        <f t="shared" si="353"/>
        <v>0.8</v>
      </c>
      <c r="Z275" s="79">
        <f t="shared" si="353"/>
        <v>0.8</v>
      </c>
      <c r="AA275" s="79">
        <f t="shared" si="353"/>
        <v>0.8</v>
      </c>
      <c r="AB275" s="79">
        <f t="shared" si="353"/>
        <v>0.8</v>
      </c>
      <c r="AC275" s="79">
        <f t="shared" si="353"/>
        <v>0.8</v>
      </c>
      <c r="AD275" s="79">
        <f t="shared" si="353"/>
        <v>0.8</v>
      </c>
      <c r="AE275" s="11"/>
      <c r="AF275" s="11"/>
      <c r="AG275" s="95"/>
      <c r="AH275" s="35"/>
      <c r="AI275" s="35"/>
      <c r="AJ275" s="35"/>
      <c r="AK275" s="35"/>
      <c r="AL275" s="1720"/>
      <c r="AM275" s="35"/>
      <c r="AN275" s="35"/>
      <c r="AO275" s="35"/>
      <c r="AP275" s="1720"/>
      <c r="AQ275" s="35"/>
      <c r="AR275" s="35"/>
      <c r="AS275" s="35"/>
      <c r="AT275" s="1720"/>
      <c r="AU275" s="35"/>
      <c r="AV275" s="35"/>
      <c r="AW275" s="76"/>
      <c r="AX275" s="1720"/>
      <c r="AY275" s="76"/>
      <c r="AZ275" s="181"/>
      <c r="BA275" s="181"/>
      <c r="BB275" s="755"/>
      <c r="BC275" s="181"/>
      <c r="BD275" s="181"/>
      <c r="BE275" s="181"/>
      <c r="BF275" s="755"/>
      <c r="BG275" s="181"/>
      <c r="BH275" s="181"/>
      <c r="BI275" s="181"/>
      <c r="BJ275" s="755"/>
      <c r="BK275" s="181"/>
      <c r="BL275" s="181"/>
      <c r="BM275" s="181"/>
      <c r="BN275" s="755"/>
      <c r="BO275" s="181"/>
      <c r="BP275" s="181"/>
      <c r="BQ275" s="181"/>
    </row>
    <row r="276" spans="1:101" hidden="1" outlineLevel="2">
      <c r="A276" s="573"/>
      <c r="J276" s="90" t="s">
        <v>306</v>
      </c>
      <c r="K276" s="11"/>
      <c r="L276" s="11"/>
      <c r="M276" s="11"/>
      <c r="N276" s="76"/>
      <c r="O276" s="76"/>
      <c r="P276" s="320"/>
      <c r="Q276" s="860">
        <v>0.25</v>
      </c>
      <c r="R276" s="860">
        <v>0.25</v>
      </c>
      <c r="S276" s="860">
        <v>0.28000000000000003</v>
      </c>
      <c r="T276" s="860">
        <v>0.26</v>
      </c>
      <c r="U276" s="613">
        <v>0.25</v>
      </c>
      <c r="V276" s="860">
        <f>U276-1%</f>
        <v>0.24</v>
      </c>
      <c r="W276" s="937">
        <v>0.2</v>
      </c>
      <c r="X276" s="937">
        <v>0.2</v>
      </c>
      <c r="Y276" s="937">
        <f t="shared" ref="Y276:AD276" si="354">X276</f>
        <v>0.2</v>
      </c>
      <c r="Z276" s="937">
        <f t="shared" si="354"/>
        <v>0.2</v>
      </c>
      <c r="AA276" s="937">
        <f t="shared" si="354"/>
        <v>0.2</v>
      </c>
      <c r="AB276" s="937">
        <f t="shared" si="354"/>
        <v>0.2</v>
      </c>
      <c r="AC276" s="937">
        <f t="shared" si="354"/>
        <v>0.2</v>
      </c>
      <c r="AD276" s="937">
        <f t="shared" si="354"/>
        <v>0.2</v>
      </c>
      <c r="AE276" s="11"/>
      <c r="AF276" s="11"/>
      <c r="AG276" s="95"/>
      <c r="AH276" s="35"/>
      <c r="AI276" s="35"/>
      <c r="AJ276" s="35"/>
      <c r="AK276" s="35"/>
      <c r="AL276" s="1720"/>
      <c r="AM276" s="35"/>
      <c r="AN276" s="35"/>
      <c r="AO276" s="35"/>
      <c r="AP276" s="1720"/>
      <c r="AQ276" s="35"/>
      <c r="AR276" s="35"/>
      <c r="AS276" s="35"/>
      <c r="AT276" s="1720"/>
      <c r="AU276" s="35"/>
      <c r="AV276" s="35"/>
      <c r="AW276" s="76"/>
      <c r="AX276" s="1720"/>
      <c r="AY276" s="76"/>
      <c r="AZ276" s="181"/>
      <c r="BA276" s="181"/>
      <c r="BB276" s="755"/>
      <c r="BC276" s="181"/>
      <c r="BD276" s="181"/>
      <c r="BE276" s="181"/>
      <c r="BF276" s="755"/>
      <c r="BG276" s="181"/>
      <c r="BH276" s="181"/>
      <c r="BI276" s="181"/>
      <c r="BJ276" s="755"/>
      <c r="BK276" s="181"/>
      <c r="BL276" s="181"/>
      <c r="BM276" s="181"/>
      <c r="BN276" s="755"/>
      <c r="BO276" s="181"/>
      <c r="BP276" s="181"/>
      <c r="BQ276" s="181"/>
    </row>
    <row r="277" spans="1:101" hidden="1" outlineLevel="2">
      <c r="A277" s="573"/>
      <c r="J277" s="90" t="s">
        <v>369</v>
      </c>
      <c r="K277" s="11"/>
      <c r="L277" s="11"/>
      <c r="M277" s="11"/>
      <c r="N277" s="76"/>
      <c r="O277" s="76"/>
      <c r="P277" s="320"/>
      <c r="Q277" s="79">
        <f t="shared" ref="Q277:AD277" si="355">Q84</f>
        <v>0.22646657571623466</v>
      </c>
      <c r="R277" s="79">
        <f t="shared" si="355"/>
        <v>0.25362273304259303</v>
      </c>
      <c r="S277" s="79">
        <f t="shared" si="355"/>
        <v>0.38777863182167566</v>
      </c>
      <c r="T277" s="79">
        <f t="shared" si="355"/>
        <v>0.44759023125135078</v>
      </c>
      <c r="U277" s="79">
        <f t="shared" si="355"/>
        <v>0.43436645396536006</v>
      </c>
      <c r="V277" s="79">
        <f t="shared" si="355"/>
        <v>0.41799999999999998</v>
      </c>
      <c r="W277" s="79">
        <f t="shared" si="355"/>
        <v>0.43</v>
      </c>
      <c r="X277" s="79">
        <f t="shared" si="355"/>
        <v>0.435</v>
      </c>
      <c r="Y277" s="79">
        <f t="shared" si="355"/>
        <v>0.44</v>
      </c>
      <c r="Z277" s="79">
        <f t="shared" si="355"/>
        <v>0.45</v>
      </c>
      <c r="AA277" s="79">
        <f t="shared" si="355"/>
        <v>0.45</v>
      </c>
      <c r="AB277" s="79">
        <f t="shared" si="355"/>
        <v>0.45</v>
      </c>
      <c r="AC277" s="79">
        <f t="shared" si="355"/>
        <v>0.45</v>
      </c>
      <c r="AD277" s="79">
        <f t="shared" si="355"/>
        <v>0.45</v>
      </c>
      <c r="AE277" s="11"/>
      <c r="AF277" s="11"/>
      <c r="AG277" s="95"/>
      <c r="AH277" s="35"/>
      <c r="AI277" s="35"/>
      <c r="AJ277" s="35"/>
      <c r="AK277" s="35"/>
      <c r="AL277" s="1720"/>
      <c r="AM277" s="35"/>
      <c r="AN277" s="35"/>
      <c r="AO277" s="35"/>
      <c r="AP277" s="1720"/>
      <c r="AQ277" s="35"/>
      <c r="AR277" s="35"/>
      <c r="AS277" s="35"/>
      <c r="AT277" s="1720"/>
      <c r="AU277" s="35"/>
      <c r="AV277" s="35"/>
      <c r="AW277" s="76"/>
      <c r="AX277" s="1720"/>
      <c r="AY277" s="76"/>
      <c r="AZ277" s="181"/>
      <c r="BA277" s="181"/>
      <c r="BB277" s="755"/>
      <c r="BC277" s="181"/>
      <c r="BD277" s="181"/>
      <c r="BE277" s="181"/>
      <c r="BF277" s="755"/>
      <c r="BG277" s="181"/>
      <c r="BH277" s="181"/>
      <c r="BI277" s="181"/>
      <c r="BJ277" s="755"/>
      <c r="BK277" s="181"/>
      <c r="BL277" s="181"/>
      <c r="BM277" s="181"/>
      <c r="BN277" s="755"/>
      <c r="BO277" s="181"/>
      <c r="BP277" s="181"/>
      <c r="BQ277" s="181"/>
    </row>
    <row r="278" spans="1:101" hidden="1" outlineLevel="2">
      <c r="A278" s="573"/>
      <c r="J278" s="90" t="s">
        <v>324</v>
      </c>
      <c r="K278" s="11"/>
      <c r="L278" s="11"/>
      <c r="M278" s="11"/>
      <c r="N278" s="76"/>
      <c r="O278" s="76"/>
      <c r="P278" s="320"/>
      <c r="Q278" s="79"/>
      <c r="R278" s="79">
        <f t="shared" ref="R278:AD278" si="356">R270/Q270-1</f>
        <v>0.66821465428276583</v>
      </c>
      <c r="S278" s="79">
        <f t="shared" si="356"/>
        <v>1.0459016393442622</v>
      </c>
      <c r="T278" s="79">
        <f t="shared" si="356"/>
        <v>0.88415981293339785</v>
      </c>
      <c r="U278" s="79">
        <f t="shared" si="356"/>
        <v>0.27846653557206968</v>
      </c>
      <c r="V278" s="79">
        <f t="shared" si="356"/>
        <v>0.39495756102501778</v>
      </c>
      <c r="W278" s="79">
        <f t="shared" si="356"/>
        <v>0.36683168316831649</v>
      </c>
      <c r="X278" s="79">
        <f t="shared" si="356"/>
        <v>0.23482673267326737</v>
      </c>
      <c r="Y278" s="79">
        <f t="shared" si="356"/>
        <v>0.18871287128712844</v>
      </c>
      <c r="Z278" s="79">
        <f t="shared" si="356"/>
        <v>0.12722772277227734</v>
      </c>
      <c r="AA278" s="79">
        <f t="shared" si="356"/>
        <v>6.5742574257425801E-2</v>
      </c>
      <c r="AB278" s="79">
        <f t="shared" si="356"/>
        <v>6.5742574257425801E-2</v>
      </c>
      <c r="AC278" s="79">
        <f t="shared" si="356"/>
        <v>6.5742574257425579E-2</v>
      </c>
      <c r="AD278" s="79">
        <f t="shared" si="356"/>
        <v>6.5742574257425801E-2</v>
      </c>
      <c r="AE278" s="11"/>
      <c r="AF278" s="11"/>
      <c r="AG278" s="95"/>
      <c r="AH278" s="35"/>
      <c r="AI278" s="35"/>
      <c r="AJ278" s="35"/>
      <c r="AK278" s="35"/>
      <c r="AL278" s="1720"/>
      <c r="AM278" s="35"/>
      <c r="AN278" s="35"/>
      <c r="AO278" s="35"/>
      <c r="AP278" s="1720"/>
      <c r="AQ278" s="35"/>
      <c r="AR278" s="35"/>
      <c r="AS278" s="35"/>
      <c r="AT278" s="1720"/>
      <c r="AU278" s="35"/>
      <c r="AV278" s="35"/>
      <c r="AW278" s="76"/>
      <c r="AX278" s="1720"/>
      <c r="AY278" s="76"/>
      <c r="AZ278" s="181"/>
      <c r="BA278" s="181"/>
      <c r="BB278" s="755"/>
      <c r="BC278" s="181"/>
      <c r="BD278" s="181"/>
      <c r="BE278" s="181"/>
      <c r="BF278" s="755"/>
      <c r="BG278" s="181"/>
      <c r="BH278" s="181"/>
      <c r="BI278" s="181"/>
      <c r="BJ278" s="755"/>
      <c r="BK278" s="181"/>
      <c r="BL278" s="181"/>
      <c r="BM278" s="181"/>
      <c r="BN278" s="755"/>
      <c r="BO278" s="181"/>
      <c r="BP278" s="181"/>
      <c r="BQ278" s="181"/>
    </row>
    <row r="279" spans="1:101" hidden="1" outlineLevel="2">
      <c r="A279" s="573"/>
      <c r="J279" s="90" t="s">
        <v>323</v>
      </c>
      <c r="K279" s="11"/>
      <c r="L279" s="11"/>
      <c r="M279" s="11"/>
      <c r="N279" s="76"/>
      <c r="O279" s="76"/>
      <c r="P279" s="320"/>
      <c r="Q279" s="79"/>
      <c r="R279" s="79">
        <f t="shared" ref="R279:AD279" si="357">R271/Q271-1</f>
        <v>0.66821465428276583</v>
      </c>
      <c r="S279" s="79">
        <f t="shared" si="357"/>
        <v>1.3868852459016399</v>
      </c>
      <c r="T279" s="79">
        <f t="shared" si="357"/>
        <v>0.70229110512129345</v>
      </c>
      <c r="U279" s="79">
        <f t="shared" si="357"/>
        <v>0.21290414913247635</v>
      </c>
      <c r="V279" s="79">
        <f t="shared" si="357"/>
        <v>0.32153874202370103</v>
      </c>
      <c r="W279" s="79">
        <f t="shared" si="357"/>
        <v>8.2075082508250574E-2</v>
      </c>
      <c r="X279" s="79">
        <f t="shared" si="357"/>
        <v>0.23482673267326737</v>
      </c>
      <c r="Y279" s="79">
        <f t="shared" si="357"/>
        <v>0.18871287128712844</v>
      </c>
      <c r="Z279" s="79">
        <f t="shared" si="357"/>
        <v>0.12722772277227734</v>
      </c>
      <c r="AA279" s="79">
        <f t="shared" si="357"/>
        <v>6.5742574257425801E-2</v>
      </c>
      <c r="AB279" s="79">
        <f t="shared" si="357"/>
        <v>6.5742574257425801E-2</v>
      </c>
      <c r="AC279" s="79">
        <f t="shared" si="357"/>
        <v>6.5742574257425579E-2</v>
      </c>
      <c r="AD279" s="79">
        <f t="shared" si="357"/>
        <v>6.5742574257425801E-2</v>
      </c>
      <c r="AE279" s="11"/>
      <c r="AF279" s="11"/>
      <c r="AG279" s="95"/>
      <c r="AH279" s="35"/>
      <c r="AI279" s="35"/>
      <c r="AJ279" s="35"/>
      <c r="AK279" s="35"/>
      <c r="AL279" s="1720"/>
      <c r="AM279" s="35"/>
      <c r="AN279" s="35"/>
      <c r="AO279" s="35"/>
      <c r="AP279" s="1720"/>
      <c r="AQ279" s="35"/>
      <c r="AR279" s="35"/>
      <c r="AS279" s="35"/>
      <c r="AT279" s="1720"/>
      <c r="AU279" s="35"/>
      <c r="AV279" s="35"/>
      <c r="AW279" s="76"/>
      <c r="AX279" s="1720"/>
      <c r="AY279" s="76"/>
      <c r="AZ279" s="181"/>
      <c r="BA279" s="181"/>
      <c r="BB279" s="755"/>
      <c r="BC279" s="181"/>
      <c r="BD279" s="181"/>
      <c r="BE279" s="181"/>
      <c r="BF279" s="755"/>
      <c r="BG279" s="181"/>
      <c r="BH279" s="181"/>
      <c r="BI279" s="181"/>
      <c r="BJ279" s="755"/>
      <c r="BK279" s="181"/>
      <c r="BL279" s="181"/>
      <c r="BM279" s="181"/>
      <c r="BN279" s="755"/>
      <c r="BO279" s="181"/>
      <c r="BP279" s="181"/>
      <c r="BQ279" s="181"/>
    </row>
    <row r="280" spans="1:101" s="646" customFormat="1" hidden="1" outlineLevel="2">
      <c r="A280" s="1822"/>
      <c r="H280" s="897"/>
      <c r="I280" s="897"/>
      <c r="J280" s="898" t="s">
        <v>325</v>
      </c>
      <c r="K280" s="899"/>
      <c r="L280" s="899"/>
      <c r="M280" s="899"/>
      <c r="N280" s="900"/>
      <c r="O280" s="900"/>
      <c r="P280" s="900"/>
      <c r="Q280" s="901">
        <f t="shared" ref="Q280:AD280" si="358">Q77/P77-1</f>
        <v>4.7241379310344831</v>
      </c>
      <c r="R280" s="901">
        <f t="shared" si="358"/>
        <v>0.91744897571357997</v>
      </c>
      <c r="S280" s="901">
        <f t="shared" si="358"/>
        <v>2.17</v>
      </c>
      <c r="T280" s="901">
        <f t="shared" si="358"/>
        <v>1.0525272547076314</v>
      </c>
      <c r="U280" s="901">
        <f t="shared" si="358"/>
        <v>0.38049251569290199</v>
      </c>
      <c r="V280" s="901">
        <f t="shared" si="358"/>
        <v>0.32473396292409928</v>
      </c>
      <c r="W280" s="901">
        <f t="shared" si="358"/>
        <v>0.34912499999999946</v>
      </c>
      <c r="X280" s="901">
        <f t="shared" si="358"/>
        <v>0.26167703488372096</v>
      </c>
      <c r="Y280" s="901">
        <f t="shared" si="358"/>
        <v>0.21439999999999992</v>
      </c>
      <c r="Z280" s="901">
        <f t="shared" si="358"/>
        <v>0.16437499999999994</v>
      </c>
      <c r="AA280" s="901">
        <f t="shared" si="358"/>
        <v>7.6400000000000245E-2</v>
      </c>
      <c r="AB280" s="901">
        <f t="shared" si="358"/>
        <v>7.6400000000000023E-2</v>
      </c>
      <c r="AC280" s="901">
        <f t="shared" si="358"/>
        <v>7.6400000000000023E-2</v>
      </c>
      <c r="AD280" s="901">
        <f t="shared" si="358"/>
        <v>7.6399999999999801E-2</v>
      </c>
      <c r="AE280" s="899"/>
      <c r="AF280" s="899"/>
      <c r="AG280" s="899"/>
      <c r="AH280" s="902"/>
      <c r="AI280" s="902"/>
      <c r="AJ280" s="902"/>
      <c r="AK280" s="902"/>
      <c r="AL280" s="903"/>
      <c r="AM280" s="902"/>
      <c r="AN280" s="902"/>
      <c r="AO280" s="902"/>
      <c r="AP280" s="903"/>
      <c r="AQ280" s="902"/>
      <c r="AR280" s="902"/>
      <c r="AS280" s="902"/>
      <c r="AT280" s="903"/>
      <c r="AU280" s="902"/>
      <c r="AV280" s="902"/>
      <c r="AW280" s="900"/>
      <c r="AX280" s="903"/>
      <c r="AY280" s="900"/>
      <c r="AZ280" s="900"/>
      <c r="BA280" s="900"/>
      <c r="BB280" s="903"/>
      <c r="BC280" s="900"/>
      <c r="BD280" s="900"/>
      <c r="BE280" s="900"/>
      <c r="BF280" s="903"/>
      <c r="BG280" s="900"/>
      <c r="BH280" s="900"/>
      <c r="BI280" s="900"/>
      <c r="BJ280" s="903"/>
      <c r="BK280" s="900"/>
      <c r="BL280" s="900"/>
      <c r="BM280" s="900"/>
      <c r="BN280" s="903"/>
      <c r="BO280" s="900"/>
      <c r="BP280" s="900"/>
      <c r="BQ280" s="900"/>
      <c r="BR280" s="645"/>
      <c r="CR280"/>
      <c r="CS280"/>
      <c r="CT280"/>
      <c r="CU280"/>
      <c r="CV280"/>
      <c r="CW280"/>
    </row>
    <row r="281" spans="1:101" hidden="1" outlineLevel="2">
      <c r="A281" s="573"/>
      <c r="J281" s="319"/>
      <c r="K281" s="11"/>
      <c r="L281" s="11"/>
      <c r="M281" s="11"/>
      <c r="N281" s="76"/>
      <c r="O281" s="76"/>
      <c r="P281" s="320"/>
      <c r="Q281" s="79"/>
      <c r="R281" s="79"/>
      <c r="S281" s="79"/>
      <c r="T281" s="66"/>
      <c r="U281" s="66"/>
      <c r="V281" s="66"/>
      <c r="W281" s="66"/>
      <c r="X281" s="66"/>
      <c r="Y281" s="66"/>
      <c r="Z281" s="66"/>
      <c r="AA281" s="66"/>
      <c r="AB281" s="66"/>
      <c r="AC281" s="66"/>
      <c r="AD281" s="66"/>
      <c r="AE281" s="11"/>
      <c r="AF281" s="11"/>
      <c r="AG281" s="95"/>
      <c r="AH281" s="35"/>
      <c r="AI281" s="35"/>
      <c r="AJ281" s="35"/>
      <c r="AK281" s="35"/>
      <c r="AL281" s="1720"/>
      <c r="AM281" s="35"/>
      <c r="AN281" s="35"/>
      <c r="AO281" s="35"/>
      <c r="AP281" s="1720"/>
      <c r="AQ281" s="35"/>
      <c r="AR281" s="35"/>
      <c r="AS281" s="35"/>
      <c r="AT281" s="1720"/>
      <c r="AU281" s="35"/>
      <c r="AV281" s="35"/>
      <c r="AW281" s="76"/>
      <c r="AX281" s="1720"/>
      <c r="AY281" s="76"/>
      <c r="AZ281" s="181"/>
      <c r="BA281" s="181"/>
      <c r="BB281" s="755"/>
      <c r="BC281" s="181"/>
      <c r="BD281" s="181"/>
      <c r="BE281" s="181"/>
      <c r="BF281" s="755"/>
      <c r="BG281" s="181"/>
      <c r="BH281" s="181"/>
      <c r="BI281" s="181"/>
      <c r="BJ281" s="755"/>
      <c r="BK281" s="181"/>
      <c r="BL281" s="181"/>
      <c r="BM281" s="181"/>
      <c r="BN281" s="755"/>
      <c r="BO281" s="181"/>
      <c r="BP281" s="181"/>
      <c r="BQ281" s="181"/>
    </row>
    <row r="282" spans="1:101" hidden="1" outlineLevel="2">
      <c r="A282" s="573"/>
      <c r="I282" s="566" t="s">
        <v>320</v>
      </c>
      <c r="J282" s="315" t="s">
        <v>356</v>
      </c>
      <c r="K282" s="11"/>
      <c r="L282" s="11"/>
      <c r="M282" s="11"/>
      <c r="N282" s="76"/>
      <c r="O282" s="76"/>
      <c r="P282" s="320"/>
      <c r="Q282" s="79"/>
      <c r="R282" s="79"/>
      <c r="S282" s="79"/>
      <c r="T282" s="66"/>
      <c r="U282" s="66"/>
      <c r="V282" s="66"/>
      <c r="W282" s="66"/>
      <c r="X282" s="66"/>
      <c r="Y282" s="66"/>
      <c r="Z282" s="66"/>
      <c r="AA282" s="66"/>
      <c r="AB282" s="66"/>
      <c r="AC282" s="66"/>
      <c r="AD282" s="66"/>
      <c r="AE282" s="11"/>
      <c r="AF282" s="11"/>
      <c r="AG282" s="95"/>
      <c r="AH282" s="35"/>
      <c r="AI282" s="35"/>
      <c r="AJ282" s="35"/>
      <c r="AK282" s="35"/>
      <c r="AL282" s="1720"/>
      <c r="AM282" s="35"/>
      <c r="AN282" s="35"/>
      <c r="AO282" s="35"/>
      <c r="AP282" s="1720"/>
      <c r="AQ282" s="35"/>
      <c r="AR282" s="35"/>
      <c r="AS282" s="35"/>
      <c r="AT282" s="1720"/>
      <c r="AU282" s="35"/>
      <c r="AV282" s="35"/>
      <c r="AW282" s="76"/>
      <c r="AX282" s="1720"/>
      <c r="AY282" s="76"/>
      <c r="AZ282" s="181"/>
      <c r="BA282" s="181"/>
      <c r="BB282" s="755"/>
      <c r="BC282" s="181"/>
      <c r="BD282" s="181"/>
      <c r="BE282" s="181"/>
      <c r="BF282" s="755"/>
      <c r="BG282" s="181"/>
      <c r="BH282" s="181"/>
      <c r="BI282" s="181"/>
      <c r="BJ282" s="755"/>
      <c r="BK282" s="181"/>
      <c r="BL282" s="181"/>
      <c r="BM282" s="181"/>
      <c r="BN282" s="755"/>
      <c r="BO282" s="181"/>
      <c r="BP282" s="181"/>
      <c r="BQ282" s="181"/>
    </row>
    <row r="283" spans="1:101" s="291" customFormat="1" hidden="1" outlineLevel="2">
      <c r="A283" s="573"/>
      <c r="H283" s="579"/>
      <c r="I283" s="579"/>
      <c r="J283" s="316" t="s">
        <v>307</v>
      </c>
      <c r="K283" s="58"/>
      <c r="L283" s="58"/>
      <c r="M283" s="58"/>
      <c r="N283" s="194"/>
      <c r="O283" s="194"/>
      <c r="P283" s="194"/>
      <c r="Q283" s="194"/>
      <c r="R283" s="194">
        <f t="shared" ref="R283:AD283" si="359">IF(ISERROR(R270*1000/R293),"--",R270*1000/R293)</f>
        <v>11665.864806350733</v>
      </c>
      <c r="S283" s="180">
        <f t="shared" si="359"/>
        <v>14060.427413411939</v>
      </c>
      <c r="T283" s="180">
        <f t="shared" si="359"/>
        <v>15810.649886667343</v>
      </c>
      <c r="U283" s="180">
        <f t="shared" si="359"/>
        <v>18114.464588891584</v>
      </c>
      <c r="V283" s="180">
        <f t="shared" si="359"/>
        <v>12072.721518987337</v>
      </c>
      <c r="W283" s="180">
        <f t="shared" si="359"/>
        <v>12437.721518987339</v>
      </c>
      <c r="X283" s="180">
        <f t="shared" si="359"/>
        <v>12437.721518987339</v>
      </c>
      <c r="Y283" s="180">
        <f t="shared" si="359"/>
        <v>12437.72151898734</v>
      </c>
      <c r="Z283" s="180">
        <f t="shared" si="359"/>
        <v>12437.72151898734</v>
      </c>
      <c r="AA283" s="180">
        <f t="shared" si="359"/>
        <v>12437.721518987339</v>
      </c>
      <c r="AB283" s="180">
        <f t="shared" si="359"/>
        <v>12437.721518987339</v>
      </c>
      <c r="AC283" s="180">
        <f t="shared" si="359"/>
        <v>12437.721518987339</v>
      </c>
      <c r="AD283" s="180">
        <f t="shared" si="359"/>
        <v>12437.721518987337</v>
      </c>
      <c r="AE283" s="58"/>
      <c r="AF283" s="58"/>
      <c r="AG283" s="101"/>
      <c r="AH283" s="58"/>
      <c r="AI283" s="58"/>
      <c r="AJ283" s="58"/>
      <c r="AK283" s="58"/>
      <c r="AL283" s="754"/>
      <c r="AM283" s="194"/>
      <c r="AN283" s="194"/>
      <c r="AO283" s="194"/>
      <c r="AP283" s="754"/>
      <c r="AQ283" s="194"/>
      <c r="AR283" s="194"/>
      <c r="AS283" s="194"/>
      <c r="AT283" s="754"/>
      <c r="AU283" s="194"/>
      <c r="AV283" s="194"/>
      <c r="AW283" s="180"/>
      <c r="AX283" s="754"/>
      <c r="AY283" s="180"/>
      <c r="AZ283" s="180"/>
      <c r="BA283" s="180"/>
      <c r="BB283" s="754"/>
      <c r="BC283" s="180"/>
      <c r="BD283" s="180"/>
      <c r="BE283" s="180"/>
      <c r="BF283" s="754"/>
      <c r="BG283" s="180"/>
      <c r="BH283" s="180"/>
      <c r="BI283" s="180"/>
      <c r="BJ283" s="754"/>
      <c r="BK283" s="180"/>
      <c r="BL283" s="180"/>
      <c r="BM283" s="180"/>
      <c r="BN283" s="754"/>
      <c r="BO283" s="180"/>
      <c r="BP283" s="180"/>
      <c r="BQ283" s="180"/>
      <c r="BR283" s="573"/>
      <c r="CR283"/>
      <c r="CS283"/>
      <c r="CT283"/>
      <c r="CU283"/>
      <c r="CV283"/>
      <c r="CW283"/>
    </row>
    <row r="284" spans="1:101" hidden="1" outlineLevel="2">
      <c r="A284" s="573"/>
      <c r="J284" s="33" t="s">
        <v>308</v>
      </c>
      <c r="K284" s="11"/>
      <c r="L284" s="11"/>
      <c r="M284" s="11"/>
      <c r="N284" s="23"/>
      <c r="O284" s="23"/>
      <c r="P284" s="23"/>
      <c r="Q284" s="23"/>
      <c r="R284" s="23">
        <f>R283/365</f>
        <v>31.961273442056804</v>
      </c>
      <c r="S284" s="23">
        <v>30.075949367088597</v>
      </c>
      <c r="T284" s="514">
        <f>S284+1</f>
        <v>31.075949367088597</v>
      </c>
      <c r="U284" s="514">
        <f>T284+1</f>
        <v>32.075949367088597</v>
      </c>
      <c r="V284" s="514">
        <f>U284+1</f>
        <v>33.075949367088597</v>
      </c>
      <c r="W284" s="965">
        <f>V284+1</f>
        <v>34.075949367088597</v>
      </c>
      <c r="X284" s="965">
        <f>W284</f>
        <v>34.075949367088597</v>
      </c>
      <c r="Y284" s="965">
        <f t="shared" ref="Y284:AD284" si="360">X284</f>
        <v>34.075949367088597</v>
      </c>
      <c r="Z284" s="965">
        <f t="shared" si="360"/>
        <v>34.075949367088597</v>
      </c>
      <c r="AA284" s="965">
        <f t="shared" si="360"/>
        <v>34.075949367088597</v>
      </c>
      <c r="AB284" s="965">
        <f t="shared" si="360"/>
        <v>34.075949367088597</v>
      </c>
      <c r="AC284" s="965">
        <f t="shared" si="360"/>
        <v>34.075949367088597</v>
      </c>
      <c r="AD284" s="965">
        <f t="shared" si="360"/>
        <v>34.075949367088597</v>
      </c>
      <c r="AE284" s="11"/>
      <c r="AF284" s="11"/>
      <c r="AG284" s="95"/>
      <c r="AH284" s="11"/>
      <c r="AI284" s="11"/>
      <c r="AJ284" s="11"/>
      <c r="AK284" s="11"/>
      <c r="AL284" s="710"/>
      <c r="AM284" s="23"/>
      <c r="AN284" s="23"/>
      <c r="AO284" s="23"/>
      <c r="AP284" s="710"/>
      <c r="AQ284" s="23"/>
      <c r="AR284" s="23"/>
      <c r="AS284" s="23"/>
      <c r="AT284" s="710"/>
      <c r="AU284" s="23"/>
      <c r="AV284" s="23"/>
      <c r="AW284" s="66"/>
      <c r="AX284" s="710"/>
      <c r="AY284" s="66"/>
      <c r="AZ284" s="66"/>
      <c r="BA284" s="66"/>
      <c r="BB284" s="710"/>
      <c r="BC284" s="66"/>
      <c r="BD284" s="66"/>
      <c r="BE284" s="66"/>
      <c r="BF284" s="710"/>
      <c r="BG284" s="66"/>
      <c r="BH284" s="66"/>
      <c r="BI284" s="66"/>
      <c r="BJ284" s="710"/>
      <c r="BK284" s="66"/>
      <c r="BL284" s="66"/>
      <c r="BM284" s="66"/>
      <c r="BN284" s="710"/>
      <c r="BO284" s="66"/>
      <c r="BP284" s="66"/>
      <c r="BQ284" s="66"/>
    </row>
    <row r="285" spans="1:101" s="381" customFormat="1" hidden="1" outlineLevel="2">
      <c r="A285" s="573"/>
      <c r="H285" s="579"/>
      <c r="I285" s="579"/>
      <c r="J285" s="316"/>
      <c r="K285" s="19"/>
      <c r="L285" s="19"/>
      <c r="M285" s="19"/>
      <c r="N285" s="317"/>
      <c r="O285" s="317"/>
      <c r="P285" s="317"/>
      <c r="Q285" s="317"/>
      <c r="R285" s="317"/>
      <c r="S285" s="318"/>
      <c r="T285" s="384"/>
      <c r="U285" s="384"/>
      <c r="V285" s="384"/>
      <c r="W285" s="384"/>
      <c r="X285" s="384"/>
      <c r="Y285" s="384"/>
      <c r="Z285" s="384"/>
      <c r="AA285" s="384"/>
      <c r="AB285" s="384"/>
      <c r="AC285" s="384"/>
      <c r="AD285" s="384"/>
      <c r="AE285" s="19"/>
      <c r="AF285" s="19"/>
      <c r="AG285" s="101"/>
      <c r="AH285" s="19"/>
      <c r="AI285" s="19"/>
      <c r="AJ285" s="19"/>
      <c r="AK285" s="19"/>
      <c r="AL285" s="756"/>
      <c r="AM285" s="317"/>
      <c r="AN285" s="317"/>
      <c r="AO285" s="317"/>
      <c r="AP285" s="756"/>
      <c r="AQ285" s="317"/>
      <c r="AR285" s="317"/>
      <c r="AS285" s="317"/>
      <c r="AT285" s="756"/>
      <c r="AU285" s="317"/>
      <c r="AV285" s="317"/>
      <c r="AW285" s="318"/>
      <c r="AX285" s="756"/>
      <c r="AY285" s="318"/>
      <c r="AZ285" s="318"/>
      <c r="BA285" s="318"/>
      <c r="BB285" s="756"/>
      <c r="BC285" s="318"/>
      <c r="BD285" s="318"/>
      <c r="BE285" s="318"/>
      <c r="BF285" s="756"/>
      <c r="BG285" s="318"/>
      <c r="BH285" s="318"/>
      <c r="BI285" s="318"/>
      <c r="BJ285" s="756"/>
      <c r="BK285" s="318"/>
      <c r="BL285" s="318"/>
      <c r="BM285" s="318"/>
      <c r="BN285" s="756"/>
      <c r="BO285" s="318"/>
      <c r="BP285" s="318"/>
      <c r="BQ285" s="318"/>
      <c r="BR285" s="580"/>
      <c r="CR285"/>
      <c r="CS285"/>
      <c r="CT285"/>
      <c r="CU285"/>
      <c r="CV285"/>
      <c r="CW285"/>
    </row>
    <row r="286" spans="1:101" s="381" customFormat="1" hidden="1" outlineLevel="2">
      <c r="A286" s="573"/>
      <c r="H286" s="579"/>
      <c r="I286" s="566" t="s">
        <v>320</v>
      </c>
      <c r="J286" s="316" t="s">
        <v>365</v>
      </c>
      <c r="K286" s="19"/>
      <c r="L286" s="19"/>
      <c r="M286" s="19"/>
      <c r="N286" s="317"/>
      <c r="O286" s="317"/>
      <c r="P286" s="317"/>
      <c r="Q286" s="317"/>
      <c r="R286" s="317">
        <f t="shared" ref="R286:AD286" si="361">R226-R287</f>
        <v>1132.03</v>
      </c>
      <c r="S286" s="318">
        <f t="shared" si="361"/>
        <v>2510.6084799999999</v>
      </c>
      <c r="T286" s="318">
        <f t="shared" si="361"/>
        <v>4392.8801215999993</v>
      </c>
      <c r="U286" s="318">
        <f t="shared" si="361"/>
        <v>7354.7713889279994</v>
      </c>
      <c r="V286" s="318">
        <f t="shared" ca="1" si="361"/>
        <v>3101.4331140179202</v>
      </c>
      <c r="W286" s="317">
        <f t="shared" ca="1" si="361"/>
        <v>3705.4863903875867</v>
      </c>
      <c r="X286" s="317">
        <f t="shared" ca="1" si="361"/>
        <v>3487.4546963324956</v>
      </c>
      <c r="Y286" s="317">
        <f t="shared" si="361"/>
        <v>10636.207377048071</v>
      </c>
      <c r="Z286" s="317">
        <f t="shared" si="361"/>
        <v>10609.703211125732</v>
      </c>
      <c r="AA286" s="317">
        <f t="shared" si="361"/>
        <v>9783.3482918856571</v>
      </c>
      <c r="AB286" s="317">
        <f t="shared" si="361"/>
        <v>8388.576546475877</v>
      </c>
      <c r="AC286" s="317">
        <f t="shared" si="361"/>
        <v>6744.0409217141496</v>
      </c>
      <c r="AD286" s="317">
        <f t="shared" si="361"/>
        <v>4820.5757805980757</v>
      </c>
      <c r="AE286" s="19"/>
      <c r="AF286" s="19"/>
      <c r="AG286" s="101"/>
      <c r="AH286" s="19"/>
      <c r="AI286" s="19"/>
      <c r="AJ286" s="19"/>
      <c r="AK286" s="19"/>
      <c r="AL286" s="756"/>
      <c r="AM286" s="317"/>
      <c r="AN286" s="317"/>
      <c r="AO286" s="317"/>
      <c r="AP286" s="756"/>
      <c r="AQ286" s="317"/>
      <c r="AR286" s="317"/>
      <c r="AS286" s="317"/>
      <c r="AT286" s="756"/>
      <c r="AU286" s="317"/>
      <c r="AV286" s="317"/>
      <c r="AW286" s="318"/>
      <c r="AX286" s="756"/>
      <c r="AY286" s="318"/>
      <c r="AZ286" s="318"/>
      <c r="BA286" s="318"/>
      <c r="BB286" s="756"/>
      <c r="BC286" s="318"/>
      <c r="BD286" s="318"/>
      <c r="BE286" s="318"/>
      <c r="BF286" s="756"/>
      <c r="BG286" s="318"/>
      <c r="BH286" s="318"/>
      <c r="BI286" s="318"/>
      <c r="BJ286" s="756"/>
      <c r="BK286" s="318"/>
      <c r="BL286" s="318"/>
      <c r="BM286" s="318"/>
      <c r="BN286" s="756"/>
      <c r="BO286" s="318"/>
      <c r="BP286" s="318"/>
      <c r="BQ286" s="318"/>
      <c r="BR286" s="580"/>
      <c r="CR286"/>
      <c r="CS286"/>
      <c r="CT286"/>
      <c r="CU286"/>
      <c r="CV286"/>
      <c r="CW286"/>
    </row>
    <row r="287" spans="1:101" s="381" customFormat="1" hidden="1" outlineLevel="2">
      <c r="A287" s="573"/>
      <c r="H287" s="579"/>
      <c r="I287" s="566" t="s">
        <v>320</v>
      </c>
      <c r="J287" s="228" t="s">
        <v>366</v>
      </c>
      <c r="K287" s="19"/>
      <c r="L287" s="19"/>
      <c r="M287" s="19"/>
      <c r="N287" s="323"/>
      <c r="O287" s="323"/>
      <c r="P287" s="318"/>
      <c r="Q287" s="318"/>
      <c r="R287" s="318">
        <f t="shared" ref="R287:AD287" si="362">R299*R293/1000000</f>
        <v>872.97</v>
      </c>
      <c r="S287" s="318">
        <f t="shared" si="362"/>
        <v>1600.3915199999999</v>
      </c>
      <c r="T287" s="318">
        <f t="shared" si="362"/>
        <v>2896.1198784000003</v>
      </c>
      <c r="U287" s="318">
        <f t="shared" si="362"/>
        <v>3490.2286110720006</v>
      </c>
      <c r="V287" s="318">
        <f t="shared" si="362"/>
        <v>7743.5668859820798</v>
      </c>
      <c r="W287" s="318">
        <f t="shared" si="362"/>
        <v>10889.960653418722</v>
      </c>
      <c r="X287" s="318">
        <f t="shared" si="362"/>
        <v>14254.04740455757</v>
      </c>
      <c r="Y287" s="318">
        <f t="shared" si="362"/>
        <v>17791.168098621194</v>
      </c>
      <c r="Z287" s="318">
        <f t="shared" si="362"/>
        <v>21057.432796330933</v>
      </c>
      <c r="AA287" s="318">
        <f t="shared" si="362"/>
        <v>23563.892767395195</v>
      </c>
      <c r="AB287" s="318">
        <f t="shared" si="362"/>
        <v>25866.435049573181</v>
      </c>
      <c r="AC287" s="318">
        <f t="shared" si="362"/>
        <v>28393.969908892461</v>
      </c>
      <c r="AD287" s="318">
        <f t="shared" si="362"/>
        <v>31168.482461613661</v>
      </c>
      <c r="AE287" s="19"/>
      <c r="AF287" s="19"/>
      <c r="AG287" s="101"/>
      <c r="AH287" s="324"/>
      <c r="AI287" s="324"/>
      <c r="AJ287" s="324"/>
      <c r="AK287" s="324"/>
      <c r="AL287" s="1722"/>
      <c r="AM287" s="324"/>
      <c r="AN287" s="324"/>
      <c r="AO287" s="324"/>
      <c r="AP287" s="1722"/>
      <c r="AQ287" s="324"/>
      <c r="AR287" s="324"/>
      <c r="AS287" s="324"/>
      <c r="AT287" s="1722"/>
      <c r="AU287" s="324"/>
      <c r="AV287" s="324"/>
      <c r="AW287" s="323"/>
      <c r="AX287" s="1722"/>
      <c r="AY287" s="323"/>
      <c r="AZ287" s="526"/>
      <c r="BA287" s="526"/>
      <c r="BB287" s="763"/>
      <c r="BC287" s="526"/>
      <c r="BD287" s="526"/>
      <c r="BE287" s="526"/>
      <c r="BF287" s="763"/>
      <c r="BG287" s="526"/>
      <c r="BH287" s="526"/>
      <c r="BI287" s="526"/>
      <c r="BJ287" s="763"/>
      <c r="BK287" s="526"/>
      <c r="BL287" s="526"/>
      <c r="BM287" s="526"/>
      <c r="BN287" s="763"/>
      <c r="BO287" s="526"/>
      <c r="BP287" s="526"/>
      <c r="BQ287" s="526"/>
      <c r="BR287" s="580"/>
      <c r="CR287"/>
      <c r="CS287"/>
      <c r="CT287"/>
      <c r="CU287"/>
      <c r="CV287"/>
      <c r="CW287"/>
    </row>
    <row r="288" spans="1:101" s="381" customFormat="1" hidden="1" outlineLevel="2">
      <c r="A288" s="573"/>
      <c r="H288" s="579"/>
      <c r="I288" s="566"/>
      <c r="J288" s="90" t="s">
        <v>704</v>
      </c>
      <c r="K288" s="19"/>
      <c r="L288" s="19"/>
      <c r="M288" s="19"/>
      <c r="N288" s="323"/>
      <c r="O288" s="323"/>
      <c r="P288" s="1460">
        <v>20153</v>
      </c>
      <c r="Q288" s="1460">
        <v>27952</v>
      </c>
      <c r="R288" s="1460">
        <v>38325</v>
      </c>
      <c r="S288" s="1460">
        <v>68109</v>
      </c>
      <c r="T288" s="1460">
        <v>105963</v>
      </c>
      <c r="U288" s="1460">
        <v>120622</v>
      </c>
      <c r="V288" s="1460">
        <v>157831</v>
      </c>
      <c r="W288" s="318"/>
      <c r="X288" s="318"/>
      <c r="Y288" s="318"/>
      <c r="Z288" s="318"/>
      <c r="AA288" s="318"/>
      <c r="AB288" s="318"/>
      <c r="AC288" s="318"/>
      <c r="AD288" s="318"/>
      <c r="AE288" s="19"/>
      <c r="AF288" s="19"/>
      <c r="AG288" s="101"/>
      <c r="AH288" s="324"/>
      <c r="AI288" s="324"/>
      <c r="AJ288" s="324"/>
      <c r="AK288" s="324"/>
      <c r="AL288" s="1722"/>
      <c r="AM288" s="324"/>
      <c r="AN288" s="324"/>
      <c r="AO288" s="324"/>
      <c r="AP288" s="1722"/>
      <c r="AQ288" s="324"/>
      <c r="AR288" s="324"/>
      <c r="AS288" s="324"/>
      <c r="AT288" s="1722"/>
      <c r="AU288" s="324"/>
      <c r="AV288" s="324"/>
      <c r="AW288" s="323"/>
      <c r="AX288" s="1722"/>
      <c r="AY288" s="323"/>
      <c r="AZ288" s="526"/>
      <c r="BA288" s="526"/>
      <c r="BB288" s="763"/>
      <c r="BC288" s="526"/>
      <c r="BD288" s="526"/>
      <c r="BE288" s="526"/>
      <c r="BF288" s="1461">
        <v>108985</v>
      </c>
      <c r="BG288" s="1460">
        <v>113679</v>
      </c>
      <c r="BH288" s="1460">
        <v>115811</v>
      </c>
      <c r="BI288" s="1460">
        <v>120622</v>
      </c>
      <c r="BJ288" s="1461">
        <v>122405</v>
      </c>
      <c r="BK288" s="1460">
        <v>125835</v>
      </c>
      <c r="BL288" s="1460">
        <v>137975</v>
      </c>
      <c r="BM288" s="1460">
        <v>157831</v>
      </c>
      <c r="BN288" s="763"/>
      <c r="BO288" s="526"/>
      <c r="BP288" s="526"/>
      <c r="BQ288" s="526"/>
      <c r="BR288" s="580"/>
      <c r="CR288"/>
      <c r="CS288"/>
      <c r="CT288"/>
      <c r="CU288"/>
      <c r="CV288"/>
      <c r="CW288"/>
    </row>
    <row r="289" spans="1:69" hidden="1" outlineLevel="2">
      <c r="A289" s="573"/>
      <c r="J289" s="90" t="s">
        <v>705</v>
      </c>
      <c r="K289" s="11"/>
      <c r="L289" s="11"/>
      <c r="M289" s="11"/>
      <c r="N289" s="76"/>
      <c r="O289" s="76"/>
      <c r="P289" s="66">
        <f t="shared" ref="P289:R289" si="363">P288-P290</f>
        <v>2291</v>
      </c>
      <c r="Q289" s="66">
        <f t="shared" si="363"/>
        <v>4163</v>
      </c>
      <c r="R289" s="66">
        <f t="shared" si="363"/>
        <v>8712</v>
      </c>
      <c r="S289" s="66">
        <f>S288-S290</f>
        <v>9196</v>
      </c>
      <c r="T289" s="66">
        <f t="shared" ref="T289:U289" si="364">T288-T290</f>
        <v>16084</v>
      </c>
      <c r="U289" s="66">
        <f t="shared" si="364"/>
        <v>20066</v>
      </c>
      <c r="V289" s="174"/>
      <c r="W289" s="63"/>
      <c r="X289" s="63"/>
      <c r="Y289" s="63"/>
      <c r="Z289" s="63"/>
      <c r="AA289" s="63"/>
      <c r="AB289" s="63"/>
      <c r="AC289" s="63"/>
      <c r="AD289" s="63"/>
      <c r="AE289" s="11"/>
      <c r="AF289" s="11"/>
      <c r="AG289" s="95"/>
      <c r="AH289" s="35"/>
      <c r="AI289" s="35"/>
      <c r="AJ289" s="35"/>
      <c r="AK289" s="35"/>
      <c r="AL289" s="1720"/>
      <c r="AM289" s="35"/>
      <c r="AN289" s="35"/>
      <c r="AO289" s="35"/>
      <c r="AP289" s="1720"/>
      <c r="AQ289" s="35"/>
      <c r="AR289" s="35"/>
      <c r="AS289" s="35"/>
      <c r="AT289" s="1720"/>
      <c r="AU289" s="35"/>
      <c r="AV289" s="35"/>
      <c r="AW289" s="76"/>
      <c r="AX289" s="1720"/>
      <c r="AY289" s="76"/>
      <c r="AZ289" s="527"/>
      <c r="BA289" s="527"/>
      <c r="BB289" s="764"/>
      <c r="BC289" s="527"/>
      <c r="BD289" s="527"/>
      <c r="BE289" s="527"/>
      <c r="BF289" s="764"/>
      <c r="BG289" s="527"/>
      <c r="BH289" s="527"/>
      <c r="BI289" s="527"/>
      <c r="BJ289" s="764"/>
      <c r="BK289" s="527"/>
      <c r="BL289" s="527"/>
      <c r="BM289" s="527"/>
      <c r="BN289" s="764"/>
      <c r="BO289" s="527"/>
      <c r="BP289" s="527"/>
      <c r="BQ289" s="527"/>
    </row>
    <row r="290" spans="1:69" hidden="1" outlineLevel="2">
      <c r="A290" s="573"/>
      <c r="J290" s="90" t="s">
        <v>300</v>
      </c>
      <c r="K290" s="11"/>
      <c r="L290" s="11"/>
      <c r="M290" s="11"/>
      <c r="N290" s="76"/>
      <c r="O290" s="76"/>
      <c r="P290" s="1460">
        <v>17862</v>
      </c>
      <c r="Q290" s="1460">
        <v>23789</v>
      </c>
      <c r="R290" s="1460">
        <v>29613</v>
      </c>
      <c r="S290" s="1460">
        <v>58913</v>
      </c>
      <c r="T290" s="1460">
        <v>89879</v>
      </c>
      <c r="U290" s="1460">
        <v>100556</v>
      </c>
      <c r="V290" s="174"/>
      <c r="W290" s="63"/>
      <c r="X290" s="63"/>
      <c r="Y290" s="63"/>
      <c r="Z290" s="63"/>
      <c r="AA290" s="63"/>
      <c r="AB290" s="63"/>
      <c r="AC290" s="63"/>
      <c r="AD290" s="63"/>
      <c r="AE290" s="11"/>
      <c r="AF290" s="11"/>
      <c r="AG290" s="95"/>
      <c r="AH290" s="35"/>
      <c r="AI290" s="35"/>
      <c r="AJ290" s="35"/>
      <c r="AK290" s="35"/>
      <c r="AL290" s="1720"/>
      <c r="AM290" s="35"/>
      <c r="AN290" s="35"/>
      <c r="AO290" s="35"/>
      <c r="AP290" s="1720"/>
      <c r="AQ290" s="35"/>
      <c r="AR290" s="35"/>
      <c r="AS290" s="35"/>
      <c r="AT290" s="1720"/>
      <c r="AU290" s="35"/>
      <c r="AV290" s="35"/>
      <c r="AW290" s="76"/>
      <c r="AX290" s="1720"/>
      <c r="AY290" s="76"/>
      <c r="AZ290" s="527"/>
      <c r="BA290" s="527"/>
      <c r="BB290" s="764"/>
      <c r="BC290" s="527"/>
      <c r="BD290" s="527"/>
      <c r="BE290" s="527"/>
      <c r="BF290" s="764"/>
      <c r="BG290" s="527"/>
      <c r="BH290" s="527"/>
      <c r="BI290" s="527"/>
      <c r="BJ290" s="764"/>
      <c r="BK290" s="527"/>
      <c r="BL290" s="527"/>
      <c r="BM290" s="527"/>
      <c r="BN290" s="764"/>
      <c r="BO290" s="527"/>
      <c r="BP290" s="527"/>
      <c r="BQ290" s="527"/>
    </row>
    <row r="291" spans="1:69" hidden="1" outlineLevel="2">
      <c r="A291" s="573"/>
      <c r="J291" s="195" t="s">
        <v>707</v>
      </c>
      <c r="K291" s="11"/>
      <c r="L291" s="11"/>
      <c r="M291" s="11"/>
      <c r="N291" s="76"/>
      <c r="O291" s="76"/>
      <c r="P291" s="79">
        <f t="shared" ref="P291:T291" si="365">P290/P288</f>
        <v>0.88631965464198881</v>
      </c>
      <c r="Q291" s="79">
        <f t="shared" si="365"/>
        <v>0.85106611333714943</v>
      </c>
      <c r="R291" s="79">
        <f t="shared" si="365"/>
        <v>0.7726810176125245</v>
      </c>
      <c r="S291" s="79">
        <f t="shared" si="365"/>
        <v>0.86498113318357339</v>
      </c>
      <c r="T291" s="79">
        <f t="shared" si="365"/>
        <v>0.8482111680492247</v>
      </c>
      <c r="U291" s="79">
        <f>U290/U288</f>
        <v>0.83364560362122997</v>
      </c>
      <c r="V291" s="174"/>
      <c r="W291" s="63"/>
      <c r="X291" s="63"/>
      <c r="Y291" s="63"/>
      <c r="Z291" s="63"/>
      <c r="AA291" s="63"/>
      <c r="AB291" s="63"/>
      <c r="AC291" s="63"/>
      <c r="AD291" s="63"/>
      <c r="AE291" s="11"/>
      <c r="AF291" s="11"/>
      <c r="AG291" s="95"/>
      <c r="AH291" s="35"/>
      <c r="AI291" s="35"/>
      <c r="AJ291" s="35"/>
      <c r="AK291" s="35"/>
      <c r="AL291" s="1720"/>
      <c r="AM291" s="35"/>
      <c r="AN291" s="35"/>
      <c r="AO291" s="35"/>
      <c r="AP291" s="1720"/>
      <c r="AQ291" s="35"/>
      <c r="AR291" s="35"/>
      <c r="AS291" s="35"/>
      <c r="AT291" s="1720"/>
      <c r="AU291" s="35"/>
      <c r="AV291" s="35"/>
      <c r="AW291" s="76"/>
      <c r="AX291" s="1720"/>
      <c r="AY291" s="76"/>
      <c r="AZ291" s="527"/>
      <c r="BA291" s="527"/>
      <c r="BB291" s="764"/>
      <c r="BC291" s="527"/>
      <c r="BD291" s="527"/>
      <c r="BE291" s="527"/>
      <c r="BF291" s="764"/>
      <c r="BG291" s="527"/>
      <c r="BH291" s="527"/>
      <c r="BI291" s="527"/>
      <c r="BJ291" s="764"/>
      <c r="BK291" s="527"/>
      <c r="BL291" s="527"/>
      <c r="BM291" s="527"/>
      <c r="BN291" s="764"/>
      <c r="BO291" s="527"/>
      <c r="BP291" s="527"/>
      <c r="BQ291" s="527"/>
    </row>
    <row r="292" spans="1:69" hidden="1" outlineLevel="2">
      <c r="A292" s="573"/>
      <c r="J292" s="1922" t="s">
        <v>706</v>
      </c>
      <c r="K292" s="11"/>
      <c r="L292" s="11"/>
      <c r="M292" s="11"/>
      <c r="N292" s="76"/>
      <c r="O292" s="76"/>
      <c r="P292" s="1460"/>
      <c r="Q292" s="1460"/>
      <c r="R292" s="1460"/>
      <c r="S292" s="1460">
        <v>3293</v>
      </c>
      <c r="T292" s="1460">
        <v>4300</v>
      </c>
      <c r="U292" s="1460">
        <v>5345</v>
      </c>
      <c r="V292" s="174"/>
      <c r="W292" s="63"/>
      <c r="X292" s="63"/>
      <c r="Y292" s="63"/>
      <c r="Z292" s="63"/>
      <c r="AA292" s="63"/>
      <c r="AB292" s="63"/>
      <c r="AC292" s="63"/>
      <c r="AD292" s="63"/>
      <c r="AE292" s="11"/>
      <c r="AF292" s="11"/>
      <c r="AG292" s="95"/>
      <c r="AH292" s="35"/>
      <c r="AI292" s="35"/>
      <c r="AJ292" s="35"/>
      <c r="AK292" s="35"/>
      <c r="AL292" s="1720"/>
      <c r="AM292" s="35"/>
      <c r="AN292" s="35"/>
      <c r="AO292" s="35"/>
      <c r="AP292" s="1720"/>
      <c r="AQ292" s="35"/>
      <c r="AR292" s="35"/>
      <c r="AS292" s="35"/>
      <c r="AT292" s="1720"/>
      <c r="AU292" s="35"/>
      <c r="AV292" s="35"/>
      <c r="AW292" s="76"/>
      <c r="AX292" s="1720"/>
      <c r="AY292" s="76"/>
      <c r="AZ292" s="527"/>
      <c r="BA292" s="527"/>
      <c r="BB292" s="764"/>
      <c r="BC292" s="527"/>
      <c r="BD292" s="527"/>
      <c r="BE292" s="527"/>
      <c r="BF292" s="764"/>
      <c r="BG292" s="527"/>
      <c r="BH292" s="527"/>
      <c r="BI292" s="527"/>
      <c r="BJ292" s="764"/>
      <c r="BK292" s="527"/>
      <c r="BL292" s="527"/>
      <c r="BM292" s="527"/>
      <c r="BN292" s="764"/>
      <c r="BO292" s="527"/>
      <c r="BP292" s="527"/>
      <c r="BQ292" s="527"/>
    </row>
    <row r="293" spans="1:69" hidden="1" outlineLevel="2">
      <c r="A293" s="573"/>
      <c r="I293" s="566"/>
      <c r="J293" s="1922" t="s">
        <v>278</v>
      </c>
      <c r="K293" s="11"/>
      <c r="L293" s="11"/>
      <c r="M293" s="11"/>
      <c r="N293" s="76"/>
      <c r="O293" s="76"/>
      <c r="P293" s="76"/>
      <c r="Q293" s="76"/>
      <c r="R293" s="1460">
        <v>20785</v>
      </c>
      <c r="S293" s="1460">
        <v>35282</v>
      </c>
      <c r="T293" s="893">
        <v>59118</v>
      </c>
      <c r="U293" s="893">
        <v>65968</v>
      </c>
      <c r="V293" s="711">
        <f t="shared" ref="V293:AD293" si="366">IF(U293&gt;(V270*1000/365/V284),U293,(V270*1000/365/V284))</f>
        <v>138074.86645527245</v>
      </c>
      <c r="W293" s="711">
        <f t="shared" si="366"/>
        <v>183186.73545332294</v>
      </c>
      <c r="X293" s="711">
        <f t="shared" si="366"/>
        <v>226203.87800890894</v>
      </c>
      <c r="Y293" s="711">
        <f t="shared" si="366"/>
        <v>268891.46132425347</v>
      </c>
      <c r="Z293" s="711">
        <f t="shared" si="366"/>
        <v>303101.90962144808</v>
      </c>
      <c r="AA293" s="711">
        <f t="shared" si="366"/>
        <v>323028.60942230374</v>
      </c>
      <c r="AB293" s="711">
        <f t="shared" si="366"/>
        <v>344265.34176452248</v>
      </c>
      <c r="AC293" s="711">
        <f t="shared" si="366"/>
        <v>366898.23155973462</v>
      </c>
      <c r="AD293" s="711">
        <f t="shared" si="366"/>
        <v>391019.06579296867</v>
      </c>
      <c r="AE293" s="11"/>
      <c r="AF293" s="11"/>
      <c r="AG293" s="95"/>
      <c r="AH293" s="35"/>
      <c r="AI293" s="35"/>
      <c r="AJ293" s="35"/>
      <c r="AK293" s="35"/>
      <c r="AL293" s="1720"/>
      <c r="AM293" s="35"/>
      <c r="AN293" s="35"/>
      <c r="AO293" s="35"/>
      <c r="AP293" s="1720"/>
      <c r="AQ293" s="35"/>
      <c r="AR293" s="35"/>
      <c r="AS293" s="35"/>
      <c r="AT293" s="1720"/>
      <c r="AU293" s="35"/>
      <c r="AV293" s="35"/>
      <c r="AW293" s="76"/>
      <c r="AX293" s="1720"/>
      <c r="AY293" s="76"/>
      <c r="AZ293" s="181"/>
      <c r="BA293" s="181"/>
      <c r="BB293" s="755"/>
      <c r="BC293" s="181"/>
      <c r="BD293" s="181"/>
      <c r="BE293" s="181"/>
      <c r="BF293" s="755"/>
      <c r="BG293" s="181"/>
      <c r="BH293" s="181"/>
      <c r="BI293" s="181"/>
      <c r="BJ293" s="755"/>
      <c r="BK293" s="181"/>
      <c r="BL293" s="181"/>
      <c r="BM293" s="181"/>
      <c r="BN293" s="755"/>
      <c r="BO293" s="181"/>
      <c r="BP293" s="181"/>
      <c r="BQ293" s="181"/>
    </row>
    <row r="294" spans="1:69" hidden="1" outlineLevel="2">
      <c r="A294" s="573"/>
      <c r="J294" s="1922" t="s">
        <v>105</v>
      </c>
      <c r="K294" s="11"/>
      <c r="L294" s="11"/>
      <c r="M294" s="11"/>
      <c r="N294" s="76"/>
      <c r="O294" s="76"/>
      <c r="P294" s="76"/>
      <c r="Q294" s="76"/>
      <c r="R294" s="1460">
        <v>8828</v>
      </c>
      <c r="S294" s="1460">
        <v>12580</v>
      </c>
      <c r="T294" s="1925">
        <v>15765</v>
      </c>
      <c r="U294" s="893">
        <v>17544</v>
      </c>
      <c r="V294" s="905"/>
      <c r="W294" s="906"/>
      <c r="X294" s="906"/>
      <c r="Y294" s="906"/>
      <c r="Z294" s="906"/>
      <c r="AA294" s="906"/>
      <c r="AB294" s="906"/>
      <c r="AC294" s="906"/>
      <c r="AD294" s="906"/>
      <c r="AE294" s="11"/>
      <c r="AF294" s="11"/>
      <c r="AG294" s="95"/>
      <c r="AH294" s="35"/>
      <c r="AI294" s="35"/>
      <c r="AJ294" s="35"/>
      <c r="AK294" s="35"/>
      <c r="AL294" s="1720"/>
      <c r="AM294" s="35"/>
      <c r="AN294" s="35"/>
      <c r="AO294" s="35"/>
      <c r="AP294" s="1720"/>
      <c r="AQ294" s="35"/>
      <c r="AR294" s="35"/>
      <c r="AS294" s="35"/>
      <c r="AT294" s="1720"/>
      <c r="AU294" s="35"/>
      <c r="AV294" s="35"/>
      <c r="AW294" s="76"/>
      <c r="AX294" s="1720"/>
      <c r="AY294" s="76"/>
      <c r="AZ294" s="181"/>
      <c r="BA294" s="181"/>
      <c r="BB294" s="755"/>
      <c r="BC294" s="181"/>
      <c r="BD294" s="181"/>
      <c r="BE294" s="181"/>
      <c r="BF294" s="755"/>
      <c r="BG294" s="181"/>
      <c r="BH294" s="181"/>
      <c r="BI294" s="181"/>
      <c r="BJ294" s="755"/>
      <c r="BK294" s="181"/>
      <c r="BL294" s="181"/>
      <c r="BM294" s="181"/>
      <c r="BN294" s="755"/>
      <c r="BO294" s="181"/>
      <c r="BP294" s="181"/>
      <c r="BQ294" s="181"/>
    </row>
    <row r="295" spans="1:69" hidden="1" outlineLevel="2">
      <c r="A295" s="573"/>
      <c r="J295" s="195" t="s">
        <v>587</v>
      </c>
      <c r="K295" s="11"/>
      <c r="L295" s="11"/>
      <c r="M295" s="11"/>
      <c r="N295" s="76"/>
      <c r="O295" s="76"/>
      <c r="P295" s="1460"/>
      <c r="Q295" s="1460"/>
      <c r="R295" s="1460"/>
      <c r="S295" s="1460"/>
      <c r="T295" s="1460"/>
      <c r="U295" s="1460"/>
      <c r="V295" s="174"/>
      <c r="W295" s="63"/>
      <c r="X295" s="63"/>
      <c r="Y295" s="63"/>
      <c r="Z295" s="63"/>
      <c r="AA295" s="63"/>
      <c r="AB295" s="63"/>
      <c r="AC295" s="63"/>
      <c r="AD295" s="63"/>
      <c r="AE295" s="11"/>
      <c r="AF295" s="11"/>
      <c r="AG295" s="95"/>
      <c r="AH295" s="35"/>
      <c r="AI295" s="35"/>
      <c r="AJ295" s="35"/>
      <c r="AK295" s="35"/>
      <c r="AL295" s="1720"/>
      <c r="AM295" s="35"/>
      <c r="AN295" s="35"/>
      <c r="AO295" s="35"/>
      <c r="AP295" s="1720"/>
      <c r="AQ295" s="35"/>
      <c r="AR295" s="35"/>
      <c r="AS295" s="35"/>
      <c r="AT295" s="1720"/>
      <c r="AU295" s="35"/>
      <c r="AV295" s="35"/>
      <c r="AW295" s="76"/>
      <c r="AX295" s="1720"/>
      <c r="AY295" s="76"/>
      <c r="AZ295" s="527"/>
      <c r="BA295" s="527"/>
      <c r="BB295" s="764"/>
      <c r="BC295" s="527"/>
      <c r="BD295" s="527"/>
      <c r="BE295" s="527"/>
      <c r="BF295" s="764"/>
      <c r="BG295" s="527"/>
      <c r="BH295" s="527"/>
      <c r="BI295" s="527"/>
      <c r="BJ295" s="764"/>
      <c r="BK295" s="527"/>
      <c r="BL295" s="527"/>
      <c r="BM295" s="527"/>
      <c r="BN295" s="764"/>
      <c r="BO295" s="527"/>
      <c r="BP295" s="527"/>
      <c r="BQ295" s="527"/>
    </row>
    <row r="296" spans="1:69" hidden="1" outlineLevel="2">
      <c r="A296" s="573"/>
      <c r="J296" s="1922" t="s">
        <v>706</v>
      </c>
      <c r="K296" s="11"/>
      <c r="L296" s="11"/>
      <c r="M296" s="11"/>
      <c r="N296" s="76"/>
      <c r="O296" s="76"/>
      <c r="P296" s="1460"/>
      <c r="Q296" s="1460"/>
      <c r="R296" s="1460"/>
      <c r="S296" s="79">
        <f>S292/S$290</f>
        <v>5.5895982211056981E-2</v>
      </c>
      <c r="T296" s="79">
        <f t="shared" ref="T296:U296" si="367">T292/T$290</f>
        <v>4.7842098821749238E-2</v>
      </c>
      <c r="U296" s="79">
        <f t="shared" si="367"/>
        <v>5.3154461195751623E-2</v>
      </c>
      <c r="V296" s="174"/>
      <c r="W296" s="63"/>
      <c r="X296" s="63"/>
      <c r="Y296" s="63"/>
      <c r="Z296" s="63"/>
      <c r="AA296" s="63"/>
      <c r="AB296" s="63"/>
      <c r="AC296" s="63"/>
      <c r="AD296" s="63"/>
      <c r="AE296" s="11"/>
      <c r="AF296" s="11"/>
      <c r="AG296" s="95"/>
      <c r="AH296" s="35"/>
      <c r="AI296" s="35"/>
      <c r="AJ296" s="35"/>
      <c r="AK296" s="35"/>
      <c r="AL296" s="1720"/>
      <c r="AM296" s="35"/>
      <c r="AN296" s="35"/>
      <c r="AO296" s="35"/>
      <c r="AP296" s="1720"/>
      <c r="AQ296" s="35"/>
      <c r="AR296" s="35"/>
      <c r="AS296" s="35"/>
      <c r="AT296" s="1720"/>
      <c r="AU296" s="35"/>
      <c r="AV296" s="35"/>
      <c r="AW296" s="76"/>
      <c r="AX296" s="1720"/>
      <c r="AY296" s="76"/>
      <c r="AZ296" s="527"/>
      <c r="BA296" s="527"/>
      <c r="BB296" s="764"/>
      <c r="BC296" s="527"/>
      <c r="BD296" s="527"/>
      <c r="BE296" s="527"/>
      <c r="BF296" s="764"/>
      <c r="BG296" s="527"/>
      <c r="BH296" s="527"/>
      <c r="BI296" s="527"/>
      <c r="BJ296" s="764"/>
      <c r="BK296" s="527"/>
      <c r="BL296" s="527"/>
      <c r="BM296" s="527"/>
      <c r="BN296" s="764"/>
      <c r="BO296" s="527"/>
      <c r="BP296" s="527"/>
      <c r="BQ296" s="527"/>
    </row>
    <row r="297" spans="1:69" hidden="1" outlineLevel="2">
      <c r="A297" s="573"/>
      <c r="I297" s="566"/>
      <c r="J297" s="1922" t="s">
        <v>278</v>
      </c>
      <c r="K297" s="11"/>
      <c r="L297" s="11"/>
      <c r="M297" s="11"/>
      <c r="N297" s="76"/>
      <c r="O297" s="76"/>
      <c r="P297" s="76"/>
      <c r="Q297" s="76"/>
      <c r="R297" s="1460"/>
      <c r="S297" s="79">
        <f t="shared" ref="S297:U298" si="368">S293/S$290</f>
        <v>0.59888309880671498</v>
      </c>
      <c r="T297" s="79">
        <f t="shared" si="368"/>
        <v>0.65775097631259805</v>
      </c>
      <c r="U297" s="79">
        <f t="shared" si="368"/>
        <v>0.65603245952504075</v>
      </c>
      <c r="V297" s="711"/>
      <c r="W297" s="711"/>
      <c r="X297" s="711"/>
      <c r="Y297" s="711"/>
      <c r="Z297" s="711"/>
      <c r="AA297" s="711"/>
      <c r="AB297" s="711"/>
      <c r="AC297" s="711"/>
      <c r="AD297" s="711"/>
      <c r="AE297" s="11"/>
      <c r="AF297" s="11"/>
      <c r="AG297" s="95"/>
      <c r="AH297" s="35"/>
      <c r="AI297" s="35"/>
      <c r="AJ297" s="35"/>
      <c r="AK297" s="35"/>
      <c r="AL297" s="1720"/>
      <c r="AM297" s="35"/>
      <c r="AN297" s="35"/>
      <c r="AO297" s="35"/>
      <c r="AP297" s="1720"/>
      <c r="AQ297" s="35"/>
      <c r="AR297" s="35"/>
      <c r="AS297" s="35"/>
      <c r="AT297" s="1720"/>
      <c r="AU297" s="35"/>
      <c r="AV297" s="35"/>
      <c r="AW297" s="76"/>
      <c r="AX297" s="1720"/>
      <c r="AY297" s="76"/>
      <c r="AZ297" s="181"/>
      <c r="BA297" s="181"/>
      <c r="BB297" s="755"/>
      <c r="BC297" s="181"/>
      <c r="BD297" s="181"/>
      <c r="BE297" s="181"/>
      <c r="BF297" s="755"/>
      <c r="BG297" s="181"/>
      <c r="BH297" s="181"/>
      <c r="BI297" s="181"/>
      <c r="BJ297" s="755"/>
      <c r="BK297" s="181"/>
      <c r="BL297" s="181"/>
      <c r="BM297" s="181"/>
      <c r="BN297" s="755"/>
      <c r="BO297" s="181"/>
      <c r="BP297" s="181"/>
      <c r="BQ297" s="181"/>
    </row>
    <row r="298" spans="1:69" hidden="1" outlineLevel="2">
      <c r="A298" s="573"/>
      <c r="J298" s="1922" t="s">
        <v>105</v>
      </c>
      <c r="K298" s="11"/>
      <c r="L298" s="11"/>
      <c r="M298" s="11"/>
      <c r="N298" s="76"/>
      <c r="O298" s="76"/>
      <c r="P298" s="76"/>
      <c r="Q298" s="76"/>
      <c r="R298" s="1460"/>
      <c r="S298" s="79">
        <f t="shared" si="368"/>
        <v>0.21353521294111658</v>
      </c>
      <c r="T298" s="79">
        <f t="shared" si="368"/>
        <v>0.17540248556392482</v>
      </c>
      <c r="U298" s="79">
        <f t="shared" si="368"/>
        <v>0.1744699470941565</v>
      </c>
      <c r="V298" s="905"/>
      <c r="W298" s="906"/>
      <c r="X298" s="906"/>
      <c r="Y298" s="906"/>
      <c r="Z298" s="906"/>
      <c r="AA298" s="906"/>
      <c r="AB298" s="906"/>
      <c r="AC298" s="906"/>
      <c r="AD298" s="906"/>
      <c r="AE298" s="11"/>
      <c r="AF298" s="11"/>
      <c r="AG298" s="95"/>
      <c r="AH298" s="35"/>
      <c r="AI298" s="35"/>
      <c r="AJ298" s="35"/>
      <c r="AK298" s="35"/>
      <c r="AL298" s="1720"/>
      <c r="AM298" s="35"/>
      <c r="AN298" s="35"/>
      <c r="AO298" s="35"/>
      <c r="AP298" s="1720"/>
      <c r="AQ298" s="35"/>
      <c r="AR298" s="35"/>
      <c r="AS298" s="35"/>
      <c r="AT298" s="1720"/>
      <c r="AU298" s="35"/>
      <c r="AV298" s="35"/>
      <c r="AW298" s="76"/>
      <c r="AX298" s="1720"/>
      <c r="AY298" s="76"/>
      <c r="AZ298" s="181"/>
      <c r="BA298" s="181"/>
      <c r="BB298" s="755"/>
      <c r="BC298" s="181"/>
      <c r="BD298" s="181"/>
      <c r="BE298" s="181"/>
      <c r="BF298" s="755"/>
      <c r="BG298" s="181"/>
      <c r="BH298" s="181"/>
      <c r="BI298" s="181"/>
      <c r="BJ298" s="755"/>
      <c r="BK298" s="181"/>
      <c r="BL298" s="181"/>
      <c r="BM298" s="181"/>
      <c r="BN298" s="755"/>
      <c r="BO298" s="181"/>
      <c r="BP298" s="181"/>
      <c r="BQ298" s="181"/>
    </row>
    <row r="299" spans="1:69" hidden="1" outlineLevel="2">
      <c r="A299" s="573"/>
      <c r="J299" s="90" t="s">
        <v>354</v>
      </c>
      <c r="K299" s="11"/>
      <c r="L299" s="11"/>
      <c r="M299" s="11"/>
      <c r="N299" s="76"/>
      <c r="O299" s="76"/>
      <c r="P299" s="66"/>
      <c r="Q299" s="66"/>
      <c r="R299" s="66">
        <f>3500*12</f>
        <v>42000</v>
      </c>
      <c r="S299" s="1484">
        <f>R299*(1+S300)</f>
        <v>45360</v>
      </c>
      <c r="T299" s="896">
        <f t="shared" ref="T299:AD299" si="369">S299*(1+T300)</f>
        <v>48988.800000000003</v>
      </c>
      <c r="U299" s="896">
        <f t="shared" si="369"/>
        <v>52907.90400000001</v>
      </c>
      <c r="V299" s="896">
        <f t="shared" si="369"/>
        <v>56082.378240000013</v>
      </c>
      <c r="W299" s="896">
        <f t="shared" si="369"/>
        <v>59447.320934400013</v>
      </c>
      <c r="X299" s="896">
        <f t="shared" si="369"/>
        <v>63014.160190464019</v>
      </c>
      <c r="Y299" s="896">
        <f t="shared" si="369"/>
        <v>66164.868199987221</v>
      </c>
      <c r="Z299" s="896">
        <f t="shared" si="369"/>
        <v>69473.11160998659</v>
      </c>
      <c r="AA299" s="896">
        <f t="shared" si="369"/>
        <v>72946.767190485916</v>
      </c>
      <c r="AB299" s="896">
        <f t="shared" si="369"/>
        <v>75135.170206200492</v>
      </c>
      <c r="AC299" s="896">
        <f t="shared" si="369"/>
        <v>77389.225312386508</v>
      </c>
      <c r="AD299" s="896">
        <f t="shared" si="369"/>
        <v>79710.902071758101</v>
      </c>
      <c r="AE299" s="11"/>
      <c r="AF299" s="11"/>
      <c r="AG299" s="95"/>
      <c r="AH299" s="35"/>
      <c r="AI299" s="35"/>
      <c r="AJ299" s="35"/>
      <c r="AK299" s="35"/>
      <c r="AL299" s="1720"/>
      <c r="AM299" s="35"/>
      <c r="AN299" s="35"/>
      <c r="AO299" s="35"/>
      <c r="AP299" s="1720"/>
      <c r="AQ299" s="35"/>
      <c r="AR299" s="35"/>
      <c r="AS299" s="35"/>
      <c r="AT299" s="1720"/>
      <c r="AU299" s="35"/>
      <c r="AV299" s="35"/>
      <c r="AW299" s="76"/>
      <c r="AX299" s="1720"/>
      <c r="AY299" s="76"/>
      <c r="AZ299" s="527"/>
      <c r="BA299" s="527"/>
      <c r="BB299" s="764"/>
      <c r="BC299" s="527"/>
      <c r="BD299" s="527"/>
      <c r="BE299" s="527"/>
      <c r="BF299" s="764"/>
      <c r="BG299" s="527"/>
      <c r="BH299" s="527"/>
      <c r="BI299" s="527"/>
      <c r="BJ299" s="764"/>
      <c r="BK299" s="527"/>
      <c r="BL299" s="527"/>
      <c r="BM299" s="527"/>
      <c r="BN299" s="764"/>
      <c r="BO299" s="527"/>
      <c r="BP299" s="527"/>
      <c r="BQ299" s="527"/>
    </row>
    <row r="300" spans="1:69" hidden="1" outlineLevel="2">
      <c r="A300" s="573"/>
      <c r="J300" s="195" t="s">
        <v>355</v>
      </c>
      <c r="K300" s="11"/>
      <c r="L300" s="11"/>
      <c r="M300" s="11"/>
      <c r="N300" s="76"/>
      <c r="O300" s="76"/>
      <c r="P300" s="76"/>
      <c r="Q300" s="76"/>
      <c r="R300" s="76"/>
      <c r="S300" s="904">
        <v>0.08</v>
      </c>
      <c r="T300" s="904">
        <v>0.08</v>
      </c>
      <c r="U300" s="904">
        <v>0.08</v>
      </c>
      <c r="V300" s="904">
        <v>0.06</v>
      </c>
      <c r="W300" s="964">
        <v>0.06</v>
      </c>
      <c r="X300" s="964">
        <v>0.06</v>
      </c>
      <c r="Y300" s="964">
        <v>0.05</v>
      </c>
      <c r="Z300" s="964">
        <v>0.05</v>
      </c>
      <c r="AA300" s="964">
        <v>0.05</v>
      </c>
      <c r="AB300" s="964">
        <v>0.03</v>
      </c>
      <c r="AC300" s="964">
        <v>0.03</v>
      </c>
      <c r="AD300" s="964">
        <v>0.03</v>
      </c>
      <c r="AE300" s="11"/>
      <c r="AF300" s="11"/>
      <c r="AG300" s="95"/>
      <c r="AH300" s="35"/>
      <c r="AI300" s="35"/>
      <c r="AJ300" s="35"/>
      <c r="AK300" s="35"/>
      <c r="AL300" s="1720"/>
      <c r="AM300" s="35"/>
      <c r="AN300" s="35"/>
      <c r="AO300" s="35"/>
      <c r="AP300" s="1720"/>
      <c r="AQ300" s="35"/>
      <c r="AR300" s="35"/>
      <c r="AS300" s="35"/>
      <c r="AT300" s="1720"/>
      <c r="AU300" s="35"/>
      <c r="AV300" s="35"/>
      <c r="AW300" s="76"/>
      <c r="AX300" s="1720"/>
      <c r="AY300" s="76"/>
      <c r="AZ300" s="181"/>
      <c r="BA300" s="181"/>
      <c r="BB300" s="755"/>
      <c r="BC300" s="181"/>
      <c r="BD300" s="181"/>
      <c r="BE300" s="181"/>
      <c r="BF300" s="755"/>
      <c r="BG300" s="181"/>
      <c r="BH300" s="181"/>
      <c r="BI300" s="181"/>
      <c r="BJ300" s="755"/>
      <c r="BK300" s="181"/>
      <c r="BL300" s="181"/>
      <c r="BM300" s="181"/>
      <c r="BN300" s="755"/>
      <c r="BO300" s="181"/>
      <c r="BP300" s="181"/>
      <c r="BQ300" s="181"/>
    </row>
    <row r="301" spans="1:69" hidden="1" outlineLevel="2">
      <c r="A301" s="573"/>
      <c r="J301" s="195"/>
      <c r="K301" s="11"/>
      <c r="L301" s="11"/>
      <c r="M301" s="11"/>
      <c r="N301" s="76"/>
      <c r="O301" s="76"/>
      <c r="P301" s="76"/>
      <c r="Q301" s="76"/>
      <c r="R301" s="76"/>
      <c r="S301" s="76"/>
      <c r="T301" s="174"/>
      <c r="U301" s="174"/>
      <c r="V301" s="174"/>
      <c r="W301" s="63"/>
      <c r="X301" s="63"/>
      <c r="Y301" s="63"/>
      <c r="Z301" s="63"/>
      <c r="AA301" s="63"/>
      <c r="AB301" s="63"/>
      <c r="AC301" s="63"/>
      <c r="AD301" s="63"/>
      <c r="AE301" s="11"/>
      <c r="AF301" s="11"/>
      <c r="AG301" s="95"/>
      <c r="AH301" s="35"/>
      <c r="AI301" s="35"/>
      <c r="AJ301" s="35"/>
      <c r="AK301" s="35"/>
      <c r="AL301" s="1720"/>
      <c r="AM301" s="35"/>
      <c r="AN301" s="35"/>
      <c r="AO301" s="35"/>
      <c r="AP301" s="1720"/>
      <c r="AQ301" s="35"/>
      <c r="AR301" s="35"/>
      <c r="AS301" s="35"/>
      <c r="AT301" s="1720"/>
      <c r="AU301" s="35"/>
      <c r="AV301" s="35"/>
      <c r="AW301" s="76"/>
      <c r="AX301" s="1720"/>
      <c r="AY301" s="76"/>
      <c r="AZ301" s="181"/>
      <c r="BA301" s="181"/>
      <c r="BB301" s="755"/>
      <c r="BC301" s="181"/>
      <c r="BD301" s="181"/>
      <c r="BE301" s="181"/>
      <c r="BF301" s="755"/>
      <c r="BG301" s="181"/>
      <c r="BH301" s="181"/>
      <c r="BI301" s="181"/>
      <c r="BJ301" s="755"/>
      <c r="BK301" s="181"/>
      <c r="BL301" s="181"/>
      <c r="BM301" s="181"/>
      <c r="BN301" s="755"/>
      <c r="BO301" s="181"/>
      <c r="BP301" s="181"/>
      <c r="BQ301" s="181"/>
    </row>
    <row r="302" spans="1:69" hidden="1" outlineLevel="2">
      <c r="A302" s="573"/>
      <c r="J302" s="315" t="s">
        <v>321</v>
      </c>
      <c r="K302" s="11"/>
      <c r="L302" s="11"/>
      <c r="M302" s="11"/>
      <c r="N302" s="76"/>
      <c r="O302" s="76"/>
      <c r="P302" s="76"/>
      <c r="Q302" s="76"/>
      <c r="R302" s="76"/>
      <c r="S302" s="76"/>
      <c r="T302" s="174"/>
      <c r="U302" s="174"/>
      <c r="V302" s="174"/>
      <c r="W302" s="63"/>
      <c r="X302" s="63"/>
      <c r="Y302" s="63"/>
      <c r="Z302" s="63"/>
      <c r="AA302" s="63"/>
      <c r="AB302" s="63"/>
      <c r="AC302" s="63"/>
      <c r="AD302" s="63"/>
      <c r="AE302" s="11"/>
      <c r="AF302" s="11"/>
      <c r="AG302" s="95"/>
      <c r="AH302" s="35"/>
      <c r="AI302" s="35"/>
      <c r="AJ302" s="35"/>
      <c r="AK302" s="35"/>
      <c r="AL302" s="1720"/>
      <c r="AM302" s="35"/>
      <c r="AN302" s="35"/>
      <c r="AO302" s="35"/>
      <c r="AP302" s="1720"/>
      <c r="AQ302" s="35"/>
      <c r="AR302" s="35"/>
      <c r="AS302" s="35"/>
      <c r="AT302" s="1720"/>
      <c r="AU302" s="35"/>
      <c r="AV302" s="35"/>
      <c r="AW302" s="76"/>
      <c r="AX302" s="1720"/>
      <c r="AY302" s="76"/>
      <c r="AZ302" s="181"/>
      <c r="BA302" s="181"/>
      <c r="BB302" s="755"/>
      <c r="BC302" s="181"/>
      <c r="BD302" s="181"/>
      <c r="BE302" s="181"/>
      <c r="BF302" s="755"/>
      <c r="BG302" s="181"/>
      <c r="BH302" s="181"/>
      <c r="BI302" s="181"/>
      <c r="BJ302" s="755"/>
      <c r="BK302" s="181"/>
      <c r="BL302" s="181"/>
      <c r="BM302" s="181"/>
      <c r="BN302" s="755"/>
      <c r="BO302" s="181"/>
      <c r="BP302" s="181"/>
      <c r="BQ302" s="181"/>
    </row>
    <row r="303" spans="1:69" hidden="1" outlineLevel="2">
      <c r="A303" s="573"/>
      <c r="J303" s="33" t="s">
        <v>321</v>
      </c>
      <c r="K303" s="11"/>
      <c r="L303" s="11"/>
      <c r="M303" s="11"/>
      <c r="N303" s="76"/>
      <c r="O303" s="76"/>
      <c r="P303" s="76">
        <f t="shared" ref="P303:U303" si="370">P230</f>
        <v>0</v>
      </c>
      <c r="Q303" s="76">
        <f t="shared" si="370"/>
        <v>116</v>
      </c>
      <c r="R303" s="76">
        <f t="shared" si="370"/>
        <v>235</v>
      </c>
      <c r="S303" s="76">
        <f t="shared" si="370"/>
        <v>435</v>
      </c>
      <c r="T303" s="76">
        <f t="shared" si="370"/>
        <v>613</v>
      </c>
      <c r="U303" s="76">
        <f t="shared" si="370"/>
        <v>0</v>
      </c>
      <c r="V303" s="1263">
        <f t="shared" ref="V303:AD303" si="371">V305*V75</f>
        <v>1359.1200000000001</v>
      </c>
      <c r="W303" s="1263">
        <f t="shared" si="371"/>
        <v>1425.9615215999995</v>
      </c>
      <c r="X303" s="1263">
        <f t="shared" si="371"/>
        <v>1630.2215973096893</v>
      </c>
      <c r="Y303" s="1263">
        <f t="shared" si="371"/>
        <v>1779.3127724818298</v>
      </c>
      <c r="Z303" s="1263">
        <f t="shared" si="371"/>
        <v>1823.1728323235068</v>
      </c>
      <c r="AA303" s="1263">
        <f t="shared" si="371"/>
        <v>1744.4117659671313</v>
      </c>
      <c r="AB303" s="1263">
        <f t="shared" si="371"/>
        <v>1642.9742217761423</v>
      </c>
      <c r="AC303" s="1263">
        <f t="shared" si="371"/>
        <v>1263.2124659427429</v>
      </c>
      <c r="AD303" s="1263">
        <f t="shared" si="371"/>
        <v>1359.7218983407686</v>
      </c>
      <c r="AE303" s="11"/>
      <c r="AF303" s="11"/>
      <c r="AG303" s="95"/>
      <c r="AH303" s="35"/>
      <c r="AI303" s="35"/>
      <c r="AJ303" s="35"/>
      <c r="AK303" s="35"/>
      <c r="AL303" s="1720"/>
      <c r="AM303" s="35"/>
      <c r="AN303" s="35"/>
      <c r="AO303" s="35"/>
      <c r="AP303" s="1720"/>
      <c r="AQ303" s="35"/>
      <c r="AR303" s="35"/>
      <c r="AS303" s="35"/>
      <c r="AT303" s="1720"/>
      <c r="AU303" s="35"/>
      <c r="AV303" s="35"/>
      <c r="AW303" s="76"/>
      <c r="AX303" s="1720"/>
      <c r="AY303" s="76"/>
      <c r="AZ303" s="527"/>
      <c r="BA303" s="527"/>
      <c r="BB303" s="764"/>
      <c r="BC303" s="527"/>
      <c r="BD303" s="527"/>
      <c r="BE303" s="527"/>
      <c r="BF303" s="764"/>
      <c r="BG303" s="527"/>
      <c r="BH303" s="527"/>
      <c r="BI303" s="527"/>
      <c r="BJ303" s="764"/>
      <c r="BK303" s="527"/>
      <c r="BL303" s="527"/>
      <c r="BM303" s="527"/>
      <c r="BN303" s="764"/>
      <c r="BO303" s="527"/>
      <c r="BP303" s="527"/>
      <c r="BQ303" s="527"/>
    </row>
    <row r="304" spans="1:69" hidden="1" outlineLevel="2">
      <c r="A304" s="573"/>
      <c r="J304" s="90" t="s">
        <v>548</v>
      </c>
      <c r="K304" s="11"/>
      <c r="L304" s="11"/>
      <c r="M304" s="11"/>
      <c r="N304" s="76"/>
      <c r="O304" s="76"/>
      <c r="P304" s="345"/>
      <c r="Q304" s="345">
        <f>Q303/Q120</f>
        <v>2.87594623279679E-3</v>
      </c>
      <c r="R304" s="345">
        <f>R303/R120</f>
        <v>3.5065206362469782E-3</v>
      </c>
      <c r="S304" s="345">
        <f>S303/S120</f>
        <v>4.0074067932454466E-3</v>
      </c>
      <c r="T304" s="345">
        <f>T303/T120</f>
        <v>3.6548792339659315E-3</v>
      </c>
      <c r="U304" s="345">
        <f>U303/U120</f>
        <v>0</v>
      </c>
      <c r="V304" s="907"/>
      <c r="W304" s="907"/>
      <c r="X304" s="907"/>
      <c r="Y304" s="907"/>
      <c r="Z304" s="907"/>
      <c r="AA304" s="907"/>
      <c r="AB304" s="907"/>
      <c r="AC304" s="907"/>
      <c r="AD304" s="907"/>
      <c r="AE304" s="11"/>
      <c r="AF304" s="11"/>
      <c r="AG304" s="95"/>
      <c r="AH304" s="35"/>
      <c r="AI304" s="35"/>
      <c r="AJ304" s="35"/>
      <c r="AK304" s="35"/>
      <c r="AL304" s="1720"/>
      <c r="AM304" s="35"/>
      <c r="AN304" s="35"/>
      <c r="AO304" s="35"/>
      <c r="AP304" s="1720"/>
      <c r="AQ304" s="35"/>
      <c r="AR304" s="35"/>
      <c r="AS304" s="35"/>
      <c r="AT304" s="1720"/>
      <c r="AU304" s="35"/>
      <c r="AV304" s="35"/>
      <c r="AW304" s="76"/>
      <c r="AX304" s="1720"/>
      <c r="AY304" s="76"/>
      <c r="AZ304" s="181"/>
      <c r="BA304" s="181"/>
      <c r="BB304" s="755"/>
      <c r="BC304" s="181"/>
      <c r="BD304" s="181"/>
      <c r="BE304" s="181"/>
      <c r="BF304" s="755"/>
      <c r="BG304" s="181"/>
      <c r="BH304" s="181"/>
      <c r="BI304" s="181"/>
      <c r="BJ304" s="755"/>
      <c r="BK304" s="181"/>
      <c r="BL304" s="181"/>
      <c r="BM304" s="181"/>
      <c r="BN304" s="755"/>
      <c r="BO304" s="181"/>
      <c r="BP304" s="181"/>
      <c r="BQ304" s="181"/>
    </row>
    <row r="305" spans="1:101" hidden="1" outlineLevel="2">
      <c r="A305" s="573"/>
      <c r="J305" s="90" t="s">
        <v>322</v>
      </c>
      <c r="K305" s="11"/>
      <c r="L305" s="11"/>
      <c r="M305" s="11"/>
      <c r="N305" s="76"/>
      <c r="O305" s="76"/>
      <c r="P305" s="345">
        <f t="shared" ref="P305:U305" si="372">P230/P75</f>
        <v>0</v>
      </c>
      <c r="Q305" s="345">
        <f t="shared" si="372"/>
        <v>1.582537517053206E-3</v>
      </c>
      <c r="R305" s="345">
        <f t="shared" si="372"/>
        <v>1.8725099601593625E-3</v>
      </c>
      <c r="S305" s="345">
        <f t="shared" si="372"/>
        <v>1.6717909300538048E-3</v>
      </c>
      <c r="T305" s="345">
        <f t="shared" si="372"/>
        <v>1.324832504862762E-3</v>
      </c>
      <c r="U305" s="345">
        <f t="shared" si="372"/>
        <v>0</v>
      </c>
      <c r="V305" s="1315">
        <v>1.5E-3</v>
      </c>
      <c r="W305" s="954">
        <v>1.1999999999999999E-3</v>
      </c>
      <c r="X305" s="954">
        <f>W305-0.0001</f>
        <v>1.0999999999999998E-3</v>
      </c>
      <c r="Y305" s="954">
        <f>X305-0.0001</f>
        <v>9.999999999999998E-4</v>
      </c>
      <c r="Z305" s="954">
        <f>Y305-0.0001</f>
        <v>8.9999999999999976E-4</v>
      </c>
      <c r="AA305" s="954">
        <f>Z305-0.0001</f>
        <v>7.9999999999999971E-4</v>
      </c>
      <c r="AB305" s="954">
        <f>AA305-0.0001</f>
        <v>6.9999999999999967E-4</v>
      </c>
      <c r="AC305" s="954">
        <v>5.0000000000000001E-4</v>
      </c>
      <c r="AD305" s="954">
        <f>AC305</f>
        <v>5.0000000000000001E-4</v>
      </c>
      <c r="AE305" s="11"/>
      <c r="AF305" s="11"/>
      <c r="AG305" s="95"/>
      <c r="AH305" s="35"/>
      <c r="AI305" s="35"/>
      <c r="AJ305" s="35"/>
      <c r="AK305" s="35"/>
      <c r="AL305" s="1720"/>
      <c r="AM305" s="35"/>
      <c r="AN305" s="35"/>
      <c r="AO305" s="35"/>
      <c r="AP305" s="1720"/>
      <c r="AQ305" s="35"/>
      <c r="AR305" s="35"/>
      <c r="AS305" s="35"/>
      <c r="AT305" s="1720"/>
      <c r="AU305" s="35"/>
      <c r="AV305" s="35"/>
      <c r="AW305" s="76"/>
      <c r="AX305" s="1720"/>
      <c r="AY305" s="76"/>
      <c r="AZ305" s="181"/>
      <c r="BA305" s="181"/>
      <c r="BB305" s="755"/>
      <c r="BC305" s="181"/>
      <c r="BD305" s="181"/>
      <c r="BE305" s="181"/>
      <c r="BF305" s="755"/>
      <c r="BG305" s="181"/>
      <c r="BH305" s="181"/>
      <c r="BI305" s="181"/>
      <c r="BJ305" s="755"/>
      <c r="BK305" s="181"/>
      <c r="BL305" s="181"/>
      <c r="BM305" s="181"/>
      <c r="BN305" s="755"/>
      <c r="BO305" s="181"/>
      <c r="BP305" s="181"/>
      <c r="BQ305" s="181"/>
    </row>
    <row r="306" spans="1:101" hidden="1" outlineLevel="2">
      <c r="A306" s="573"/>
      <c r="J306" s="90" t="s">
        <v>311</v>
      </c>
      <c r="K306" s="11"/>
      <c r="L306" s="11"/>
      <c r="M306" s="11"/>
      <c r="N306" s="76"/>
      <c r="O306" s="76"/>
      <c r="P306" s="345"/>
      <c r="Q306" s="345"/>
      <c r="R306" s="345"/>
      <c r="S306" s="345"/>
      <c r="T306" s="782"/>
      <c r="U306" s="782"/>
      <c r="V306" s="782"/>
      <c r="W306" s="358"/>
      <c r="X306" s="358"/>
      <c r="Y306" s="358"/>
      <c r="Z306" s="358"/>
      <c r="AA306" s="358"/>
      <c r="AB306" s="358"/>
      <c r="AC306" s="358"/>
      <c r="AD306" s="358"/>
      <c r="AE306" s="11"/>
      <c r="AF306" s="11"/>
      <c r="AG306" s="95"/>
      <c r="AH306" s="35"/>
      <c r="AI306" s="35"/>
      <c r="AJ306" s="35"/>
      <c r="AK306" s="35"/>
      <c r="AL306" s="1720"/>
      <c r="AM306" s="35"/>
      <c r="AN306" s="35"/>
      <c r="AO306" s="35"/>
      <c r="AP306" s="1720"/>
      <c r="AQ306" s="35"/>
      <c r="AR306" s="35"/>
      <c r="AS306" s="35"/>
      <c r="AT306" s="1720"/>
      <c r="AU306" s="35"/>
      <c r="AV306" s="35"/>
      <c r="AW306" s="76"/>
      <c r="AX306" s="1720"/>
      <c r="AY306" s="76"/>
      <c r="AZ306" s="181"/>
      <c r="BA306" s="181"/>
      <c r="BB306" s="755"/>
      <c r="BC306" s="181"/>
      <c r="BD306" s="181"/>
      <c r="BE306" s="181"/>
      <c r="BF306" s="755"/>
      <c r="BG306" s="181"/>
      <c r="BH306" s="181"/>
      <c r="BI306" s="181"/>
      <c r="BJ306" s="755"/>
      <c r="BK306" s="181"/>
      <c r="BL306" s="181"/>
      <c r="BM306" s="181"/>
      <c r="BN306" s="755"/>
      <c r="BO306" s="181"/>
      <c r="BP306" s="181"/>
      <c r="BQ306" s="181"/>
    </row>
    <row r="307" spans="1:101" hidden="1" outlineLevel="2">
      <c r="A307" s="573"/>
      <c r="J307" s="195"/>
      <c r="K307" s="11"/>
      <c r="L307" s="11"/>
      <c r="M307" s="11"/>
      <c r="N307" s="76"/>
      <c r="O307" s="76"/>
      <c r="P307" s="76"/>
      <c r="Q307" s="76"/>
      <c r="R307" s="76"/>
      <c r="S307" s="76"/>
      <c r="T307" s="174"/>
      <c r="U307" s="174"/>
      <c r="V307" s="174"/>
      <c r="W307" s="63"/>
      <c r="X307" s="63"/>
      <c r="Y307" s="63"/>
      <c r="Z307" s="63"/>
      <c r="AA307" s="63"/>
      <c r="AB307" s="63"/>
      <c r="AC307" s="63"/>
      <c r="AD307" s="63"/>
      <c r="AE307" s="11"/>
      <c r="AF307" s="11"/>
      <c r="AG307" s="95"/>
      <c r="AH307" s="35"/>
      <c r="AI307" s="35"/>
      <c r="AJ307" s="35"/>
      <c r="AK307" s="35"/>
      <c r="AL307" s="1720"/>
      <c r="AM307" s="35"/>
      <c r="AN307" s="35"/>
      <c r="AO307" s="35"/>
      <c r="AP307" s="1720"/>
      <c r="AQ307" s="35"/>
      <c r="AR307" s="35"/>
      <c r="AS307" s="35"/>
      <c r="AT307" s="1720"/>
      <c r="AU307" s="35"/>
      <c r="AV307" s="35"/>
      <c r="AW307" s="76"/>
      <c r="AX307" s="1720"/>
      <c r="AY307" s="76"/>
      <c r="AZ307" s="181"/>
      <c r="BA307" s="181"/>
      <c r="BB307" s="755"/>
      <c r="BC307" s="181"/>
      <c r="BD307" s="181"/>
      <c r="BE307" s="181"/>
      <c r="BF307" s="755"/>
      <c r="BG307" s="181"/>
      <c r="BH307" s="181"/>
      <c r="BI307" s="181"/>
      <c r="BJ307" s="755"/>
      <c r="BK307" s="181"/>
      <c r="BL307" s="181"/>
      <c r="BM307" s="181"/>
      <c r="BN307" s="755"/>
      <c r="BO307" s="181"/>
      <c r="BP307" s="181"/>
      <c r="BQ307" s="181"/>
    </row>
    <row r="308" spans="1:101" hidden="1" outlineLevel="2">
      <c r="A308" s="573"/>
      <c r="J308" s="315" t="s">
        <v>326</v>
      </c>
      <c r="K308" s="11"/>
      <c r="L308" s="11"/>
      <c r="M308" s="11"/>
      <c r="N308" s="76"/>
      <c r="O308" s="76"/>
      <c r="P308" s="76"/>
      <c r="Q308" s="76"/>
      <c r="R308" s="76"/>
      <c r="S308" s="76"/>
      <c r="T308" s="174"/>
      <c r="U308" s="174"/>
      <c r="V308" s="174"/>
      <c r="W308" s="63"/>
      <c r="X308" s="63"/>
      <c r="Y308" s="63"/>
      <c r="Z308" s="63"/>
      <c r="AA308" s="63"/>
      <c r="AB308" s="63"/>
      <c r="AC308" s="63"/>
      <c r="AD308" s="63"/>
      <c r="AE308" s="11"/>
      <c r="AF308" s="11"/>
      <c r="AG308" s="95"/>
      <c r="AH308" s="35"/>
      <c r="AI308" s="35"/>
      <c r="AJ308" s="35"/>
      <c r="AK308" s="35"/>
      <c r="AL308" s="1720"/>
      <c r="AM308" s="35"/>
      <c r="AN308" s="35"/>
      <c r="AO308" s="35"/>
      <c r="AP308" s="1720"/>
      <c r="AQ308" s="35"/>
      <c r="AR308" s="35"/>
      <c r="AS308" s="35"/>
      <c r="AT308" s="1720"/>
      <c r="AU308" s="35"/>
      <c r="AV308" s="35"/>
      <c r="AW308" s="76"/>
      <c r="AX308" s="1720"/>
      <c r="AY308" s="76"/>
      <c r="AZ308" s="181"/>
      <c r="BA308" s="181"/>
      <c r="BB308" s="755"/>
      <c r="BC308" s="181"/>
      <c r="BD308" s="181"/>
      <c r="BE308" s="181"/>
      <c r="BF308" s="755"/>
      <c r="BG308" s="181"/>
      <c r="BH308" s="181"/>
      <c r="BI308" s="181"/>
      <c r="BJ308" s="755"/>
      <c r="BK308" s="181"/>
      <c r="BL308" s="181"/>
      <c r="BM308" s="181"/>
      <c r="BN308" s="755"/>
      <c r="BO308" s="181"/>
      <c r="BP308" s="181"/>
      <c r="BQ308" s="181"/>
    </row>
    <row r="309" spans="1:101" hidden="1" outlineLevel="2">
      <c r="A309" s="573"/>
      <c r="J309" s="316" t="s">
        <v>571</v>
      </c>
      <c r="K309" s="11"/>
      <c r="L309" s="11"/>
      <c r="M309" s="11"/>
      <c r="N309" s="76"/>
      <c r="O309" s="76"/>
      <c r="P309" s="76"/>
      <c r="Q309" s="66">
        <f>Q228</f>
        <v>281</v>
      </c>
      <c r="R309" s="66">
        <f>R228</f>
        <v>422</v>
      </c>
      <c r="S309" s="66">
        <f>S228</f>
        <v>715</v>
      </c>
      <c r="T309" s="66">
        <f>T228</f>
        <v>1243</v>
      </c>
      <c r="U309" s="66">
        <f>U228</f>
        <v>1990</v>
      </c>
      <c r="V309" s="896">
        <f>V310*V312*365/1000000</f>
        <v>2107.2629728797156</v>
      </c>
      <c r="W309" s="896">
        <f t="shared" ref="W309:AD309" si="373">W310*W312*365/1000000</f>
        <v>2607.5706245169599</v>
      </c>
      <c r="X309" s="896">
        <f t="shared" si="373"/>
        <v>3060.9887021743207</v>
      </c>
      <c r="Y309" s="896">
        <f t="shared" si="373"/>
        <v>3496.9635996074007</v>
      </c>
      <c r="Z309" s="896">
        <f t="shared" si="373"/>
        <v>3782.1765034566224</v>
      </c>
      <c r="AA309" s="896">
        <f t="shared" si="373"/>
        <v>3860.6297663091004</v>
      </c>
      <c r="AB309" s="896">
        <f t="shared" si="373"/>
        <v>3933.051575699365</v>
      </c>
      <c r="AC309" s="896">
        <f t="shared" si="373"/>
        <v>3998.3098033186584</v>
      </c>
      <c r="AD309" s="896">
        <f t="shared" si="373"/>
        <v>4055.1495312603952</v>
      </c>
      <c r="AE309" s="11"/>
      <c r="AF309" s="11"/>
      <c r="AG309" s="95"/>
      <c r="AH309" s="35"/>
      <c r="AI309" s="35"/>
      <c r="AJ309" s="35"/>
      <c r="AK309" s="35"/>
      <c r="AL309" s="1720"/>
      <c r="AM309" s="35"/>
      <c r="AN309" s="35"/>
      <c r="AO309" s="35"/>
      <c r="AP309" s="1720"/>
      <c r="AQ309" s="35"/>
      <c r="AR309" s="35"/>
      <c r="AS309" s="35"/>
      <c r="AT309" s="1720"/>
      <c r="AU309" s="35"/>
      <c r="AV309" s="35"/>
      <c r="AW309" s="76"/>
      <c r="AX309" s="1720"/>
      <c r="AY309" s="76"/>
      <c r="AZ309" s="181"/>
      <c r="BA309" s="181"/>
      <c r="BB309" s="755"/>
      <c r="BC309" s="181"/>
      <c r="BD309" s="181"/>
      <c r="BE309" s="181"/>
      <c r="BF309" s="755"/>
      <c r="BG309" s="181"/>
      <c r="BH309" s="181"/>
      <c r="BI309" s="181"/>
      <c r="BJ309" s="755"/>
      <c r="BK309" s="181"/>
      <c r="BL309" s="181"/>
      <c r="BM309" s="181"/>
      <c r="BN309" s="755"/>
      <c r="BO309" s="181"/>
      <c r="BP309" s="181"/>
      <c r="BQ309" s="181"/>
    </row>
    <row r="310" spans="1:101" hidden="1" outlineLevel="2">
      <c r="A310" s="573"/>
      <c r="J310" s="33" t="s">
        <v>334</v>
      </c>
      <c r="K310" s="11"/>
      <c r="L310" s="11"/>
      <c r="M310" s="11"/>
      <c r="N310" s="76"/>
      <c r="O310" s="76"/>
      <c r="P310" s="76"/>
      <c r="Q310" s="268">
        <f>Q228*1000000/Q311*Q313/365</f>
        <v>0.90572119258662365</v>
      </c>
      <c r="R310" s="268">
        <f>R228*1000000/R311*R313/365</f>
        <v>0.88935721812434143</v>
      </c>
      <c r="S310" s="268">
        <f>R310</f>
        <v>0.88935721812434143</v>
      </c>
      <c r="T310" s="783">
        <f t="shared" ref="T310:AD310" si="374">S310</f>
        <v>0.88935721812434143</v>
      </c>
      <c r="U310" s="783">
        <f t="shared" si="374"/>
        <v>0.88935721812434143</v>
      </c>
      <c r="V310" s="783">
        <f t="shared" si="374"/>
        <v>0.88935721812434143</v>
      </c>
      <c r="W310" s="415">
        <f t="shared" si="374"/>
        <v>0.88935721812434143</v>
      </c>
      <c r="X310" s="415">
        <f t="shared" si="374"/>
        <v>0.88935721812434143</v>
      </c>
      <c r="Y310" s="415">
        <f t="shared" si="374"/>
        <v>0.88935721812434143</v>
      </c>
      <c r="Z310" s="415">
        <f t="shared" si="374"/>
        <v>0.88935721812434143</v>
      </c>
      <c r="AA310" s="415">
        <f t="shared" si="374"/>
        <v>0.88935721812434143</v>
      </c>
      <c r="AB310" s="415">
        <f t="shared" si="374"/>
        <v>0.88935721812434143</v>
      </c>
      <c r="AC310" s="415">
        <f t="shared" si="374"/>
        <v>0.88935721812434143</v>
      </c>
      <c r="AD310" s="415">
        <f t="shared" si="374"/>
        <v>0.88935721812434143</v>
      </c>
      <c r="AE310" s="11"/>
      <c r="AF310" s="11"/>
      <c r="AG310" s="95"/>
      <c r="AH310" s="35"/>
      <c r="AI310" s="35"/>
      <c r="AJ310" s="35"/>
      <c r="AK310" s="35"/>
      <c r="AL310" s="1720"/>
      <c r="AM310" s="35"/>
      <c r="AN310" s="35"/>
      <c r="AO310" s="35"/>
      <c r="AP310" s="1720"/>
      <c r="AQ310" s="35"/>
      <c r="AR310" s="35"/>
      <c r="AS310" s="35"/>
      <c r="AT310" s="1720"/>
      <c r="AU310" s="35"/>
      <c r="AV310" s="35"/>
      <c r="AW310" s="76"/>
      <c r="AX310" s="1720"/>
      <c r="AY310" s="76"/>
      <c r="AZ310" s="181"/>
      <c r="BA310" s="181"/>
      <c r="BB310" s="755"/>
      <c r="BC310" s="181"/>
      <c r="BD310" s="181"/>
      <c r="BE310" s="181"/>
      <c r="BF310" s="755"/>
      <c r="BG310" s="181"/>
      <c r="BH310" s="181"/>
      <c r="BI310" s="181"/>
      <c r="BJ310" s="755"/>
      <c r="BK310" s="181"/>
      <c r="BL310" s="181"/>
      <c r="BM310" s="181"/>
      <c r="BN310" s="755"/>
      <c r="BO310" s="181"/>
      <c r="BP310" s="181"/>
      <c r="BQ310" s="181"/>
    </row>
    <row r="311" spans="1:101" s="381" customFormat="1" hidden="1" outlineLevel="2">
      <c r="A311" s="573"/>
      <c r="H311" s="579"/>
      <c r="I311" s="579"/>
      <c r="J311" s="228" t="s">
        <v>327</v>
      </c>
      <c r="K311" s="19"/>
      <c r="L311" s="19"/>
      <c r="M311" s="19"/>
      <c r="N311" s="323"/>
      <c r="O311" s="323"/>
      <c r="P311" s="374">
        <v>580000</v>
      </c>
      <c r="Q311" s="374">
        <v>850000</v>
      </c>
      <c r="R311" s="374">
        <v>1300000</v>
      </c>
      <c r="S311" s="1923">
        <f>AVERAGE(R311,T311)</f>
        <v>2650000</v>
      </c>
      <c r="T311" s="1917">
        <v>4000000</v>
      </c>
      <c r="U311" s="1917">
        <v>5600000</v>
      </c>
      <c r="V311" s="460">
        <f t="shared" ref="V311:AD311" si="375">V323/V326*1000000</f>
        <v>7632649.5001368867</v>
      </c>
      <c r="W311" s="6">
        <f t="shared" si="375"/>
        <v>9910919.8051406126</v>
      </c>
      <c r="X311" s="6">
        <f t="shared" si="375"/>
        <v>12238268.72076856</v>
      </c>
      <c r="Y311" s="6">
        <f t="shared" si="375"/>
        <v>14547787.55064825</v>
      </c>
      <c r="Z311" s="6">
        <f t="shared" si="375"/>
        <v>16398669.432092113</v>
      </c>
      <c r="AA311" s="6">
        <f t="shared" si="375"/>
        <v>17476760.174954407</v>
      </c>
      <c r="AB311" s="6">
        <f t="shared" si="375"/>
        <v>18625727.378535565</v>
      </c>
      <c r="AC311" s="6">
        <f t="shared" si="375"/>
        <v>19850230.643817507</v>
      </c>
      <c r="AD311" s="6">
        <f t="shared" si="375"/>
        <v>21155235.905945707</v>
      </c>
      <c r="AE311" s="19"/>
      <c r="AF311" s="19"/>
      <c r="AG311" s="101"/>
      <c r="AH311" s="324"/>
      <c r="AI311" s="324"/>
      <c r="AJ311" s="324"/>
      <c r="AK311" s="324"/>
      <c r="AL311" s="1722"/>
      <c r="AM311" s="324"/>
      <c r="AN311" s="324"/>
      <c r="AO311" s="324"/>
      <c r="AP311" s="1722"/>
      <c r="AQ311" s="324"/>
      <c r="AR311" s="324"/>
      <c r="AS311" s="324"/>
      <c r="AT311" s="1722"/>
      <c r="AU311" s="324"/>
      <c r="AV311" s="324"/>
      <c r="AW311" s="323"/>
      <c r="AX311" s="1722"/>
      <c r="AY311" s="323"/>
      <c r="AZ311" s="526"/>
      <c r="BA311" s="526"/>
      <c r="BB311" s="763"/>
      <c r="BC311" s="526"/>
      <c r="BD311" s="526"/>
      <c r="BE311" s="526"/>
      <c r="BF311" s="1919">
        <v>4300000</v>
      </c>
      <c r="BG311" s="1920">
        <v>5200000</v>
      </c>
      <c r="BH311" s="1920">
        <v>5500000</v>
      </c>
      <c r="BI311" s="1920">
        <v>5600000</v>
      </c>
      <c r="BJ311" s="1919">
        <v>5800000</v>
      </c>
      <c r="BK311" s="1920">
        <v>7100000</v>
      </c>
      <c r="BL311" s="1920">
        <v>9000000</v>
      </c>
      <c r="BM311" s="1920">
        <v>10000000</v>
      </c>
      <c r="BN311" s="763"/>
      <c r="BO311" s="526"/>
      <c r="BP311" s="526"/>
      <c r="BQ311" s="526"/>
      <c r="BR311" s="580"/>
      <c r="CR311"/>
      <c r="CS311"/>
      <c r="CT311"/>
      <c r="CU311"/>
      <c r="CV311"/>
      <c r="CW311"/>
    </row>
    <row r="312" spans="1:101" hidden="1" outlineLevel="2">
      <c r="A312" s="573"/>
      <c r="J312" s="90" t="s">
        <v>358</v>
      </c>
      <c r="K312" s="11"/>
      <c r="L312" s="11"/>
      <c r="M312" s="11"/>
      <c r="N312" s="76"/>
      <c r="O312" s="76"/>
      <c r="P312" s="66">
        <f>P$311*P313</f>
        <v>580000</v>
      </c>
      <c r="Q312" s="66">
        <f>Q$311*Q313</f>
        <v>850000</v>
      </c>
      <c r="R312" s="66">
        <f>R$311*R313</f>
        <v>1300000</v>
      </c>
      <c r="S312" s="66">
        <f ca="1">S$311*S313</f>
        <v>2511000</v>
      </c>
      <c r="T312" s="1924">
        <f>T311-278000</f>
        <v>3722000</v>
      </c>
      <c r="U312" s="784">
        <f>U311*U313</f>
        <v>4986800</v>
      </c>
      <c r="V312" s="784">
        <f t="shared" ref="V312:AD312" si="376">V311*V313</f>
        <v>6491568.3998664217</v>
      </c>
      <c r="W312" s="355">
        <f t="shared" si="376"/>
        <v>8032800.5020664651</v>
      </c>
      <c r="X312" s="355">
        <f t="shared" si="376"/>
        <v>9429586.0493521728</v>
      </c>
      <c r="Y312" s="355">
        <f t="shared" si="376"/>
        <v>10772636.681255026</v>
      </c>
      <c r="Z312" s="355">
        <f t="shared" si="376"/>
        <v>11651254.631501444</v>
      </c>
      <c r="AA312" s="355">
        <f t="shared" si="376"/>
        <v>11892935.29905647</v>
      </c>
      <c r="AB312" s="355">
        <f t="shared" si="376"/>
        <v>12116035.65973738</v>
      </c>
      <c r="AC312" s="355">
        <f t="shared" si="376"/>
        <v>12317068.114488758</v>
      </c>
      <c r="AD312" s="355">
        <f t="shared" si="376"/>
        <v>12492166.802460933</v>
      </c>
      <c r="AE312" s="11"/>
      <c r="AF312" s="11"/>
      <c r="AG312" s="95"/>
      <c r="AH312" s="35"/>
      <c r="AI312" s="35"/>
      <c r="AJ312" s="35"/>
      <c r="AK312" s="35"/>
      <c r="AL312" s="1720"/>
      <c r="AM312" s="35"/>
      <c r="AN312" s="35"/>
      <c r="AO312" s="35"/>
      <c r="AP312" s="1720"/>
      <c r="AQ312" s="35"/>
      <c r="AR312" s="35"/>
      <c r="AS312" s="35"/>
      <c r="AT312" s="1720"/>
      <c r="AU312" s="35"/>
      <c r="AV312" s="35"/>
      <c r="AW312" s="76"/>
      <c r="AX312" s="1720"/>
      <c r="AY312" s="76"/>
      <c r="AZ312" s="181"/>
      <c r="BA312" s="181"/>
      <c r="BB312" s="755"/>
      <c r="BC312" s="181"/>
      <c r="BD312" s="181"/>
      <c r="BE312" s="181"/>
      <c r="BF312" s="755"/>
      <c r="BG312" s="181"/>
      <c r="BH312" s="181"/>
      <c r="BI312" s="181"/>
      <c r="BJ312" s="755"/>
      <c r="BK312" s="181"/>
      <c r="BL312" s="181"/>
      <c r="BM312" s="181"/>
      <c r="BN312" s="755"/>
      <c r="BO312" s="181"/>
      <c r="BP312" s="181"/>
      <c r="BQ312" s="181"/>
    </row>
    <row r="313" spans="1:101" hidden="1" outlineLevel="2">
      <c r="A313" s="573"/>
      <c r="I313" s="566"/>
      <c r="J313" s="90" t="s">
        <v>333</v>
      </c>
      <c r="K313" s="11"/>
      <c r="L313" s="11"/>
      <c r="M313" s="11"/>
      <c r="N313" s="76"/>
      <c r="O313" s="76"/>
      <c r="P313" s="613">
        <v>1</v>
      </c>
      <c r="Q313" s="613">
        <v>1</v>
      </c>
      <c r="R313" s="613">
        <v>1</v>
      </c>
      <c r="S313" s="613">
        <f ca="1">S312/S311</f>
        <v>0.9475471698113207</v>
      </c>
      <c r="T313" s="303">
        <f>T312/T311</f>
        <v>0.93049999999999999</v>
      </c>
      <c r="U313" s="910">
        <f>T313-4%</f>
        <v>0.89049999999999996</v>
      </c>
      <c r="V313" s="910">
        <f>U313-4%</f>
        <v>0.85049999999999992</v>
      </c>
      <c r="W313" s="1268">
        <f>V313-4%</f>
        <v>0.81049999999999989</v>
      </c>
      <c r="X313" s="1268">
        <f>W313-4%</f>
        <v>0.77049999999999985</v>
      </c>
      <c r="Y313" s="1266">
        <f t="shared" ref="Y313:AD313" si="377">X313-3%</f>
        <v>0.74049999999999983</v>
      </c>
      <c r="Z313" s="1266">
        <f t="shared" si="377"/>
        <v>0.7104999999999998</v>
      </c>
      <c r="AA313" s="1266">
        <f t="shared" si="377"/>
        <v>0.68049999999999977</v>
      </c>
      <c r="AB313" s="1266">
        <f t="shared" si="377"/>
        <v>0.65049999999999975</v>
      </c>
      <c r="AC313" s="1266">
        <f t="shared" si="377"/>
        <v>0.62049999999999972</v>
      </c>
      <c r="AD313" s="1266">
        <f t="shared" si="377"/>
        <v>0.59049999999999969</v>
      </c>
      <c r="AE313" s="11"/>
      <c r="AF313" s="11"/>
      <c r="AG313" s="95"/>
      <c r="AH313" s="35"/>
      <c r="AI313" s="35"/>
      <c r="AJ313" s="35"/>
      <c r="AK313" s="35"/>
      <c r="AL313" s="1720"/>
      <c r="AM313" s="35"/>
      <c r="AN313" s="35"/>
      <c r="AO313" s="35"/>
      <c r="AP313" s="1720"/>
      <c r="AQ313" s="35"/>
      <c r="AR313" s="35"/>
      <c r="AS313" s="35"/>
      <c r="AT313" s="1720"/>
      <c r="AU313" s="35"/>
      <c r="AV313" s="35"/>
      <c r="AW313" s="76"/>
      <c r="AX313" s="1720"/>
      <c r="AY313" s="76"/>
      <c r="AZ313" s="181"/>
      <c r="BA313" s="181"/>
      <c r="BB313" s="755"/>
      <c r="BC313" s="181"/>
      <c r="BD313" s="181"/>
      <c r="BE313" s="181"/>
      <c r="BF313" s="755"/>
      <c r="BG313" s="181"/>
      <c r="BH313" s="181"/>
      <c r="BI313" s="181"/>
      <c r="BJ313" s="755"/>
      <c r="BK313" s="181"/>
      <c r="BL313" s="181"/>
      <c r="BM313" s="181"/>
      <c r="BN313" s="755"/>
      <c r="BO313" s="181"/>
      <c r="BP313" s="181"/>
      <c r="BQ313" s="181"/>
    </row>
    <row r="314" spans="1:101" hidden="1" outlineLevel="2">
      <c r="A314" s="573"/>
      <c r="J314" s="90" t="s">
        <v>370</v>
      </c>
      <c r="K314" s="11"/>
      <c r="L314" s="11"/>
      <c r="M314" s="11"/>
      <c r="N314" s="76"/>
      <c r="O314" s="76"/>
      <c r="P314" s="357"/>
      <c r="Q314" s="357"/>
      <c r="R314" s="357"/>
      <c r="S314" s="357"/>
      <c r="T314" s="174"/>
      <c r="U314" s="91">
        <f>U311*1%</f>
        <v>56000</v>
      </c>
      <c r="V314" s="91">
        <f t="shared" ref="V314:AD314" si="378">V311*1%</f>
        <v>76326.495001368865</v>
      </c>
      <c r="W314" s="40">
        <f t="shared" si="378"/>
        <v>99109.198051406129</v>
      </c>
      <c r="X314" s="40">
        <f t="shared" si="378"/>
        <v>122382.68720768559</v>
      </c>
      <c r="Y314" s="40">
        <f t="shared" si="378"/>
        <v>145477.87550648249</v>
      </c>
      <c r="Z314" s="40">
        <f t="shared" si="378"/>
        <v>163986.69432092115</v>
      </c>
      <c r="AA314" s="40">
        <f t="shared" si="378"/>
        <v>174767.60174954406</v>
      </c>
      <c r="AB314" s="40">
        <f t="shared" si="378"/>
        <v>186257.27378535565</v>
      </c>
      <c r="AC314" s="40">
        <f t="shared" si="378"/>
        <v>198502.30643817506</v>
      </c>
      <c r="AD314" s="40">
        <f t="shared" si="378"/>
        <v>211552.35905945709</v>
      </c>
      <c r="AE314" s="11"/>
      <c r="AF314" s="11"/>
      <c r="AG314" s="95"/>
      <c r="AH314" s="35"/>
      <c r="AI314" s="35"/>
      <c r="AJ314" s="35"/>
      <c r="AK314" s="35"/>
      <c r="AL314" s="1720"/>
      <c r="AM314" s="35"/>
      <c r="AN314" s="35"/>
      <c r="AO314" s="35"/>
      <c r="AP314" s="1720"/>
      <c r="AQ314" s="35"/>
      <c r="AR314" s="35"/>
      <c r="AS314" s="35"/>
      <c r="AT314" s="1720"/>
      <c r="AU314" s="35"/>
      <c r="AV314" s="35"/>
      <c r="AW314" s="76"/>
      <c r="AX314" s="1720"/>
      <c r="AY314" s="76"/>
      <c r="AZ314" s="181"/>
      <c r="BA314" s="181"/>
      <c r="BB314" s="755"/>
      <c r="BC314" s="181"/>
      <c r="BD314" s="181"/>
      <c r="BE314" s="181"/>
      <c r="BF314" s="755"/>
      <c r="BG314" s="181"/>
      <c r="BH314" s="181"/>
      <c r="BI314" s="181"/>
      <c r="BJ314" s="755"/>
      <c r="BK314" s="181"/>
      <c r="BL314" s="181"/>
      <c r="BM314" s="181"/>
      <c r="BN314" s="755"/>
      <c r="BO314" s="181"/>
      <c r="BP314" s="181"/>
      <c r="BQ314" s="181"/>
    </row>
    <row r="315" spans="1:101" hidden="1" outlineLevel="2">
      <c r="A315" s="573"/>
      <c r="J315" s="90" t="s">
        <v>371</v>
      </c>
      <c r="K315" s="11"/>
      <c r="L315" s="11"/>
      <c r="M315" s="11"/>
      <c r="N315" s="76"/>
      <c r="O315" s="76"/>
      <c r="P315" s="357"/>
      <c r="Q315" s="357"/>
      <c r="R315" s="357"/>
      <c r="S315" s="784">
        <f ca="1">S311-S312</f>
        <v>139000</v>
      </c>
      <c r="T315" s="784">
        <f t="shared" ref="T315:AD315" si="379">T311-T312</f>
        <v>278000</v>
      </c>
      <c r="U315" s="784">
        <f t="shared" si="379"/>
        <v>613200</v>
      </c>
      <c r="V315" s="784">
        <f t="shared" si="379"/>
        <v>1141081.100270465</v>
      </c>
      <c r="W315" s="355">
        <f t="shared" si="379"/>
        <v>1878119.3030741476</v>
      </c>
      <c r="X315" s="355">
        <f t="shared" si="379"/>
        <v>2808682.671416387</v>
      </c>
      <c r="Y315" s="355">
        <f t="shared" si="379"/>
        <v>3775150.8693932239</v>
      </c>
      <c r="Z315" s="355">
        <f t="shared" si="379"/>
        <v>4747414.8005906697</v>
      </c>
      <c r="AA315" s="355">
        <f t="shared" si="379"/>
        <v>5583824.8758979365</v>
      </c>
      <c r="AB315" s="355">
        <f t="shared" si="379"/>
        <v>6509691.7187981848</v>
      </c>
      <c r="AC315" s="355">
        <f t="shared" si="379"/>
        <v>7533162.5293287486</v>
      </c>
      <c r="AD315" s="355">
        <f t="shared" si="379"/>
        <v>8663069.103484774</v>
      </c>
      <c r="AE315" s="11"/>
      <c r="AF315" s="11"/>
      <c r="AG315" s="95"/>
      <c r="AH315" s="35"/>
      <c r="AI315" s="35"/>
      <c r="AJ315" s="35"/>
      <c r="AK315" s="35"/>
      <c r="AL315" s="1720"/>
      <c r="AM315" s="35"/>
      <c r="AN315" s="35"/>
      <c r="AO315" s="35"/>
      <c r="AP315" s="1720"/>
      <c r="AQ315" s="35"/>
      <c r="AR315" s="35"/>
      <c r="AS315" s="35"/>
      <c r="AT315" s="1720"/>
      <c r="AU315" s="35"/>
      <c r="AV315" s="35"/>
      <c r="AW315" s="76"/>
      <c r="AX315" s="1720"/>
      <c r="AY315" s="76"/>
      <c r="AZ315" s="181"/>
      <c r="BA315" s="181"/>
      <c r="BB315" s="755"/>
      <c r="BC315" s="181"/>
      <c r="BD315" s="181"/>
      <c r="BE315" s="181"/>
      <c r="BF315" s="755"/>
      <c r="BG315" s="181"/>
      <c r="BH315" s="181"/>
      <c r="BI315" s="181"/>
      <c r="BJ315" s="755"/>
      <c r="BK315" s="181"/>
      <c r="BL315" s="181"/>
      <c r="BM315" s="181"/>
      <c r="BN315" s="755"/>
      <c r="BO315" s="181"/>
      <c r="BP315" s="181"/>
      <c r="BQ315" s="181"/>
    </row>
    <row r="316" spans="1:101" hidden="1" outlineLevel="2">
      <c r="A316" s="573"/>
      <c r="J316" s="90" t="s">
        <v>372</v>
      </c>
      <c r="K316" s="11"/>
      <c r="L316" s="11"/>
      <c r="M316" s="11"/>
      <c r="N316" s="76"/>
      <c r="O316" s="76"/>
      <c r="P316" s="357"/>
      <c r="Q316" s="357"/>
      <c r="R316" s="357"/>
      <c r="S316" s="784"/>
      <c r="T316" s="784">
        <f ca="1">T315-S315</f>
        <v>139000</v>
      </c>
      <c r="U316" s="784">
        <f t="shared" ref="U316:AD316" si="380">U315-T315</f>
        <v>335200</v>
      </c>
      <c r="V316" s="784">
        <f t="shared" si="380"/>
        <v>527881.10027046502</v>
      </c>
      <c r="W316" s="355">
        <f t="shared" si="380"/>
        <v>737038.20280368254</v>
      </c>
      <c r="X316" s="355">
        <f t="shared" si="380"/>
        <v>930563.36834223941</v>
      </c>
      <c r="Y316" s="355">
        <f t="shared" si="380"/>
        <v>966468.19797683693</v>
      </c>
      <c r="Z316" s="355">
        <f t="shared" si="380"/>
        <v>972263.93119744584</v>
      </c>
      <c r="AA316" s="355">
        <f t="shared" si="380"/>
        <v>836410.07530726679</v>
      </c>
      <c r="AB316" s="355">
        <f t="shared" si="380"/>
        <v>925866.84290024824</v>
      </c>
      <c r="AC316" s="355">
        <f t="shared" si="380"/>
        <v>1023470.8105305638</v>
      </c>
      <c r="AD316" s="355">
        <f t="shared" si="380"/>
        <v>1129906.5741560254</v>
      </c>
      <c r="AE316" s="11"/>
      <c r="AF316" s="11"/>
      <c r="AG316" s="95"/>
      <c r="AH316" s="35"/>
      <c r="AI316" s="35"/>
      <c r="AJ316" s="35"/>
      <c r="AK316" s="35"/>
      <c r="AL316" s="1720"/>
      <c r="AM316" s="35"/>
      <c r="AN316" s="35"/>
      <c r="AO316" s="35"/>
      <c r="AP316" s="1720"/>
      <c r="AQ316" s="35"/>
      <c r="AR316" s="35"/>
      <c r="AS316" s="35"/>
      <c r="AT316" s="1720"/>
      <c r="AU316" s="35"/>
      <c r="AV316" s="35"/>
      <c r="AW316" s="76"/>
      <c r="AX316" s="1720"/>
      <c r="AY316" s="76"/>
      <c r="AZ316" s="181"/>
      <c r="BA316" s="181"/>
      <c r="BB316" s="755"/>
      <c r="BC316" s="181"/>
      <c r="BD316" s="181"/>
      <c r="BE316" s="181"/>
      <c r="BF316" s="755"/>
      <c r="BG316" s="181"/>
      <c r="BH316" s="181"/>
      <c r="BI316" s="181"/>
      <c r="BJ316" s="755"/>
      <c r="BK316" s="181"/>
      <c r="BL316" s="181"/>
      <c r="BM316" s="181"/>
      <c r="BN316" s="755"/>
      <c r="BO316" s="181"/>
      <c r="BP316" s="181"/>
      <c r="BQ316" s="181"/>
    </row>
    <row r="317" spans="1:101" hidden="1" outlineLevel="2">
      <c r="A317" s="573"/>
      <c r="J317" s="90" t="s">
        <v>373</v>
      </c>
      <c r="K317" s="11"/>
      <c r="L317" s="11"/>
      <c r="M317" s="11"/>
      <c r="N317" s="76"/>
      <c r="O317" s="76"/>
      <c r="P317" s="357"/>
      <c r="Q317" s="357"/>
      <c r="R317" s="357"/>
      <c r="S317" s="911">
        <v>13000</v>
      </c>
      <c r="T317" s="911">
        <v>13000</v>
      </c>
      <c r="U317" s="908">
        <v>10000</v>
      </c>
      <c r="V317" s="908">
        <f t="shared" ref="V317:AD317" si="381">U317</f>
        <v>10000</v>
      </c>
      <c r="W317" s="1267">
        <v>10000</v>
      </c>
      <c r="X317" s="1267">
        <f t="shared" si="381"/>
        <v>10000</v>
      </c>
      <c r="Y317" s="1267">
        <f t="shared" si="381"/>
        <v>10000</v>
      </c>
      <c r="Z317" s="1267">
        <f t="shared" si="381"/>
        <v>10000</v>
      </c>
      <c r="AA317" s="1267">
        <f t="shared" si="381"/>
        <v>10000</v>
      </c>
      <c r="AB317" s="1267">
        <f t="shared" si="381"/>
        <v>10000</v>
      </c>
      <c r="AC317" s="1267">
        <f t="shared" si="381"/>
        <v>10000</v>
      </c>
      <c r="AD317" s="1267">
        <f t="shared" si="381"/>
        <v>10000</v>
      </c>
      <c r="AE317" s="11"/>
      <c r="AF317" s="11"/>
      <c r="AG317" s="95"/>
      <c r="AH317" s="35"/>
      <c r="AI317" s="35"/>
      <c r="AJ317" s="35"/>
      <c r="AK317" s="35"/>
      <c r="AL317" s="1720"/>
      <c r="AM317" s="35"/>
      <c r="AN317" s="35"/>
      <c r="AO317" s="35"/>
      <c r="AP317" s="1720"/>
      <c r="AQ317" s="35"/>
      <c r="AR317" s="35"/>
      <c r="AS317" s="35"/>
      <c r="AT317" s="1720"/>
      <c r="AU317" s="35"/>
      <c r="AV317" s="35"/>
      <c r="AW317" s="76"/>
      <c r="AX317" s="1720"/>
      <c r="AY317" s="76"/>
      <c r="AZ317" s="181"/>
      <c r="BA317" s="181"/>
      <c r="BB317" s="755"/>
      <c r="BC317" s="181"/>
      <c r="BD317" s="181"/>
      <c r="BE317" s="181"/>
      <c r="BF317" s="755"/>
      <c r="BG317" s="181"/>
      <c r="BH317" s="181"/>
      <c r="BI317" s="181"/>
      <c r="BJ317" s="755"/>
      <c r="BK317" s="181"/>
      <c r="BL317" s="181"/>
      <c r="BM317" s="181"/>
      <c r="BN317" s="755"/>
      <c r="BO317" s="181"/>
      <c r="BP317" s="181"/>
      <c r="BQ317" s="181"/>
    </row>
    <row r="318" spans="1:101" hidden="1" outlineLevel="2">
      <c r="A318" s="573"/>
      <c r="I318" s="566" t="s">
        <v>320</v>
      </c>
      <c r="J318" s="90" t="s">
        <v>374</v>
      </c>
      <c r="K318" s="11"/>
      <c r="L318" s="11"/>
      <c r="M318" s="11"/>
      <c r="N318" s="76"/>
      <c r="O318" s="76"/>
      <c r="P318" s="63"/>
      <c r="Q318" s="357"/>
      <c r="R318" s="357"/>
      <c r="S318" s="91">
        <f ca="1">$T$317*S315/1000000</f>
        <v>1807</v>
      </c>
      <c r="T318" s="91">
        <f ca="1">$T$317*T316/1000000</f>
        <v>1807</v>
      </c>
      <c r="U318" s="91">
        <f>$U$317*U316/1000000</f>
        <v>3352</v>
      </c>
      <c r="V318" s="91">
        <f t="shared" ref="V318:AD318" si="382">V317*V316/1000000</f>
        <v>5278.8110027046496</v>
      </c>
      <c r="W318" s="91">
        <f t="shared" si="382"/>
        <v>7370.3820280368254</v>
      </c>
      <c r="X318" s="91">
        <f t="shared" si="382"/>
        <v>9305.633683422393</v>
      </c>
      <c r="Y318" s="91">
        <f t="shared" si="382"/>
        <v>9664.6819797683693</v>
      </c>
      <c r="Z318" s="91">
        <f t="shared" si="382"/>
        <v>9722.6393119744589</v>
      </c>
      <c r="AA318" s="91">
        <f t="shared" si="382"/>
        <v>8364.1007530726674</v>
      </c>
      <c r="AB318" s="91">
        <f t="shared" si="382"/>
        <v>9258.6684290024841</v>
      </c>
      <c r="AC318" s="91">
        <f t="shared" si="382"/>
        <v>10234.708105305637</v>
      </c>
      <c r="AD318" s="91">
        <f t="shared" si="382"/>
        <v>11299.065741560255</v>
      </c>
      <c r="AE318" s="11"/>
      <c r="AF318" s="11"/>
      <c r="AG318" s="95"/>
      <c r="AH318" s="35"/>
      <c r="AI318" s="35"/>
      <c r="AJ318" s="35"/>
      <c r="AK318" s="35"/>
      <c r="AL318" s="1720"/>
      <c r="AM318" s="35"/>
      <c r="AN318" s="35"/>
      <c r="AO318" s="35"/>
      <c r="AP318" s="1720"/>
      <c r="AQ318" s="35"/>
      <c r="AR318" s="35"/>
      <c r="AS318" s="35"/>
      <c r="AT318" s="1720"/>
      <c r="AU318" s="35"/>
      <c r="AV318" s="35"/>
      <c r="AW318" s="76"/>
      <c r="AX318" s="1720"/>
      <c r="AY318" s="76"/>
      <c r="AZ318" s="181"/>
      <c r="BA318" s="181"/>
      <c r="BB318" s="755"/>
      <c r="BC318" s="181"/>
      <c r="BD318" s="181"/>
      <c r="BE318" s="181"/>
      <c r="BF318" s="755"/>
      <c r="BG318" s="181"/>
      <c r="BH318" s="181"/>
      <c r="BI318" s="181"/>
      <c r="BJ318" s="755"/>
      <c r="BK318" s="181"/>
      <c r="BL318" s="181"/>
      <c r="BM318" s="181"/>
      <c r="BN318" s="755"/>
      <c r="BO318" s="181"/>
      <c r="BP318" s="181"/>
      <c r="BQ318" s="181"/>
    </row>
    <row r="319" spans="1:101" hidden="1" outlineLevel="2">
      <c r="A319" s="573"/>
      <c r="I319" s="566" t="s">
        <v>320</v>
      </c>
      <c r="J319" s="90" t="s">
        <v>375</v>
      </c>
      <c r="K319" s="11"/>
      <c r="L319" s="11"/>
      <c r="M319" s="11"/>
      <c r="N319" s="76"/>
      <c r="O319" s="76"/>
      <c r="P319" s="63"/>
      <c r="Q319" s="357"/>
      <c r="R319" s="357"/>
      <c r="S319" s="91">
        <v>100</v>
      </c>
      <c r="T319" s="91">
        <f ca="1">T318/40</f>
        <v>45.174999999999997</v>
      </c>
      <c r="U319" s="91">
        <f t="shared" ref="U319:AD319" si="383">U318/40</f>
        <v>83.8</v>
      </c>
      <c r="V319" s="91">
        <f t="shared" si="383"/>
        <v>131.97027506761623</v>
      </c>
      <c r="W319" s="40">
        <f t="shared" si="383"/>
        <v>184.25955070092064</v>
      </c>
      <c r="X319" s="40">
        <f t="shared" si="383"/>
        <v>232.64084208555983</v>
      </c>
      <c r="Y319" s="40">
        <f t="shared" si="383"/>
        <v>241.61704949420923</v>
      </c>
      <c r="Z319" s="40">
        <f t="shared" si="383"/>
        <v>243.06598279936148</v>
      </c>
      <c r="AA319" s="40">
        <f t="shared" si="383"/>
        <v>209.10251882681669</v>
      </c>
      <c r="AB319" s="40">
        <f t="shared" si="383"/>
        <v>231.46671072506211</v>
      </c>
      <c r="AC319" s="40">
        <f t="shared" si="383"/>
        <v>255.86770263264094</v>
      </c>
      <c r="AD319" s="40">
        <f t="shared" si="383"/>
        <v>282.47664353900637</v>
      </c>
      <c r="AE319" s="11"/>
      <c r="AF319" s="11"/>
      <c r="AG319" s="95"/>
      <c r="AH319" s="35"/>
      <c r="AI319" s="35"/>
      <c r="AJ319" s="35"/>
      <c r="AK319" s="35"/>
      <c r="AL319" s="1720"/>
      <c r="AM319" s="35"/>
      <c r="AN319" s="35"/>
      <c r="AO319" s="35"/>
      <c r="AP319" s="1720"/>
      <c r="AQ319" s="35"/>
      <c r="AR319" s="35"/>
      <c r="AS319" s="35"/>
      <c r="AT319" s="1720"/>
      <c r="AU319" s="35"/>
      <c r="AV319" s="35"/>
      <c r="AW319" s="76"/>
      <c r="AX319" s="1720"/>
      <c r="AY319" s="76"/>
      <c r="AZ319" s="181"/>
      <c r="BA319" s="181"/>
      <c r="BB319" s="755"/>
      <c r="BC319" s="181"/>
      <c r="BD319" s="181"/>
      <c r="BE319" s="181"/>
      <c r="BF319" s="755"/>
      <c r="BG319" s="181"/>
      <c r="BH319" s="181"/>
      <c r="BI319" s="181"/>
      <c r="BJ319" s="755"/>
      <c r="BK319" s="181"/>
      <c r="BL319" s="181"/>
      <c r="BM319" s="181"/>
      <c r="BN319" s="755"/>
      <c r="BO319" s="181"/>
      <c r="BP319" s="181"/>
      <c r="BQ319" s="181"/>
    </row>
    <row r="320" spans="1:101" hidden="1" outlineLevel="2">
      <c r="A320" s="573"/>
      <c r="I320" s="566"/>
      <c r="J320" s="90" t="s">
        <v>376</v>
      </c>
      <c r="K320" s="11"/>
      <c r="L320" s="11"/>
      <c r="M320" s="11"/>
      <c r="N320" s="76"/>
      <c r="O320" s="76"/>
      <c r="P320" s="63"/>
      <c r="Q320" s="357"/>
      <c r="R320" s="633">
        <f>R229</f>
        <v>257.21300000000002</v>
      </c>
      <c r="S320" s="784">
        <f>R320+S319</f>
        <v>357.21300000000002</v>
      </c>
      <c r="T320" s="784">
        <f t="shared" ref="T320:AD320" ca="1" si="384">S320+T319</f>
        <v>402.38800000000003</v>
      </c>
      <c r="U320" s="784">
        <f t="shared" ca="1" si="384"/>
        <v>486.18800000000005</v>
      </c>
      <c r="V320" s="784">
        <f t="shared" ca="1" si="384"/>
        <v>618.15827506761627</v>
      </c>
      <c r="W320" s="355">
        <f t="shared" ca="1" si="384"/>
        <v>802.41782576853689</v>
      </c>
      <c r="X320" s="355">
        <f t="shared" ca="1" si="384"/>
        <v>1035.0586678540967</v>
      </c>
      <c r="Y320" s="355">
        <f t="shared" ca="1" si="384"/>
        <v>1276.6757173483059</v>
      </c>
      <c r="Z320" s="355">
        <f t="shared" ca="1" si="384"/>
        <v>1519.7417001476674</v>
      </c>
      <c r="AA320" s="355">
        <f t="shared" ca="1" si="384"/>
        <v>1728.8442189744842</v>
      </c>
      <c r="AB320" s="355">
        <f t="shared" ca="1" si="384"/>
        <v>1960.3109296995463</v>
      </c>
      <c r="AC320" s="355">
        <f t="shared" ca="1" si="384"/>
        <v>2216.1786323321871</v>
      </c>
      <c r="AD320" s="355">
        <f t="shared" ca="1" si="384"/>
        <v>2498.6552758711937</v>
      </c>
      <c r="AE320" s="11"/>
      <c r="AF320" s="11"/>
      <c r="AG320" s="95"/>
      <c r="AH320" s="35"/>
      <c r="AI320" s="35"/>
      <c r="AJ320" s="35"/>
      <c r="AK320" s="35"/>
      <c r="AL320" s="1720"/>
      <c r="AM320" s="35"/>
      <c r="AN320" s="35"/>
      <c r="AO320" s="35"/>
      <c r="AP320" s="1720"/>
      <c r="AQ320" s="35"/>
      <c r="AR320" s="35"/>
      <c r="AS320" s="35"/>
      <c r="AT320" s="1720"/>
      <c r="AU320" s="35"/>
      <c r="AV320" s="35"/>
      <c r="AW320" s="76"/>
      <c r="AX320" s="1720"/>
      <c r="AY320" s="76"/>
      <c r="AZ320" s="181"/>
      <c r="BA320" s="181"/>
      <c r="BB320" s="755"/>
      <c r="BC320" s="181"/>
      <c r="BD320" s="181"/>
      <c r="BE320" s="181"/>
      <c r="BF320" s="755"/>
      <c r="BG320" s="181"/>
      <c r="BH320" s="181"/>
      <c r="BI320" s="181"/>
      <c r="BJ320" s="755"/>
      <c r="BK320" s="181"/>
      <c r="BL320" s="181"/>
      <c r="BM320" s="181"/>
      <c r="BN320" s="755"/>
      <c r="BO320" s="181"/>
      <c r="BP320" s="181"/>
      <c r="BQ320" s="181"/>
    </row>
    <row r="321" spans="1:101" hidden="1" outlineLevel="2">
      <c r="A321" s="573"/>
      <c r="J321" s="90"/>
      <c r="K321" s="11"/>
      <c r="L321" s="11"/>
      <c r="M321" s="11"/>
      <c r="N321" s="76"/>
      <c r="O321" s="76"/>
      <c r="P321" s="357"/>
      <c r="Q321" s="357"/>
      <c r="R321" s="357"/>
      <c r="S321" s="715"/>
      <c r="T321" s="715"/>
      <c r="U321" s="715"/>
      <c r="V321" s="715"/>
      <c r="W321" s="385"/>
      <c r="X321" s="385"/>
      <c r="Y321" s="385"/>
      <c r="Z321" s="385"/>
      <c r="AA321" s="385"/>
      <c r="AB321" s="385"/>
      <c r="AC321" s="385"/>
      <c r="AD321" s="385"/>
      <c r="AE321" s="11"/>
      <c r="AF321" s="11"/>
      <c r="AG321" s="95"/>
      <c r="AH321" s="35"/>
      <c r="AI321" s="35"/>
      <c r="AJ321" s="35"/>
      <c r="AK321" s="35"/>
      <c r="AL321" s="1720"/>
      <c r="AM321" s="35"/>
      <c r="AN321" s="35"/>
      <c r="AO321" s="35"/>
      <c r="AP321" s="1720"/>
      <c r="AQ321" s="35"/>
      <c r="AR321" s="35"/>
      <c r="AS321" s="35"/>
      <c r="AT321" s="1720"/>
      <c r="AU321" s="35"/>
      <c r="AV321" s="35"/>
      <c r="AW321" s="76"/>
      <c r="AX321" s="1720"/>
      <c r="AY321" s="76"/>
      <c r="AZ321" s="181"/>
      <c r="BA321" s="181"/>
      <c r="BB321" s="755"/>
      <c r="BC321" s="181"/>
      <c r="BD321" s="181"/>
      <c r="BE321" s="181"/>
      <c r="BF321" s="755"/>
      <c r="BG321" s="181"/>
      <c r="BH321" s="181"/>
      <c r="BI321" s="181"/>
      <c r="BJ321" s="755"/>
      <c r="BK321" s="181"/>
      <c r="BL321" s="181"/>
      <c r="BM321" s="181"/>
      <c r="BN321" s="755"/>
      <c r="BO321" s="181"/>
      <c r="BP321" s="181"/>
      <c r="BQ321" s="181"/>
    </row>
    <row r="322" spans="1:101" hidden="1" outlineLevel="2">
      <c r="A322" s="573"/>
      <c r="J322" s="90"/>
      <c r="K322" s="11"/>
      <c r="L322" s="11"/>
      <c r="M322" s="11"/>
      <c r="N322" s="76"/>
      <c r="O322" s="76"/>
      <c r="P322" s="357"/>
      <c r="Q322" s="357"/>
      <c r="R322" s="357"/>
      <c r="S322" s="357"/>
      <c r="T322" s="715"/>
      <c r="U322" s="715"/>
      <c r="V322" s="715"/>
      <c r="W322" s="385"/>
      <c r="X322" s="385"/>
      <c r="Y322" s="385"/>
      <c r="Z322" s="385"/>
      <c r="AA322" s="385"/>
      <c r="AB322" s="385"/>
      <c r="AC322" s="385"/>
      <c r="AD322" s="385"/>
      <c r="AE322" s="11"/>
      <c r="AF322" s="11"/>
      <c r="AG322" s="95"/>
      <c r="AH322" s="35"/>
      <c r="AI322" s="35"/>
      <c r="AJ322" s="35"/>
      <c r="AK322" s="35"/>
      <c r="AL322" s="1720"/>
      <c r="AM322" s="35"/>
      <c r="AN322" s="35"/>
      <c r="AO322" s="35"/>
      <c r="AP322" s="1720"/>
      <c r="AQ322" s="35"/>
      <c r="AR322" s="35"/>
      <c r="AS322" s="35"/>
      <c r="AT322" s="1720"/>
      <c r="AU322" s="35"/>
      <c r="AV322" s="35"/>
      <c r="AW322" s="76"/>
      <c r="AX322" s="1720"/>
      <c r="AY322" s="76"/>
      <c r="AZ322" s="181"/>
      <c r="BA322" s="181"/>
      <c r="BB322" s="755"/>
      <c r="BC322" s="181"/>
      <c r="BD322" s="181"/>
      <c r="BE322" s="181"/>
      <c r="BF322" s="755"/>
      <c r="BG322" s="181"/>
      <c r="BH322" s="181"/>
      <c r="BI322" s="181"/>
      <c r="BJ322" s="755"/>
      <c r="BK322" s="181"/>
      <c r="BL322" s="181"/>
      <c r="BM322" s="181"/>
      <c r="BN322" s="755"/>
      <c r="BO322" s="181"/>
      <c r="BP322" s="181"/>
      <c r="BQ322" s="181"/>
    </row>
    <row r="323" spans="1:101" s="381" customFormat="1" hidden="1" outlineLevel="2">
      <c r="A323" s="573"/>
      <c r="H323" s="579"/>
      <c r="I323" s="579"/>
      <c r="J323" s="228" t="s">
        <v>476</v>
      </c>
      <c r="K323" s="19"/>
      <c r="L323" s="19"/>
      <c r="M323" s="19"/>
      <c r="N323" s="323"/>
      <c r="O323" s="323"/>
      <c r="P323" s="451">
        <f>SUM(P324:P325)</f>
        <v>32700</v>
      </c>
      <c r="Q323" s="451">
        <f>SUM(Q324:Q325)</f>
        <v>73300</v>
      </c>
      <c r="R323" s="451">
        <f>SUM(R324:R325)</f>
        <v>125535.5353497866</v>
      </c>
      <c r="S323" s="451">
        <f t="shared" ref="S323:AD323" si="385">SUM(S324:S325)</f>
        <v>260200</v>
      </c>
      <c r="T323" s="451">
        <f>SUM(T324:T325)</f>
        <v>462700</v>
      </c>
      <c r="U323" s="451">
        <f>SUM(U324:U325)</f>
        <v>658200</v>
      </c>
      <c r="V323" s="451">
        <f t="shared" si="385"/>
        <v>906080</v>
      </c>
      <c r="W323" s="451">
        <f t="shared" si="385"/>
        <v>1188301.2679999997</v>
      </c>
      <c r="X323" s="451">
        <f t="shared" si="385"/>
        <v>1482019.6339178996</v>
      </c>
      <c r="Y323" s="451">
        <f t="shared" si="385"/>
        <v>1779312.7724818303</v>
      </c>
      <c r="Z323" s="451">
        <f t="shared" si="385"/>
        <v>2025747.5914705638</v>
      </c>
      <c r="AA323" s="451">
        <f t="shared" si="385"/>
        <v>2180514.7074589152</v>
      </c>
      <c r="AB323" s="451">
        <f t="shared" si="385"/>
        <v>2347106.0311087761</v>
      </c>
      <c r="AC323" s="451">
        <f t="shared" si="385"/>
        <v>2526424.9318854865</v>
      </c>
      <c r="AD323" s="451">
        <f t="shared" si="385"/>
        <v>2719443.7966815373</v>
      </c>
      <c r="AE323" s="19"/>
      <c r="AF323" s="19"/>
      <c r="AG323" s="101"/>
      <c r="AH323" s="324"/>
      <c r="AI323" s="324"/>
      <c r="AJ323" s="324"/>
      <c r="AK323" s="324"/>
      <c r="AL323" s="1722"/>
      <c r="AM323" s="324"/>
      <c r="AN323" s="324"/>
      <c r="AO323" s="324"/>
      <c r="AP323" s="1722"/>
      <c r="AQ323" s="324"/>
      <c r="AR323" s="324"/>
      <c r="AS323" s="324"/>
      <c r="AT323" s="1722"/>
      <c r="AU323" s="324"/>
      <c r="AV323" s="324"/>
      <c r="AW323" s="323"/>
      <c r="AX323" s="1722"/>
      <c r="AY323" s="323"/>
      <c r="AZ323" s="526"/>
      <c r="BA323" s="526"/>
      <c r="BB323" s="763"/>
      <c r="BC323" s="526"/>
      <c r="BD323" s="526"/>
      <c r="BE323" s="526"/>
      <c r="BF323" s="635"/>
      <c r="BG323" s="635"/>
      <c r="BH323" s="635"/>
      <c r="BI323" s="635"/>
      <c r="BJ323" s="451">
        <f t="shared" ref="BJ323:BQ323" si="386">SUM(BJ324:BJ325)</f>
        <v>184100</v>
      </c>
      <c r="BK323" s="451">
        <f t="shared" si="386"/>
        <v>234800</v>
      </c>
      <c r="BL323" s="451">
        <f t="shared" si="386"/>
        <v>212816.61487291247</v>
      </c>
      <c r="BM323" s="451">
        <f t="shared" si="386"/>
        <v>274363.38512708759</v>
      </c>
      <c r="BN323" s="451">
        <f t="shared" si="386"/>
        <v>239323.87537519995</v>
      </c>
      <c r="BO323" s="451">
        <f t="shared" si="386"/>
        <v>303848.63422759995</v>
      </c>
      <c r="BP323" s="451">
        <f t="shared" si="386"/>
        <v>266535.97441239993</v>
      </c>
      <c r="BQ323" s="451">
        <f t="shared" si="386"/>
        <v>378592.78398479993</v>
      </c>
      <c r="BR323" s="580"/>
      <c r="CR323"/>
      <c r="CS323"/>
      <c r="CT323"/>
      <c r="CU323"/>
      <c r="CV323"/>
      <c r="CW323"/>
    </row>
    <row r="324" spans="1:101" hidden="1" outlineLevel="2">
      <c r="A324" s="573"/>
      <c r="J324" s="186" t="s">
        <v>343</v>
      </c>
      <c r="K324" s="11"/>
      <c r="L324" s="11"/>
      <c r="M324" s="11"/>
      <c r="N324" s="76"/>
      <c r="O324" s="76"/>
      <c r="P324" s="352">
        <f t="shared" ref="P324:AD324" si="387">P76</f>
        <v>29800</v>
      </c>
      <c r="Q324" s="352">
        <f t="shared" si="387"/>
        <v>56700</v>
      </c>
      <c r="R324" s="352">
        <f t="shared" si="387"/>
        <v>93705.882352941175</v>
      </c>
      <c r="S324" s="352">
        <f t="shared" si="387"/>
        <v>159300</v>
      </c>
      <c r="T324" s="352">
        <f t="shared" si="387"/>
        <v>255600</v>
      </c>
      <c r="U324" s="352">
        <f t="shared" si="387"/>
        <v>372300</v>
      </c>
      <c r="V324" s="352">
        <f t="shared" si="387"/>
        <v>527338.56000000006</v>
      </c>
      <c r="W324" s="352">
        <f t="shared" si="387"/>
        <v>677331.72275999992</v>
      </c>
      <c r="X324" s="352">
        <f t="shared" si="387"/>
        <v>837341.09316361323</v>
      </c>
      <c r="Y324" s="352">
        <f t="shared" si="387"/>
        <v>996415.15258982498</v>
      </c>
      <c r="Z324" s="352">
        <f t="shared" si="387"/>
        <v>1114161.1753088101</v>
      </c>
      <c r="AA324" s="352">
        <f t="shared" si="387"/>
        <v>1199283.0891024033</v>
      </c>
      <c r="AB324" s="352">
        <f t="shared" si="387"/>
        <v>1290908.3171098267</v>
      </c>
      <c r="AC324" s="352">
        <f t="shared" si="387"/>
        <v>1389533.7125370174</v>
      </c>
      <c r="AD324" s="352">
        <f t="shared" si="387"/>
        <v>1495694.0881748456</v>
      </c>
      <c r="AE324" s="11"/>
      <c r="AF324" s="11"/>
      <c r="AG324" s="95"/>
      <c r="AH324" s="35"/>
      <c r="AI324" s="35"/>
      <c r="AJ324" s="35"/>
      <c r="AK324" s="35"/>
      <c r="AL324" s="1720"/>
      <c r="AM324" s="35"/>
      <c r="AN324" s="35"/>
      <c r="AO324" s="35"/>
      <c r="AP324" s="1720"/>
      <c r="AQ324" s="35"/>
      <c r="AR324" s="35"/>
      <c r="AS324" s="35"/>
      <c r="AT324" s="1720"/>
      <c r="AU324" s="35"/>
      <c r="AV324" s="35"/>
      <c r="AW324" s="76"/>
      <c r="AX324" s="1720"/>
      <c r="AY324" s="76"/>
      <c r="AZ324" s="181"/>
      <c r="BA324" s="181"/>
      <c r="BB324" s="755"/>
      <c r="BC324" s="181"/>
      <c r="BD324" s="181"/>
      <c r="BE324" s="181"/>
      <c r="BF324" s="912"/>
      <c r="BG324" s="912"/>
      <c r="BH324" s="912"/>
      <c r="BI324" s="912"/>
      <c r="BJ324" s="352">
        <f t="shared" ref="BJ324:BQ325" si="388">BJ76</f>
        <v>107900</v>
      </c>
      <c r="BK324" s="352">
        <f t="shared" si="388"/>
        <v>136600</v>
      </c>
      <c r="BL324" s="352">
        <f t="shared" si="388"/>
        <v>121287.86880000001</v>
      </c>
      <c r="BM324" s="352">
        <f t="shared" si="388"/>
        <v>161550.69120000006</v>
      </c>
      <c r="BN324" s="352">
        <f t="shared" si="388"/>
        <v>142239.66177959996</v>
      </c>
      <c r="BO324" s="352">
        <f t="shared" si="388"/>
        <v>176106.24791759998</v>
      </c>
      <c r="BP324" s="352">
        <f t="shared" si="388"/>
        <v>149012.97900719999</v>
      </c>
      <c r="BQ324" s="352">
        <f t="shared" si="388"/>
        <v>209972.83405559999</v>
      </c>
    </row>
    <row r="325" spans="1:101" hidden="1" outlineLevel="2">
      <c r="A325" s="573"/>
      <c r="J325" s="186" t="s">
        <v>344</v>
      </c>
      <c r="K325" s="11"/>
      <c r="L325" s="11"/>
      <c r="M325" s="11"/>
      <c r="N325" s="76"/>
      <c r="O325" s="76"/>
      <c r="P325" s="352">
        <f t="shared" ref="P325:AD325" si="389">P77</f>
        <v>2900</v>
      </c>
      <c r="Q325" s="352">
        <f t="shared" si="389"/>
        <v>16600</v>
      </c>
      <c r="R325" s="352">
        <f t="shared" si="389"/>
        <v>31829.652996845427</v>
      </c>
      <c r="S325" s="352">
        <f t="shared" si="389"/>
        <v>100900</v>
      </c>
      <c r="T325" s="352">
        <f t="shared" si="389"/>
        <v>207100</v>
      </c>
      <c r="U325" s="352">
        <f t="shared" si="389"/>
        <v>285900</v>
      </c>
      <c r="V325" s="352">
        <f t="shared" si="389"/>
        <v>378741.44</v>
      </c>
      <c r="W325" s="352">
        <f t="shared" si="389"/>
        <v>510969.54523999983</v>
      </c>
      <c r="X325" s="352">
        <f t="shared" si="389"/>
        <v>644678.54075428634</v>
      </c>
      <c r="Y325" s="352">
        <f t="shared" si="389"/>
        <v>782897.61989200523</v>
      </c>
      <c r="Z325" s="352">
        <f t="shared" si="389"/>
        <v>911586.41616175359</v>
      </c>
      <c r="AA325" s="352">
        <f t="shared" si="389"/>
        <v>981231.6183565117</v>
      </c>
      <c r="AB325" s="352">
        <f t="shared" si="389"/>
        <v>1056197.7139989492</v>
      </c>
      <c r="AC325" s="352">
        <f t="shared" si="389"/>
        <v>1136891.2193484688</v>
      </c>
      <c r="AD325" s="352">
        <f t="shared" si="389"/>
        <v>1223749.7085066917</v>
      </c>
      <c r="AE325" s="11"/>
      <c r="AF325" s="11"/>
      <c r="AG325" s="95"/>
      <c r="AH325" s="35"/>
      <c r="AI325" s="35"/>
      <c r="AJ325" s="35"/>
      <c r="AK325" s="35"/>
      <c r="AL325" s="1720"/>
      <c r="AM325" s="35"/>
      <c r="AN325" s="35"/>
      <c r="AO325" s="35"/>
      <c r="AP325" s="1720"/>
      <c r="AQ325" s="35"/>
      <c r="AR325" s="35"/>
      <c r="AS325" s="35"/>
      <c r="AT325" s="1720"/>
      <c r="AU325" s="35"/>
      <c r="AV325" s="35"/>
      <c r="AW325" s="76"/>
      <c r="AX325" s="1720"/>
      <c r="AY325" s="76"/>
      <c r="AZ325" s="181"/>
      <c r="BA325" s="181"/>
      <c r="BB325" s="755"/>
      <c r="BC325" s="181"/>
      <c r="BD325" s="181"/>
      <c r="BE325" s="181"/>
      <c r="BF325" s="912"/>
      <c r="BG325" s="912"/>
      <c r="BH325" s="912"/>
      <c r="BI325" s="912"/>
      <c r="BJ325" s="352">
        <f t="shared" si="388"/>
        <v>76200</v>
      </c>
      <c r="BK325" s="352">
        <f t="shared" si="388"/>
        <v>98200</v>
      </c>
      <c r="BL325" s="352">
        <f t="shared" si="388"/>
        <v>91528.746072912458</v>
      </c>
      <c r="BM325" s="352">
        <f t="shared" si="388"/>
        <v>112812.69392708753</v>
      </c>
      <c r="BN325" s="352">
        <f t="shared" si="388"/>
        <v>97084.213595599969</v>
      </c>
      <c r="BO325" s="352">
        <f t="shared" si="388"/>
        <v>127742.38630999996</v>
      </c>
      <c r="BP325" s="352">
        <f t="shared" si="388"/>
        <v>117522.99540519997</v>
      </c>
      <c r="BQ325" s="352">
        <f t="shared" si="388"/>
        <v>168619.94992919994</v>
      </c>
    </row>
    <row r="326" spans="1:101" hidden="1" outlineLevel="2">
      <c r="A326" s="573"/>
      <c r="I326" s="566"/>
      <c r="J326" s="186" t="s">
        <v>357</v>
      </c>
      <c r="K326" s="11"/>
      <c r="L326" s="11"/>
      <c r="M326" s="11"/>
      <c r="N326" s="76"/>
      <c r="O326" s="76"/>
      <c r="P326" s="352">
        <f>P323*1000000/P311</f>
        <v>56379.310344827587</v>
      </c>
      <c r="Q326" s="352">
        <f>Q323*1000000/Q311</f>
        <v>86235.294117647063</v>
      </c>
      <c r="R326" s="352">
        <f>R323*1000000/R311</f>
        <v>96565.796422912768</v>
      </c>
      <c r="S326" s="352">
        <f>R326*1.1</f>
        <v>106222.37606520405</v>
      </c>
      <c r="T326" s="352">
        <f>T323*1000000/T311</f>
        <v>115675</v>
      </c>
      <c r="U326" s="352">
        <f>U323*1000000/U311</f>
        <v>117535.71428571429</v>
      </c>
      <c r="V326" s="908">
        <f>U326*(1+V327)</f>
        <v>118711.07142857143</v>
      </c>
      <c r="W326" s="908">
        <f t="shared" ref="W326:AD326" si="390">V326*(1+W327)</f>
        <v>119898.18214285716</v>
      </c>
      <c r="X326" s="908">
        <f t="shared" si="390"/>
        <v>121097.16396428573</v>
      </c>
      <c r="Y326" s="908">
        <f t="shared" si="390"/>
        <v>122308.13560392859</v>
      </c>
      <c r="Z326" s="908">
        <f t="shared" si="390"/>
        <v>123531.21695996787</v>
      </c>
      <c r="AA326" s="908">
        <f t="shared" si="390"/>
        <v>124766.52912956756</v>
      </c>
      <c r="AB326" s="908">
        <f t="shared" si="390"/>
        <v>126014.19442086323</v>
      </c>
      <c r="AC326" s="908">
        <f t="shared" si="390"/>
        <v>127274.33636507187</v>
      </c>
      <c r="AD326" s="908">
        <f t="shared" si="390"/>
        <v>128547.07972872259</v>
      </c>
      <c r="AE326" s="11"/>
      <c r="AF326" s="11"/>
      <c r="AG326" s="95"/>
      <c r="AH326" s="35"/>
      <c r="AI326" s="35"/>
      <c r="AJ326" s="35"/>
      <c r="AK326" s="35"/>
      <c r="AL326" s="1720"/>
      <c r="AM326" s="35"/>
      <c r="AN326" s="35"/>
      <c r="AO326" s="35"/>
      <c r="AP326" s="1720"/>
      <c r="AQ326" s="35"/>
      <c r="AR326" s="35"/>
      <c r="AS326" s="35"/>
      <c r="AT326" s="1720"/>
      <c r="AU326" s="35"/>
      <c r="AV326" s="35"/>
      <c r="AW326" s="76"/>
      <c r="AX326" s="1720"/>
      <c r="AY326" s="76"/>
      <c r="AZ326" s="181"/>
      <c r="BA326" s="181"/>
      <c r="BB326" s="755"/>
      <c r="BC326" s="181"/>
      <c r="BD326" s="181"/>
      <c r="BE326" s="181"/>
      <c r="BF326" s="1921"/>
      <c r="BG326" s="1921"/>
      <c r="BH326" s="1921"/>
      <c r="BI326" s="1921"/>
      <c r="BJ326" s="909">
        <f>BI326*1.05</f>
        <v>0</v>
      </c>
      <c r="BK326" s="909">
        <f t="shared" ref="BK326:BQ326" si="391">BJ326*1.05</f>
        <v>0</v>
      </c>
      <c r="BL326" s="909">
        <f t="shared" si="391"/>
        <v>0</v>
      </c>
      <c r="BM326" s="909">
        <f t="shared" si="391"/>
        <v>0</v>
      </c>
      <c r="BN326" s="909">
        <f t="shared" si="391"/>
        <v>0</v>
      </c>
      <c r="BO326" s="909">
        <f t="shared" si="391"/>
        <v>0</v>
      </c>
      <c r="BP326" s="909">
        <f t="shared" si="391"/>
        <v>0</v>
      </c>
      <c r="BQ326" s="909">
        <f t="shared" si="391"/>
        <v>0</v>
      </c>
    </row>
    <row r="327" spans="1:101" hidden="1" outlineLevel="2">
      <c r="A327" s="573"/>
      <c r="I327" s="566"/>
      <c r="J327" s="1918" t="s">
        <v>687</v>
      </c>
      <c r="K327" s="11"/>
      <c r="L327" s="11"/>
      <c r="M327" s="11"/>
      <c r="N327" s="76"/>
      <c r="O327" s="76"/>
      <c r="P327" s="352"/>
      <c r="Q327" s="79">
        <f>Q326/P326-1</f>
        <v>0.52955567548120164</v>
      </c>
      <c r="R327" s="79">
        <f t="shared" ref="R327:U327" si="392">R326/Q326-1</f>
        <v>0.11979436506788343</v>
      </c>
      <c r="S327" s="79">
        <f t="shared" si="392"/>
        <v>0.10000000000000009</v>
      </c>
      <c r="T327" s="79">
        <f t="shared" si="392"/>
        <v>8.8989008577566642E-2</v>
      </c>
      <c r="U327" s="79">
        <f t="shared" si="392"/>
        <v>1.6085708110778363E-2</v>
      </c>
      <c r="V327" s="1562">
        <v>0.01</v>
      </c>
      <c r="W327" s="1266">
        <f>V327</f>
        <v>0.01</v>
      </c>
      <c r="X327" s="1266">
        <f t="shared" ref="X327:AD327" si="393">W327</f>
        <v>0.01</v>
      </c>
      <c r="Y327" s="1266">
        <f t="shared" si="393"/>
        <v>0.01</v>
      </c>
      <c r="Z327" s="1266">
        <f t="shared" si="393"/>
        <v>0.01</v>
      </c>
      <c r="AA327" s="1266">
        <f t="shared" si="393"/>
        <v>0.01</v>
      </c>
      <c r="AB327" s="1266">
        <f t="shared" si="393"/>
        <v>0.01</v>
      </c>
      <c r="AC327" s="1266">
        <f t="shared" si="393"/>
        <v>0.01</v>
      </c>
      <c r="AD327" s="1266">
        <f t="shared" si="393"/>
        <v>0.01</v>
      </c>
      <c r="AE327" s="11"/>
      <c r="AF327" s="11"/>
      <c r="AG327" s="95"/>
      <c r="AH327" s="35"/>
      <c r="AI327" s="35"/>
      <c r="AJ327" s="35"/>
      <c r="AK327" s="35"/>
      <c r="AL327" s="1720"/>
      <c r="AM327" s="35"/>
      <c r="AN327" s="35"/>
      <c r="AO327" s="35"/>
      <c r="AP327" s="1720"/>
      <c r="AQ327" s="35"/>
      <c r="AR327" s="35"/>
      <c r="AS327" s="35"/>
      <c r="AT327" s="1720"/>
      <c r="AU327" s="35"/>
      <c r="AV327" s="35"/>
      <c r="AW327" s="76"/>
      <c r="AX327" s="1720"/>
      <c r="AY327" s="76"/>
      <c r="AZ327" s="181"/>
      <c r="BA327" s="181"/>
      <c r="BB327" s="755"/>
      <c r="BC327" s="181"/>
      <c r="BD327" s="181"/>
      <c r="BE327" s="181"/>
      <c r="BF327" s="1921"/>
      <c r="BG327" s="1921"/>
      <c r="BH327" s="1921"/>
      <c r="BI327" s="1921"/>
      <c r="BJ327" s="909"/>
      <c r="BK327" s="909"/>
      <c r="BL327" s="909"/>
      <c r="BM327" s="909"/>
      <c r="BN327" s="909"/>
      <c r="BO327" s="909"/>
      <c r="BP327" s="909"/>
      <c r="BQ327" s="909"/>
    </row>
    <row r="328" spans="1:101" hidden="1" outlineLevel="2">
      <c r="A328" s="573"/>
      <c r="J328" s="186"/>
      <c r="K328" s="11"/>
      <c r="L328" s="11"/>
      <c r="M328" s="11"/>
      <c r="N328" s="76"/>
      <c r="O328" s="76"/>
      <c r="P328" s="352"/>
      <c r="Q328" s="79"/>
      <c r="R328" s="79"/>
      <c r="S328" s="79"/>
      <c r="T328" s="785"/>
      <c r="U328" s="785"/>
      <c r="V328" s="785"/>
      <c r="W328" s="359"/>
      <c r="X328" s="359"/>
      <c r="Y328" s="359"/>
      <c r="Z328" s="359"/>
      <c r="AA328" s="359"/>
      <c r="AB328" s="359"/>
      <c r="AC328" s="359"/>
      <c r="AD328" s="359"/>
      <c r="AE328" s="11"/>
      <c r="AF328" s="11"/>
      <c r="AG328" s="95"/>
      <c r="AH328" s="35"/>
      <c r="AI328" s="35"/>
      <c r="AJ328" s="35"/>
      <c r="AK328" s="35"/>
      <c r="AL328" s="1720"/>
      <c r="AM328" s="35"/>
      <c r="AN328" s="35"/>
      <c r="AO328" s="35"/>
      <c r="AP328" s="1720"/>
      <c r="AQ328" s="35"/>
      <c r="AR328" s="35"/>
      <c r="AS328" s="35"/>
      <c r="AT328" s="1720"/>
      <c r="AU328" s="35"/>
      <c r="AV328" s="35"/>
      <c r="AW328" s="76"/>
      <c r="AX328" s="1720"/>
      <c r="AY328" s="76"/>
      <c r="AZ328" s="181"/>
      <c r="BA328" s="181"/>
      <c r="BB328" s="755"/>
      <c r="BC328" s="181"/>
      <c r="BD328" s="181"/>
      <c r="BE328" s="181"/>
      <c r="BF328" s="755"/>
      <c r="BG328" s="181"/>
      <c r="BH328" s="181"/>
      <c r="BI328" s="181"/>
      <c r="BJ328" s="755"/>
      <c r="BK328" s="181"/>
      <c r="BL328" s="181"/>
      <c r="BM328" s="181"/>
      <c r="BN328" s="755"/>
      <c r="BO328" s="181"/>
      <c r="BP328" s="181"/>
      <c r="BQ328" s="181"/>
    </row>
    <row r="329" spans="1:101" hidden="1" outlineLevel="2">
      <c r="A329" s="573"/>
      <c r="J329" s="17" t="s">
        <v>329</v>
      </c>
      <c r="K329" s="11"/>
      <c r="L329" s="11"/>
      <c r="M329" s="11"/>
      <c r="N329" s="76"/>
      <c r="O329" s="76"/>
      <c r="P329" s="360">
        <v>6</v>
      </c>
      <c r="Q329" s="360"/>
      <c r="R329" s="360">
        <v>7</v>
      </c>
      <c r="S329" s="360">
        <v>7</v>
      </c>
      <c r="T329" s="360">
        <v>7</v>
      </c>
      <c r="U329" s="360">
        <v>7</v>
      </c>
      <c r="V329" s="174"/>
      <c r="W329" s="63"/>
      <c r="X329" s="63"/>
      <c r="Y329" s="63"/>
      <c r="Z329" s="63"/>
      <c r="AA329" s="63"/>
      <c r="AB329" s="63"/>
      <c r="AC329" s="63"/>
      <c r="AD329" s="63"/>
      <c r="AE329" s="11"/>
      <c r="AF329" s="11"/>
      <c r="AG329" s="95"/>
      <c r="AH329" s="35"/>
      <c r="AI329" s="35"/>
      <c r="AJ329" s="35"/>
      <c r="AK329" s="35"/>
      <c r="AL329" s="1720"/>
      <c r="AM329" s="35"/>
      <c r="AN329" s="35"/>
      <c r="AO329" s="35"/>
      <c r="AP329" s="1720"/>
      <c r="AQ329" s="35"/>
      <c r="AR329" s="35"/>
      <c r="AS329" s="35"/>
      <c r="AT329" s="1720"/>
      <c r="AU329" s="35"/>
      <c r="AV329" s="35"/>
      <c r="AW329" s="76"/>
      <c r="AX329" s="1720"/>
      <c r="AY329" s="76"/>
      <c r="AZ329" s="181"/>
      <c r="BA329" s="181"/>
      <c r="BB329" s="755"/>
      <c r="BC329" s="181"/>
      <c r="BD329" s="181"/>
      <c r="BE329" s="181"/>
      <c r="BF329" s="1461">
        <v>7</v>
      </c>
      <c r="BG329" s="1460">
        <v>7</v>
      </c>
      <c r="BH329" s="1460">
        <v>7</v>
      </c>
      <c r="BI329" s="1460">
        <v>7</v>
      </c>
      <c r="BJ329" s="1461">
        <v>7</v>
      </c>
      <c r="BK329" s="1460">
        <v>7</v>
      </c>
      <c r="BL329" s="1460">
        <v>7</v>
      </c>
      <c r="BM329" s="1460">
        <v>7</v>
      </c>
      <c r="BN329" s="755"/>
      <c r="BO329" s="181"/>
      <c r="BP329" s="181"/>
      <c r="BQ329" s="181"/>
    </row>
    <row r="330" spans="1:101" hidden="1" outlineLevel="2">
      <c r="A330" s="573"/>
      <c r="J330" s="17" t="s">
        <v>330</v>
      </c>
      <c r="K330" s="11"/>
      <c r="L330" s="11"/>
      <c r="M330" s="11"/>
      <c r="N330" s="76"/>
      <c r="O330" s="76"/>
      <c r="P330" s="360">
        <v>41</v>
      </c>
      <c r="Q330" s="360">
        <v>63</v>
      </c>
      <c r="R330" s="360">
        <v>82</v>
      </c>
      <c r="S330" s="360">
        <v>123</v>
      </c>
      <c r="T330" s="360">
        <v>213</v>
      </c>
      <c r="U330" s="360">
        <v>256</v>
      </c>
      <c r="V330" s="174"/>
      <c r="W330" s="63"/>
      <c r="X330" s="63"/>
      <c r="Y330" s="63"/>
      <c r="Z330" s="63"/>
      <c r="AA330" s="63"/>
      <c r="AB330" s="63"/>
      <c r="AC330" s="63"/>
      <c r="AD330" s="63"/>
      <c r="AE330" s="11"/>
      <c r="AF330" s="11"/>
      <c r="AG330" s="95"/>
      <c r="AH330" s="35"/>
      <c r="AI330" s="35"/>
      <c r="AJ330" s="35"/>
      <c r="AK330" s="35"/>
      <c r="AL330" s="1720"/>
      <c r="AM330" s="35"/>
      <c r="AN330" s="35"/>
      <c r="AO330" s="35"/>
      <c r="AP330" s="1720"/>
      <c r="AQ330" s="35"/>
      <c r="AR330" s="35"/>
      <c r="AS330" s="35"/>
      <c r="AT330" s="1720"/>
      <c r="AU330" s="35"/>
      <c r="AV330" s="35"/>
      <c r="AW330" s="76"/>
      <c r="AX330" s="1720"/>
      <c r="AY330" s="76"/>
      <c r="AZ330" s="181"/>
      <c r="BA330" s="181"/>
      <c r="BB330" s="755"/>
      <c r="BC330" s="181"/>
      <c r="BD330" s="181"/>
      <c r="BE330" s="181"/>
      <c r="BF330" s="1461">
        <v>209</v>
      </c>
      <c r="BG330" s="1460">
        <v>234</v>
      </c>
      <c r="BH330" s="1460">
        <v>254</v>
      </c>
      <c r="BI330" s="1460">
        <v>256</v>
      </c>
      <c r="BJ330" s="1461">
        <v>263</v>
      </c>
      <c r="BK330" s="1460">
        <v>335</v>
      </c>
      <c r="BL330" s="1460">
        <v>405</v>
      </c>
      <c r="BM330" s="1460">
        <v>486</v>
      </c>
      <c r="BN330" s="755"/>
      <c r="BO330" s="181"/>
      <c r="BP330" s="181"/>
      <c r="BQ330" s="181"/>
    </row>
    <row r="331" spans="1:101" hidden="1" outlineLevel="2">
      <c r="A331" s="573"/>
      <c r="J331" s="17" t="s">
        <v>331</v>
      </c>
      <c r="K331" s="11"/>
      <c r="L331" s="11"/>
      <c r="M331" s="11"/>
      <c r="N331" s="76"/>
      <c r="O331" s="76"/>
      <c r="P331" s="360">
        <v>563</v>
      </c>
      <c r="Q331" s="360"/>
      <c r="R331" s="360">
        <v>1458</v>
      </c>
      <c r="S331" s="360">
        <v>3210</v>
      </c>
      <c r="T331" s="360">
        <v>5367</v>
      </c>
      <c r="U331" s="360">
        <v>6906</v>
      </c>
      <c r="V331" s="174"/>
      <c r="W331" s="63"/>
      <c r="X331" s="63"/>
      <c r="Y331" s="63"/>
      <c r="Z331" s="63"/>
      <c r="AA331" s="63"/>
      <c r="AB331" s="63"/>
      <c r="AC331" s="63"/>
      <c r="AD331" s="63"/>
      <c r="AE331" s="11"/>
      <c r="AF331" s="11"/>
      <c r="AG331" s="95"/>
      <c r="AH331" s="35"/>
      <c r="AI331" s="35"/>
      <c r="AJ331" s="35"/>
      <c r="AK331" s="35"/>
      <c r="AL331" s="1720"/>
      <c r="AM331" s="35"/>
      <c r="AN331" s="35"/>
      <c r="AO331" s="35"/>
      <c r="AP331" s="1720"/>
      <c r="AQ331" s="35"/>
      <c r="AR331" s="35"/>
      <c r="AS331" s="35"/>
      <c r="AT331" s="1720"/>
      <c r="AU331" s="35"/>
      <c r="AV331" s="35"/>
      <c r="AW331" s="76"/>
      <c r="AX331" s="1720"/>
      <c r="AY331" s="76"/>
      <c r="AZ331" s="181"/>
      <c r="BA331" s="181"/>
      <c r="BB331" s="755"/>
      <c r="BC331" s="181"/>
      <c r="BD331" s="181"/>
      <c r="BE331" s="181"/>
      <c r="BF331" s="1461">
        <v>5987</v>
      </c>
      <c r="BG331" s="1460">
        <v>6756</v>
      </c>
      <c r="BH331" s="1460"/>
      <c r="BI331" s="1460"/>
      <c r="BJ331" s="755"/>
      <c r="BK331" s="181"/>
      <c r="BL331" s="181"/>
      <c r="BM331" s="181"/>
      <c r="BN331" s="755"/>
      <c r="BO331" s="181"/>
      <c r="BP331" s="181"/>
      <c r="BQ331" s="181"/>
    </row>
    <row r="332" spans="1:101" hidden="1" outlineLevel="2">
      <c r="A332" s="573"/>
      <c r="J332" s="17" t="s">
        <v>702</v>
      </c>
      <c r="K332" s="11"/>
      <c r="L332" s="11"/>
      <c r="M332" s="11"/>
      <c r="N332" s="76"/>
      <c r="O332" s="76"/>
      <c r="P332" s="360"/>
      <c r="Q332" s="360"/>
      <c r="R332" s="360">
        <v>130</v>
      </c>
      <c r="S332" s="360">
        <v>134</v>
      </c>
      <c r="T332" s="174"/>
      <c r="U332" s="174"/>
      <c r="V332" s="174"/>
      <c r="W332" s="63"/>
      <c r="X332" s="63"/>
      <c r="Y332" s="63"/>
      <c r="Z332" s="63"/>
      <c r="AA332" s="63"/>
      <c r="AB332" s="63"/>
      <c r="AC332" s="63"/>
      <c r="AD332" s="63"/>
      <c r="AE332" s="11"/>
      <c r="AF332" s="11"/>
      <c r="AG332" s="95"/>
      <c r="AH332" s="35"/>
      <c r="AI332" s="35"/>
      <c r="AJ332" s="35"/>
      <c r="AK332" s="35"/>
      <c r="AL332" s="1720"/>
      <c r="AM332" s="35"/>
      <c r="AN332" s="35"/>
      <c r="AO332" s="35"/>
      <c r="AP332" s="1720"/>
      <c r="AQ332" s="35"/>
      <c r="AR332" s="35"/>
      <c r="AS332" s="35"/>
      <c r="AT332" s="1720"/>
      <c r="AU332" s="35"/>
      <c r="AV332" s="35"/>
      <c r="AW332" s="76"/>
      <c r="AX332" s="1720"/>
      <c r="AY332" s="76"/>
      <c r="AZ332" s="181"/>
      <c r="BA332" s="181"/>
      <c r="BB332" s="755"/>
      <c r="BC332" s="181"/>
      <c r="BD332" s="181"/>
      <c r="BE332" s="181"/>
      <c r="BF332" s="755"/>
      <c r="BG332" s="181"/>
      <c r="BH332" s="181"/>
      <c r="BI332" s="181"/>
      <c r="BJ332" s="755"/>
      <c r="BK332" s="181"/>
      <c r="BL332" s="181"/>
      <c r="BM332" s="181"/>
      <c r="BN332" s="755"/>
      <c r="BO332" s="181"/>
      <c r="BP332" s="181"/>
      <c r="BQ332" s="181"/>
    </row>
    <row r="333" spans="1:101" hidden="1" outlineLevel="2">
      <c r="A333" s="573"/>
      <c r="J333" s="17" t="s">
        <v>703</v>
      </c>
      <c r="K333" s="11"/>
      <c r="L333" s="11"/>
      <c r="M333" s="11"/>
      <c r="N333" s="76"/>
      <c r="O333" s="76"/>
      <c r="P333" s="360"/>
      <c r="Q333" s="360"/>
      <c r="R333" s="360">
        <v>815</v>
      </c>
      <c r="S333" s="360">
        <v>866</v>
      </c>
      <c r="T333" s="174"/>
      <c r="U333" s="174"/>
      <c r="V333" s="174"/>
      <c r="W333" s="63"/>
      <c r="X333" s="63"/>
      <c r="Y333" s="63"/>
      <c r="Z333" s="63"/>
      <c r="AA333" s="63"/>
      <c r="AB333" s="63"/>
      <c r="AC333" s="63"/>
      <c r="AD333" s="63"/>
      <c r="AE333" s="11"/>
      <c r="AF333" s="11"/>
      <c r="AG333" s="95"/>
      <c r="AH333" s="35"/>
      <c r="AI333" s="35"/>
      <c r="AJ333" s="35"/>
      <c r="AK333" s="35"/>
      <c r="AL333" s="1720"/>
      <c r="AM333" s="35"/>
      <c r="AN333" s="35"/>
      <c r="AO333" s="35"/>
      <c r="AP333" s="1720"/>
      <c r="AQ333" s="35"/>
      <c r="AR333" s="35"/>
      <c r="AS333" s="35"/>
      <c r="AT333" s="1720"/>
      <c r="AU333" s="35"/>
      <c r="AV333" s="35"/>
      <c r="AW333" s="76"/>
      <c r="AX333" s="1720"/>
      <c r="AY333" s="76"/>
      <c r="AZ333" s="181"/>
      <c r="BA333" s="181"/>
      <c r="BB333" s="755"/>
      <c r="BC333" s="181"/>
      <c r="BD333" s="181"/>
      <c r="BE333" s="181"/>
      <c r="BF333" s="755"/>
      <c r="BG333" s="181"/>
      <c r="BH333" s="181"/>
      <c r="BI333" s="181"/>
      <c r="BJ333" s="755"/>
      <c r="BK333" s="181"/>
      <c r="BL333" s="181"/>
      <c r="BM333" s="181"/>
      <c r="BN333" s="755"/>
      <c r="BO333" s="181"/>
      <c r="BP333" s="181"/>
      <c r="BQ333" s="181"/>
    </row>
    <row r="334" spans="1:101" hidden="1" outlineLevel="2">
      <c r="A334" s="573"/>
      <c r="J334" s="17" t="s">
        <v>332</v>
      </c>
      <c r="K334" s="11"/>
      <c r="L334" s="11"/>
      <c r="M334" s="11"/>
      <c r="N334" s="76"/>
      <c r="O334" s="76"/>
      <c r="P334" s="360">
        <v>194</v>
      </c>
      <c r="Q334" s="360"/>
      <c r="R334" s="360">
        <v>476</v>
      </c>
      <c r="S334" s="360"/>
      <c r="T334" s="174"/>
      <c r="U334" s="174"/>
      <c r="V334" s="174"/>
      <c r="W334" s="63"/>
      <c r="X334" s="63"/>
      <c r="Y334" s="63"/>
      <c r="Z334" s="63"/>
      <c r="AA334" s="63"/>
      <c r="AB334" s="63"/>
      <c r="AC334" s="63"/>
      <c r="AD334" s="63"/>
      <c r="AE334" s="11"/>
      <c r="AF334" s="11"/>
      <c r="AG334" s="95"/>
      <c r="AH334" s="35"/>
      <c r="AI334" s="35"/>
      <c r="AJ334" s="35"/>
      <c r="AK334" s="35"/>
      <c r="AL334" s="1720"/>
      <c r="AM334" s="35"/>
      <c r="AN334" s="35"/>
      <c r="AO334" s="35"/>
      <c r="AP334" s="1720"/>
      <c r="AQ334" s="35"/>
      <c r="AR334" s="35"/>
      <c r="AS334" s="35"/>
      <c r="AT334" s="1720"/>
      <c r="AU334" s="35"/>
      <c r="AV334" s="35"/>
      <c r="AW334" s="76"/>
      <c r="AX334" s="1720"/>
      <c r="AY334" s="76"/>
      <c r="AZ334" s="181"/>
      <c r="BA334" s="181"/>
      <c r="BB334" s="755"/>
      <c r="BC334" s="181"/>
      <c r="BD334" s="181"/>
      <c r="BE334" s="181"/>
      <c r="BF334" s="755"/>
      <c r="BG334" s="181"/>
      <c r="BH334" s="181"/>
      <c r="BI334" s="181"/>
      <c r="BJ334" s="755"/>
      <c r="BK334" s="181"/>
      <c r="BL334" s="181"/>
      <c r="BM334" s="181"/>
      <c r="BN334" s="755"/>
      <c r="BO334" s="181"/>
      <c r="BP334" s="181"/>
      <c r="BQ334" s="181"/>
    </row>
    <row r="335" spans="1:101" hidden="1" outlineLevel="2">
      <c r="A335" s="573"/>
      <c r="J335" s="17" t="s">
        <v>328</v>
      </c>
      <c r="K335" s="11"/>
      <c r="L335" s="11"/>
      <c r="M335" s="11"/>
      <c r="N335" s="76"/>
      <c r="O335" s="76"/>
      <c r="P335" s="360">
        <v>0.6</v>
      </c>
      <c r="Q335" s="360">
        <v>5.7</v>
      </c>
      <c r="R335" s="360">
        <v>23.5</v>
      </c>
      <c r="S335" s="361"/>
      <c r="T335" s="174"/>
      <c r="U335" s="174"/>
      <c r="V335" s="174"/>
      <c r="W335" s="63"/>
      <c r="X335" s="63"/>
      <c r="Y335" s="63"/>
      <c r="Z335" s="63"/>
      <c r="AA335" s="63"/>
      <c r="AB335" s="63"/>
      <c r="AC335" s="63"/>
      <c r="AD335" s="63"/>
      <c r="AE335" s="11"/>
      <c r="AF335" s="11"/>
      <c r="AG335" s="95"/>
      <c r="AH335" s="35"/>
      <c r="AI335" s="35"/>
      <c r="AJ335" s="35"/>
      <c r="AK335" s="35"/>
      <c r="AL335" s="1720"/>
      <c r="AM335" s="35"/>
      <c r="AN335" s="35"/>
      <c r="AO335" s="35"/>
      <c r="AP335" s="1720"/>
      <c r="AQ335" s="35"/>
      <c r="AR335" s="35"/>
      <c r="AS335" s="35"/>
      <c r="AT335" s="1720"/>
      <c r="AU335" s="35"/>
      <c r="AV335" s="35"/>
      <c r="AW335" s="76"/>
      <c r="AX335" s="1720"/>
      <c r="AY335" s="76"/>
      <c r="AZ335" s="181"/>
      <c r="BA335" s="181"/>
      <c r="BB335" s="755"/>
      <c r="BC335" s="181"/>
      <c r="BD335" s="181"/>
      <c r="BE335" s="181"/>
      <c r="BF335" s="755"/>
      <c r="BG335" s="181"/>
      <c r="BH335" s="181"/>
      <c r="BI335" s="181"/>
      <c r="BJ335" s="755"/>
      <c r="BK335" s="181"/>
      <c r="BL335" s="181"/>
      <c r="BM335" s="181"/>
      <c r="BN335" s="755"/>
      <c r="BO335" s="181"/>
      <c r="BP335" s="181"/>
      <c r="BQ335" s="181"/>
    </row>
    <row r="336" spans="1:101" hidden="1" outlineLevel="2">
      <c r="A336" s="573"/>
      <c r="J336" s="195"/>
      <c r="K336" s="11"/>
      <c r="L336" s="11"/>
      <c r="M336" s="11"/>
      <c r="N336" s="76"/>
      <c r="O336" s="76"/>
      <c r="P336" s="76"/>
      <c r="Q336" s="76"/>
      <c r="R336" s="76"/>
      <c r="S336" s="76"/>
      <c r="T336" s="174"/>
      <c r="U336" s="174"/>
      <c r="V336" s="174"/>
      <c r="W336" s="63"/>
      <c r="X336" s="63"/>
      <c r="Y336" s="63"/>
      <c r="Z336" s="63"/>
      <c r="AA336" s="63"/>
      <c r="AB336" s="63"/>
      <c r="AC336" s="63"/>
      <c r="AD336" s="63"/>
      <c r="AE336" s="11"/>
      <c r="AF336" s="11"/>
      <c r="AG336" s="95"/>
      <c r="AH336" s="35"/>
      <c r="AI336" s="35"/>
      <c r="AJ336" s="35"/>
      <c r="AK336" s="35"/>
      <c r="AL336" s="1720"/>
      <c r="AM336" s="35"/>
      <c r="AN336" s="35"/>
      <c r="AO336" s="35"/>
      <c r="AP336" s="1720"/>
      <c r="AQ336" s="35"/>
      <c r="AR336" s="35"/>
      <c r="AS336" s="35"/>
      <c r="AT336" s="1720"/>
      <c r="AU336" s="35"/>
      <c r="AV336" s="35"/>
      <c r="AW336" s="76"/>
      <c r="AX336" s="1720"/>
      <c r="AY336" s="76"/>
      <c r="AZ336" s="181"/>
      <c r="BA336" s="181"/>
      <c r="BB336" s="755"/>
      <c r="BC336" s="181"/>
      <c r="BD336" s="181"/>
      <c r="BE336" s="181"/>
      <c r="BF336" s="755"/>
      <c r="BG336" s="181"/>
      <c r="BH336" s="181"/>
      <c r="BI336" s="181"/>
      <c r="BJ336" s="755"/>
      <c r="BK336" s="181"/>
      <c r="BL336" s="181"/>
      <c r="BM336" s="181"/>
      <c r="BN336" s="755"/>
      <c r="BO336" s="181"/>
      <c r="BP336" s="181"/>
      <c r="BQ336" s="181"/>
    </row>
    <row r="337" spans="1:69" hidden="1" outlineLevel="2">
      <c r="A337" s="573"/>
      <c r="J337" s="228" t="s">
        <v>327</v>
      </c>
      <c r="K337" s="11"/>
      <c r="L337" s="11"/>
      <c r="M337" s="11"/>
      <c r="N337" s="76">
        <f>SUM(N338:N354)</f>
        <v>0</v>
      </c>
      <c r="O337" s="76">
        <f t="shared" ref="O337:AD337" si="394">SUM(O338:O354)</f>
        <v>0</v>
      </c>
      <c r="P337" s="352">
        <f t="shared" si="394"/>
        <v>580000</v>
      </c>
      <c r="Q337" s="352">
        <f t="shared" si="394"/>
        <v>850000</v>
      </c>
      <c r="R337" s="352">
        <f t="shared" si="394"/>
        <v>1300000</v>
      </c>
      <c r="S337" s="352">
        <f t="shared" si="394"/>
        <v>2650000</v>
      </c>
      <c r="T337" s="352">
        <f t="shared" si="394"/>
        <v>5350000</v>
      </c>
      <c r="U337" s="352">
        <f t="shared" si="394"/>
        <v>5600000</v>
      </c>
      <c r="V337" s="352">
        <f t="shared" si="394"/>
        <v>7632649.5001368867</v>
      </c>
      <c r="W337" s="352">
        <f t="shared" si="394"/>
        <v>9910919.8051406126</v>
      </c>
      <c r="X337" s="352">
        <f t="shared" si="394"/>
        <v>12238268.72076856</v>
      </c>
      <c r="Y337" s="352">
        <f t="shared" si="394"/>
        <v>14547787.55064825</v>
      </c>
      <c r="Z337" s="352">
        <f t="shared" si="394"/>
        <v>16398669.432092112</v>
      </c>
      <c r="AA337" s="352">
        <f t="shared" si="394"/>
        <v>17476760.174954407</v>
      </c>
      <c r="AB337" s="352">
        <f t="shared" si="394"/>
        <v>18625727.378535565</v>
      </c>
      <c r="AC337" s="352">
        <f t="shared" si="394"/>
        <v>19850230.643817507</v>
      </c>
      <c r="AD337" s="352">
        <f t="shared" si="394"/>
        <v>21155235.905945707</v>
      </c>
      <c r="AE337" s="11"/>
      <c r="AF337" s="11"/>
      <c r="AG337" s="95"/>
      <c r="AH337" s="35"/>
      <c r="AI337" s="35"/>
      <c r="AJ337" s="35"/>
      <c r="AK337" s="35"/>
      <c r="AL337" s="1720"/>
      <c r="AM337" s="35"/>
      <c r="AN337" s="35"/>
      <c r="AO337" s="35"/>
      <c r="AP337" s="1720"/>
      <c r="AQ337" s="35"/>
      <c r="AR337" s="35"/>
      <c r="AS337" s="35"/>
      <c r="AT337" s="1720"/>
      <c r="AU337" s="35"/>
      <c r="AV337" s="35"/>
      <c r="AW337" s="76"/>
      <c r="AX337" s="1720"/>
      <c r="AY337" s="76"/>
      <c r="AZ337" s="181"/>
      <c r="BA337" s="181"/>
      <c r="BB337" s="755"/>
      <c r="BC337" s="181"/>
      <c r="BD337" s="181"/>
      <c r="BE337" s="181"/>
      <c r="BF337" s="755"/>
      <c r="BG337" s="181"/>
      <c r="BH337" s="181"/>
      <c r="BI337" s="181"/>
      <c r="BJ337" s="755"/>
      <c r="BK337" s="181"/>
      <c r="BL337" s="181"/>
      <c r="BM337" s="181"/>
      <c r="BN337" s="755"/>
      <c r="BO337" s="181"/>
      <c r="BP337" s="181"/>
      <c r="BQ337" s="181"/>
    </row>
    <row r="338" spans="1:69" hidden="1" outlineLevel="2">
      <c r="A338" s="573"/>
      <c r="J338" s="17">
        <v>2009</v>
      </c>
      <c r="K338" s="11"/>
      <c r="L338" s="11"/>
      <c r="M338" s="11"/>
      <c r="N338" s="76"/>
      <c r="O338" s="76"/>
      <c r="P338" s="352"/>
      <c r="Q338" s="352"/>
      <c r="R338" s="352"/>
      <c r="S338" s="352"/>
      <c r="T338" s="352"/>
      <c r="U338" s="352"/>
      <c r="V338" s="352"/>
      <c r="W338" s="352"/>
      <c r="X338" s="352"/>
      <c r="Y338" s="352"/>
      <c r="Z338" s="352"/>
      <c r="AA338" s="352"/>
      <c r="AB338" s="352"/>
      <c r="AC338" s="352"/>
      <c r="AD338" s="352"/>
      <c r="AE338" s="11"/>
      <c r="AF338" s="11"/>
      <c r="AG338" s="95"/>
      <c r="AH338" s="35"/>
      <c r="AI338" s="35"/>
      <c r="AJ338" s="35"/>
      <c r="AK338" s="35"/>
      <c r="AL338" s="1720"/>
      <c r="AM338" s="35"/>
      <c r="AN338" s="35"/>
      <c r="AO338" s="35"/>
      <c r="AP338" s="1720"/>
      <c r="AQ338" s="35"/>
      <c r="AR338" s="35"/>
      <c r="AS338" s="35"/>
      <c r="AT338" s="1720"/>
      <c r="AU338" s="35"/>
      <c r="AV338" s="35"/>
      <c r="AW338" s="76"/>
      <c r="AX338" s="1720"/>
      <c r="AY338" s="76"/>
      <c r="AZ338" s="181"/>
      <c r="BA338" s="181"/>
      <c r="BB338" s="755"/>
      <c r="BC338" s="181"/>
      <c r="BD338" s="181"/>
      <c r="BE338" s="181"/>
      <c r="BF338" s="755"/>
      <c r="BG338" s="181"/>
      <c r="BH338" s="181"/>
      <c r="BI338" s="181"/>
      <c r="BJ338" s="755"/>
      <c r="BK338" s="181"/>
      <c r="BL338" s="181"/>
      <c r="BM338" s="181"/>
      <c r="BN338" s="755"/>
      <c r="BO338" s="181"/>
      <c r="BP338" s="181"/>
      <c r="BQ338" s="181"/>
    </row>
    <row r="339" spans="1:69" hidden="1" outlineLevel="2">
      <c r="A339" s="573"/>
      <c r="J339" s="17">
        <v>2010</v>
      </c>
      <c r="K339" s="11"/>
      <c r="L339" s="11"/>
      <c r="M339" s="11"/>
      <c r="N339" s="76"/>
      <c r="O339" s="76"/>
      <c r="P339" s="352"/>
      <c r="Q339" s="352"/>
      <c r="R339" s="352"/>
      <c r="S339" s="352"/>
      <c r="T339" s="352"/>
      <c r="U339" s="352"/>
      <c r="V339" s="352"/>
      <c r="W339" s="352"/>
      <c r="X339" s="352"/>
      <c r="Y339" s="352"/>
      <c r="Z339" s="352"/>
      <c r="AA339" s="352"/>
      <c r="AB339" s="352"/>
      <c r="AC339" s="352"/>
      <c r="AD339" s="352"/>
      <c r="AE339" s="11"/>
      <c r="AF339" s="11"/>
      <c r="AG339" s="95"/>
      <c r="AH339" s="35"/>
      <c r="AI339" s="35"/>
      <c r="AJ339" s="35"/>
      <c r="AK339" s="35"/>
      <c r="AL339" s="1720"/>
      <c r="AM339" s="35"/>
      <c r="AN339" s="35"/>
      <c r="AO339" s="35"/>
      <c r="AP339" s="1720"/>
      <c r="AQ339" s="35"/>
      <c r="AR339" s="35"/>
      <c r="AS339" s="35"/>
      <c r="AT339" s="1720"/>
      <c r="AU339" s="35"/>
      <c r="AV339" s="35"/>
      <c r="AW339" s="76"/>
      <c r="AX339" s="1720"/>
      <c r="AY339" s="76"/>
      <c r="AZ339" s="181"/>
      <c r="BA339" s="181"/>
      <c r="BB339" s="755"/>
      <c r="BC339" s="181"/>
      <c r="BD339" s="181"/>
      <c r="BE339" s="181"/>
      <c r="BF339" s="755"/>
      <c r="BG339" s="181"/>
      <c r="BH339" s="181"/>
      <c r="BI339" s="181"/>
      <c r="BJ339" s="755"/>
      <c r="BK339" s="181"/>
      <c r="BL339" s="181"/>
      <c r="BM339" s="181"/>
      <c r="BN339" s="755"/>
      <c r="BO339" s="181"/>
      <c r="BP339" s="181"/>
      <c r="BQ339" s="181"/>
    </row>
    <row r="340" spans="1:69" hidden="1" outlineLevel="2">
      <c r="A340" s="573"/>
      <c r="J340" s="17">
        <v>2011</v>
      </c>
      <c r="K340" s="11"/>
      <c r="L340" s="11"/>
      <c r="M340" s="11"/>
      <c r="N340" s="76"/>
      <c r="O340" s="76"/>
      <c r="P340" s="911">
        <v>580000</v>
      </c>
      <c r="Q340" s="352">
        <f>P340</f>
        <v>580000</v>
      </c>
      <c r="R340" s="352">
        <f t="shared" ref="R340:AD353" si="395">Q340</f>
        <v>580000</v>
      </c>
      <c r="S340" s="352">
        <f t="shared" si="395"/>
        <v>580000</v>
      </c>
      <c r="T340" s="352">
        <f t="shared" si="395"/>
        <v>580000</v>
      </c>
      <c r="U340" s="352">
        <f t="shared" si="395"/>
        <v>580000</v>
      </c>
      <c r="V340" s="352">
        <f t="shared" si="395"/>
        <v>580000</v>
      </c>
      <c r="W340" s="352">
        <f t="shared" si="395"/>
        <v>580000</v>
      </c>
      <c r="X340" s="352">
        <f t="shared" si="395"/>
        <v>580000</v>
      </c>
      <c r="Y340" s="352">
        <f t="shared" si="395"/>
        <v>580000</v>
      </c>
      <c r="Z340" s="352">
        <f t="shared" si="395"/>
        <v>580000</v>
      </c>
      <c r="AA340" s="352">
        <f t="shared" si="395"/>
        <v>580000</v>
      </c>
      <c r="AB340" s="352">
        <f t="shared" si="395"/>
        <v>580000</v>
      </c>
      <c r="AC340" s="352">
        <f t="shared" si="395"/>
        <v>580000</v>
      </c>
      <c r="AD340" s="352">
        <f t="shared" si="395"/>
        <v>580000</v>
      </c>
      <c r="AE340" s="11"/>
      <c r="AF340" s="11"/>
      <c r="AG340" s="95"/>
      <c r="AH340" s="35"/>
      <c r="AI340" s="35"/>
      <c r="AJ340" s="35"/>
      <c r="AK340" s="35"/>
      <c r="AL340" s="1720"/>
      <c r="AM340" s="35"/>
      <c r="AN340" s="35"/>
      <c r="AO340" s="35"/>
      <c r="AP340" s="1720"/>
      <c r="AQ340" s="35"/>
      <c r="AR340" s="35"/>
      <c r="AS340" s="35"/>
      <c r="AT340" s="1720"/>
      <c r="AU340" s="35"/>
      <c r="AV340" s="35"/>
      <c r="AW340" s="76"/>
      <c r="AX340" s="1720"/>
      <c r="AY340" s="76"/>
      <c r="AZ340" s="181"/>
      <c r="BA340" s="181"/>
      <c r="BB340" s="755"/>
      <c r="BC340" s="181"/>
      <c r="BD340" s="181"/>
      <c r="BE340" s="181"/>
      <c r="BF340" s="755"/>
      <c r="BG340" s="181"/>
      <c r="BH340" s="181"/>
      <c r="BI340" s="181"/>
      <c r="BJ340" s="755"/>
      <c r="BK340" s="181"/>
      <c r="BL340" s="181"/>
      <c r="BM340" s="181"/>
      <c r="BN340" s="755"/>
      <c r="BO340" s="181"/>
      <c r="BP340" s="181"/>
      <c r="BQ340" s="181"/>
    </row>
    <row r="341" spans="1:69" hidden="1" outlineLevel="2">
      <c r="A341" s="573"/>
      <c r="J341" s="17">
        <v>2012</v>
      </c>
      <c r="K341" s="11"/>
      <c r="L341" s="11"/>
      <c r="M341" s="11"/>
      <c r="N341" s="76"/>
      <c r="O341" s="76"/>
      <c r="P341" s="76"/>
      <c r="Q341" s="911">
        <f>850000-580000</f>
        <v>270000</v>
      </c>
      <c r="R341" s="912">
        <f t="shared" si="395"/>
        <v>270000</v>
      </c>
      <c r="S341" s="912">
        <f t="shared" si="395"/>
        <v>270000</v>
      </c>
      <c r="T341" s="352">
        <f t="shared" si="395"/>
        <v>270000</v>
      </c>
      <c r="U341" s="352">
        <f t="shared" si="395"/>
        <v>270000</v>
      </c>
      <c r="V341" s="352">
        <f t="shared" si="395"/>
        <v>270000</v>
      </c>
      <c r="W341" s="352">
        <f t="shared" si="395"/>
        <v>270000</v>
      </c>
      <c r="X341" s="352">
        <f t="shared" si="395"/>
        <v>270000</v>
      </c>
      <c r="Y341" s="352">
        <f t="shared" si="395"/>
        <v>270000</v>
      </c>
      <c r="Z341" s="352">
        <f t="shared" si="395"/>
        <v>270000</v>
      </c>
      <c r="AA341" s="352">
        <f t="shared" si="395"/>
        <v>270000</v>
      </c>
      <c r="AB341" s="352">
        <f t="shared" si="395"/>
        <v>270000</v>
      </c>
      <c r="AC341" s="352">
        <f t="shared" si="395"/>
        <v>270000</v>
      </c>
      <c r="AD341" s="352">
        <f t="shared" si="395"/>
        <v>270000</v>
      </c>
      <c r="AE341" s="11"/>
      <c r="AF341" s="11"/>
      <c r="AG341" s="95"/>
      <c r="AH341" s="35"/>
      <c r="AI341" s="35"/>
      <c r="AJ341" s="35"/>
      <c r="AK341" s="35"/>
      <c r="AL341" s="1720"/>
      <c r="AM341" s="35"/>
      <c r="AN341" s="35"/>
      <c r="AO341" s="35"/>
      <c r="AP341" s="1720"/>
      <c r="AQ341" s="35"/>
      <c r="AR341" s="35"/>
      <c r="AS341" s="35"/>
      <c r="AT341" s="1720"/>
      <c r="AU341" s="35"/>
      <c r="AV341" s="35"/>
      <c r="AW341" s="76"/>
      <c r="AX341" s="1720"/>
      <c r="AY341" s="76"/>
      <c r="AZ341" s="181"/>
      <c r="BA341" s="181"/>
      <c r="BB341" s="755"/>
      <c r="BC341" s="181"/>
      <c r="BD341" s="181"/>
      <c r="BE341" s="181"/>
      <c r="BF341" s="755"/>
      <c r="BG341" s="181"/>
      <c r="BH341" s="181"/>
      <c r="BI341" s="181"/>
      <c r="BJ341" s="755"/>
      <c r="BK341" s="181"/>
      <c r="BL341" s="181"/>
      <c r="BM341" s="181"/>
      <c r="BN341" s="755"/>
      <c r="BO341" s="181"/>
      <c r="BP341" s="181"/>
      <c r="BQ341" s="181"/>
    </row>
    <row r="342" spans="1:69" hidden="1" outlineLevel="2">
      <c r="A342" s="573"/>
      <c r="J342" s="17">
        <v>2013</v>
      </c>
      <c r="K342" s="11"/>
      <c r="L342" s="11"/>
      <c r="M342" s="11"/>
      <c r="N342" s="76"/>
      <c r="O342" s="76"/>
      <c r="P342" s="76"/>
      <c r="Q342" s="76"/>
      <c r="R342" s="913">
        <f>1300000-Q341-P340</f>
        <v>450000</v>
      </c>
      <c r="S342" s="76">
        <f t="shared" si="395"/>
        <v>450000</v>
      </c>
      <c r="T342" s="352">
        <f t="shared" si="395"/>
        <v>450000</v>
      </c>
      <c r="U342" s="352">
        <f t="shared" si="395"/>
        <v>450000</v>
      </c>
      <c r="V342" s="352">
        <f t="shared" si="395"/>
        <v>450000</v>
      </c>
      <c r="W342" s="352">
        <f t="shared" si="395"/>
        <v>450000</v>
      </c>
      <c r="X342" s="352">
        <f t="shared" si="395"/>
        <v>450000</v>
      </c>
      <c r="Y342" s="352">
        <f t="shared" si="395"/>
        <v>450000</v>
      </c>
      <c r="Z342" s="352">
        <f t="shared" si="395"/>
        <v>450000</v>
      </c>
      <c r="AA342" s="352">
        <f t="shared" si="395"/>
        <v>450000</v>
      </c>
      <c r="AB342" s="352">
        <f t="shared" si="395"/>
        <v>450000</v>
      </c>
      <c r="AC342" s="352">
        <f t="shared" si="395"/>
        <v>450000</v>
      </c>
      <c r="AD342" s="352">
        <f t="shared" si="395"/>
        <v>450000</v>
      </c>
      <c r="AE342" s="11"/>
      <c r="AF342" s="11"/>
      <c r="AG342" s="95"/>
      <c r="AH342" s="35"/>
      <c r="AI342" s="35"/>
      <c r="AJ342" s="35"/>
      <c r="AK342" s="35"/>
      <c r="AL342" s="1720"/>
      <c r="AM342" s="35"/>
      <c r="AN342" s="35"/>
      <c r="AO342" s="35"/>
      <c r="AP342" s="1720"/>
      <c r="AQ342" s="35"/>
      <c r="AR342" s="35"/>
      <c r="AS342" s="35"/>
      <c r="AT342" s="1720"/>
      <c r="AU342" s="35"/>
      <c r="AV342" s="35"/>
      <c r="AW342" s="76"/>
      <c r="AX342" s="1720"/>
      <c r="AY342" s="76"/>
      <c r="AZ342" s="181"/>
      <c r="BA342" s="181"/>
      <c r="BB342" s="755"/>
      <c r="BC342" s="181"/>
      <c r="BD342" s="181"/>
      <c r="BE342" s="181"/>
      <c r="BF342" s="755"/>
      <c r="BG342" s="181"/>
      <c r="BH342" s="181"/>
      <c r="BI342" s="181"/>
      <c r="BJ342" s="755"/>
      <c r="BK342" s="181"/>
      <c r="BL342" s="181"/>
      <c r="BM342" s="181"/>
      <c r="BN342" s="755"/>
      <c r="BO342" s="181"/>
      <c r="BP342" s="181"/>
      <c r="BQ342" s="181"/>
    </row>
    <row r="343" spans="1:69" hidden="1" outlineLevel="2">
      <c r="A343" s="573"/>
      <c r="J343" s="17">
        <v>2014</v>
      </c>
      <c r="K343" s="11"/>
      <c r="L343" s="11"/>
      <c r="M343" s="11"/>
      <c r="N343" s="76"/>
      <c r="O343" s="76"/>
      <c r="P343" s="76"/>
      <c r="Q343" s="76"/>
      <c r="R343" s="76"/>
      <c r="S343" s="914">
        <f>S$311-$R$342-$Q$341-$P$340</f>
        <v>1350000</v>
      </c>
      <c r="T343" s="352">
        <f t="shared" si="395"/>
        <v>1350000</v>
      </c>
      <c r="U343" s="352">
        <f t="shared" si="395"/>
        <v>1350000</v>
      </c>
      <c r="V343" s="352">
        <f t="shared" si="395"/>
        <v>1350000</v>
      </c>
      <c r="W343" s="352">
        <f t="shared" si="395"/>
        <v>1350000</v>
      </c>
      <c r="X343" s="352">
        <f t="shared" si="395"/>
        <v>1350000</v>
      </c>
      <c r="Y343" s="352">
        <f t="shared" si="395"/>
        <v>1350000</v>
      </c>
      <c r="Z343" s="352">
        <f t="shared" si="395"/>
        <v>1350000</v>
      </c>
      <c r="AA343" s="352">
        <f t="shared" si="395"/>
        <v>1350000</v>
      </c>
      <c r="AB343" s="352">
        <f t="shared" si="395"/>
        <v>1350000</v>
      </c>
      <c r="AC343" s="352">
        <f t="shared" si="395"/>
        <v>1350000</v>
      </c>
      <c r="AD343" s="352">
        <f t="shared" si="395"/>
        <v>1350000</v>
      </c>
      <c r="AE343" s="11"/>
      <c r="AF343" s="11"/>
      <c r="AG343" s="95"/>
      <c r="AH343" s="35"/>
      <c r="AI343" s="35"/>
      <c r="AJ343" s="35"/>
      <c r="AK343" s="35"/>
      <c r="AL343" s="1720"/>
      <c r="AM343" s="35"/>
      <c r="AN343" s="35"/>
      <c r="AO343" s="35"/>
      <c r="AP343" s="1720"/>
      <c r="AQ343" s="35"/>
      <c r="AR343" s="35"/>
      <c r="AS343" s="35"/>
      <c r="AT343" s="1720"/>
      <c r="AU343" s="35"/>
      <c r="AV343" s="35"/>
      <c r="AW343" s="76"/>
      <c r="AX343" s="1720"/>
      <c r="AY343" s="76"/>
      <c r="AZ343" s="181"/>
      <c r="BA343" s="181"/>
      <c r="BB343" s="755"/>
      <c r="BC343" s="181"/>
      <c r="BD343" s="181"/>
      <c r="BE343" s="181"/>
      <c r="BF343" s="755"/>
      <c r="BG343" s="181"/>
      <c r="BH343" s="181"/>
      <c r="BI343" s="181"/>
      <c r="BJ343" s="755"/>
      <c r="BK343" s="181"/>
      <c r="BL343" s="181"/>
      <c r="BM343" s="181"/>
      <c r="BN343" s="755"/>
      <c r="BO343" s="181"/>
      <c r="BP343" s="181"/>
      <c r="BQ343" s="181"/>
    </row>
    <row r="344" spans="1:69" hidden="1" outlineLevel="2">
      <c r="A344" s="573"/>
      <c r="J344" s="17">
        <v>2015</v>
      </c>
      <c r="K344" s="11"/>
      <c r="L344" s="11"/>
      <c r="M344" s="11"/>
      <c r="N344" s="76"/>
      <c r="O344" s="76"/>
      <c r="P344" s="76"/>
      <c r="Q344" s="76"/>
      <c r="R344" s="76"/>
      <c r="S344" s="76"/>
      <c r="T344" s="914">
        <f>T$311-$R$342-$Q$341-$P$340</f>
        <v>2700000</v>
      </c>
      <c r="U344" s="352">
        <f t="shared" si="395"/>
        <v>2700000</v>
      </c>
      <c r="V344" s="352">
        <f t="shared" si="395"/>
        <v>2700000</v>
      </c>
      <c r="W344" s="352">
        <f t="shared" si="395"/>
        <v>2700000</v>
      </c>
      <c r="X344" s="352">
        <f t="shared" si="395"/>
        <v>2700000</v>
      </c>
      <c r="Y344" s="352">
        <f t="shared" si="395"/>
        <v>2700000</v>
      </c>
      <c r="Z344" s="352">
        <f t="shared" si="395"/>
        <v>2700000</v>
      </c>
      <c r="AA344" s="352">
        <f t="shared" si="395"/>
        <v>2700000</v>
      </c>
      <c r="AB344" s="352">
        <f t="shared" si="395"/>
        <v>2700000</v>
      </c>
      <c r="AC344" s="352">
        <f t="shared" si="395"/>
        <v>2700000</v>
      </c>
      <c r="AD344" s="352">
        <f t="shared" si="395"/>
        <v>2700000</v>
      </c>
      <c r="AE344" s="11"/>
      <c r="AF344" s="11"/>
      <c r="AG344" s="95"/>
      <c r="AH344" s="35"/>
      <c r="AI344" s="35"/>
      <c r="AJ344" s="35"/>
      <c r="AK344" s="35"/>
      <c r="AL344" s="1720"/>
      <c r="AM344" s="35"/>
      <c r="AN344" s="35"/>
      <c r="AO344" s="35"/>
      <c r="AP344" s="1720"/>
      <c r="AQ344" s="35"/>
      <c r="AR344" s="35"/>
      <c r="AS344" s="35"/>
      <c r="AT344" s="1720"/>
      <c r="AU344" s="35"/>
      <c r="AV344" s="35"/>
      <c r="AW344" s="76"/>
      <c r="AX344" s="1720"/>
      <c r="AY344" s="76"/>
      <c r="AZ344" s="181"/>
      <c r="BA344" s="181"/>
      <c r="BB344" s="755"/>
      <c r="BC344" s="181"/>
      <c r="BD344" s="181"/>
      <c r="BE344" s="181"/>
      <c r="BF344" s="755"/>
      <c r="BG344" s="181"/>
      <c r="BH344" s="181"/>
      <c r="BI344" s="181"/>
      <c r="BJ344" s="755"/>
      <c r="BK344" s="181"/>
      <c r="BL344" s="181"/>
      <c r="BM344" s="181"/>
      <c r="BN344" s="755"/>
      <c r="BO344" s="181"/>
      <c r="BP344" s="181"/>
      <c r="BQ344" s="181"/>
    </row>
    <row r="345" spans="1:69" hidden="1" outlineLevel="2">
      <c r="A345" s="573"/>
      <c r="J345" s="17">
        <v>2016</v>
      </c>
      <c r="K345" s="11"/>
      <c r="L345" s="11"/>
      <c r="M345" s="11"/>
      <c r="N345" s="76"/>
      <c r="O345" s="76"/>
      <c r="P345" s="76"/>
      <c r="Q345" s="76"/>
      <c r="R345" s="76"/>
      <c r="S345" s="76"/>
      <c r="T345" s="174"/>
      <c r="U345" s="914">
        <f>U$311-$R$342-$Q$341-$P$340-$S$343-$T$344</f>
        <v>250000</v>
      </c>
      <c r="V345" s="352">
        <f t="shared" si="395"/>
        <v>250000</v>
      </c>
      <c r="W345" s="352">
        <f t="shared" si="395"/>
        <v>250000</v>
      </c>
      <c r="X345" s="352">
        <f t="shared" si="395"/>
        <v>250000</v>
      </c>
      <c r="Y345" s="352">
        <f t="shared" si="395"/>
        <v>250000</v>
      </c>
      <c r="Z345" s="352">
        <f t="shared" si="395"/>
        <v>250000</v>
      </c>
      <c r="AA345" s="352">
        <f t="shared" si="395"/>
        <v>250000</v>
      </c>
      <c r="AB345" s="352">
        <f t="shared" si="395"/>
        <v>250000</v>
      </c>
      <c r="AC345" s="352">
        <f t="shared" si="395"/>
        <v>250000</v>
      </c>
      <c r="AD345" s="352">
        <f t="shared" si="395"/>
        <v>250000</v>
      </c>
      <c r="AE345" s="11"/>
      <c r="AF345" s="11"/>
      <c r="AG345" s="95"/>
      <c r="AH345" s="35"/>
      <c r="AI345" s="35"/>
      <c r="AJ345" s="35"/>
      <c r="AK345" s="35"/>
      <c r="AL345" s="1720"/>
      <c r="AM345" s="35"/>
      <c r="AN345" s="35"/>
      <c r="AO345" s="35"/>
      <c r="AP345" s="1720"/>
      <c r="AQ345" s="35"/>
      <c r="AR345" s="35"/>
      <c r="AS345" s="35"/>
      <c r="AT345" s="1720"/>
      <c r="AU345" s="35"/>
      <c r="AV345" s="35"/>
      <c r="AW345" s="76"/>
      <c r="AX345" s="1720"/>
      <c r="AY345" s="76"/>
      <c r="AZ345" s="181"/>
      <c r="BA345" s="181"/>
      <c r="BB345" s="755"/>
      <c r="BC345" s="181"/>
      <c r="BD345" s="181"/>
      <c r="BE345" s="181"/>
      <c r="BF345" s="755"/>
      <c r="BG345" s="181"/>
      <c r="BH345" s="181"/>
      <c r="BI345" s="181"/>
      <c r="BJ345" s="755"/>
      <c r="BK345" s="181"/>
      <c r="BL345" s="181"/>
      <c r="BM345" s="181"/>
      <c r="BN345" s="755"/>
      <c r="BO345" s="181"/>
      <c r="BP345" s="181"/>
      <c r="BQ345" s="181"/>
    </row>
    <row r="346" spans="1:69" hidden="1" outlineLevel="2">
      <c r="A346" s="573"/>
      <c r="J346" s="17">
        <v>2017</v>
      </c>
      <c r="K346" s="11"/>
      <c r="L346" s="11"/>
      <c r="M346" s="11"/>
      <c r="N346" s="76"/>
      <c r="O346" s="76"/>
      <c r="P346" s="76"/>
      <c r="Q346" s="76"/>
      <c r="R346" s="76"/>
      <c r="S346" s="76"/>
      <c r="T346" s="174"/>
      <c r="U346" s="174"/>
      <c r="V346" s="914">
        <f>V$311-$R$342-$Q$341-$P$340-$S$343-$T$344-$U$345</f>
        <v>2032649.5001368867</v>
      </c>
      <c r="W346" s="352">
        <f t="shared" si="395"/>
        <v>2032649.5001368867</v>
      </c>
      <c r="X346" s="352">
        <f t="shared" si="395"/>
        <v>2032649.5001368867</v>
      </c>
      <c r="Y346" s="352">
        <f t="shared" si="395"/>
        <v>2032649.5001368867</v>
      </c>
      <c r="Z346" s="352">
        <f t="shared" si="395"/>
        <v>2032649.5001368867</v>
      </c>
      <c r="AA346" s="352">
        <f t="shared" si="395"/>
        <v>2032649.5001368867</v>
      </c>
      <c r="AB346" s="352">
        <f t="shared" si="395"/>
        <v>2032649.5001368867</v>
      </c>
      <c r="AC346" s="352">
        <f t="shared" si="395"/>
        <v>2032649.5001368867</v>
      </c>
      <c r="AD346" s="352">
        <f t="shared" si="395"/>
        <v>2032649.5001368867</v>
      </c>
      <c r="AE346" s="11"/>
      <c r="AF346" s="11"/>
      <c r="AG346" s="95"/>
      <c r="AH346" s="35"/>
      <c r="AI346" s="35"/>
      <c r="AJ346" s="35"/>
      <c r="AK346" s="35"/>
      <c r="AL346" s="1720"/>
      <c r="AM346" s="35"/>
      <c r="AN346" s="35"/>
      <c r="AO346" s="35"/>
      <c r="AP346" s="1720"/>
      <c r="AQ346" s="35"/>
      <c r="AR346" s="35"/>
      <c r="AS346" s="35"/>
      <c r="AT346" s="1720"/>
      <c r="AU346" s="35"/>
      <c r="AV346" s="35"/>
      <c r="AW346" s="76"/>
      <c r="AX346" s="1720"/>
      <c r="AY346" s="76"/>
      <c r="AZ346" s="181"/>
      <c r="BA346" s="181"/>
      <c r="BB346" s="755"/>
      <c r="BC346" s="181"/>
      <c r="BD346" s="181"/>
      <c r="BE346" s="181"/>
      <c r="BF346" s="755"/>
      <c r="BG346" s="181"/>
      <c r="BH346" s="181"/>
      <c r="BI346" s="181"/>
      <c r="BJ346" s="755"/>
      <c r="BK346" s="181"/>
      <c r="BL346" s="181"/>
      <c r="BM346" s="181"/>
      <c r="BN346" s="755"/>
      <c r="BO346" s="181"/>
      <c r="BP346" s="181"/>
      <c r="BQ346" s="181"/>
    </row>
    <row r="347" spans="1:69" hidden="1" outlineLevel="2">
      <c r="A347" s="573"/>
      <c r="J347" s="17">
        <v>2018</v>
      </c>
      <c r="K347" s="11"/>
      <c r="L347" s="11"/>
      <c r="M347" s="11"/>
      <c r="N347" s="76"/>
      <c r="O347" s="76"/>
      <c r="P347" s="76"/>
      <c r="Q347" s="76"/>
      <c r="R347" s="76"/>
      <c r="S347" s="76"/>
      <c r="T347" s="174"/>
      <c r="U347" s="174"/>
      <c r="V347" s="174"/>
      <c r="W347" s="914">
        <f>W$311-$R$342-$Q$341-$P$340-$S$343-$T$344-$U$345-$V$346</f>
        <v>2278270.3050037259</v>
      </c>
      <c r="X347" s="352">
        <f t="shared" si="395"/>
        <v>2278270.3050037259</v>
      </c>
      <c r="Y347" s="352">
        <f t="shared" si="395"/>
        <v>2278270.3050037259</v>
      </c>
      <c r="Z347" s="352">
        <f t="shared" si="395"/>
        <v>2278270.3050037259</v>
      </c>
      <c r="AA347" s="352">
        <f t="shared" si="395"/>
        <v>2278270.3050037259</v>
      </c>
      <c r="AB347" s="352">
        <f t="shared" si="395"/>
        <v>2278270.3050037259</v>
      </c>
      <c r="AC347" s="352">
        <f t="shared" si="395"/>
        <v>2278270.3050037259</v>
      </c>
      <c r="AD347" s="352">
        <f t="shared" si="395"/>
        <v>2278270.3050037259</v>
      </c>
      <c r="AE347" s="11"/>
      <c r="AF347" s="11"/>
      <c r="AG347" s="95"/>
      <c r="AH347" s="35"/>
      <c r="AI347" s="35"/>
      <c r="AJ347" s="35"/>
      <c r="AK347" s="35"/>
      <c r="AL347" s="1720"/>
      <c r="AM347" s="35"/>
      <c r="AN347" s="35"/>
      <c r="AO347" s="35"/>
      <c r="AP347" s="1720"/>
      <c r="AQ347" s="35"/>
      <c r="AR347" s="35"/>
      <c r="AS347" s="35"/>
      <c r="AT347" s="1720"/>
      <c r="AU347" s="35"/>
      <c r="AV347" s="35"/>
      <c r="AW347" s="76"/>
      <c r="AX347" s="1720"/>
      <c r="AY347" s="76"/>
      <c r="AZ347" s="181"/>
      <c r="BA347" s="181"/>
      <c r="BB347" s="755"/>
      <c r="BC347" s="181"/>
      <c r="BD347" s="181"/>
      <c r="BE347" s="181"/>
      <c r="BF347" s="755"/>
      <c r="BG347" s="181"/>
      <c r="BH347" s="181"/>
      <c r="BI347" s="181"/>
      <c r="BJ347" s="755"/>
      <c r="BK347" s="181"/>
      <c r="BL347" s="181"/>
      <c r="BM347" s="181"/>
      <c r="BN347" s="755"/>
      <c r="BO347" s="181"/>
      <c r="BP347" s="181"/>
      <c r="BQ347" s="181"/>
    </row>
    <row r="348" spans="1:69" hidden="1" outlineLevel="2">
      <c r="A348" s="573"/>
      <c r="J348" s="17">
        <v>2019</v>
      </c>
      <c r="K348" s="11"/>
      <c r="L348" s="11"/>
      <c r="M348" s="11"/>
      <c r="N348" s="76"/>
      <c r="O348" s="76"/>
      <c r="P348" s="76"/>
      <c r="Q348" s="76"/>
      <c r="R348" s="76"/>
      <c r="S348" s="76"/>
      <c r="T348" s="174"/>
      <c r="U348" s="174"/>
      <c r="V348" s="174"/>
      <c r="W348" s="63"/>
      <c r="X348" s="914">
        <f>X$311-$R$342-$Q$341-$P$340-$S$343-$T$344-$U$345-$V$346-$W$347</f>
        <v>2327348.9156279471</v>
      </c>
      <c r="Y348" s="352">
        <f t="shared" si="395"/>
        <v>2327348.9156279471</v>
      </c>
      <c r="Z348" s="352">
        <f t="shared" si="395"/>
        <v>2327348.9156279471</v>
      </c>
      <c r="AA348" s="352">
        <f t="shared" si="395"/>
        <v>2327348.9156279471</v>
      </c>
      <c r="AB348" s="352">
        <f t="shared" si="395"/>
        <v>2327348.9156279471</v>
      </c>
      <c r="AC348" s="352">
        <f t="shared" si="395"/>
        <v>2327348.9156279471</v>
      </c>
      <c r="AD348" s="352">
        <f t="shared" si="395"/>
        <v>2327348.9156279471</v>
      </c>
      <c r="AE348" s="11"/>
      <c r="AF348" s="11"/>
      <c r="AG348" s="95"/>
      <c r="AH348" s="35"/>
      <c r="AI348" s="35"/>
      <c r="AJ348" s="35"/>
      <c r="AK348" s="35"/>
      <c r="AL348" s="1720"/>
      <c r="AM348" s="35"/>
      <c r="AN348" s="35"/>
      <c r="AO348" s="35"/>
      <c r="AP348" s="1720"/>
      <c r="AQ348" s="35"/>
      <c r="AR348" s="35"/>
      <c r="AS348" s="35"/>
      <c r="AT348" s="1720"/>
      <c r="AU348" s="35"/>
      <c r="AV348" s="35"/>
      <c r="AW348" s="76"/>
      <c r="AX348" s="1720"/>
      <c r="AY348" s="76"/>
      <c r="AZ348" s="181"/>
      <c r="BA348" s="181"/>
      <c r="BB348" s="755"/>
      <c r="BC348" s="181"/>
      <c r="BD348" s="181"/>
      <c r="BE348" s="181"/>
      <c r="BF348" s="755"/>
      <c r="BG348" s="181"/>
      <c r="BH348" s="181"/>
      <c r="BI348" s="181"/>
      <c r="BJ348" s="755"/>
      <c r="BK348" s="181"/>
      <c r="BL348" s="181"/>
      <c r="BM348" s="181"/>
      <c r="BN348" s="755"/>
      <c r="BO348" s="181"/>
      <c r="BP348" s="181"/>
      <c r="BQ348" s="181"/>
    </row>
    <row r="349" spans="1:69" hidden="1" outlineLevel="2">
      <c r="A349" s="573"/>
      <c r="J349" s="17">
        <v>2020</v>
      </c>
      <c r="K349" s="11"/>
      <c r="L349" s="11"/>
      <c r="M349" s="11"/>
      <c r="N349" s="76"/>
      <c r="O349" s="76"/>
      <c r="P349" s="76"/>
      <c r="Q349" s="76"/>
      <c r="R349" s="76"/>
      <c r="S349" s="76"/>
      <c r="T349" s="174"/>
      <c r="U349" s="174"/>
      <c r="V349" s="174"/>
      <c r="W349" s="63"/>
      <c r="X349" s="63"/>
      <c r="Y349" s="914">
        <f>Y$311-$R$342-$Q$341-$P$340-$S$343-$T$344-$U$345-$V$346-$W$347-$X$348</f>
        <v>2309518.82987969</v>
      </c>
      <c r="Z349" s="352">
        <f t="shared" si="395"/>
        <v>2309518.82987969</v>
      </c>
      <c r="AA349" s="352">
        <f t="shared" si="395"/>
        <v>2309518.82987969</v>
      </c>
      <c r="AB349" s="352">
        <f t="shared" si="395"/>
        <v>2309518.82987969</v>
      </c>
      <c r="AC349" s="352">
        <f t="shared" si="395"/>
        <v>2309518.82987969</v>
      </c>
      <c r="AD349" s="352">
        <f t="shared" si="395"/>
        <v>2309518.82987969</v>
      </c>
      <c r="AE349" s="11"/>
      <c r="AF349" s="11"/>
      <c r="AG349" s="95"/>
      <c r="AH349" s="35"/>
      <c r="AI349" s="35"/>
      <c r="AJ349" s="35"/>
      <c r="AK349" s="35"/>
      <c r="AL349" s="1720"/>
      <c r="AM349" s="35"/>
      <c r="AN349" s="35"/>
      <c r="AO349" s="35"/>
      <c r="AP349" s="1720"/>
      <c r="AQ349" s="35"/>
      <c r="AR349" s="35"/>
      <c r="AS349" s="35"/>
      <c r="AT349" s="1720"/>
      <c r="AU349" s="35"/>
      <c r="AV349" s="35"/>
      <c r="AW349" s="76"/>
      <c r="AX349" s="1720"/>
      <c r="AY349" s="76"/>
      <c r="AZ349" s="181"/>
      <c r="BA349" s="181"/>
      <c r="BB349" s="755"/>
      <c r="BC349" s="181"/>
      <c r="BD349" s="181"/>
      <c r="BE349" s="181"/>
      <c r="BF349" s="755"/>
      <c r="BG349" s="181"/>
      <c r="BH349" s="181"/>
      <c r="BI349" s="181"/>
      <c r="BJ349" s="755"/>
      <c r="BK349" s="181"/>
      <c r="BL349" s="181"/>
      <c r="BM349" s="181"/>
      <c r="BN349" s="755"/>
      <c r="BO349" s="181"/>
      <c r="BP349" s="181"/>
      <c r="BQ349" s="181"/>
    </row>
    <row r="350" spans="1:69" hidden="1" outlineLevel="2">
      <c r="A350" s="573"/>
      <c r="J350" s="17">
        <v>2021</v>
      </c>
      <c r="K350" s="11"/>
      <c r="L350" s="11"/>
      <c r="M350" s="11"/>
      <c r="N350" s="76"/>
      <c r="O350" s="76"/>
      <c r="P350" s="76"/>
      <c r="Q350" s="76"/>
      <c r="R350" s="76"/>
      <c r="S350" s="76"/>
      <c r="T350" s="174"/>
      <c r="U350" s="174"/>
      <c r="V350" s="174"/>
      <c r="W350" s="63"/>
      <c r="X350" s="63"/>
      <c r="Y350" s="63"/>
      <c r="Z350" s="914">
        <f>Z$311-$R$342-$Q$341-$P$340-$S$343-$T$344-$U$345-$V$346-$W$347-$X$348-$Y$349</f>
        <v>1850881.8814438628</v>
      </c>
      <c r="AA350" s="352">
        <f t="shared" si="395"/>
        <v>1850881.8814438628</v>
      </c>
      <c r="AB350" s="352">
        <f t="shared" si="395"/>
        <v>1850881.8814438628</v>
      </c>
      <c r="AC350" s="352">
        <f t="shared" si="395"/>
        <v>1850881.8814438628</v>
      </c>
      <c r="AD350" s="352">
        <f t="shared" si="395"/>
        <v>1850881.8814438628</v>
      </c>
      <c r="AE350" s="11"/>
      <c r="AF350" s="11"/>
      <c r="AG350" s="95"/>
      <c r="AH350" s="35"/>
      <c r="AI350" s="35"/>
      <c r="AJ350" s="35"/>
      <c r="AK350" s="35"/>
      <c r="AL350" s="1720"/>
      <c r="AM350" s="35"/>
      <c r="AN350" s="35"/>
      <c r="AO350" s="35"/>
      <c r="AP350" s="1720"/>
      <c r="AQ350" s="35"/>
      <c r="AR350" s="35"/>
      <c r="AS350" s="35"/>
      <c r="AT350" s="1720"/>
      <c r="AU350" s="35"/>
      <c r="AV350" s="35"/>
      <c r="AW350" s="76"/>
      <c r="AX350" s="1720"/>
      <c r="AY350" s="76"/>
      <c r="AZ350" s="181"/>
      <c r="BA350" s="181"/>
      <c r="BB350" s="755"/>
      <c r="BC350" s="181"/>
      <c r="BD350" s="181"/>
      <c r="BE350" s="181"/>
      <c r="BF350" s="755"/>
      <c r="BG350" s="181"/>
      <c r="BH350" s="181"/>
      <c r="BI350" s="181"/>
      <c r="BJ350" s="755"/>
      <c r="BK350" s="181"/>
      <c r="BL350" s="181"/>
      <c r="BM350" s="181"/>
      <c r="BN350" s="755"/>
      <c r="BO350" s="181"/>
      <c r="BP350" s="181"/>
      <c r="BQ350" s="181"/>
    </row>
    <row r="351" spans="1:69" hidden="1" outlineLevel="2">
      <c r="A351" s="573"/>
      <c r="J351" s="17">
        <v>2022</v>
      </c>
      <c r="K351" s="11"/>
      <c r="L351" s="11"/>
      <c r="M351" s="11"/>
      <c r="N351" s="76"/>
      <c r="O351" s="76"/>
      <c r="P351" s="76"/>
      <c r="Q351" s="76"/>
      <c r="R351" s="76"/>
      <c r="S351" s="76"/>
      <c r="T351" s="174"/>
      <c r="U351" s="174"/>
      <c r="V351" s="174"/>
      <c r="W351" s="63"/>
      <c r="X351" s="63"/>
      <c r="Y351" s="63"/>
      <c r="Z351" s="63"/>
      <c r="AA351" s="914">
        <f>AA$311-$R$342-$Q$341-$P$340-$S$343-$T$344-$U$345-$V$346-$W$347-$X$348-$Y$349-$Z$350</f>
        <v>1078090.7428622954</v>
      </c>
      <c r="AB351" s="352">
        <f t="shared" si="395"/>
        <v>1078090.7428622954</v>
      </c>
      <c r="AC351" s="352">
        <f t="shared" si="395"/>
        <v>1078090.7428622954</v>
      </c>
      <c r="AD351" s="352">
        <f t="shared" si="395"/>
        <v>1078090.7428622954</v>
      </c>
      <c r="AE351" s="11"/>
      <c r="AF351" s="11"/>
      <c r="AG351" s="95"/>
      <c r="AH351" s="35"/>
      <c r="AI351" s="35"/>
      <c r="AJ351" s="35"/>
      <c r="AK351" s="35"/>
      <c r="AL351" s="1720"/>
      <c r="AM351" s="35"/>
      <c r="AN351" s="35"/>
      <c r="AO351" s="35"/>
      <c r="AP351" s="1720"/>
      <c r="AQ351" s="35"/>
      <c r="AR351" s="35"/>
      <c r="AS351" s="35"/>
      <c r="AT351" s="1720"/>
      <c r="AU351" s="35"/>
      <c r="AV351" s="35"/>
      <c r="AW351" s="76"/>
      <c r="AX351" s="1720"/>
      <c r="AY351" s="76"/>
      <c r="AZ351" s="181"/>
      <c r="BA351" s="181"/>
      <c r="BB351" s="755"/>
      <c r="BC351" s="181"/>
      <c r="BD351" s="181"/>
      <c r="BE351" s="181"/>
      <c r="BF351" s="755"/>
      <c r="BG351" s="181"/>
      <c r="BH351" s="181"/>
      <c r="BI351" s="181"/>
      <c r="BJ351" s="755"/>
      <c r="BK351" s="181"/>
      <c r="BL351" s="181"/>
      <c r="BM351" s="181"/>
      <c r="BN351" s="755"/>
      <c r="BO351" s="181"/>
      <c r="BP351" s="181"/>
      <c r="BQ351" s="181"/>
    </row>
    <row r="352" spans="1:69" hidden="1" outlineLevel="2">
      <c r="A352" s="573"/>
      <c r="J352" s="17">
        <v>2023</v>
      </c>
      <c r="K352" s="11"/>
      <c r="L352" s="11"/>
      <c r="M352" s="11"/>
      <c r="N352" s="76"/>
      <c r="O352" s="76"/>
      <c r="P352" s="76"/>
      <c r="Q352" s="76"/>
      <c r="R352" s="76"/>
      <c r="S352" s="76"/>
      <c r="T352" s="174"/>
      <c r="U352" s="174"/>
      <c r="V352" s="174"/>
      <c r="W352" s="63"/>
      <c r="X352" s="63"/>
      <c r="Y352" s="63"/>
      <c r="Z352" s="63"/>
      <c r="AA352" s="63"/>
      <c r="AB352" s="914">
        <f>AB$311-$R$342-$Q$341-$P$340-$S$343-$T$344-$U$345-$V$346-$W$347-$X$348-$Y$349-$Z$350-$AA$351</f>
        <v>1148967.203581159</v>
      </c>
      <c r="AC352" s="352">
        <f>AB352</f>
        <v>1148967.203581159</v>
      </c>
      <c r="AD352" s="352">
        <f>AC352</f>
        <v>1148967.203581159</v>
      </c>
      <c r="AE352" s="11"/>
      <c r="AF352" s="11"/>
      <c r="AG352" s="95"/>
      <c r="AH352" s="35"/>
      <c r="AI352" s="35"/>
      <c r="AJ352" s="35"/>
      <c r="AK352" s="35"/>
      <c r="AL352" s="1720"/>
      <c r="AM352" s="35"/>
      <c r="AN352" s="35"/>
      <c r="AO352" s="35"/>
      <c r="AP352" s="1720"/>
      <c r="AQ352" s="35"/>
      <c r="AR352" s="35"/>
      <c r="AS352" s="35"/>
      <c r="AT352" s="1720"/>
      <c r="AU352" s="35"/>
      <c r="AV352" s="35"/>
      <c r="AW352" s="76"/>
      <c r="AX352" s="1720"/>
      <c r="AY352" s="76"/>
      <c r="AZ352" s="181"/>
      <c r="BA352" s="181"/>
      <c r="BB352" s="755"/>
      <c r="BC352" s="181"/>
      <c r="BD352" s="181"/>
      <c r="BE352" s="181"/>
      <c r="BF352" s="755"/>
      <c r="BG352" s="181"/>
      <c r="BH352" s="181"/>
      <c r="BI352" s="181"/>
      <c r="BJ352" s="755"/>
      <c r="BK352" s="181"/>
      <c r="BL352" s="181"/>
      <c r="BM352" s="181"/>
      <c r="BN352" s="755"/>
      <c r="BO352" s="181"/>
      <c r="BP352" s="181"/>
      <c r="BQ352" s="181"/>
    </row>
    <row r="353" spans="1:101" hidden="1" outlineLevel="2">
      <c r="A353" s="573"/>
      <c r="J353" s="17">
        <v>2024</v>
      </c>
      <c r="K353" s="11"/>
      <c r="L353" s="11"/>
      <c r="M353" s="11"/>
      <c r="N353" s="76"/>
      <c r="O353" s="76"/>
      <c r="P353" s="76"/>
      <c r="Q353" s="76"/>
      <c r="R353" s="76"/>
      <c r="S353" s="76"/>
      <c r="T353" s="174"/>
      <c r="U353" s="174"/>
      <c r="V353" s="174"/>
      <c r="W353" s="63"/>
      <c r="X353" s="63"/>
      <c r="Y353" s="63"/>
      <c r="Z353" s="63"/>
      <c r="AA353" s="63"/>
      <c r="AB353" s="63"/>
      <c r="AC353" s="914">
        <f>AC$311-$R$342-$Q$341-$P$340-$S$343-$T$344-$U$345-$V$346-$W$347-$X$348-$Y$349-$Z$350-$AA$351-$AB$352</f>
        <v>1224503.2652819417</v>
      </c>
      <c r="AD353" s="352">
        <f t="shared" si="395"/>
        <v>1224503.2652819417</v>
      </c>
      <c r="AE353" s="11"/>
      <c r="AF353" s="11"/>
      <c r="AG353" s="95"/>
      <c r="AH353" s="35"/>
      <c r="AI353" s="35"/>
      <c r="AJ353" s="35"/>
      <c r="AK353" s="35"/>
      <c r="AL353" s="1720"/>
      <c r="AM353" s="35"/>
      <c r="AN353" s="35"/>
      <c r="AO353" s="35"/>
      <c r="AP353" s="1720"/>
      <c r="AQ353" s="35"/>
      <c r="AR353" s="35"/>
      <c r="AS353" s="35"/>
      <c r="AT353" s="1720"/>
      <c r="AU353" s="35"/>
      <c r="AV353" s="35"/>
      <c r="AW353" s="76"/>
      <c r="AX353" s="1720"/>
      <c r="AY353" s="76"/>
      <c r="AZ353" s="181"/>
      <c r="BA353" s="181"/>
      <c r="BB353" s="755"/>
      <c r="BC353" s="181"/>
      <c r="BD353" s="181"/>
      <c r="BE353" s="181"/>
      <c r="BF353" s="755"/>
      <c r="BG353" s="181"/>
      <c r="BH353" s="181"/>
      <c r="BI353" s="181"/>
      <c r="BJ353" s="755"/>
      <c r="BK353" s="181"/>
      <c r="BL353" s="181"/>
      <c r="BM353" s="181"/>
      <c r="BN353" s="755"/>
      <c r="BO353" s="181"/>
      <c r="BP353" s="181"/>
      <c r="BQ353" s="181"/>
    </row>
    <row r="354" spans="1:101" hidden="1" outlineLevel="2">
      <c r="A354" s="573"/>
      <c r="J354" s="17" t="s">
        <v>336</v>
      </c>
      <c r="K354" s="11"/>
      <c r="L354" s="11"/>
      <c r="M354" s="11"/>
      <c r="N354" s="76"/>
      <c r="O354" s="76"/>
      <c r="P354" s="76"/>
      <c r="Q354" s="76"/>
      <c r="R354" s="76"/>
      <c r="S354" s="76"/>
      <c r="T354" s="174"/>
      <c r="U354" s="174"/>
      <c r="V354" s="174"/>
      <c r="W354" s="63"/>
      <c r="X354" s="63"/>
      <c r="Y354" s="63"/>
      <c r="Z354" s="63"/>
      <c r="AA354" s="63"/>
      <c r="AB354" s="63"/>
      <c r="AC354" s="63"/>
      <c r="AD354" s="914">
        <f>AD$311-$R$342-$Q$341-$P$340-$S$343-$T$344-$U$345-$V$346-$W$347-$X$348-$Y$349-$Z$350-$AA$351-$AB$352-$AC$353</f>
        <v>1305005.2621282004</v>
      </c>
      <c r="AE354" s="11"/>
      <c r="AF354" s="11"/>
      <c r="AG354" s="95"/>
      <c r="AH354" s="35"/>
      <c r="AI354" s="35"/>
      <c r="AJ354" s="35"/>
      <c r="AK354" s="35"/>
      <c r="AL354" s="1720"/>
      <c r="AM354" s="35"/>
      <c r="AN354" s="35"/>
      <c r="AO354" s="35"/>
      <c r="AP354" s="1720"/>
      <c r="AQ354" s="35"/>
      <c r="AR354" s="35"/>
      <c r="AS354" s="35"/>
      <c r="AT354" s="1720"/>
      <c r="AU354" s="35"/>
      <c r="AV354" s="35"/>
      <c r="AW354" s="76"/>
      <c r="AX354" s="1720"/>
      <c r="AY354" s="76"/>
      <c r="AZ354" s="181"/>
      <c r="BA354" s="181"/>
      <c r="BB354" s="755"/>
      <c r="BC354" s="181"/>
      <c r="BD354" s="181"/>
      <c r="BE354" s="181"/>
      <c r="BF354" s="755"/>
      <c r="BG354" s="181"/>
      <c r="BH354" s="181"/>
      <c r="BI354" s="181"/>
      <c r="BJ354" s="755"/>
      <c r="BK354" s="181"/>
      <c r="BL354" s="181"/>
      <c r="BM354" s="181"/>
      <c r="BN354" s="755"/>
      <c r="BO354" s="181"/>
      <c r="BP354" s="181"/>
      <c r="BQ354" s="181"/>
    </row>
    <row r="355" spans="1:101" hidden="1" outlineLevel="2">
      <c r="A355" s="573"/>
      <c r="J355" s="195"/>
      <c r="K355" s="11"/>
      <c r="L355" s="11"/>
      <c r="M355" s="11"/>
      <c r="N355" s="76"/>
      <c r="O355" s="76"/>
      <c r="P355" s="76"/>
      <c r="Q355" s="76"/>
      <c r="R355" s="76"/>
      <c r="S355" s="76"/>
      <c r="T355" s="174"/>
      <c r="U355" s="174"/>
      <c r="V355" s="174"/>
      <c r="W355" s="63"/>
      <c r="X355" s="63"/>
      <c r="Y355" s="63"/>
      <c r="Z355" s="63"/>
      <c r="AA355" s="63"/>
      <c r="AB355" s="63"/>
      <c r="AC355" s="63"/>
      <c r="AD355" s="63"/>
      <c r="AE355" s="11"/>
      <c r="AF355" s="11"/>
      <c r="AG355" s="95"/>
      <c r="AH355" s="35"/>
      <c r="AI355" s="35"/>
      <c r="AJ355" s="35"/>
      <c r="AK355" s="35"/>
      <c r="AL355" s="1720"/>
      <c r="AM355" s="35"/>
      <c r="AN355" s="35"/>
      <c r="AO355" s="35"/>
      <c r="AP355" s="1720"/>
      <c r="AQ355" s="35"/>
      <c r="AR355" s="35"/>
      <c r="AS355" s="35"/>
      <c r="AT355" s="1720"/>
      <c r="AU355" s="35"/>
      <c r="AV355" s="35"/>
      <c r="AW355" s="76"/>
      <c r="AX355" s="1720"/>
      <c r="AY355" s="76"/>
      <c r="AZ355" s="181"/>
      <c r="BA355" s="181"/>
      <c r="BB355" s="755"/>
      <c r="BC355" s="181"/>
      <c r="BD355" s="181"/>
      <c r="BE355" s="181"/>
      <c r="BF355" s="755"/>
      <c r="BG355" s="181"/>
      <c r="BH355" s="181"/>
      <c r="BI355" s="181"/>
      <c r="BJ355" s="755"/>
      <c r="BK355" s="181"/>
      <c r="BL355" s="181"/>
      <c r="BM355" s="181"/>
      <c r="BN355" s="755"/>
      <c r="BO355" s="181"/>
      <c r="BP355" s="181"/>
      <c r="BQ355" s="181"/>
    </row>
    <row r="356" spans="1:101" s="382" customFormat="1" outlineLevel="1" collapsed="1">
      <c r="A356" s="573"/>
      <c r="H356" s="570"/>
      <c r="I356" s="570"/>
      <c r="J356" s="172"/>
      <c r="K356" s="28"/>
      <c r="L356" s="28"/>
      <c r="M356" s="28"/>
      <c r="N356" s="366"/>
      <c r="O356" s="366"/>
      <c r="P356" s="917"/>
      <c r="Q356" s="917"/>
      <c r="R356" s="917"/>
      <c r="S356" s="917"/>
      <c r="T356" s="918"/>
      <c r="U356" s="918"/>
      <c r="V356" s="918"/>
      <c r="W356" s="918"/>
      <c r="X356" s="918"/>
      <c r="Y356" s="918"/>
      <c r="Z356" s="918"/>
      <c r="AA356" s="918"/>
      <c r="AB356" s="918"/>
      <c r="AC356" s="918"/>
      <c r="AD356" s="918"/>
      <c r="AE356" s="28"/>
      <c r="AF356" s="28"/>
      <c r="AG356" s="96"/>
      <c r="AH356" s="366"/>
      <c r="AI356" s="366"/>
      <c r="AJ356" s="366"/>
      <c r="AK356" s="366"/>
      <c r="AL356" s="1723"/>
      <c r="AM356" s="366"/>
      <c r="AN356" s="366"/>
      <c r="AO356" s="366"/>
      <c r="AP356" s="1723"/>
      <c r="AQ356" s="366"/>
      <c r="AR356" s="366"/>
      <c r="AS356" s="366"/>
      <c r="AT356" s="1723"/>
      <c r="AU356" s="366"/>
      <c r="AV356" s="366"/>
      <c r="AW356" s="366"/>
      <c r="AX356" s="1723"/>
      <c r="AY356" s="366"/>
      <c r="AZ356" s="342"/>
      <c r="BA356" s="342"/>
      <c r="BB356" s="765"/>
      <c r="BC356" s="342"/>
      <c r="BD356" s="342"/>
      <c r="BE356" s="342"/>
      <c r="BF356" s="765"/>
      <c r="BG356" s="342"/>
      <c r="BH356" s="342"/>
      <c r="BI356" s="342"/>
      <c r="BJ356" s="765"/>
      <c r="BK356" s="342"/>
      <c r="BL356" s="342"/>
      <c r="BM356" s="342"/>
      <c r="BN356" s="765"/>
      <c r="BO356" s="342"/>
      <c r="BP356" s="342"/>
      <c r="BQ356" s="342"/>
      <c r="CR356"/>
      <c r="CS356"/>
      <c r="CT356"/>
      <c r="CU356"/>
      <c r="CV356"/>
      <c r="CW356"/>
    </row>
    <row r="357" spans="1:101" s="573" customFormat="1" outlineLevel="1">
      <c r="H357" s="576"/>
      <c r="I357" s="576"/>
      <c r="J357" s="1393" t="s">
        <v>95</v>
      </c>
      <c r="K357" s="1393"/>
      <c r="L357" s="1393"/>
      <c r="M357" s="1393"/>
      <c r="N357" s="1414">
        <v>17</v>
      </c>
      <c r="O357" s="1414">
        <v>12</v>
      </c>
      <c r="P357" s="1417">
        <v>70.963999999999999</v>
      </c>
      <c r="Q357" s="1417">
        <v>225.03899999999999</v>
      </c>
      <c r="R357" s="1417">
        <v>261.173</v>
      </c>
      <c r="S357" s="1417">
        <v>4226.7269999999999</v>
      </c>
      <c r="T357" s="1417">
        <v>1076.2860000000001</v>
      </c>
      <c r="U357" s="1417">
        <v>2061.4319999999998</v>
      </c>
      <c r="V357" s="1417">
        <v>2780.0619999999999</v>
      </c>
      <c r="W357" s="1395">
        <f>W366*W$119</f>
        <v>3016.4388276593472</v>
      </c>
      <c r="X357" s="1395">
        <f t="shared" ref="X357:AD357" si="396">X366*X$119</f>
        <v>3748.8946981772301</v>
      </c>
      <c r="Y357" s="1395">
        <f t="shared" si="396"/>
        <v>4426.5165333584828</v>
      </c>
      <c r="Z357" s="1395">
        <f t="shared" si="396"/>
        <v>4838.6894435628083</v>
      </c>
      <c r="AA357" s="1395">
        <f t="shared" si="396"/>
        <v>4979.5047066127208</v>
      </c>
      <c r="AB357" s="1395">
        <f t="shared" si="396"/>
        <v>5293.5962317017256</v>
      </c>
      <c r="AC357" s="1395">
        <f t="shared" si="396"/>
        <v>5428.3130569843825</v>
      </c>
      <c r="AD357" s="1395">
        <f t="shared" si="396"/>
        <v>5656.5056256478583</v>
      </c>
      <c r="AE357" s="1393"/>
      <c r="AF357" s="1911">
        <f>(Y357/V357)^(1/3)-1</f>
        <v>0.16771234002194801</v>
      </c>
      <c r="AG357" s="1397"/>
      <c r="AH357" s="1398"/>
      <c r="AI357" s="1398"/>
      <c r="AJ357" s="1398"/>
      <c r="AK357" s="1398"/>
      <c r="AL357" s="1777"/>
      <c r="AM357" s="1394"/>
      <c r="AN357" s="1394"/>
      <c r="AO357" s="1394"/>
      <c r="AP357" s="1612">
        <v>10</v>
      </c>
      <c r="AQ357" s="1417">
        <v>10</v>
      </c>
      <c r="AR357" s="1417">
        <v>99</v>
      </c>
      <c r="AS357" s="1417">
        <v>106</v>
      </c>
      <c r="AT357" s="1612">
        <v>65</v>
      </c>
      <c r="AU357" s="1417">
        <v>62.62</v>
      </c>
      <c r="AV357" s="1417">
        <v>63.030999999999999</v>
      </c>
      <c r="AW357" s="1417">
        <v>70.391000000000005</v>
      </c>
      <c r="AX357" s="1612">
        <v>3699.7350000000001</v>
      </c>
      <c r="AY357" s="1417">
        <v>208.93</v>
      </c>
      <c r="AZ357" s="1417">
        <v>168.93600000000001</v>
      </c>
      <c r="BA357" s="1417">
        <v>171.947</v>
      </c>
      <c r="BB357" s="1612">
        <v>146.25399999999999</v>
      </c>
      <c r="BC357" s="1417">
        <v>261.35700000000003</v>
      </c>
      <c r="BD357" s="1417">
        <v>308.24799999999999</v>
      </c>
      <c r="BE357" s="1417">
        <v>478.08600000000001</v>
      </c>
      <c r="BF357" s="1612">
        <v>354.90899999999999</v>
      </c>
      <c r="BG357" s="1417">
        <v>533.94600000000003</v>
      </c>
      <c r="BH357" s="1417">
        <v>556.80899999999997</v>
      </c>
      <c r="BI357" s="1417">
        <v>615.76800000000003</v>
      </c>
      <c r="BJ357" s="1612">
        <v>536.18799999999999</v>
      </c>
      <c r="BK357" s="1417">
        <v>747.22799999999995</v>
      </c>
      <c r="BL357" s="1417">
        <v>734.24400000000003</v>
      </c>
      <c r="BM357" s="1417">
        <v>762.40200000000004</v>
      </c>
      <c r="BN357" s="1657">
        <f>BN366*BN119</f>
        <v>690.08593059574446</v>
      </c>
      <c r="BO357" s="1482">
        <f>BO366*BO119</f>
        <v>722.25072428239753</v>
      </c>
      <c r="BP357" s="1482">
        <f>BP366*BP119</f>
        <v>722.30036463368606</v>
      </c>
      <c r="BQ357" s="1485">
        <f t="shared" ref="BQ357:BQ362" si="397">W357-SUM(BN357:BP357)</f>
        <v>881.8018081475193</v>
      </c>
      <c r="CR357"/>
      <c r="CS357"/>
      <c r="CT357"/>
      <c r="CU357"/>
      <c r="CV357"/>
      <c r="CW357"/>
    </row>
    <row r="358" spans="1:101" s="573" customFormat="1" outlineLevel="1">
      <c r="H358" s="576"/>
      <c r="I358" s="576"/>
      <c r="J358" s="59" t="s">
        <v>594</v>
      </c>
      <c r="K358" s="172"/>
      <c r="L358" s="172"/>
      <c r="M358" s="172"/>
      <c r="N358" s="1403">
        <v>0</v>
      </c>
      <c r="O358" s="1403">
        <v>0</v>
      </c>
      <c r="P358" s="1403">
        <v>0</v>
      </c>
      <c r="Q358" s="1403">
        <v>0</v>
      </c>
      <c r="R358" s="1403">
        <v>0</v>
      </c>
      <c r="S358" s="1403">
        <v>2.8769999999999998</v>
      </c>
      <c r="T358" s="1403">
        <v>7.5289999999999999</v>
      </c>
      <c r="U358" s="1403">
        <v>17.484999999999999</v>
      </c>
      <c r="V358" s="1403">
        <v>27.513000000000002</v>
      </c>
      <c r="W358" s="892">
        <f t="shared" ref="W358:AD362" si="398">W$357*W369</f>
        <v>29.852313173372259</v>
      </c>
      <c r="X358" s="892">
        <f t="shared" si="398"/>
        <v>37.101093368043642</v>
      </c>
      <c r="Y358" s="892">
        <f t="shared" si="398"/>
        <v>43.807206235793288</v>
      </c>
      <c r="Z358" s="892">
        <f t="shared" si="398"/>
        <v>47.886292701653261</v>
      </c>
      <c r="AA358" s="892">
        <f t="shared" si="398"/>
        <v>49.279876849162292</v>
      </c>
      <c r="AB358" s="892">
        <f t="shared" si="398"/>
        <v>52.388296780003323</v>
      </c>
      <c r="AC358" s="892">
        <f t="shared" si="398"/>
        <v>53.721527482772451</v>
      </c>
      <c r="AD358" s="892">
        <f t="shared" si="398"/>
        <v>55.979844794270612</v>
      </c>
      <c r="AE358" s="172"/>
      <c r="AF358" s="439"/>
      <c r="AG358" s="97"/>
      <c r="AH358" s="1270"/>
      <c r="AI358" s="1270"/>
      <c r="AJ358" s="1270"/>
      <c r="AK358" s="1270"/>
      <c r="AL358" s="1778"/>
      <c r="AM358" s="917"/>
      <c r="AN358" s="917"/>
      <c r="AO358" s="917"/>
      <c r="AP358" s="1432"/>
      <c r="AQ358" s="1431"/>
      <c r="AR358" s="1431"/>
      <c r="AS358" s="1431"/>
      <c r="AT358" s="1432"/>
      <c r="AU358" s="1431"/>
      <c r="AV358" s="1431"/>
      <c r="AW358" s="1431"/>
      <c r="AX358" s="1432"/>
      <c r="AY358" s="1431"/>
      <c r="AZ358" s="1431"/>
      <c r="BA358" s="1431"/>
      <c r="BB358" s="1432"/>
      <c r="BC358" s="1431"/>
      <c r="BD358" s="1431"/>
      <c r="BE358" s="1431"/>
      <c r="BF358" s="1432">
        <v>2.4359999999999999</v>
      </c>
      <c r="BG358" s="1431">
        <v>4.702</v>
      </c>
      <c r="BH358" s="1431">
        <v>4.9080000000000004</v>
      </c>
      <c r="BI358" s="1431">
        <v>5.4390000000000001</v>
      </c>
      <c r="BJ358" s="1432">
        <v>3.758</v>
      </c>
      <c r="BK358" s="1431">
        <v>5.5579999999999998</v>
      </c>
      <c r="BL358" s="1431">
        <v>7.2350000000000003</v>
      </c>
      <c r="BM358" s="1431">
        <v>10.962</v>
      </c>
      <c r="BN358" s="1483">
        <f t="shared" ref="BN358:BP362" si="399">BN$357*BN369</f>
        <v>5.5206874447659562</v>
      </c>
      <c r="BO358" s="1484">
        <f t="shared" si="399"/>
        <v>5.7780057942591805</v>
      </c>
      <c r="BP358" s="1484">
        <f t="shared" si="399"/>
        <v>5.7784029170694886</v>
      </c>
      <c r="BQ358" s="717">
        <f t="shared" si="397"/>
        <v>12.775217017277633</v>
      </c>
      <c r="CR358"/>
      <c r="CS358"/>
      <c r="CT358"/>
      <c r="CU358"/>
      <c r="CV358"/>
      <c r="CW358"/>
    </row>
    <row r="359" spans="1:101" outlineLevel="1">
      <c r="A359" s="573"/>
      <c r="I359" s="566"/>
      <c r="J359" s="59" t="s">
        <v>98</v>
      </c>
      <c r="K359" s="11"/>
      <c r="L359" s="11"/>
      <c r="M359" s="11"/>
      <c r="N359" s="1418">
        <v>3</v>
      </c>
      <c r="O359" s="1418">
        <v>7</v>
      </c>
      <c r="P359" s="1419">
        <v>37.734000000000002</v>
      </c>
      <c r="Q359" s="1419">
        <v>77.393000000000001</v>
      </c>
      <c r="R359" s="1419">
        <v>81.013000000000005</v>
      </c>
      <c r="S359" s="1403">
        <v>119.477</v>
      </c>
      <c r="T359" s="1403">
        <v>164.16200000000001</v>
      </c>
      <c r="U359" s="1403">
        <v>332.38299999999998</v>
      </c>
      <c r="V359" s="1403">
        <v>425.70600000000002</v>
      </c>
      <c r="W359" s="892">
        <f t="shared" si="398"/>
        <v>461.90196749840482</v>
      </c>
      <c r="X359" s="892">
        <f t="shared" si="398"/>
        <v>574.06164552525672</v>
      </c>
      <c r="Y359" s="892">
        <f t="shared" si="398"/>
        <v>677.82468425161255</v>
      </c>
      <c r="Z359" s="892">
        <f t="shared" si="398"/>
        <v>740.93999639624917</v>
      </c>
      <c r="AA359" s="892">
        <f t="shared" si="398"/>
        <v>762.50278973392506</v>
      </c>
      <c r="AB359" s="892">
        <f t="shared" si="398"/>
        <v>810.59907203969374</v>
      </c>
      <c r="AC359" s="892">
        <f t="shared" si="398"/>
        <v>831.22802233784489</v>
      </c>
      <c r="AD359" s="892">
        <f t="shared" si="398"/>
        <v>866.17074866389578</v>
      </c>
      <c r="AE359" s="11"/>
      <c r="AF359" s="11"/>
      <c r="AG359" s="95"/>
      <c r="AH359" s="222"/>
      <c r="AI359" s="222"/>
      <c r="AJ359" s="222"/>
      <c r="AK359" s="222"/>
      <c r="AL359" s="1779"/>
      <c r="AM359" s="367"/>
      <c r="AN359" s="367"/>
      <c r="AO359" s="367"/>
      <c r="AP359" s="1421">
        <v>6</v>
      </c>
      <c r="AQ359" s="1433">
        <v>6</v>
      </c>
      <c r="AR359" s="1433">
        <v>31</v>
      </c>
      <c r="AS359" s="1433">
        <v>35</v>
      </c>
      <c r="AT359" s="1421">
        <v>20</v>
      </c>
      <c r="AU359" s="1433">
        <v>19.937999999999999</v>
      </c>
      <c r="AV359" s="1433">
        <v>20.068999999999999</v>
      </c>
      <c r="AW359" s="1269">
        <v>21.024000000000001</v>
      </c>
      <c r="AX359" s="1421">
        <v>19.285</v>
      </c>
      <c r="AY359" s="1269">
        <v>33.695</v>
      </c>
      <c r="AZ359" s="1269">
        <v>37.08</v>
      </c>
      <c r="BA359" s="1269">
        <v>38.563000000000002</v>
      </c>
      <c r="BB359" s="1421">
        <v>28.734999999999999</v>
      </c>
      <c r="BC359" s="1269">
        <v>49.707999999999998</v>
      </c>
      <c r="BD359" s="1269">
        <v>47.664999999999999</v>
      </c>
      <c r="BE359" s="1269">
        <v>58.625</v>
      </c>
      <c r="BF359" s="1421">
        <v>46.747</v>
      </c>
      <c r="BG359" s="1269">
        <v>98.397999999999996</v>
      </c>
      <c r="BH359" s="1269">
        <v>94.194999999999993</v>
      </c>
      <c r="BI359" s="1269">
        <v>93.043000000000006</v>
      </c>
      <c r="BJ359" s="1421">
        <v>76.971000000000004</v>
      </c>
      <c r="BK359" s="1269">
        <v>119.56699999999999</v>
      </c>
      <c r="BL359" s="1269">
        <v>115.63200000000001</v>
      </c>
      <c r="BM359" s="1269">
        <v>113.536</v>
      </c>
      <c r="BN359" s="1483">
        <f t="shared" si="399"/>
        <v>105.67164371520924</v>
      </c>
      <c r="BO359" s="1484">
        <f t="shared" si="399"/>
        <v>110.59698194909407</v>
      </c>
      <c r="BP359" s="1484">
        <f t="shared" si="399"/>
        <v>110.60458328869932</v>
      </c>
      <c r="BQ359" s="717">
        <f t="shared" si="397"/>
        <v>135.02875854540218</v>
      </c>
    </row>
    <row r="360" spans="1:101" outlineLevel="1">
      <c r="A360" s="573"/>
      <c r="I360" s="566"/>
      <c r="J360" s="59" t="s">
        <v>99</v>
      </c>
      <c r="K360" s="11"/>
      <c r="L360" s="11"/>
      <c r="M360" s="11"/>
      <c r="N360" s="1418">
        <v>0</v>
      </c>
      <c r="O360" s="1418">
        <v>1</v>
      </c>
      <c r="P360" s="1419">
        <v>6.1310000000000002</v>
      </c>
      <c r="Q360" s="1419">
        <v>8.9789999999999992</v>
      </c>
      <c r="R360" s="1419">
        <v>8.7409999999999997</v>
      </c>
      <c r="S360" s="1403">
        <v>23.507999999999999</v>
      </c>
      <c r="T360" s="1403">
        <v>47.51</v>
      </c>
      <c r="U360" s="1403">
        <v>87.260999999999996</v>
      </c>
      <c r="V360" s="1403">
        <v>135.749</v>
      </c>
      <c r="W360" s="892">
        <f t="shared" si="398"/>
        <v>147.29115912376369</v>
      </c>
      <c r="X360" s="892">
        <f t="shared" si="398"/>
        <v>183.05660319189312</v>
      </c>
      <c r="Y360" s="892">
        <f t="shared" si="398"/>
        <v>216.14452946980342</v>
      </c>
      <c r="Z360" s="892">
        <f t="shared" si="398"/>
        <v>236.27072103938963</v>
      </c>
      <c r="AA360" s="892">
        <f t="shared" si="398"/>
        <v>243.14665803063752</v>
      </c>
      <c r="AB360" s="892">
        <f t="shared" si="398"/>
        <v>258.48358592624106</v>
      </c>
      <c r="AC360" s="892">
        <f t="shared" si="398"/>
        <v>265.06173933263824</v>
      </c>
      <c r="AD360" s="892">
        <f t="shared" si="398"/>
        <v>276.20426529195072</v>
      </c>
      <c r="AE360" s="11"/>
      <c r="AF360" s="11"/>
      <c r="AG360" s="95"/>
      <c r="AH360" s="222"/>
      <c r="AI360" s="222"/>
      <c r="AJ360" s="222"/>
      <c r="AK360" s="222"/>
      <c r="AL360" s="1779"/>
      <c r="AM360" s="367"/>
      <c r="AN360" s="367"/>
      <c r="AO360" s="367"/>
      <c r="AP360" s="1421">
        <v>1</v>
      </c>
      <c r="AQ360" s="1433">
        <v>1</v>
      </c>
      <c r="AR360" s="1433">
        <v>3</v>
      </c>
      <c r="AS360" s="1433">
        <v>4</v>
      </c>
      <c r="AT360" s="1421">
        <v>2</v>
      </c>
      <c r="AU360" s="1433">
        <v>2.145</v>
      </c>
      <c r="AV360" s="1433">
        <v>2.1589999999999998</v>
      </c>
      <c r="AW360" s="1269">
        <v>2.2869999999999999</v>
      </c>
      <c r="AX360" s="1421">
        <v>1.893</v>
      </c>
      <c r="AY360" s="1269">
        <v>4.6710000000000003</v>
      </c>
      <c r="AZ360" s="1269">
        <v>7.6879999999999997</v>
      </c>
      <c r="BA360" s="1269">
        <v>9.3179999999999996</v>
      </c>
      <c r="BB360" s="1421">
        <v>9.3209999999999997</v>
      </c>
      <c r="BC360" s="1269">
        <v>12.571999999999999</v>
      </c>
      <c r="BD360" s="1269">
        <v>11.183</v>
      </c>
      <c r="BE360" s="1269">
        <v>17.015000000000001</v>
      </c>
      <c r="BF360" s="1421">
        <v>13.048</v>
      </c>
      <c r="BG360" s="1269">
        <v>27.21</v>
      </c>
      <c r="BH360" s="1269">
        <v>23.812000000000001</v>
      </c>
      <c r="BI360" s="1269">
        <v>23.190999999999999</v>
      </c>
      <c r="BJ360" s="1421">
        <v>20.773</v>
      </c>
      <c r="BK360" s="1269">
        <v>38.689</v>
      </c>
      <c r="BL360" s="1269">
        <v>38.079000000000001</v>
      </c>
      <c r="BM360" s="1269">
        <v>38.207999999999998</v>
      </c>
      <c r="BN360" s="1483">
        <f t="shared" si="399"/>
        <v>33.696541657143513</v>
      </c>
      <c r="BO360" s="1484">
        <f t="shared" si="399"/>
        <v>35.267132017419463</v>
      </c>
      <c r="BP360" s="1484">
        <f t="shared" si="399"/>
        <v>35.269555930284376</v>
      </c>
      <c r="BQ360" s="717">
        <f t="shared" si="397"/>
        <v>43.057929518916325</v>
      </c>
    </row>
    <row r="361" spans="1:101" outlineLevel="1">
      <c r="A361" s="573"/>
      <c r="I361" s="566"/>
      <c r="J361" s="59" t="s">
        <v>100</v>
      </c>
      <c r="K361" s="11"/>
      <c r="L361" s="11"/>
      <c r="M361" s="11"/>
      <c r="N361" s="1418">
        <v>0</v>
      </c>
      <c r="O361" s="1418">
        <v>0</v>
      </c>
      <c r="P361" s="1419">
        <v>1.1240000000000001</v>
      </c>
      <c r="Q361" s="1419">
        <v>25.175999999999998</v>
      </c>
      <c r="R361" s="1419">
        <v>33.268999999999998</v>
      </c>
      <c r="S361" s="1403">
        <v>74.209000000000003</v>
      </c>
      <c r="T361" s="1403">
        <v>208.898</v>
      </c>
      <c r="U361" s="1403">
        <v>470.23399999999998</v>
      </c>
      <c r="V361" s="1403">
        <v>670.61199999999997</v>
      </c>
      <c r="W361" s="892">
        <f t="shared" si="398"/>
        <v>727.63128127872335</v>
      </c>
      <c r="X361" s="892">
        <f t="shared" si="398"/>
        <v>904.31572077674127</v>
      </c>
      <c r="Y361" s="892">
        <f t="shared" si="398"/>
        <v>1067.7729868861195</v>
      </c>
      <c r="Z361" s="892">
        <f t="shared" si="398"/>
        <v>1167.1981434682184</v>
      </c>
      <c r="AA361" s="892">
        <f t="shared" si="398"/>
        <v>1201.1658769879846</v>
      </c>
      <c r="AB361" s="892">
        <f t="shared" si="398"/>
        <v>1276.9316497739826</v>
      </c>
      <c r="AC361" s="892">
        <f t="shared" si="398"/>
        <v>1309.4283061925996</v>
      </c>
      <c r="AD361" s="892">
        <f t="shared" si="398"/>
        <v>1364.4733644886198</v>
      </c>
      <c r="AE361" s="11"/>
      <c r="AF361" s="11"/>
      <c r="AG361" s="95"/>
      <c r="AH361" s="222"/>
      <c r="AI361" s="222"/>
      <c r="AJ361" s="222"/>
      <c r="AK361" s="222"/>
      <c r="AL361" s="1779"/>
      <c r="AM361" s="367"/>
      <c r="AN361" s="367"/>
      <c r="AO361" s="367"/>
      <c r="AP361" s="1421">
        <v>0</v>
      </c>
      <c r="AQ361" s="1433">
        <v>0</v>
      </c>
      <c r="AR361" s="1433">
        <v>12</v>
      </c>
      <c r="AS361" s="1433">
        <v>13</v>
      </c>
      <c r="AT361" s="1421">
        <v>8</v>
      </c>
      <c r="AU361" s="1433">
        <v>8.1890000000000001</v>
      </c>
      <c r="AV361" s="1433">
        <v>8.2430000000000003</v>
      </c>
      <c r="AW361" s="1269">
        <v>8.6300000000000008</v>
      </c>
      <c r="AX361" s="1421">
        <v>8.4969999999999999</v>
      </c>
      <c r="AY361" s="1269">
        <v>17.122</v>
      </c>
      <c r="AZ361" s="1269">
        <v>25.966999999999999</v>
      </c>
      <c r="BA361" s="1269">
        <v>27.882999999999999</v>
      </c>
      <c r="BB361" s="1421">
        <v>26.32</v>
      </c>
      <c r="BC361" s="1269">
        <v>59.182000000000002</v>
      </c>
      <c r="BD361" s="1269">
        <v>55.22</v>
      </c>
      <c r="BE361" s="1269">
        <v>93.442999999999998</v>
      </c>
      <c r="BF361" s="1421">
        <v>67.647000000000006</v>
      </c>
      <c r="BG361" s="1269">
        <v>135.25299999999999</v>
      </c>
      <c r="BH361" s="1269">
        <v>134.648</v>
      </c>
      <c r="BI361" s="1269">
        <v>132.68600000000001</v>
      </c>
      <c r="BJ361" s="1421">
        <v>116.384</v>
      </c>
      <c r="BK361" s="1269">
        <v>176.34399999999999</v>
      </c>
      <c r="BL361" s="1269">
        <v>185.13800000000001</v>
      </c>
      <c r="BM361" s="1269">
        <v>192.74600000000001</v>
      </c>
      <c r="BN361" s="1483">
        <f t="shared" si="399"/>
        <v>166.46387961443787</v>
      </c>
      <c r="BO361" s="1484">
        <f t="shared" si="399"/>
        <v>174.22273413775204</v>
      </c>
      <c r="BP361" s="1484">
        <f t="shared" si="399"/>
        <v>174.23470848050349</v>
      </c>
      <c r="BQ361" s="717">
        <f t="shared" si="397"/>
        <v>212.70995904602989</v>
      </c>
    </row>
    <row r="362" spans="1:101" outlineLevel="1">
      <c r="A362" s="573"/>
      <c r="I362" s="566"/>
      <c r="J362" s="59" t="s">
        <v>101</v>
      </c>
      <c r="K362" s="11"/>
      <c r="L362" s="11"/>
      <c r="M362" s="11"/>
      <c r="N362" s="1418">
        <v>14</v>
      </c>
      <c r="O362" s="1418">
        <v>4</v>
      </c>
      <c r="P362" s="1419">
        <v>25.975000000000001</v>
      </c>
      <c r="Q362" s="1419">
        <v>113.491</v>
      </c>
      <c r="R362" s="1419">
        <v>138.15</v>
      </c>
      <c r="S362" s="1403">
        <v>4006.6559999999999</v>
      </c>
      <c r="T362" s="1403">
        <v>648.18700000000001</v>
      </c>
      <c r="U362" s="1403">
        <v>1154.069</v>
      </c>
      <c r="V362" s="1403">
        <v>1520.482</v>
      </c>
      <c r="W362" s="892">
        <f t="shared" si="398"/>
        <v>1649.7621065850833</v>
      </c>
      <c r="X362" s="892">
        <f t="shared" si="398"/>
        <v>2050.3596353152957</v>
      </c>
      <c r="Y362" s="892">
        <f t="shared" si="398"/>
        <v>2420.9671265151542</v>
      </c>
      <c r="Z362" s="892">
        <f t="shared" si="398"/>
        <v>2646.394289957298</v>
      </c>
      <c r="AA362" s="892">
        <f t="shared" si="398"/>
        <v>2723.4095050110118</v>
      </c>
      <c r="AB362" s="892">
        <f t="shared" si="398"/>
        <v>2895.1936271818054</v>
      </c>
      <c r="AC362" s="892">
        <f t="shared" si="398"/>
        <v>2968.8734616385277</v>
      </c>
      <c r="AD362" s="892">
        <f t="shared" si="398"/>
        <v>3093.6774024091214</v>
      </c>
      <c r="AE362" s="11"/>
      <c r="AF362" s="11"/>
      <c r="AG362" s="95"/>
      <c r="AH362" s="222"/>
      <c r="AI362" s="222"/>
      <c r="AJ362" s="222"/>
      <c r="AK362" s="222"/>
      <c r="AL362" s="1779"/>
      <c r="AM362" s="367"/>
      <c r="AN362" s="367"/>
      <c r="AO362" s="367"/>
      <c r="AP362" s="1421">
        <v>3</v>
      </c>
      <c r="AQ362" s="1433">
        <v>3</v>
      </c>
      <c r="AR362" s="1433">
        <v>53</v>
      </c>
      <c r="AS362" s="1433">
        <v>54</v>
      </c>
      <c r="AT362" s="1421">
        <v>35</v>
      </c>
      <c r="AU362" s="1433">
        <v>32.347999999999999</v>
      </c>
      <c r="AV362" s="1433">
        <v>32.56</v>
      </c>
      <c r="AW362" s="1269">
        <v>38.450000000000003</v>
      </c>
      <c r="AX362" s="1421">
        <v>3670.06</v>
      </c>
      <c r="AY362" s="1269">
        <v>153.44200000000001</v>
      </c>
      <c r="AZ362" s="1269">
        <v>98.200999999999993</v>
      </c>
      <c r="BA362" s="1269">
        <v>96.183000000000007</v>
      </c>
      <c r="BB362" s="1421">
        <v>81.878</v>
      </c>
      <c r="BC362" s="1269">
        <v>139.89500000000001</v>
      </c>
      <c r="BD362" s="1269">
        <v>194.18</v>
      </c>
      <c r="BE362" s="1269">
        <v>309.00299999999999</v>
      </c>
      <c r="BF362" s="1421">
        <v>225.03100000000001</v>
      </c>
      <c r="BG362" s="1269">
        <v>268.38299999999998</v>
      </c>
      <c r="BH362" s="1269">
        <v>299.24599999999998</v>
      </c>
      <c r="BI362" s="1269">
        <v>361.40899999999999</v>
      </c>
      <c r="BJ362" s="1421">
        <v>318.30200000000002</v>
      </c>
      <c r="BK362" s="1269">
        <v>407.07</v>
      </c>
      <c r="BL362" s="1269">
        <v>388.16</v>
      </c>
      <c r="BM362" s="1269">
        <v>406.95</v>
      </c>
      <c r="BN362" s="1483">
        <f t="shared" si="399"/>
        <v>377.42440129899217</v>
      </c>
      <c r="BO362" s="1484">
        <f t="shared" si="399"/>
        <v>395.01609164052758</v>
      </c>
      <c r="BP362" s="1484">
        <f t="shared" si="399"/>
        <v>395.04324112877924</v>
      </c>
      <c r="BQ362" s="717">
        <f t="shared" si="397"/>
        <v>482.2783725167842</v>
      </c>
    </row>
    <row r="363" spans="1:101" outlineLevel="1">
      <c r="A363" s="573"/>
      <c r="J363" s="17"/>
      <c r="K363" s="11"/>
      <c r="L363" s="11"/>
      <c r="M363" s="11"/>
      <c r="N363" s="35"/>
      <c r="O363" s="35"/>
      <c r="P363" s="35"/>
      <c r="Q363" s="35"/>
      <c r="R363" s="35"/>
      <c r="S363" s="76"/>
      <c r="T363" s="174"/>
      <c r="U363" s="174"/>
      <c r="V363" s="174"/>
      <c r="W363" s="63"/>
      <c r="X363" s="63"/>
      <c r="Y363" s="63"/>
      <c r="Z363" s="63"/>
      <c r="AA363" s="63"/>
      <c r="AB363" s="63"/>
      <c r="AC363" s="63"/>
      <c r="AD363" s="63"/>
      <c r="AE363" s="11"/>
      <c r="AF363" s="11"/>
      <c r="AG363" s="95"/>
      <c r="AH363" s="11"/>
      <c r="AI363" s="11"/>
      <c r="AJ363" s="11"/>
      <c r="AK363" s="11"/>
      <c r="AL363" s="1720"/>
      <c r="AM363" s="35"/>
      <c r="AN363" s="35"/>
      <c r="AO363" s="35"/>
      <c r="AP363" s="1720"/>
      <c r="AQ363" s="35"/>
      <c r="AR363" s="35"/>
      <c r="AS363" s="35"/>
      <c r="AT363" s="1720"/>
      <c r="AU363" s="35"/>
      <c r="AV363" s="35"/>
      <c r="AW363" s="76"/>
      <c r="AX363" s="1720"/>
      <c r="AY363" s="76"/>
      <c r="AZ363" s="66"/>
      <c r="BA363" s="66"/>
      <c r="BB363" s="710"/>
      <c r="BC363" s="66"/>
      <c r="BD363" s="66"/>
      <c r="BE363" s="66"/>
      <c r="BF363" s="710"/>
      <c r="BG363" s="66"/>
      <c r="BH363" s="66"/>
      <c r="BI363" s="66"/>
      <c r="BJ363" s="710"/>
      <c r="BK363" s="66"/>
      <c r="BL363" s="66"/>
      <c r="BM363" s="66"/>
      <c r="BN363" s="710"/>
      <c r="BO363" s="66"/>
      <c r="BP363" s="66"/>
      <c r="BQ363" s="66"/>
    </row>
    <row r="364" spans="1:101" outlineLevel="1">
      <c r="A364" s="573"/>
      <c r="J364" s="315" t="s">
        <v>339</v>
      </c>
      <c r="K364" s="11"/>
      <c r="L364" s="11"/>
      <c r="M364" s="11"/>
      <c r="N364" s="35"/>
      <c r="O364" s="35"/>
      <c r="P364" s="35"/>
      <c r="Q364" s="35"/>
      <c r="R364" s="35"/>
      <c r="S364" s="76"/>
      <c r="T364" s="174"/>
      <c r="U364" s="174"/>
      <c r="V364" s="174"/>
      <c r="W364" s="63"/>
      <c r="X364" s="63"/>
      <c r="Y364" s="63"/>
      <c r="Z364" s="63"/>
      <c r="AA364" s="63"/>
      <c r="AB364" s="63"/>
      <c r="AC364" s="63"/>
      <c r="AD364" s="63"/>
      <c r="AE364" s="11"/>
      <c r="AF364" s="11"/>
      <c r="AG364" s="95"/>
      <c r="AH364" s="11"/>
      <c r="AI364" s="11"/>
      <c r="AJ364" s="11"/>
      <c r="AK364" s="11"/>
      <c r="AL364" s="1720"/>
      <c r="AM364" s="35"/>
      <c r="AN364" s="35"/>
      <c r="AO364" s="35"/>
      <c r="AP364" s="1720"/>
      <c r="AQ364" s="35"/>
      <c r="AR364" s="35"/>
      <c r="AS364" s="35"/>
      <c r="AT364" s="1720"/>
      <c r="AU364" s="35"/>
      <c r="AV364" s="35"/>
      <c r="AW364" s="76"/>
      <c r="AX364" s="1720"/>
      <c r="AY364" s="76"/>
      <c r="AZ364" s="66"/>
      <c r="BA364" s="66"/>
      <c r="BB364" s="710"/>
      <c r="BC364" s="66"/>
      <c r="BD364" s="66"/>
      <c r="BE364" s="66"/>
      <c r="BF364" s="710"/>
      <c r="BG364" s="66"/>
      <c r="BH364" s="66"/>
      <c r="BI364" s="66"/>
      <c r="BJ364" s="710"/>
      <c r="BK364" s="66"/>
      <c r="BL364" s="66"/>
      <c r="BM364" s="66"/>
      <c r="BN364" s="710"/>
      <c r="BO364" s="66"/>
      <c r="BP364" s="66"/>
      <c r="BQ364" s="66"/>
    </row>
    <row r="365" spans="1:101" outlineLevel="1">
      <c r="A365" s="573"/>
      <c r="J365" s="90" t="s">
        <v>322</v>
      </c>
      <c r="K365" s="11"/>
      <c r="L365" s="11"/>
      <c r="M365" s="11"/>
      <c r="N365" s="35"/>
      <c r="O365" s="35"/>
      <c r="P365" s="48">
        <f t="shared" ref="P365:AD365" si="400">P357/P$75</f>
        <v>2.1701529051987769E-3</v>
      </c>
      <c r="Q365" s="48">
        <f t="shared" si="400"/>
        <v>3.0701091405184173E-3</v>
      </c>
      <c r="R365" s="48">
        <f t="shared" si="400"/>
        <v>2.0810597609561754E-3</v>
      </c>
      <c r="S365" s="301">
        <f t="shared" si="400"/>
        <v>1.6244146810146042E-2</v>
      </c>
      <c r="T365" s="301">
        <f t="shared" si="400"/>
        <v>2.326098984223039E-3</v>
      </c>
      <c r="U365" s="301">
        <f t="shared" si="400"/>
        <v>3.1319234275296258E-3</v>
      </c>
      <c r="V365" s="301">
        <f>V357/V$75</f>
        <v>3.0682301783506974E-3</v>
      </c>
      <c r="W365" s="48">
        <f t="shared" si="400"/>
        <v>2.5384461911214153E-3</v>
      </c>
      <c r="X365" s="48">
        <f t="shared" si="400"/>
        <v>2.5295850421809662E-3</v>
      </c>
      <c r="Y365" s="48">
        <f t="shared" si="400"/>
        <v>2.4877675256522024E-3</v>
      </c>
      <c r="Z365" s="48">
        <f t="shared" si="400"/>
        <v>2.3885944448045616E-3</v>
      </c>
      <c r="AA365" s="48">
        <f t="shared" si="400"/>
        <v>2.2836372942495022E-3</v>
      </c>
      <c r="AB365" s="48">
        <f t="shared" si="400"/>
        <v>2.2553715773978157E-3</v>
      </c>
      <c r="AC365" s="48">
        <f t="shared" si="400"/>
        <v>2.1486144268427561E-3</v>
      </c>
      <c r="AD365" s="48">
        <f t="shared" si="400"/>
        <v>2.0800229931393827E-3</v>
      </c>
      <c r="AE365" s="340"/>
      <c r="AF365" s="11"/>
      <c r="AG365" s="95"/>
      <c r="AH365" s="11"/>
      <c r="AI365" s="11"/>
      <c r="AJ365" s="11"/>
      <c r="AK365" s="11"/>
      <c r="AL365" s="1720"/>
      <c r="AM365" s="35"/>
      <c r="AN365" s="35"/>
      <c r="AO365" s="35"/>
      <c r="AP365" s="1693"/>
      <c r="AQ365" s="340"/>
      <c r="AR365" s="340"/>
      <c r="AS365" s="340"/>
      <c r="AT365" s="1693">
        <f t="shared" ref="AT365:AY365" si="401">AT357/AT$75</f>
        <v>2.7083333333333334E-3</v>
      </c>
      <c r="AU365" s="340">
        <f t="shared" si="401"/>
        <v>2.0574995892886478E-3</v>
      </c>
      <c r="AV365" s="340">
        <f t="shared" si="401"/>
        <v>1.9758934169278996E-3</v>
      </c>
      <c r="AW365" s="341">
        <f t="shared" si="401"/>
        <v>1.7966933566433568E-3</v>
      </c>
      <c r="AX365" s="1693">
        <f t="shared" si="401"/>
        <v>8.3894217687074835E-2</v>
      </c>
      <c r="AY365" s="341">
        <f t="shared" si="401"/>
        <v>3.3163492063492065E-3</v>
      </c>
      <c r="AZ365" s="341">
        <f t="shared" ref="AZ365:BI365" si="402">AZ357/AZ$75</f>
        <v>2.5101931649331353E-3</v>
      </c>
      <c r="BA365" s="341">
        <f t="shared" si="402"/>
        <v>2.0040442890442889E-3</v>
      </c>
      <c r="BB365" s="1693">
        <f>BB357/BB$75</f>
        <v>1.6657630979498861E-3</v>
      </c>
      <c r="BC365" s="341">
        <f>BC357/BC$75</f>
        <v>2.2825938864628821E-3</v>
      </c>
      <c r="BD365" s="341">
        <f t="shared" si="402"/>
        <v>2.6804173913043479E-3</v>
      </c>
      <c r="BE365" s="341">
        <f t="shared" si="402"/>
        <v>3.2903372333103922E-3</v>
      </c>
      <c r="BF365" s="745">
        <f t="shared" si="402"/>
        <v>2.7448491879350349E-3</v>
      </c>
      <c r="BG365" s="301">
        <f t="shared" si="402"/>
        <v>3.3288403990024938E-3</v>
      </c>
      <c r="BH365" s="301">
        <f>BH357/BH$75</f>
        <v>3.5063539042821156E-3</v>
      </c>
      <c r="BI365" s="301">
        <f t="shared" si="402"/>
        <v>2.9364234620886981E-3</v>
      </c>
      <c r="BJ365" s="745">
        <f t="shared" ref="BJ365:BQ365" si="403">BJ357/BJ$75</f>
        <v>2.9124823465507877E-3</v>
      </c>
      <c r="BK365" s="301">
        <f>BK357/BK$75</f>
        <v>3.182402044293015E-3</v>
      </c>
      <c r="BL365" s="301">
        <f>BL357/BL$75</f>
        <v>3.4501253599887771E-3</v>
      </c>
      <c r="BM365" s="301">
        <f t="shared" si="403"/>
        <v>2.7788037374114208E-3</v>
      </c>
      <c r="BN365" s="745">
        <f t="shared" si="403"/>
        <v>2.8834813472490466E-3</v>
      </c>
      <c r="BO365" s="301">
        <f t="shared" si="403"/>
        <v>2.3770082959839491E-3</v>
      </c>
      <c r="BP365" s="301">
        <f t="shared" si="403"/>
        <v>2.7099545051134486E-3</v>
      </c>
      <c r="BQ365" s="301">
        <f t="shared" si="403"/>
        <v>2.3291564061689108E-3</v>
      </c>
    </row>
    <row r="366" spans="1:101" outlineLevel="1">
      <c r="A366" s="573"/>
      <c r="J366" s="90" t="s">
        <v>85</v>
      </c>
      <c r="K366" s="11"/>
      <c r="L366" s="11"/>
      <c r="M366" s="11"/>
      <c r="N366" s="35"/>
      <c r="O366" s="35"/>
      <c r="P366" s="48">
        <f t="shared" ref="P366:U366" si="404">P357/P$119</f>
        <v>3.3586131716191034E-3</v>
      </c>
      <c r="Q366" s="48">
        <f t="shared" si="404"/>
        <v>5.4382833894237332E-3</v>
      </c>
      <c r="R366" s="48">
        <f t="shared" si="404"/>
        <v>3.7665561003749639E-3</v>
      </c>
      <c r="S366" s="301">
        <f t="shared" si="404"/>
        <v>3.6753508634632441E-2</v>
      </c>
      <c r="T366" s="301">
        <f t="shared" si="404"/>
        <v>5.9369177050753782E-3</v>
      </c>
      <c r="U366" s="301">
        <f t="shared" si="404"/>
        <v>7.9810771729338717E-3</v>
      </c>
      <c r="V366" s="301">
        <f>V357/V$119</f>
        <v>7.6726976570758972E-3</v>
      </c>
      <c r="W366" s="964">
        <v>6.4999999999999997E-3</v>
      </c>
      <c r="X366" s="964">
        <v>6.4999999999999997E-3</v>
      </c>
      <c r="Y366" s="964">
        <v>6.4000000000000003E-3</v>
      </c>
      <c r="Z366" s="964">
        <v>6.1999999999999998E-3</v>
      </c>
      <c r="AA366" s="964">
        <v>5.8999999999999999E-3</v>
      </c>
      <c r="AB366" s="964">
        <v>5.7999999999999996E-3</v>
      </c>
      <c r="AC366" s="964">
        <v>5.4999999999999997E-3</v>
      </c>
      <c r="AD366" s="964">
        <v>5.3E-3</v>
      </c>
      <c r="AE366" s="340"/>
      <c r="AF366" s="11"/>
      <c r="AG366" s="95"/>
      <c r="AH366" s="11"/>
      <c r="AI366" s="11"/>
      <c r="AJ366" s="11"/>
      <c r="AK366" s="11"/>
      <c r="AL366" s="1720"/>
      <c r="AM366" s="35"/>
      <c r="AN366" s="35"/>
      <c r="AO366" s="35"/>
      <c r="AP366" s="1693">
        <f t="shared" ref="AP366:AY366" si="405">AP357/AP$119</f>
        <v>1.2594458438287153E-3</v>
      </c>
      <c r="AQ366" s="340">
        <f t="shared" si="405"/>
        <v>1.0257462303826033E-3</v>
      </c>
      <c r="AR366" s="340">
        <f t="shared" si="405"/>
        <v>8.9044792228818136E-3</v>
      </c>
      <c r="AS366" s="340">
        <f t="shared" si="405"/>
        <v>8.4300938444409092E-3</v>
      </c>
      <c r="AT366" s="1693">
        <f t="shared" si="405"/>
        <v>4.7358834244080146E-3</v>
      </c>
      <c r="AU366" s="340">
        <f t="shared" si="405"/>
        <v>3.5878877219181898E-3</v>
      </c>
      <c r="AV366" s="340">
        <f t="shared" si="405"/>
        <v>3.4942449263293137E-3</v>
      </c>
      <c r="AW366" s="341">
        <f t="shared" si="405"/>
        <v>3.4978632478632481E-3</v>
      </c>
      <c r="AX366" s="1693">
        <f t="shared" si="405"/>
        <v>0.1632902445715787</v>
      </c>
      <c r="AY366" s="341">
        <f t="shared" si="405"/>
        <v>7.3019639777232963E-3</v>
      </c>
      <c r="AZ366" s="341">
        <f>AZ357/AZ$119</f>
        <v>5.822969203470715E-3</v>
      </c>
      <c r="BA366" s="341">
        <f>BA357/BA$119</f>
        <v>4.9523837063819723E-3</v>
      </c>
      <c r="BB366" s="1693">
        <f>BB357/BB$119</f>
        <v>3.9915858307354611E-3</v>
      </c>
      <c r="BC366" s="341">
        <f>BC357/BC$119</f>
        <v>5.6904957897011086E-3</v>
      </c>
      <c r="BD366" s="341">
        <f t="shared" ref="BD366:BI366" si="406">BD357/BD$119</f>
        <v>6.9881421849619643E-3</v>
      </c>
      <c r="BE366" s="341">
        <f t="shared" si="406"/>
        <v>8.7549443489885626E-3</v>
      </c>
      <c r="BF366" s="745">
        <f t="shared" si="406"/>
        <v>6.5958212768439071E-3</v>
      </c>
      <c r="BG366" s="301">
        <f t="shared" si="406"/>
        <v>8.2275996547448663E-3</v>
      </c>
      <c r="BH366" s="301">
        <f>BH357/BH$119</f>
        <v>9.2533576739681645E-3</v>
      </c>
      <c r="BI366" s="301">
        <f t="shared" si="406"/>
        <v>7.7541777268294162E-3</v>
      </c>
      <c r="BJ366" s="745">
        <f>BJ357/BJ$119</f>
        <v>7.1284355736997498E-3</v>
      </c>
      <c r="BK366" s="301">
        <f>BK357/BK$119</f>
        <v>8.017297916701872E-3</v>
      </c>
      <c r="BL366" s="301">
        <f>BL357/BL$119</f>
        <v>8.7674842737451037E-3</v>
      </c>
      <c r="BM366" s="301">
        <f>BM357/BM$119</f>
        <v>6.9205254712884547E-3</v>
      </c>
      <c r="BN366" s="927">
        <v>7.0000000000000001E-3</v>
      </c>
      <c r="BO366" s="930">
        <v>6.0000000000000001E-3</v>
      </c>
      <c r="BP366" s="930">
        <v>7.0000000000000001E-3</v>
      </c>
      <c r="BQ366" s="77">
        <f>IF(ISERROR(BQ357/BQ$119),"--",BQ357/BQ$119)</f>
        <v>6.2132445212015625E-3</v>
      </c>
    </row>
    <row r="367" spans="1:101" outlineLevel="1">
      <c r="A367" s="573"/>
      <c r="I367" s="566"/>
      <c r="J367" s="90" t="s">
        <v>338</v>
      </c>
      <c r="K367" s="11"/>
      <c r="L367" s="11"/>
      <c r="M367" s="11"/>
      <c r="N367" s="35"/>
      <c r="O367" s="35"/>
      <c r="P367" s="48">
        <f t="shared" ref="P367:U367" si="407">P357/P$161</f>
        <v>6.1577656276167493E-2</v>
      </c>
      <c r="Q367" s="48">
        <f t="shared" si="407"/>
        <v>6.4626748999320582E-2</v>
      </c>
      <c r="R367" s="48">
        <f t="shared" si="407"/>
        <v>3.8160870835768558E-2</v>
      </c>
      <c r="S367" s="301">
        <f t="shared" si="407"/>
        <v>0.31611150998429438</v>
      </c>
      <c r="T367" s="301">
        <f t="shared" si="407"/>
        <v>4.4329914741134319E-2</v>
      </c>
      <c r="U367" s="301">
        <f t="shared" si="407"/>
        <v>5.8306149769299105E-2</v>
      </c>
      <c r="V367" s="301">
        <f t="shared" ref="V367:AD367" si="408">V357/V$161</f>
        <v>5.470955844998529E-2</v>
      </c>
      <c r="W367" s="301">
        <f t="shared" si="408"/>
        <v>4.5420521792967149E-2</v>
      </c>
      <c r="X367" s="301">
        <f t="shared" si="408"/>
        <v>4.391366620004556E-2</v>
      </c>
      <c r="Y367" s="301">
        <f t="shared" si="408"/>
        <v>4.1482537287571404E-2</v>
      </c>
      <c r="Z367" s="301">
        <f t="shared" si="408"/>
        <v>3.8447313990618903E-2</v>
      </c>
      <c r="AA367" s="301">
        <f t="shared" si="408"/>
        <v>3.5613703612348994E-2</v>
      </c>
      <c r="AB367" s="301">
        <f t="shared" si="408"/>
        <v>3.4111086777687413E-2</v>
      </c>
      <c r="AC367" s="301">
        <f t="shared" si="408"/>
        <v>3.1775841640025608E-2</v>
      </c>
      <c r="AD367" s="301">
        <f t="shared" si="408"/>
        <v>2.9887165394781826E-2</v>
      </c>
      <c r="AE367" s="11"/>
      <c r="AF367" s="11"/>
      <c r="AG367" s="95"/>
      <c r="AH367" s="11"/>
      <c r="AI367" s="11"/>
      <c r="AJ367" s="11"/>
      <c r="AK367" s="11"/>
      <c r="AL367" s="1720"/>
      <c r="AM367" s="35"/>
      <c r="AN367" s="35"/>
      <c r="AO367" s="35"/>
      <c r="AP367" s="1693">
        <f t="shared" ref="AP367:BA367" si="409">AP357/AP$161</f>
        <v>1.6778523489932886E-2</v>
      </c>
      <c r="AQ367" s="340">
        <f t="shared" si="409"/>
        <v>1.2594458438287154E-2</v>
      </c>
      <c r="AR367" s="340">
        <f t="shared" si="409"/>
        <v>0.1048728813559322</v>
      </c>
      <c r="AS367" s="340">
        <f t="shared" si="409"/>
        <v>9.2254134029590942E-2</v>
      </c>
      <c r="AT367" s="1693">
        <f t="shared" si="409"/>
        <v>4.4067796610169491E-2</v>
      </c>
      <c r="AU367" s="340">
        <f t="shared" si="409"/>
        <v>4.0314740825531589E-2</v>
      </c>
      <c r="AV367" s="340">
        <f t="shared" si="409"/>
        <v>3.5507121873177977E-2</v>
      </c>
      <c r="AW367" s="341">
        <f t="shared" si="409"/>
        <v>3.4488486036256739E-2</v>
      </c>
      <c r="AX367" s="1693">
        <f t="shared" si="409"/>
        <v>1.6360388573793745</v>
      </c>
      <c r="AY367" s="341">
        <f t="shared" si="409"/>
        <v>6.6217063801074325E-2</v>
      </c>
      <c r="AZ367" s="341">
        <f t="shared" si="409"/>
        <v>4.7667942902079791E-2</v>
      </c>
      <c r="BA367" s="341">
        <f t="shared" si="409"/>
        <v>3.898821603408438E-2</v>
      </c>
      <c r="BB367" s="1693">
        <f t="shared" ref="BB367:BI367" si="410">BB357/BB$161</f>
        <v>3.275131270389231E-2</v>
      </c>
      <c r="BC367" s="341">
        <f t="shared" si="410"/>
        <v>4.4226546893521547E-2</v>
      </c>
      <c r="BD367" s="341">
        <f t="shared" si="410"/>
        <v>5.0578178373040787E-2</v>
      </c>
      <c r="BE367" s="341">
        <f t="shared" si="410"/>
        <v>6.1222098533712764E-2</v>
      </c>
      <c r="BF367" s="745">
        <f t="shared" si="410"/>
        <v>5.0457360417638188E-2</v>
      </c>
      <c r="BG367" s="301">
        <f t="shared" si="410"/>
        <v>6.0369355360803859E-2</v>
      </c>
      <c r="BH367" s="301">
        <f t="shared" si="410"/>
        <v>6.4473790403588013E-2</v>
      </c>
      <c r="BI367" s="301">
        <f t="shared" si="410"/>
        <v>5.6801969630860219E-2</v>
      </c>
      <c r="BJ367" s="745">
        <f t="shared" ref="BJ367:BQ367" si="411">BJ357/BJ$161</f>
        <v>4.9534845199220578E-2</v>
      </c>
      <c r="BK367" s="301">
        <f>BK357/BK$161</f>
        <v>5.9079593090318558E-2</v>
      </c>
      <c r="BL367" s="301">
        <f>BL357/BL$161</f>
        <v>5.6555352294390626E-2</v>
      </c>
      <c r="BM367" s="301">
        <f t="shared" si="411"/>
        <v>5.3092456886691307E-2</v>
      </c>
      <c r="BN367" s="745">
        <f t="shared" si="411"/>
        <v>5.1526938535672848E-2</v>
      </c>
      <c r="BO367" s="301">
        <f t="shared" si="411"/>
        <v>4.4031554836067181E-2</v>
      </c>
      <c r="BP367" s="301">
        <f t="shared" si="411"/>
        <v>4.6619536601348918E-2</v>
      </c>
      <c r="BQ367" s="301">
        <f t="shared" si="411"/>
        <v>4.1747818358989927E-2</v>
      </c>
    </row>
    <row r="368" spans="1:101" outlineLevel="1">
      <c r="A368" s="573"/>
      <c r="J368" s="177" t="s">
        <v>93</v>
      </c>
      <c r="K368" s="11"/>
      <c r="L368" s="11"/>
      <c r="M368" s="11"/>
      <c r="N368" s="11"/>
      <c r="O368" s="11"/>
      <c r="P368" s="29"/>
      <c r="Q368" s="29"/>
      <c r="R368" s="29"/>
      <c r="S368" s="80"/>
      <c r="T368" s="174"/>
      <c r="U368" s="174"/>
      <c r="V368" s="174"/>
      <c r="W368" s="63"/>
      <c r="X368" s="63"/>
      <c r="Y368" s="63"/>
      <c r="Z368" s="63"/>
      <c r="AA368" s="63"/>
      <c r="AB368" s="63"/>
      <c r="AC368" s="63"/>
      <c r="AD368" s="63"/>
      <c r="AE368" s="11"/>
      <c r="AF368" s="11"/>
      <c r="AG368" s="95"/>
      <c r="AH368" s="11"/>
      <c r="AI368" s="11"/>
      <c r="AJ368" s="11"/>
      <c r="AK368" s="11"/>
      <c r="AL368" s="1719"/>
      <c r="AM368" s="29"/>
      <c r="AN368" s="29"/>
      <c r="AO368" s="29"/>
      <c r="AP368" s="1719"/>
      <c r="AQ368" s="29"/>
      <c r="AR368" s="29"/>
      <c r="AS368" s="29"/>
      <c r="AT368" s="1719"/>
      <c r="AU368" s="29"/>
      <c r="AV368" s="29"/>
      <c r="AW368" s="80"/>
      <c r="AX368" s="1719"/>
      <c r="AY368" s="80"/>
      <c r="AZ368" s="66"/>
      <c r="BA368" s="66"/>
      <c r="BB368" s="710"/>
      <c r="BC368" s="66"/>
      <c r="BD368" s="66"/>
      <c r="BE368" s="66"/>
      <c r="BF368" s="710"/>
      <c r="BG368" s="66"/>
      <c r="BH368" s="66"/>
      <c r="BI368" s="66"/>
      <c r="BJ368" s="710"/>
      <c r="BK368" s="66"/>
      <c r="BL368" s="66"/>
      <c r="BM368" s="66"/>
      <c r="BN368" s="710"/>
      <c r="BO368" s="66"/>
      <c r="BP368" s="66"/>
      <c r="BQ368" s="66"/>
    </row>
    <row r="369" spans="1:101" outlineLevel="1">
      <c r="A369" s="573"/>
      <c r="J369" s="90" t="s">
        <v>128</v>
      </c>
      <c r="K369" s="11"/>
      <c r="L369" s="11"/>
      <c r="M369" s="11"/>
      <c r="N369" s="11"/>
      <c r="O369" s="11"/>
      <c r="P369" s="29"/>
      <c r="Q369" s="29"/>
      <c r="R369" s="29"/>
      <c r="S369" s="80"/>
      <c r="T369" s="174"/>
      <c r="U369" s="79">
        <f t="shared" ref="U369:V373" si="412">IF(ISERROR(U358/U$357),"--",U358/U$357)</f>
        <v>8.4819678747589059E-3</v>
      </c>
      <c r="V369" s="79">
        <f t="shared" si="412"/>
        <v>9.8965418756847886E-3</v>
      </c>
      <c r="W369" s="963">
        <f t="shared" ref="W369:AD369" si="413">V369</f>
        <v>9.8965418756847886E-3</v>
      </c>
      <c r="X369" s="963">
        <f t="shared" si="413"/>
        <v>9.8965418756847886E-3</v>
      </c>
      <c r="Y369" s="963">
        <f t="shared" si="413"/>
        <v>9.8965418756847886E-3</v>
      </c>
      <c r="Z369" s="963">
        <f t="shared" si="413"/>
        <v>9.8965418756847886E-3</v>
      </c>
      <c r="AA369" s="963">
        <f t="shared" si="413"/>
        <v>9.8965418756847886E-3</v>
      </c>
      <c r="AB369" s="963">
        <f t="shared" si="413"/>
        <v>9.8965418756847886E-3</v>
      </c>
      <c r="AC369" s="963">
        <f t="shared" si="413"/>
        <v>9.8965418756847886E-3</v>
      </c>
      <c r="AD369" s="963">
        <f t="shared" si="413"/>
        <v>9.8965418756847886E-3</v>
      </c>
      <c r="AE369" s="11"/>
      <c r="AF369" s="11"/>
      <c r="AG369" s="95"/>
      <c r="AH369" s="11"/>
      <c r="AI369" s="11"/>
      <c r="AJ369" s="11"/>
      <c r="AK369" s="11"/>
      <c r="AL369" s="1719"/>
      <c r="AM369" s="29"/>
      <c r="AN369" s="29"/>
      <c r="AO369" s="29"/>
      <c r="AP369" s="1719"/>
      <c r="AQ369" s="29"/>
      <c r="AR369" s="29"/>
      <c r="AS369" s="29"/>
      <c r="AT369" s="1719"/>
      <c r="AU369" s="29"/>
      <c r="AV369" s="29"/>
      <c r="AW369" s="80"/>
      <c r="AX369" s="1719"/>
      <c r="AY369" s="80"/>
      <c r="AZ369" s="66"/>
      <c r="BA369" s="66"/>
      <c r="BB369" s="710"/>
      <c r="BC369" s="66"/>
      <c r="BD369" s="66"/>
      <c r="BE369" s="66"/>
      <c r="BF369" s="768">
        <f t="shared" ref="BF369:BM373" si="414">BF358/BF$357</f>
        <v>6.863731266324607E-3</v>
      </c>
      <c r="BG369" s="606">
        <f t="shared" si="414"/>
        <v>8.8061339536207768E-3</v>
      </c>
      <c r="BH369" s="606">
        <f t="shared" si="414"/>
        <v>8.8145126964542606E-3</v>
      </c>
      <c r="BI369" s="606">
        <f t="shared" si="414"/>
        <v>8.8328721206688224E-3</v>
      </c>
      <c r="BJ369" s="768">
        <f t="shared" si="414"/>
        <v>7.0087357419412596E-3</v>
      </c>
      <c r="BK369" s="606">
        <f t="shared" si="414"/>
        <v>7.4381580990005728E-3</v>
      </c>
      <c r="BL369" s="606">
        <f t="shared" si="414"/>
        <v>9.8536726210905375E-3</v>
      </c>
      <c r="BM369" s="606">
        <f t="shared" si="414"/>
        <v>1.4378241400206189E-2</v>
      </c>
      <c r="BN369" s="1658">
        <v>8.0000000000000002E-3</v>
      </c>
      <c r="BO369" s="963">
        <f>BN369</f>
        <v>8.0000000000000002E-3</v>
      </c>
      <c r="BP369" s="963">
        <f>BO369</f>
        <v>8.0000000000000002E-3</v>
      </c>
      <c r="BQ369" s="606">
        <f>BQ358/BQ$357</f>
        <v>1.4487628511576412E-2</v>
      </c>
    </row>
    <row r="370" spans="1:101" outlineLevel="1">
      <c r="A370" s="573"/>
      <c r="J370" s="90" t="s">
        <v>33</v>
      </c>
      <c r="K370" s="11"/>
      <c r="L370" s="11"/>
      <c r="M370" s="11"/>
      <c r="N370" s="81"/>
      <c r="O370" s="81"/>
      <c r="P370" s="81">
        <f t="shared" ref="P370:T373" si="415">IF(ISERROR(P359/P$357),"--",P359/P$357)</f>
        <v>0.53173440054111942</v>
      </c>
      <c r="Q370" s="81">
        <f t="shared" si="415"/>
        <v>0.34390927794737802</v>
      </c>
      <c r="R370" s="81">
        <f t="shared" si="415"/>
        <v>0.31018903179118823</v>
      </c>
      <c r="S370" s="79">
        <f t="shared" si="415"/>
        <v>2.8267025525897462E-2</v>
      </c>
      <c r="T370" s="79">
        <f t="shared" si="415"/>
        <v>0.15252637310157338</v>
      </c>
      <c r="U370" s="79">
        <f t="shared" si="412"/>
        <v>0.16123888636637057</v>
      </c>
      <c r="V370" s="79">
        <f t="shared" si="412"/>
        <v>0.15312823958602365</v>
      </c>
      <c r="W370" s="963">
        <f>V370</f>
        <v>0.15312823958602365</v>
      </c>
      <c r="X370" s="963">
        <f t="shared" ref="X370:AD370" si="416">W370</f>
        <v>0.15312823958602365</v>
      </c>
      <c r="Y370" s="963">
        <f t="shared" si="416"/>
        <v>0.15312823958602365</v>
      </c>
      <c r="Z370" s="963">
        <f t="shared" si="416"/>
        <v>0.15312823958602365</v>
      </c>
      <c r="AA370" s="963">
        <f t="shared" si="416"/>
        <v>0.15312823958602365</v>
      </c>
      <c r="AB370" s="963">
        <f t="shared" si="416"/>
        <v>0.15312823958602365</v>
      </c>
      <c r="AC370" s="963">
        <f t="shared" si="416"/>
        <v>0.15312823958602365</v>
      </c>
      <c r="AD370" s="963">
        <f t="shared" si="416"/>
        <v>0.15312823958602365</v>
      </c>
      <c r="AE370" s="11"/>
      <c r="AF370" s="11"/>
      <c r="AG370" s="95"/>
      <c r="AH370" s="11"/>
      <c r="AI370" s="11"/>
      <c r="AJ370" s="11"/>
      <c r="AK370" s="11"/>
      <c r="AL370" s="673"/>
      <c r="AM370" s="81"/>
      <c r="AN370" s="81"/>
      <c r="AO370" s="81"/>
      <c r="AP370" s="673">
        <f t="shared" ref="AP370:BE370" si="417">AP359/AP$357</f>
        <v>0.6</v>
      </c>
      <c r="AQ370" s="81">
        <f t="shared" si="417"/>
        <v>0.6</v>
      </c>
      <c r="AR370" s="81">
        <f t="shared" si="417"/>
        <v>0.31313131313131315</v>
      </c>
      <c r="AS370" s="81">
        <f t="shared" si="417"/>
        <v>0.330188679245283</v>
      </c>
      <c r="AT370" s="673">
        <f t="shared" si="417"/>
        <v>0.30769230769230771</v>
      </c>
      <c r="AU370" s="81">
        <f t="shared" si="417"/>
        <v>0.31839667837751517</v>
      </c>
      <c r="AV370" s="81">
        <f t="shared" si="417"/>
        <v>0.3183988830892735</v>
      </c>
      <c r="AW370" s="79">
        <f t="shared" si="417"/>
        <v>0.29867454646190561</v>
      </c>
      <c r="AX370" s="673">
        <f t="shared" si="417"/>
        <v>5.2125354924068886E-3</v>
      </c>
      <c r="AY370" s="79">
        <f t="shared" si="417"/>
        <v>0.16127411094624994</v>
      </c>
      <c r="AZ370" s="79">
        <f t="shared" si="417"/>
        <v>0.21949140502912343</v>
      </c>
      <c r="BA370" s="79">
        <f t="shared" si="417"/>
        <v>0.2242725956253962</v>
      </c>
      <c r="BB370" s="673">
        <f t="shared" si="417"/>
        <v>0.19647325885103997</v>
      </c>
      <c r="BC370" s="79">
        <f t="shared" si="417"/>
        <v>0.19019195965671473</v>
      </c>
      <c r="BD370" s="79">
        <f t="shared" si="417"/>
        <v>0.15463198463574784</v>
      </c>
      <c r="BE370" s="606">
        <f t="shared" si="417"/>
        <v>0.12262438138744912</v>
      </c>
      <c r="BF370" s="768">
        <f t="shared" si="414"/>
        <v>0.13171545382055683</v>
      </c>
      <c r="BG370" s="606">
        <f t="shared" si="414"/>
        <v>0.18428455311960384</v>
      </c>
      <c r="BH370" s="606">
        <f t="shared" si="414"/>
        <v>0.16916932017981032</v>
      </c>
      <c r="BI370" s="606">
        <f t="shared" si="414"/>
        <v>0.15110073923945383</v>
      </c>
      <c r="BJ370" s="768">
        <f t="shared" si="414"/>
        <v>0.14355226152021308</v>
      </c>
      <c r="BK370" s="606">
        <f t="shared" si="414"/>
        <v>0.16001407870154757</v>
      </c>
      <c r="BL370" s="606">
        <f t="shared" si="414"/>
        <v>0.15748443296778727</v>
      </c>
      <c r="BM370" s="606">
        <f t="shared" si="414"/>
        <v>0.14891881186040959</v>
      </c>
      <c r="BN370" s="1262">
        <f>W370</f>
        <v>0.15312823958602365</v>
      </c>
      <c r="BO370" s="963">
        <f t="shared" ref="BO370:BP373" si="418">BN370</f>
        <v>0.15312823958602365</v>
      </c>
      <c r="BP370" s="963">
        <f t="shared" si="418"/>
        <v>0.15312823958602365</v>
      </c>
      <c r="BQ370" s="606">
        <f>BQ359/BQ$357</f>
        <v>0.15312823958602365</v>
      </c>
    </row>
    <row r="371" spans="1:101" outlineLevel="1">
      <c r="A371" s="573"/>
      <c r="J371" s="90" t="s">
        <v>34</v>
      </c>
      <c r="K371" s="11"/>
      <c r="L371" s="11"/>
      <c r="M371" s="11"/>
      <c r="N371" s="81"/>
      <c r="O371" s="81"/>
      <c r="P371" s="81">
        <f t="shared" si="415"/>
        <v>8.6395919057550313E-2</v>
      </c>
      <c r="Q371" s="81">
        <f t="shared" si="415"/>
        <v>3.9899750709876954E-2</v>
      </c>
      <c r="R371" s="81">
        <f t="shared" si="415"/>
        <v>3.3468237528381573E-2</v>
      </c>
      <c r="S371" s="79">
        <f t="shared" si="415"/>
        <v>5.5617502620822212E-3</v>
      </c>
      <c r="T371" s="79">
        <f t="shared" si="415"/>
        <v>4.4142542038082808E-2</v>
      </c>
      <c r="U371" s="79">
        <f t="shared" si="412"/>
        <v>4.2330283026556302E-2</v>
      </c>
      <c r="V371" s="79">
        <f t="shared" si="412"/>
        <v>4.8829486536631196E-2</v>
      </c>
      <c r="W371" s="963">
        <f t="shared" ref="W371:AD373" si="419">V371</f>
        <v>4.8829486536631196E-2</v>
      </c>
      <c r="X371" s="963">
        <f t="shared" si="419"/>
        <v>4.8829486536631196E-2</v>
      </c>
      <c r="Y371" s="963">
        <f t="shared" si="419"/>
        <v>4.8829486536631196E-2</v>
      </c>
      <c r="Z371" s="963">
        <f t="shared" si="419"/>
        <v>4.8829486536631196E-2</v>
      </c>
      <c r="AA371" s="963">
        <f t="shared" si="419"/>
        <v>4.8829486536631196E-2</v>
      </c>
      <c r="AB371" s="963">
        <f t="shared" si="419"/>
        <v>4.8829486536631196E-2</v>
      </c>
      <c r="AC371" s="963">
        <f t="shared" si="419"/>
        <v>4.8829486536631196E-2</v>
      </c>
      <c r="AD371" s="963">
        <f t="shared" si="419"/>
        <v>4.8829486536631196E-2</v>
      </c>
      <c r="AE371" s="11"/>
      <c r="AF371" s="11"/>
      <c r="AG371" s="95"/>
      <c r="AH371" s="11"/>
      <c r="AI371" s="11"/>
      <c r="AJ371" s="11"/>
      <c r="AK371" s="11"/>
      <c r="AL371" s="673"/>
      <c r="AM371" s="81"/>
      <c r="AN371" s="81"/>
      <c r="AO371" s="81"/>
      <c r="AP371" s="673">
        <f t="shared" ref="AP371:BE371" si="420">AP360/AP$357</f>
        <v>0.1</v>
      </c>
      <c r="AQ371" s="81">
        <f t="shared" si="420"/>
        <v>0.1</v>
      </c>
      <c r="AR371" s="81">
        <f t="shared" si="420"/>
        <v>3.0303030303030304E-2</v>
      </c>
      <c r="AS371" s="81">
        <f t="shared" si="420"/>
        <v>3.7735849056603772E-2</v>
      </c>
      <c r="AT371" s="673">
        <f t="shared" si="420"/>
        <v>3.0769230769230771E-2</v>
      </c>
      <c r="AU371" s="81">
        <f t="shared" si="420"/>
        <v>3.4254231874800388E-2</v>
      </c>
      <c r="AV371" s="81">
        <f t="shared" si="420"/>
        <v>3.4252986625628659E-2</v>
      </c>
      <c r="AW371" s="79">
        <f t="shared" si="420"/>
        <v>3.248994899916182E-2</v>
      </c>
      <c r="AX371" s="673">
        <f t="shared" si="420"/>
        <v>5.1165826741645011E-4</v>
      </c>
      <c r="AY371" s="79">
        <f t="shared" si="420"/>
        <v>2.2356770210118223E-2</v>
      </c>
      <c r="AZ371" s="79">
        <f t="shared" si="420"/>
        <v>4.5508358194819333E-2</v>
      </c>
      <c r="BA371" s="79">
        <f t="shared" si="420"/>
        <v>5.419111703024769E-2</v>
      </c>
      <c r="BB371" s="673">
        <f t="shared" si="420"/>
        <v>6.3731590247104355E-2</v>
      </c>
      <c r="BC371" s="79">
        <f t="shared" si="420"/>
        <v>4.8102786609886088E-2</v>
      </c>
      <c r="BD371" s="79">
        <f t="shared" si="420"/>
        <v>3.6279229711141676E-2</v>
      </c>
      <c r="BE371" s="606">
        <f t="shared" si="420"/>
        <v>3.5589831118250689E-2</v>
      </c>
      <c r="BF371" s="768">
        <f t="shared" si="414"/>
        <v>3.6764353679393874E-2</v>
      </c>
      <c r="BG371" s="606">
        <f t="shared" si="414"/>
        <v>5.0960209459383531E-2</v>
      </c>
      <c r="BH371" s="606">
        <f t="shared" si="414"/>
        <v>4.2765113351256899E-2</v>
      </c>
      <c r="BI371" s="606">
        <f t="shared" si="414"/>
        <v>3.7661911629055092E-2</v>
      </c>
      <c r="BJ371" s="768">
        <f t="shared" si="414"/>
        <v>3.8742008400038795E-2</v>
      </c>
      <c r="BK371" s="606">
        <f t="shared" si="414"/>
        <v>5.1776700016594672E-2</v>
      </c>
      <c r="BL371" s="606">
        <f t="shared" si="414"/>
        <v>5.1861506529164693E-2</v>
      </c>
      <c r="BM371" s="606">
        <f t="shared" si="414"/>
        <v>5.0115293506575266E-2</v>
      </c>
      <c r="BN371" s="1262">
        <f>W371</f>
        <v>4.8829486536631196E-2</v>
      </c>
      <c r="BO371" s="963">
        <f t="shared" si="418"/>
        <v>4.8829486536631196E-2</v>
      </c>
      <c r="BP371" s="963">
        <f t="shared" si="418"/>
        <v>4.8829486536631196E-2</v>
      </c>
      <c r="BQ371" s="606">
        <f>BQ360/BQ$357</f>
        <v>4.8829486536631182E-2</v>
      </c>
    </row>
    <row r="372" spans="1:101" outlineLevel="1">
      <c r="A372" s="573"/>
      <c r="J372" s="90" t="s">
        <v>35</v>
      </c>
      <c r="K372" s="11"/>
      <c r="L372" s="11"/>
      <c r="M372" s="11"/>
      <c r="N372" s="81"/>
      <c r="O372" s="81"/>
      <c r="P372" s="81">
        <f t="shared" si="415"/>
        <v>1.5839016966349137E-2</v>
      </c>
      <c r="Q372" s="81">
        <f t="shared" si="415"/>
        <v>0.11187394185007932</v>
      </c>
      <c r="R372" s="81">
        <f t="shared" si="415"/>
        <v>0.12738299900832015</v>
      </c>
      <c r="S372" s="79">
        <f t="shared" si="415"/>
        <v>1.7557083767179665E-2</v>
      </c>
      <c r="T372" s="79">
        <f t="shared" si="415"/>
        <v>0.19409153329133705</v>
      </c>
      <c r="U372" s="79">
        <f t="shared" si="412"/>
        <v>0.22811036211720787</v>
      </c>
      <c r="V372" s="79">
        <f t="shared" si="412"/>
        <v>0.24122195835920207</v>
      </c>
      <c r="W372" s="963">
        <f t="shared" si="419"/>
        <v>0.24122195835920207</v>
      </c>
      <c r="X372" s="963">
        <f t="shared" si="419"/>
        <v>0.24122195835920207</v>
      </c>
      <c r="Y372" s="963">
        <f t="shared" si="419"/>
        <v>0.24122195835920207</v>
      </c>
      <c r="Z372" s="963">
        <f t="shared" si="419"/>
        <v>0.24122195835920207</v>
      </c>
      <c r="AA372" s="963">
        <f t="shared" si="419"/>
        <v>0.24122195835920207</v>
      </c>
      <c r="AB372" s="963">
        <f t="shared" si="419"/>
        <v>0.24122195835920207</v>
      </c>
      <c r="AC372" s="963">
        <f t="shared" si="419"/>
        <v>0.24122195835920207</v>
      </c>
      <c r="AD372" s="963">
        <f t="shared" si="419"/>
        <v>0.24122195835920207</v>
      </c>
      <c r="AE372" s="11"/>
      <c r="AF372" s="11"/>
      <c r="AG372" s="95"/>
      <c r="AH372" s="11"/>
      <c r="AI372" s="11"/>
      <c r="AJ372" s="11"/>
      <c r="AK372" s="11"/>
      <c r="AL372" s="673"/>
      <c r="AM372" s="81"/>
      <c r="AN372" s="81"/>
      <c r="AO372" s="81"/>
      <c r="AP372" s="673">
        <f t="shared" ref="AP372:BE372" si="421">AP361/AP$357</f>
        <v>0</v>
      </c>
      <c r="AQ372" s="81">
        <f t="shared" si="421"/>
        <v>0</v>
      </c>
      <c r="AR372" s="81">
        <f t="shared" si="421"/>
        <v>0.12121212121212122</v>
      </c>
      <c r="AS372" s="81">
        <f t="shared" si="421"/>
        <v>0.12264150943396226</v>
      </c>
      <c r="AT372" s="673">
        <f t="shared" si="421"/>
        <v>0.12307692307692308</v>
      </c>
      <c r="AU372" s="81">
        <f t="shared" si="421"/>
        <v>0.13077291600127755</v>
      </c>
      <c r="AV372" s="81">
        <f t="shared" si="421"/>
        <v>0.1307769192936809</v>
      </c>
      <c r="AW372" s="79">
        <f t="shared" si="421"/>
        <v>0.12260090068332599</v>
      </c>
      <c r="AX372" s="673">
        <f t="shared" si="421"/>
        <v>2.2966509763537118E-3</v>
      </c>
      <c r="AY372" s="79">
        <f t="shared" si="421"/>
        <v>8.1950892643469095E-2</v>
      </c>
      <c r="AZ372" s="79">
        <f t="shared" si="421"/>
        <v>0.15370909693611781</v>
      </c>
      <c r="BA372" s="79">
        <f t="shared" si="421"/>
        <v>0.16216043315672851</v>
      </c>
      <c r="BB372" s="673">
        <f t="shared" si="421"/>
        <v>0.17996088995856524</v>
      </c>
      <c r="BC372" s="79">
        <f t="shared" si="421"/>
        <v>0.22644122789900403</v>
      </c>
      <c r="BD372" s="79">
        <f t="shared" si="421"/>
        <v>0.17914147050426929</v>
      </c>
      <c r="BE372" s="606">
        <f t="shared" si="421"/>
        <v>0.19545228264370845</v>
      </c>
      <c r="BF372" s="768">
        <f t="shared" si="414"/>
        <v>0.19060378857679014</v>
      </c>
      <c r="BG372" s="606">
        <f t="shared" si="414"/>
        <v>0.25330838699044467</v>
      </c>
      <c r="BH372" s="606">
        <f t="shared" si="414"/>
        <v>0.24182080390223579</v>
      </c>
      <c r="BI372" s="606">
        <f t="shared" si="414"/>
        <v>0.21548050564498317</v>
      </c>
      <c r="BJ372" s="768">
        <f t="shared" si="414"/>
        <v>0.21705819600587853</v>
      </c>
      <c r="BK372" s="606">
        <f t="shared" si="414"/>
        <v>0.23599758039045646</v>
      </c>
      <c r="BL372" s="606">
        <f t="shared" si="414"/>
        <v>0.25214778738403038</v>
      </c>
      <c r="BM372" s="606">
        <f t="shared" si="414"/>
        <v>0.252814132176988</v>
      </c>
      <c r="BN372" s="1262">
        <f>W372</f>
        <v>0.24122195835920207</v>
      </c>
      <c r="BO372" s="963">
        <f t="shared" si="418"/>
        <v>0.24122195835920207</v>
      </c>
      <c r="BP372" s="963">
        <f t="shared" si="418"/>
        <v>0.24122195835920207</v>
      </c>
      <c r="BQ372" s="606">
        <f>BQ361/BQ$357</f>
        <v>0.24122195835920196</v>
      </c>
    </row>
    <row r="373" spans="1:101" outlineLevel="1">
      <c r="A373" s="573"/>
      <c r="J373" s="90" t="s">
        <v>36</v>
      </c>
      <c r="K373" s="11"/>
      <c r="L373" s="11"/>
      <c r="M373" s="11"/>
      <c r="N373" s="81"/>
      <c r="O373" s="81"/>
      <c r="P373" s="81">
        <f t="shared" si="415"/>
        <v>0.36603066343498114</v>
      </c>
      <c r="Q373" s="81">
        <f t="shared" si="415"/>
        <v>0.50431702949266577</v>
      </c>
      <c r="R373" s="81">
        <f t="shared" si="415"/>
        <v>0.52895973167211008</v>
      </c>
      <c r="S373" s="79">
        <f t="shared" si="415"/>
        <v>0.94793347192756949</v>
      </c>
      <c r="T373" s="79">
        <f t="shared" si="415"/>
        <v>0.60224419903259907</v>
      </c>
      <c r="U373" s="79">
        <f t="shared" si="412"/>
        <v>0.55983850061510643</v>
      </c>
      <c r="V373" s="79">
        <f t="shared" si="412"/>
        <v>0.54692377364245837</v>
      </c>
      <c r="W373" s="963">
        <f t="shared" si="419"/>
        <v>0.54692377364245837</v>
      </c>
      <c r="X373" s="963">
        <f t="shared" si="419"/>
        <v>0.54692377364245837</v>
      </c>
      <c r="Y373" s="963">
        <f t="shared" si="419"/>
        <v>0.54692377364245837</v>
      </c>
      <c r="Z373" s="963">
        <f t="shared" si="419"/>
        <v>0.54692377364245837</v>
      </c>
      <c r="AA373" s="963">
        <f t="shared" si="419"/>
        <v>0.54692377364245837</v>
      </c>
      <c r="AB373" s="963">
        <f t="shared" si="419"/>
        <v>0.54692377364245837</v>
      </c>
      <c r="AC373" s="963">
        <f t="shared" si="419"/>
        <v>0.54692377364245837</v>
      </c>
      <c r="AD373" s="963">
        <f t="shared" si="419"/>
        <v>0.54692377364245837</v>
      </c>
      <c r="AE373" s="11"/>
      <c r="AF373" s="11"/>
      <c r="AG373" s="95"/>
      <c r="AH373" s="11"/>
      <c r="AI373" s="11"/>
      <c r="AJ373" s="11"/>
      <c r="AK373" s="11"/>
      <c r="AL373" s="673"/>
      <c r="AM373" s="81"/>
      <c r="AN373" s="81"/>
      <c r="AO373" s="81"/>
      <c r="AP373" s="673">
        <f t="shared" ref="AP373:BE373" si="422">AP362/AP$357</f>
        <v>0.3</v>
      </c>
      <c r="AQ373" s="81">
        <f t="shared" si="422"/>
        <v>0.3</v>
      </c>
      <c r="AR373" s="81">
        <f t="shared" si="422"/>
        <v>0.53535353535353536</v>
      </c>
      <c r="AS373" s="81">
        <f t="shared" si="422"/>
        <v>0.50943396226415094</v>
      </c>
      <c r="AT373" s="673">
        <f t="shared" si="422"/>
        <v>0.53846153846153844</v>
      </c>
      <c r="AU373" s="81">
        <f t="shared" si="422"/>
        <v>0.51657617374640685</v>
      </c>
      <c r="AV373" s="81">
        <f t="shared" si="422"/>
        <v>0.51657121099141701</v>
      </c>
      <c r="AW373" s="79">
        <f t="shared" si="422"/>
        <v>0.54623460385560652</v>
      </c>
      <c r="AX373" s="673">
        <f t="shared" si="422"/>
        <v>0.99197915526382285</v>
      </c>
      <c r="AY373" s="79">
        <f t="shared" si="422"/>
        <v>0.73441822620016273</v>
      </c>
      <c r="AZ373" s="79">
        <f t="shared" si="422"/>
        <v>0.5812911398399393</v>
      </c>
      <c r="BA373" s="79">
        <f t="shared" si="422"/>
        <v>0.55937585418762759</v>
      </c>
      <c r="BB373" s="673">
        <f t="shared" si="422"/>
        <v>0.55983426094329047</v>
      </c>
      <c r="BC373" s="79">
        <f t="shared" si="422"/>
        <v>0.53526402583439503</v>
      </c>
      <c r="BD373" s="79">
        <f t="shared" si="422"/>
        <v>0.62994731514884128</v>
      </c>
      <c r="BE373" s="606">
        <f t="shared" si="422"/>
        <v>0.64633350485059171</v>
      </c>
      <c r="BF373" s="768">
        <f t="shared" si="414"/>
        <v>0.63405267265693466</v>
      </c>
      <c r="BG373" s="606">
        <f t="shared" si="414"/>
        <v>0.50264071647694708</v>
      </c>
      <c r="BH373" s="606">
        <f t="shared" si="414"/>
        <v>0.53743024987024279</v>
      </c>
      <c r="BI373" s="606">
        <f t="shared" si="414"/>
        <v>0.58692397136583907</v>
      </c>
      <c r="BJ373" s="768">
        <f t="shared" si="414"/>
        <v>0.59363879833192845</v>
      </c>
      <c r="BK373" s="606">
        <f t="shared" si="414"/>
        <v>0.54477348279240079</v>
      </c>
      <c r="BL373" s="606">
        <f t="shared" si="414"/>
        <v>0.52865260049792717</v>
      </c>
      <c r="BM373" s="606">
        <f t="shared" si="414"/>
        <v>0.53377352105582088</v>
      </c>
      <c r="BN373" s="1262">
        <f>W373</f>
        <v>0.54692377364245837</v>
      </c>
      <c r="BO373" s="963">
        <f t="shared" si="418"/>
        <v>0.54692377364245837</v>
      </c>
      <c r="BP373" s="963">
        <f t="shared" si="418"/>
        <v>0.54692377364245837</v>
      </c>
      <c r="BQ373" s="606">
        <f>BQ362/BQ$357</f>
        <v>0.54692377364245826</v>
      </c>
    </row>
    <row r="374" spans="1:101" outlineLevel="1">
      <c r="A374" s="573"/>
      <c r="J374" s="11"/>
      <c r="K374" s="11"/>
      <c r="L374" s="11"/>
      <c r="M374" s="11"/>
      <c r="N374" s="11"/>
      <c r="O374" s="11"/>
      <c r="P374" s="63"/>
      <c r="Q374" s="63"/>
      <c r="R374" s="63"/>
      <c r="S374" s="174"/>
      <c r="T374" s="174"/>
      <c r="U374" s="174"/>
      <c r="V374" s="174"/>
      <c r="W374" s="63"/>
      <c r="X374" s="63"/>
      <c r="Y374" s="63"/>
      <c r="Z374" s="63"/>
      <c r="AA374" s="63"/>
      <c r="AB374" s="63"/>
      <c r="AC374" s="63"/>
      <c r="AD374" s="63"/>
      <c r="AE374" s="11"/>
      <c r="AF374" s="11"/>
      <c r="AG374" s="95"/>
      <c r="AH374" s="11"/>
      <c r="AI374" s="11"/>
      <c r="AJ374" s="11"/>
      <c r="AK374" s="11"/>
      <c r="AL374" s="1719"/>
      <c r="AM374" s="29"/>
      <c r="AN374" s="29"/>
      <c r="AO374" s="29"/>
      <c r="AP374" s="1719"/>
      <c r="AQ374" s="29"/>
      <c r="AR374" s="29"/>
      <c r="AS374" s="29"/>
      <c r="AT374" s="1719"/>
      <c r="AU374" s="29"/>
      <c r="AV374" s="29"/>
      <c r="AW374" s="80"/>
      <c r="AX374" s="1719"/>
      <c r="AY374" s="80"/>
      <c r="AZ374" s="66"/>
      <c r="BA374" s="66"/>
      <c r="BB374" s="710"/>
      <c r="BC374" s="66"/>
      <c r="BD374" s="66"/>
      <c r="BE374" s="66"/>
      <c r="BF374" s="710"/>
      <c r="BG374" s="66"/>
      <c r="BH374" s="66"/>
      <c r="BI374" s="66"/>
      <c r="BJ374" s="710"/>
      <c r="BK374" s="66"/>
      <c r="BL374" s="66"/>
      <c r="BM374" s="66"/>
      <c r="BN374" s="710"/>
      <c r="BO374" s="66"/>
      <c r="BP374" s="66"/>
      <c r="BQ374" s="66"/>
    </row>
    <row r="375" spans="1:101" s="573" customFormat="1" outlineLevel="1">
      <c r="H375" s="576"/>
      <c r="I375" s="576"/>
      <c r="J375" s="1489" t="s">
        <v>661</v>
      </c>
      <c r="K375" s="1393"/>
      <c r="L375" s="1393"/>
      <c r="M375" s="1393"/>
      <c r="N375" s="1414"/>
      <c r="O375" s="1414"/>
      <c r="P375" s="1417"/>
      <c r="Q375" s="1417"/>
      <c r="R375" s="1417"/>
      <c r="S375" s="1417"/>
      <c r="T375" s="1417"/>
      <c r="U375" s="1417"/>
      <c r="V375" s="1417"/>
      <c r="W375" s="1395"/>
      <c r="X375" s="1395"/>
      <c r="Y375" s="1395"/>
      <c r="Z375" s="1395"/>
      <c r="AA375" s="1395"/>
      <c r="AB375" s="1395"/>
      <c r="AC375" s="1395"/>
      <c r="AD375" s="1395"/>
      <c r="AE375" s="1393"/>
      <c r="AF375" s="1396"/>
      <c r="AG375" s="1397"/>
      <c r="AH375" s="1398"/>
      <c r="AI375" s="1398"/>
      <c r="AJ375" s="1398"/>
      <c r="AK375" s="1398"/>
      <c r="AL375" s="1777"/>
      <c r="AM375" s="1394"/>
      <c r="AN375" s="1394"/>
      <c r="AO375" s="1394"/>
      <c r="AP375" s="1612"/>
      <c r="AQ375" s="1417"/>
      <c r="AR375" s="1417"/>
      <c r="AS375" s="1417"/>
      <c r="AT375" s="1612"/>
      <c r="AU375" s="1417"/>
      <c r="AV375" s="1417"/>
      <c r="AW375" s="1417"/>
      <c r="AX375" s="1612"/>
      <c r="AY375" s="1417"/>
      <c r="AZ375" s="1417"/>
      <c r="BA375" s="1417"/>
      <c r="BB375" s="1612"/>
      <c r="BC375" s="1417"/>
      <c r="BD375" s="1417"/>
      <c r="BE375" s="1417"/>
      <c r="BF375" s="1612"/>
      <c r="BG375" s="1417"/>
      <c r="BH375" s="1417"/>
      <c r="BI375" s="1417"/>
      <c r="BJ375" s="1612"/>
      <c r="BK375" s="1417"/>
      <c r="BL375" s="1417"/>
      <c r="BM375" s="1417"/>
      <c r="BN375" s="1657"/>
      <c r="BO375" s="1482"/>
      <c r="BP375" s="1482"/>
      <c r="BQ375" s="1485"/>
      <c r="CR375"/>
      <c r="CS375"/>
      <c r="CT375"/>
      <c r="CU375"/>
      <c r="CV375"/>
      <c r="CW375"/>
    </row>
    <row r="376" spans="1:101" s="643" customFormat="1" outlineLevel="1">
      <c r="H376" s="516"/>
      <c r="I376" s="597"/>
      <c r="J376" s="13" t="s">
        <v>402</v>
      </c>
      <c r="K376" s="13"/>
      <c r="L376" s="13"/>
      <c r="M376" s="13"/>
      <c r="N376" s="880">
        <f t="shared" ref="N376:AD376" si="423">SUM(N378:N381)</f>
        <v>0</v>
      </c>
      <c r="O376" s="880">
        <f t="shared" si="423"/>
        <v>0</v>
      </c>
      <c r="P376" s="880">
        <f t="shared" si="423"/>
        <v>0</v>
      </c>
      <c r="Q376" s="880">
        <f t="shared" si="423"/>
        <v>-2</v>
      </c>
      <c r="R376" s="880">
        <f t="shared" si="423"/>
        <v>-12.6</v>
      </c>
      <c r="S376" s="880">
        <f t="shared" si="423"/>
        <v>-1109.479</v>
      </c>
      <c r="T376" s="880">
        <f t="shared" si="423"/>
        <v>-1451.347</v>
      </c>
      <c r="U376" s="880">
        <f t="shared" si="423"/>
        <v>-1608.777</v>
      </c>
      <c r="V376" s="880">
        <f t="shared" si="423"/>
        <v>-1777.549</v>
      </c>
      <c r="W376" s="880">
        <f t="shared" si="423"/>
        <v>-1795.6839999999997</v>
      </c>
      <c r="X376" s="880">
        <f t="shared" si="423"/>
        <v>-1831.5976800000001</v>
      </c>
      <c r="Y376" s="880">
        <f t="shared" si="423"/>
        <v>-1868.2296335999999</v>
      </c>
      <c r="Z376" s="880">
        <f t="shared" si="423"/>
        <v>-1905.594226272</v>
      </c>
      <c r="AA376" s="880">
        <f t="shared" si="423"/>
        <v>-1905.594226272</v>
      </c>
      <c r="AB376" s="880">
        <f t="shared" si="423"/>
        <v>-1905.594226272</v>
      </c>
      <c r="AC376" s="880">
        <f t="shared" si="423"/>
        <v>-1905.594226272</v>
      </c>
      <c r="AD376" s="880">
        <f t="shared" si="423"/>
        <v>-1905.594226272</v>
      </c>
      <c r="AE376" s="734"/>
      <c r="AF376" s="437"/>
      <c r="AG376" s="437"/>
      <c r="AH376" s="172"/>
      <c r="AI376" s="172"/>
      <c r="AJ376" s="172"/>
      <c r="AK376" s="172"/>
      <c r="AL376" s="1761"/>
      <c r="AM376" s="207"/>
      <c r="AN376" s="207"/>
      <c r="AO376" s="207"/>
      <c r="AP376" s="1613">
        <f t="shared" ref="AP376:BQ376" si="424">SUM(AP378:AP381)</f>
        <v>0</v>
      </c>
      <c r="AQ376" s="1355">
        <f t="shared" si="424"/>
        <v>0</v>
      </c>
      <c r="AR376" s="1355">
        <f t="shared" si="424"/>
        <v>0</v>
      </c>
      <c r="AS376" s="1355">
        <f t="shared" si="424"/>
        <v>0</v>
      </c>
      <c r="AT376" s="1613">
        <f t="shared" si="424"/>
        <v>-3</v>
      </c>
      <c r="AU376" s="1355">
        <f t="shared" si="424"/>
        <v>-3.15</v>
      </c>
      <c r="AV376" s="1355">
        <f t="shared" si="424"/>
        <v>-3.15</v>
      </c>
      <c r="AW376" s="1355">
        <f t="shared" si="424"/>
        <v>-3.15</v>
      </c>
      <c r="AX376" s="1613">
        <f t="shared" si="424"/>
        <v>-15</v>
      </c>
      <c r="AY376" s="1355">
        <f t="shared" si="424"/>
        <v>-361.76100000000002</v>
      </c>
      <c r="AZ376" s="1355">
        <f t="shared" si="424"/>
        <v>-366.20400000000001</v>
      </c>
      <c r="BA376" s="1355">
        <f t="shared" si="424"/>
        <v>-366.20400000000001</v>
      </c>
      <c r="BB376" s="1613">
        <f t="shared" si="424"/>
        <v>-358.32299999999998</v>
      </c>
      <c r="BC376" s="1355">
        <f t="shared" si="424"/>
        <v>-360.82700000000006</v>
      </c>
      <c r="BD376" s="1355">
        <f t="shared" si="424"/>
        <v>-365.99299999999999</v>
      </c>
      <c r="BE376" s="1355">
        <f t="shared" si="424"/>
        <v>-366.20400000000001</v>
      </c>
      <c r="BF376" s="1613">
        <f t="shared" si="424"/>
        <v>-350</v>
      </c>
      <c r="BG376" s="844">
        <f t="shared" si="424"/>
        <v>-363.35500000000002</v>
      </c>
      <c r="BH376" s="844">
        <f t="shared" si="424"/>
        <v>-447.84199999999998</v>
      </c>
      <c r="BI376" s="1355">
        <f t="shared" si="424"/>
        <v>-447.58000000000004</v>
      </c>
      <c r="BJ376" s="1613">
        <f t="shared" si="424"/>
        <v>-439.63199999999995</v>
      </c>
      <c r="BK376" s="1355">
        <f t="shared" si="424"/>
        <v>-442.584</v>
      </c>
      <c r="BL376" s="1355">
        <f t="shared" si="424"/>
        <v>-446.41200000000003</v>
      </c>
      <c r="BM376" s="1355">
        <f t="shared" si="424"/>
        <v>-448.92099999999994</v>
      </c>
      <c r="BN376" s="1613">
        <f t="shared" si="424"/>
        <v>-448.92099999999994</v>
      </c>
      <c r="BO376" s="1355">
        <f t="shared" si="424"/>
        <v>-448.92099999999994</v>
      </c>
      <c r="BP376" s="1355">
        <f t="shared" si="424"/>
        <v>-448.92099999999994</v>
      </c>
      <c r="BQ376" s="1355">
        <f t="shared" si="424"/>
        <v>-448.92099999999994</v>
      </c>
      <c r="BR376" s="533"/>
      <c r="BS376" s="533"/>
      <c r="BT376" s="533"/>
      <c r="BU376" s="533"/>
      <c r="BV376" s="533"/>
      <c r="BW376" s="533"/>
      <c r="BX376" s="533"/>
      <c r="BY376" s="533"/>
      <c r="BZ376" s="533"/>
      <c r="CA376" s="533"/>
      <c r="CB376" s="533"/>
      <c r="CC376" s="533"/>
      <c r="CD376" s="83"/>
      <c r="CE376" s="533"/>
      <c r="CF376" s="533"/>
      <c r="CG376" s="533"/>
      <c r="CH376" s="533"/>
      <c r="CI376" s="533"/>
      <c r="CJ376" s="533"/>
      <c r="CK376" s="533"/>
      <c r="CL376" s="533"/>
      <c r="CM376" s="533"/>
      <c r="CN376" s="533"/>
      <c r="CO376" s="533"/>
      <c r="CP376" s="533"/>
      <c r="CQ376" s="533"/>
      <c r="CR376"/>
      <c r="CS376"/>
      <c r="CT376"/>
      <c r="CU376"/>
      <c r="CV376"/>
      <c r="CW376"/>
    </row>
    <row r="377" spans="1:101" s="573" customFormat="1" outlineLevel="1">
      <c r="H377" s="576"/>
      <c r="I377" s="576"/>
      <c r="J377" s="186" t="s">
        <v>660</v>
      </c>
      <c r="K377" s="172"/>
      <c r="L377" s="172"/>
      <c r="M377" s="172"/>
      <c r="N377" s="189">
        <f>IF(ISERROR(N372/N$119),"--",N372/N$119)</f>
        <v>0</v>
      </c>
      <c r="O377" s="189">
        <f>IF(ISERROR(O372/O$119),"--",O372/O$119)</f>
        <v>0</v>
      </c>
      <c r="P377" s="189">
        <f>IF(ISERROR(P372/P$119),"--",P372/P$119)</f>
        <v>7.496354631739849E-7</v>
      </c>
      <c r="Q377" s="189">
        <f>IF(ISERROR(Q372/Q$119),"--",Q372/Q$119)</f>
        <v>2.7035411625213543E-6</v>
      </c>
      <c r="R377" s="189">
        <f t="shared" ref="R377:AD377" si="425">-IF(ISERROR(R376/R$119),"--",R376/R$119)</f>
        <v>1.8171329679838476E-4</v>
      </c>
      <c r="S377" s="189">
        <f t="shared" si="425"/>
        <v>9.6474756960748514E-3</v>
      </c>
      <c r="T377" s="189">
        <f t="shared" si="425"/>
        <v>8.0057974372128166E-3</v>
      </c>
      <c r="U377" s="189">
        <f t="shared" si="425"/>
        <v>6.2285699412064225E-3</v>
      </c>
      <c r="V377" s="189">
        <f t="shared" si="425"/>
        <v>4.905860390033605E-3</v>
      </c>
      <c r="W377" s="189">
        <f t="shared" si="425"/>
        <v>3.8694456167894598E-3</v>
      </c>
      <c r="X377" s="189">
        <f t="shared" si="425"/>
        <v>3.1757053421075229E-3</v>
      </c>
      <c r="Y377" s="189">
        <f t="shared" si="425"/>
        <v>2.7011465031100308E-3</v>
      </c>
      <c r="Z377" s="189">
        <f t="shared" si="425"/>
        <v>2.4417116123466379E-3</v>
      </c>
      <c r="AA377" s="189">
        <f t="shared" si="425"/>
        <v>2.2578562723465706E-3</v>
      </c>
      <c r="AB377" s="189">
        <f t="shared" si="425"/>
        <v>2.0878899766075629E-3</v>
      </c>
      <c r="AC377" s="189">
        <f t="shared" si="425"/>
        <v>1.9307597285699717E-3</v>
      </c>
      <c r="AD377" s="189">
        <f t="shared" si="425"/>
        <v>1.7854926818153486E-3</v>
      </c>
      <c r="AE377" s="77"/>
      <c r="AF377" s="77"/>
      <c r="AG377" s="99"/>
      <c r="AH377" s="189"/>
      <c r="AI377" s="189"/>
      <c r="AJ377" s="189"/>
      <c r="AK377" s="189"/>
      <c r="AL377" s="751"/>
      <c r="AM377" s="189"/>
      <c r="AN377" s="189"/>
      <c r="AO377" s="189"/>
      <c r="AP377" s="751"/>
      <c r="AQ377" s="189"/>
      <c r="AR377" s="189"/>
      <c r="AS377" s="77"/>
      <c r="AT377" s="751">
        <f t="shared" ref="AT377:BQ377" si="426">-IF(ISERROR(AT376/AT$119),"--",AT376/AT$119)</f>
        <v>2.185792349726776E-4</v>
      </c>
      <c r="AU377" s="189">
        <f t="shared" si="426"/>
        <v>1.8048301379818425E-4</v>
      </c>
      <c r="AV377" s="189">
        <f t="shared" si="426"/>
        <v>1.7462631908009293E-4</v>
      </c>
      <c r="AW377" s="189">
        <f t="shared" si="426"/>
        <v>1.5652951699463328E-4</v>
      </c>
      <c r="AX377" s="751">
        <f t="shared" si="426"/>
        <v>6.6203489400556536E-4</v>
      </c>
      <c r="AY377" s="189">
        <f t="shared" si="426"/>
        <v>1.2643305368042682E-2</v>
      </c>
      <c r="AZ377" s="189">
        <f t="shared" si="426"/>
        <v>1.2622499728819138E-2</v>
      </c>
      <c r="BA377" s="189">
        <f t="shared" si="426"/>
        <v>1.0547335648844724E-2</v>
      </c>
      <c r="BB377" s="751">
        <f t="shared" si="426"/>
        <v>9.7794043898055613E-3</v>
      </c>
      <c r="BC377" s="189">
        <f t="shared" si="426"/>
        <v>7.8562446167903741E-3</v>
      </c>
      <c r="BD377" s="189">
        <f t="shared" si="426"/>
        <v>8.2972513129064389E-3</v>
      </c>
      <c r="BE377" s="189">
        <f t="shared" si="426"/>
        <v>6.7061065171893919E-3</v>
      </c>
      <c r="BF377" s="751">
        <f t="shared" si="426"/>
        <v>6.5045897593337103E-3</v>
      </c>
      <c r="BG377" s="189">
        <f t="shared" si="426"/>
        <v>5.5989547118057278E-3</v>
      </c>
      <c r="BH377" s="189">
        <f t="shared" si="426"/>
        <v>7.4424842404222109E-3</v>
      </c>
      <c r="BI377" s="189">
        <f t="shared" si="426"/>
        <v>5.6362377826946353E-3</v>
      </c>
      <c r="BJ377" s="751">
        <f t="shared" si="426"/>
        <v>5.8447566676926152E-3</v>
      </c>
      <c r="BK377" s="189">
        <f t="shared" si="426"/>
        <v>4.7486547361254954E-3</v>
      </c>
      <c r="BL377" s="189">
        <f t="shared" si="426"/>
        <v>5.3305307086078998E-3</v>
      </c>
      <c r="BM377" s="189">
        <f t="shared" si="426"/>
        <v>4.0749751641473708E-3</v>
      </c>
      <c r="BN377" s="751">
        <f t="shared" si="426"/>
        <v>4.5537039094350985E-3</v>
      </c>
      <c r="BO377" s="189">
        <f t="shared" si="426"/>
        <v>3.7293503619206347E-3</v>
      </c>
      <c r="BP377" s="189">
        <f t="shared" si="426"/>
        <v>4.3506097378113451E-3</v>
      </c>
      <c r="BQ377" s="189">
        <f t="shared" si="426"/>
        <v>3.1631324838876981E-3</v>
      </c>
      <c r="CR377"/>
      <c r="CS377"/>
      <c r="CT377"/>
      <c r="CU377"/>
      <c r="CV377"/>
      <c r="CW377"/>
    </row>
    <row r="378" spans="1:101" s="583" customFormat="1" outlineLevel="1">
      <c r="I378" s="597"/>
      <c r="J378" s="33" t="s">
        <v>33</v>
      </c>
      <c r="K378" s="28"/>
      <c r="L378" s="28"/>
      <c r="M378" s="28"/>
      <c r="N378" s="402"/>
      <c r="O378" s="402"/>
      <c r="P378" s="402"/>
      <c r="Q378" s="402">
        <v>-2</v>
      </c>
      <c r="R378" s="1411">
        <v>-12.6</v>
      </c>
      <c r="S378" s="1411">
        <v>-20.507999999999999</v>
      </c>
      <c r="T378" s="1411">
        <v>-22.163</v>
      </c>
      <c r="U378" s="1416">
        <v>-92.631</v>
      </c>
      <c r="V378" s="1416">
        <v>-163.97900000000001</v>
      </c>
      <c r="W378" s="1885">
        <f>SUM(BN378:BQ378)</f>
        <v>-164.33600000000001</v>
      </c>
      <c r="X378" s="1023">
        <f t="shared" ref="X378:Z381" si="427">W378*1.02</f>
        <v>-167.62272000000002</v>
      </c>
      <c r="Y378" s="1023">
        <f t="shared" si="427"/>
        <v>-170.97517440000001</v>
      </c>
      <c r="Z378" s="1023">
        <f t="shared" si="427"/>
        <v>-174.39467788800002</v>
      </c>
      <c r="AA378" s="1023">
        <f t="shared" ref="AA378:AD381" si="428">Z378</f>
        <v>-174.39467788800002</v>
      </c>
      <c r="AB378" s="1023">
        <f t="shared" si="428"/>
        <v>-174.39467788800002</v>
      </c>
      <c r="AC378" s="1023">
        <f t="shared" si="428"/>
        <v>-174.39467788800002</v>
      </c>
      <c r="AD378" s="1023">
        <f t="shared" si="428"/>
        <v>-174.39467788800002</v>
      </c>
      <c r="AE378" s="734"/>
      <c r="AF378" s="83"/>
      <c r="AG378" s="83"/>
      <c r="AH378" s="28"/>
      <c r="AI378" s="28"/>
      <c r="AJ378" s="28"/>
      <c r="AK378" s="28"/>
      <c r="AL378" s="1764"/>
      <c r="AM378" s="532"/>
      <c r="AN378" s="532"/>
      <c r="AO378" s="532"/>
      <c r="AP378" s="1763"/>
      <c r="AQ378" s="915"/>
      <c r="AR378" s="915"/>
      <c r="AS378" s="915"/>
      <c r="AT378" s="1724">
        <v>-3</v>
      </c>
      <c r="AU378" s="1404">
        <v>-3.15</v>
      </c>
      <c r="AV378" s="1404">
        <v>-3.15</v>
      </c>
      <c r="AW378" s="1404">
        <v>-3.15</v>
      </c>
      <c r="AX378" s="1724">
        <v>-15</v>
      </c>
      <c r="AY378" s="893">
        <v>-5.5890000000000004</v>
      </c>
      <c r="AZ378" s="1404">
        <v>-5.6159999999999997</v>
      </c>
      <c r="BA378" s="1404">
        <v>-5.6159999999999997</v>
      </c>
      <c r="BB378" s="1614">
        <v>-5.5629999999999997</v>
      </c>
      <c r="BC378" s="1404">
        <v>-5.5789999999999997</v>
      </c>
      <c r="BD378" s="1404">
        <v>-5.4050000000000002</v>
      </c>
      <c r="BE378" s="1404">
        <v>-5.6159999999999997</v>
      </c>
      <c r="BF378" s="1614">
        <v>-1.6140000000000001</v>
      </c>
      <c r="BG378" s="1420">
        <v>-7.3250000000000002</v>
      </c>
      <c r="BH378" s="1420">
        <v>-41.845999999999997</v>
      </c>
      <c r="BI378" s="1420">
        <v>-41.845999999999997</v>
      </c>
      <c r="BJ378" s="1614">
        <v>-41.543999999999997</v>
      </c>
      <c r="BK378" s="1404">
        <v>-40.673000000000002</v>
      </c>
      <c r="BL378" s="1404">
        <v>-40.677999999999997</v>
      </c>
      <c r="BM378" s="1404">
        <v>-41.084000000000003</v>
      </c>
      <c r="BN378" s="1259">
        <f t="shared" ref="BN378:BQ381" si="429">BM378</f>
        <v>-41.084000000000003</v>
      </c>
      <c r="BO378" s="950">
        <f t="shared" si="429"/>
        <v>-41.084000000000003</v>
      </c>
      <c r="BP378" s="950">
        <f t="shared" si="429"/>
        <v>-41.084000000000003</v>
      </c>
      <c r="BQ378" s="950">
        <f t="shared" si="429"/>
        <v>-41.084000000000003</v>
      </c>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c r="CS378"/>
      <c r="CT378"/>
      <c r="CU378"/>
      <c r="CV378"/>
      <c r="CW378"/>
    </row>
    <row r="379" spans="1:101" s="583" customFormat="1" outlineLevel="1">
      <c r="I379" s="597"/>
      <c r="J379" s="33" t="s">
        <v>34</v>
      </c>
      <c r="K379" s="28"/>
      <c r="L379" s="28"/>
      <c r="M379" s="28"/>
      <c r="N379" s="402"/>
      <c r="O379" s="402"/>
      <c r="P379" s="402"/>
      <c r="Q379" s="1003"/>
      <c r="R379" s="1003"/>
      <c r="S379" s="1411">
        <v>-924.73500000000001</v>
      </c>
      <c r="T379" s="1411">
        <v>-1225.318</v>
      </c>
      <c r="U379" s="1416">
        <v>-1222.2139999999999</v>
      </c>
      <c r="V379" s="1416">
        <v>-1221.952</v>
      </c>
      <c r="W379" s="1885">
        <f>SUM(BN379:BQ379)</f>
        <v>-1234.6479999999999</v>
      </c>
      <c r="X379" s="1023">
        <f t="shared" si="427"/>
        <v>-1259.34096</v>
      </c>
      <c r="Y379" s="1023">
        <f t="shared" si="427"/>
        <v>-1284.5277791999999</v>
      </c>
      <c r="Z379" s="1023">
        <f t="shared" si="427"/>
        <v>-1310.218334784</v>
      </c>
      <c r="AA379" s="1023">
        <f t="shared" si="428"/>
        <v>-1310.218334784</v>
      </c>
      <c r="AB379" s="1023">
        <f t="shared" si="428"/>
        <v>-1310.218334784</v>
      </c>
      <c r="AC379" s="1023">
        <f t="shared" si="428"/>
        <v>-1310.218334784</v>
      </c>
      <c r="AD379" s="1023">
        <f t="shared" si="428"/>
        <v>-1310.218334784</v>
      </c>
      <c r="AE379" s="734"/>
      <c r="AF379" s="83"/>
      <c r="AG379" s="83"/>
      <c r="AH379" s="28"/>
      <c r="AI379" s="28"/>
      <c r="AJ379" s="28"/>
      <c r="AK379" s="28"/>
      <c r="AL379" s="1764"/>
      <c r="AM379" s="532"/>
      <c r="AN379" s="532"/>
      <c r="AO379" s="532"/>
      <c r="AP379" s="1621"/>
      <c r="AQ379" s="447"/>
      <c r="AR379" s="447"/>
      <c r="AS379" s="447"/>
      <c r="AT379" s="1724"/>
      <c r="AU379" s="893"/>
      <c r="AV379" s="893"/>
      <c r="AW379" s="893"/>
      <c r="AX379" s="1724"/>
      <c r="AY379" s="893">
        <v>-305.79599999999999</v>
      </c>
      <c r="AZ379" s="1404">
        <v>-309.15600000000001</v>
      </c>
      <c r="BA379" s="1404">
        <v>-309.15600000000001</v>
      </c>
      <c r="BB379" s="1614">
        <v>-302.435</v>
      </c>
      <c r="BC379" s="1404">
        <v>-304.57100000000003</v>
      </c>
      <c r="BD379" s="1404">
        <v>-309.15600000000001</v>
      </c>
      <c r="BE379" s="1404">
        <v>-309.15600000000001</v>
      </c>
      <c r="BF379" s="1614">
        <v>-302.93200000000002</v>
      </c>
      <c r="BG379" s="1420">
        <v>-303.76400000000001</v>
      </c>
      <c r="BH379" s="1420">
        <v>-307.75900000000001</v>
      </c>
      <c r="BI379" s="1420">
        <v>-307.75900000000001</v>
      </c>
      <c r="BJ379" s="1614">
        <v>-301.101</v>
      </c>
      <c r="BK379" s="1404">
        <v>-304.43</v>
      </c>
      <c r="BL379" s="1404">
        <v>-307.75900000000001</v>
      </c>
      <c r="BM379" s="1404">
        <v>-308.66199999999998</v>
      </c>
      <c r="BN379" s="1259">
        <f t="shared" si="429"/>
        <v>-308.66199999999998</v>
      </c>
      <c r="BO379" s="950">
        <f t="shared" si="429"/>
        <v>-308.66199999999998</v>
      </c>
      <c r="BP379" s="950">
        <f t="shared" si="429"/>
        <v>-308.66199999999998</v>
      </c>
      <c r="BQ379" s="950">
        <f t="shared" si="429"/>
        <v>-308.66199999999998</v>
      </c>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c r="CS379"/>
      <c r="CT379"/>
      <c r="CU379"/>
      <c r="CV379"/>
      <c r="CW379"/>
    </row>
    <row r="380" spans="1:101" s="583" customFormat="1" outlineLevel="1">
      <c r="I380" s="597"/>
      <c r="J380" s="33" t="s">
        <v>35</v>
      </c>
      <c r="K380" s="28"/>
      <c r="L380" s="28"/>
      <c r="M380" s="28"/>
      <c r="N380" s="402"/>
      <c r="O380" s="402"/>
      <c r="P380" s="402"/>
      <c r="Q380" s="402"/>
      <c r="R380" s="402"/>
      <c r="S380" s="1411">
        <v>-18.591999999999999</v>
      </c>
      <c r="T380" s="1411">
        <v>-23.748000000000001</v>
      </c>
      <c r="U380" s="1416">
        <v>-45.908999999999999</v>
      </c>
      <c r="V380" s="1416">
        <v>-83.843999999999994</v>
      </c>
      <c r="W380" s="1885">
        <f>SUM(BN380:BQ380)</f>
        <v>-87.444000000000003</v>
      </c>
      <c r="X380" s="1023">
        <f t="shared" si="427"/>
        <v>-89.192880000000002</v>
      </c>
      <c r="Y380" s="1023">
        <f t="shared" si="427"/>
        <v>-90.976737600000007</v>
      </c>
      <c r="Z380" s="1023">
        <f t="shared" si="427"/>
        <v>-92.796272352000003</v>
      </c>
      <c r="AA380" s="1023">
        <f t="shared" si="428"/>
        <v>-92.796272352000003</v>
      </c>
      <c r="AB380" s="1023">
        <f t="shared" si="428"/>
        <v>-92.796272352000003</v>
      </c>
      <c r="AC380" s="1023">
        <f t="shared" si="428"/>
        <v>-92.796272352000003</v>
      </c>
      <c r="AD380" s="1023">
        <f t="shared" si="428"/>
        <v>-92.796272352000003</v>
      </c>
      <c r="AE380" s="734"/>
      <c r="AF380" s="83"/>
      <c r="AG380" s="83"/>
      <c r="AH380" s="28"/>
      <c r="AI380" s="28"/>
      <c r="AJ380" s="28"/>
      <c r="AK380" s="28"/>
      <c r="AL380" s="1764"/>
      <c r="AM380" s="532"/>
      <c r="AN380" s="532"/>
      <c r="AO380" s="532"/>
      <c r="AP380" s="1763"/>
      <c r="AQ380" s="915"/>
      <c r="AR380" s="915"/>
      <c r="AS380" s="915"/>
      <c r="AT380" s="1724"/>
      <c r="AU380" s="893"/>
      <c r="AV380" s="893"/>
      <c r="AW380" s="893"/>
      <c r="AX380" s="1724"/>
      <c r="AY380" s="893">
        <v>-5.4249999999999998</v>
      </c>
      <c r="AZ380" s="1404">
        <v>-5.9870000000000001</v>
      </c>
      <c r="BA380" s="1404">
        <v>-5.9870000000000001</v>
      </c>
      <c r="BB380" s="1614">
        <v>-5.8680000000000003</v>
      </c>
      <c r="BC380" s="1404">
        <v>-5.9059999999999997</v>
      </c>
      <c r="BD380" s="1404">
        <v>-5.9870000000000001</v>
      </c>
      <c r="BE380" s="1404">
        <v>-5.9870000000000001</v>
      </c>
      <c r="BF380" s="1614">
        <v>-0.503</v>
      </c>
      <c r="BG380" s="1420">
        <v>-3.8220000000000001</v>
      </c>
      <c r="BH380" s="1420">
        <v>-20.922999999999998</v>
      </c>
      <c r="BI380" s="1420">
        <v>-20.661000000000001</v>
      </c>
      <c r="BJ380" s="1614">
        <v>-20.661000000000001</v>
      </c>
      <c r="BK380" s="1404">
        <v>-20.661000000000001</v>
      </c>
      <c r="BL380" s="1404">
        <v>-20.661000000000001</v>
      </c>
      <c r="BM380" s="1404">
        <v>-21.861000000000001</v>
      </c>
      <c r="BN380" s="1259">
        <f t="shared" si="429"/>
        <v>-21.861000000000001</v>
      </c>
      <c r="BO380" s="950">
        <f t="shared" si="429"/>
        <v>-21.861000000000001</v>
      </c>
      <c r="BP380" s="950">
        <f t="shared" si="429"/>
        <v>-21.861000000000001</v>
      </c>
      <c r="BQ380" s="950">
        <f t="shared" si="429"/>
        <v>-21.861000000000001</v>
      </c>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c r="CS380"/>
      <c r="CT380"/>
      <c r="CU380"/>
      <c r="CV380"/>
      <c r="CW380"/>
    </row>
    <row r="381" spans="1:101" s="583" customFormat="1" outlineLevel="1">
      <c r="I381" s="597"/>
      <c r="J381" s="33" t="s">
        <v>36</v>
      </c>
      <c r="K381" s="28"/>
      <c r="L381" s="28"/>
      <c r="M381" s="28"/>
      <c r="N381" s="402"/>
      <c r="O381" s="402"/>
      <c r="P381" s="402"/>
      <c r="Q381" s="402"/>
      <c r="R381" s="402"/>
      <c r="S381" s="1411">
        <v>-145.64400000000001</v>
      </c>
      <c r="T381" s="1411">
        <v>-180.11799999999999</v>
      </c>
      <c r="U381" s="1416">
        <v>-248.023</v>
      </c>
      <c r="V381" s="1416">
        <v>-307.774</v>
      </c>
      <c r="W381" s="1885">
        <f>SUM(BN381:BQ381)</f>
        <v>-309.25599999999997</v>
      </c>
      <c r="X381" s="1023">
        <f t="shared" si="427"/>
        <v>-315.44111999999996</v>
      </c>
      <c r="Y381" s="1023">
        <f t="shared" si="427"/>
        <v>-321.74994239999995</v>
      </c>
      <c r="Z381" s="1023">
        <f t="shared" si="427"/>
        <v>-328.18494124799997</v>
      </c>
      <c r="AA381" s="1023">
        <f t="shared" si="428"/>
        <v>-328.18494124799997</v>
      </c>
      <c r="AB381" s="1023">
        <f t="shared" si="428"/>
        <v>-328.18494124799997</v>
      </c>
      <c r="AC381" s="1023">
        <f t="shared" si="428"/>
        <v>-328.18494124799997</v>
      </c>
      <c r="AD381" s="1023">
        <f t="shared" si="428"/>
        <v>-328.18494124799997</v>
      </c>
      <c r="AE381" s="734"/>
      <c r="AF381" s="83"/>
      <c r="AG381" s="83"/>
      <c r="AH381" s="28"/>
      <c r="AI381" s="28"/>
      <c r="AJ381" s="28"/>
      <c r="AK381" s="28"/>
      <c r="AL381" s="1764"/>
      <c r="AM381" s="532"/>
      <c r="AN381" s="532"/>
      <c r="AO381" s="532"/>
      <c r="AP381" s="1763"/>
      <c r="AQ381" s="915"/>
      <c r="AR381" s="915"/>
      <c r="AS381" s="915"/>
      <c r="AT381" s="1724"/>
      <c r="AU381" s="893"/>
      <c r="AV381" s="893"/>
      <c r="AW381" s="893"/>
      <c r="AX381" s="1724"/>
      <c r="AY381" s="893">
        <v>-44.951000000000001</v>
      </c>
      <c r="AZ381" s="1404">
        <v>-45.445</v>
      </c>
      <c r="BA381" s="1404">
        <v>-45.445</v>
      </c>
      <c r="BB381" s="1614">
        <v>-44.457000000000001</v>
      </c>
      <c r="BC381" s="1404">
        <v>-44.771000000000001</v>
      </c>
      <c r="BD381" s="1404">
        <v>-45.445</v>
      </c>
      <c r="BE381" s="1404">
        <v>-45.445</v>
      </c>
      <c r="BF381" s="1614">
        <v>-44.951000000000001</v>
      </c>
      <c r="BG381" s="1420">
        <v>-48.444000000000003</v>
      </c>
      <c r="BH381" s="1420">
        <v>-77.313999999999993</v>
      </c>
      <c r="BI381" s="1420">
        <v>-77.313999999999993</v>
      </c>
      <c r="BJ381" s="1614">
        <v>-76.325999999999993</v>
      </c>
      <c r="BK381" s="1404">
        <v>-76.819999999999993</v>
      </c>
      <c r="BL381" s="1404">
        <v>-77.313999999999993</v>
      </c>
      <c r="BM381" s="1404">
        <v>-77.313999999999993</v>
      </c>
      <c r="BN381" s="1259">
        <f t="shared" si="429"/>
        <v>-77.313999999999993</v>
      </c>
      <c r="BO381" s="950">
        <f t="shared" si="429"/>
        <v>-77.313999999999993</v>
      </c>
      <c r="BP381" s="950">
        <f t="shared" si="429"/>
        <v>-77.313999999999993</v>
      </c>
      <c r="BQ381" s="950">
        <f t="shared" si="429"/>
        <v>-77.313999999999993</v>
      </c>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c r="CS381"/>
      <c r="CT381"/>
      <c r="CU381"/>
      <c r="CV381"/>
      <c r="CW381"/>
    </row>
    <row r="382" spans="1:101" s="583" customFormat="1" outlineLevel="1">
      <c r="H382" s="563"/>
      <c r="I382" s="588"/>
      <c r="J382" s="28"/>
      <c r="K382" s="28"/>
      <c r="L382" s="28"/>
      <c r="M382" s="28"/>
      <c r="N382" s="528"/>
      <c r="O382" s="528"/>
      <c r="P382" s="528"/>
      <c r="Q382" s="528"/>
      <c r="R382" s="528"/>
      <c r="S382" s="528"/>
      <c r="T382" s="528"/>
      <c r="U382" s="528"/>
      <c r="V382" s="528"/>
      <c r="W382" s="528"/>
      <c r="X382" s="528"/>
      <c r="Y382" s="528"/>
      <c r="Z382" s="528"/>
      <c r="AA382" s="528"/>
      <c r="AB382" s="528"/>
      <c r="AC382" s="528"/>
      <c r="AD382" s="528"/>
      <c r="AE382" s="734"/>
      <c r="AF382" s="28"/>
      <c r="AG382" s="28"/>
      <c r="AH382" s="28"/>
      <c r="AI382" s="28"/>
      <c r="AJ382" s="28"/>
      <c r="AK382" s="28"/>
      <c r="AL382" s="390"/>
      <c r="AM382" s="28"/>
      <c r="AN382" s="28"/>
      <c r="AO382" s="28"/>
      <c r="AP382" s="767"/>
      <c r="AQ382" s="734"/>
      <c r="AR382" s="734"/>
      <c r="AS382" s="734"/>
      <c r="AT382" s="767"/>
      <c r="AU382" s="734"/>
      <c r="AV382" s="734"/>
      <c r="AW382" s="734"/>
      <c r="AX382" s="767"/>
      <c r="AY382" s="734"/>
      <c r="AZ382" s="734"/>
      <c r="BA382" s="734"/>
      <c r="BB382" s="767"/>
      <c r="BC382" s="734"/>
      <c r="BD382" s="734"/>
      <c r="BE382" s="734"/>
      <c r="BF382" s="767"/>
      <c r="BG382" s="844"/>
      <c r="BH382" s="844"/>
      <c r="BI382" s="734"/>
      <c r="BJ382" s="767"/>
      <c r="BK382" s="734"/>
      <c r="BL382" s="734"/>
      <c r="BM382" s="734"/>
      <c r="BN382" s="767"/>
      <c r="BO382" s="734"/>
      <c r="BP382" s="734"/>
      <c r="BQ382" s="734"/>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c r="CS382"/>
      <c r="CT382"/>
      <c r="CU382"/>
      <c r="CV382"/>
      <c r="CW382"/>
    </row>
    <row r="383" spans="1:101" s="589" customFormat="1" outlineLevel="1">
      <c r="I383" s="601"/>
      <c r="J383" s="13" t="s">
        <v>75</v>
      </c>
      <c r="K383" s="13"/>
      <c r="L383" s="13"/>
      <c r="M383" s="13"/>
      <c r="N383" s="1034">
        <f>-N419</f>
        <v>0</v>
      </c>
      <c r="O383" s="1034">
        <f t="shared" ref="O383:V383" si="430">O419</f>
        <v>0</v>
      </c>
      <c r="P383" s="1034">
        <f t="shared" si="430"/>
        <v>0</v>
      </c>
      <c r="Q383" s="1034">
        <f t="shared" si="430"/>
        <v>-8.3239999999999998</v>
      </c>
      <c r="R383" s="1034">
        <f t="shared" si="430"/>
        <v>-8.4369999999999994</v>
      </c>
      <c r="S383" s="1034">
        <f t="shared" si="430"/>
        <v>-29</v>
      </c>
      <c r="T383" s="1034">
        <f t="shared" si="430"/>
        <v>-83</v>
      </c>
      <c r="U383" s="1034">
        <f t="shared" si="430"/>
        <v>-618.56700000000001</v>
      </c>
      <c r="V383" s="1034">
        <f t="shared" si="430"/>
        <v>-963.74199999999996</v>
      </c>
      <c r="W383" s="1084">
        <f t="shared" ref="W383:AD383" si="431">-W385*W386</f>
        <v>-701.28570000000002</v>
      </c>
      <c r="X383" s="1084">
        <f t="shared" si="431"/>
        <v>-650.69760000000008</v>
      </c>
      <c r="Y383" s="1084">
        <f t="shared" si="431"/>
        <v>-650.69760000000008</v>
      </c>
      <c r="Z383" s="1084">
        <f t="shared" si="431"/>
        <v>-433.59405000000004</v>
      </c>
      <c r="AA383" s="1084">
        <f t="shared" si="431"/>
        <v>-433.59405000000004</v>
      </c>
      <c r="AB383" s="1084">
        <f t="shared" si="431"/>
        <v>-433.59405000000004</v>
      </c>
      <c r="AC383" s="1084">
        <f t="shared" si="431"/>
        <v>-433.59405000000004</v>
      </c>
      <c r="AD383" s="1084">
        <f t="shared" si="431"/>
        <v>-433.59405000000004</v>
      </c>
      <c r="AE383" s="296"/>
      <c r="AF383" s="296"/>
      <c r="AG383" s="296"/>
      <c r="AH383" s="13"/>
      <c r="AI383" s="13"/>
      <c r="AJ383" s="13"/>
      <c r="AK383" s="13"/>
      <c r="AL383" s="663"/>
      <c r="AM383" s="213"/>
      <c r="AN383" s="213"/>
      <c r="AO383" s="213"/>
      <c r="AP383" s="1081">
        <f t="shared" ref="AP383:BM383" si="432">AP419</f>
        <v>0</v>
      </c>
      <c r="AQ383" s="1008">
        <f t="shared" si="432"/>
        <v>0</v>
      </c>
      <c r="AR383" s="1008">
        <f t="shared" si="432"/>
        <v>-4</v>
      </c>
      <c r="AS383" s="1008">
        <f t="shared" si="432"/>
        <v>-4</v>
      </c>
      <c r="AT383" s="1081">
        <f t="shared" si="432"/>
        <v>-4</v>
      </c>
      <c r="AU383" s="1008">
        <f t="shared" si="432"/>
        <v>-3.395</v>
      </c>
      <c r="AV383" s="1008">
        <f t="shared" si="432"/>
        <v>0</v>
      </c>
      <c r="AW383" s="1008">
        <f t="shared" si="432"/>
        <v>-1</v>
      </c>
      <c r="AX383" s="1081">
        <f t="shared" si="432"/>
        <v>-5.0149999999999997</v>
      </c>
      <c r="AY383" s="1008">
        <f t="shared" si="432"/>
        <v>-8.3019999999999996</v>
      </c>
      <c r="AZ383" s="1008">
        <f t="shared" si="432"/>
        <v>-8.35</v>
      </c>
      <c r="BA383" s="1008">
        <f t="shared" si="432"/>
        <v>-7.1580000000000004</v>
      </c>
      <c r="BB383" s="1081">
        <f t="shared" si="432"/>
        <v>-0.76700000000000002</v>
      </c>
      <c r="BC383" s="1008">
        <f t="shared" si="432"/>
        <v>-3.2730000000000001</v>
      </c>
      <c r="BD383" s="1008">
        <f t="shared" si="432"/>
        <v>-17.48</v>
      </c>
      <c r="BE383" s="1008">
        <f t="shared" si="432"/>
        <v>-60.987000000000002</v>
      </c>
      <c r="BF383" s="1081">
        <f t="shared" si="432"/>
        <v>0</v>
      </c>
      <c r="BG383" s="1008">
        <f t="shared" si="432"/>
        <v>0</v>
      </c>
      <c r="BH383" s="1008">
        <f t="shared" si="432"/>
        <v>0</v>
      </c>
      <c r="BI383" s="1008">
        <f t="shared" si="432"/>
        <v>-188.10599999999999</v>
      </c>
      <c r="BJ383" s="1081">
        <f t="shared" si="432"/>
        <v>0</v>
      </c>
      <c r="BK383" s="1008">
        <f t="shared" si="432"/>
        <v>0</v>
      </c>
      <c r="BL383" s="1008">
        <f t="shared" si="432"/>
        <v>0</v>
      </c>
      <c r="BM383" s="1008">
        <f t="shared" si="432"/>
        <v>-282.47500000000002</v>
      </c>
      <c r="BN383" s="1659">
        <f>W383/4</f>
        <v>-175.321425</v>
      </c>
      <c r="BO383" s="1486">
        <f>BN383</f>
        <v>-175.321425</v>
      </c>
      <c r="BP383" s="1486">
        <f>BO383</f>
        <v>-175.321425</v>
      </c>
      <c r="BQ383" s="1487">
        <f>W383-SUM(BN383:BP383)</f>
        <v>-175.32142499999998</v>
      </c>
      <c r="BR383" s="296"/>
      <c r="BS383" s="296"/>
      <c r="BT383" s="296"/>
      <c r="BU383" s="296"/>
      <c r="BV383" s="296"/>
      <c r="CR383"/>
      <c r="CS383"/>
      <c r="CT383"/>
      <c r="CU383"/>
      <c r="CV383"/>
      <c r="CW383"/>
    </row>
    <row r="384" spans="1:101" s="583" customFormat="1" outlineLevel="1">
      <c r="I384" s="597"/>
      <c r="J384" s="28" t="s">
        <v>56</v>
      </c>
      <c r="K384" s="28"/>
      <c r="L384" s="28"/>
      <c r="M384" s="28"/>
      <c r="N384" s="1033">
        <f t="shared" ref="N384:AD384" si="433">N524+N533</f>
        <v>0</v>
      </c>
      <c r="O384" s="1033">
        <f t="shared" si="433"/>
        <v>0</v>
      </c>
      <c r="P384" s="1033">
        <f t="shared" si="433"/>
        <v>0</v>
      </c>
      <c r="Q384" s="1033">
        <f t="shared" si="433"/>
        <v>867.399</v>
      </c>
      <c r="R384" s="1033">
        <f t="shared" si="433"/>
        <v>932.82600000000002</v>
      </c>
      <c r="S384" s="1033">
        <f t="shared" si="433"/>
        <v>1890.771</v>
      </c>
      <c r="T384" s="1033">
        <f t="shared" si="433"/>
        <v>6373.7510000000002</v>
      </c>
      <c r="U384" s="1033">
        <f t="shared" si="433"/>
        <v>4196.6750000000002</v>
      </c>
      <c r="V384" s="1033">
        <f t="shared" si="433"/>
        <v>4675.2380000000003</v>
      </c>
      <c r="W384" s="1033">
        <f t="shared" si="433"/>
        <v>4337.9840000000004</v>
      </c>
      <c r="X384" s="1033">
        <f t="shared" si="433"/>
        <v>4337.9840000000004</v>
      </c>
      <c r="Y384" s="1033">
        <f t="shared" si="433"/>
        <v>2890.6270000000004</v>
      </c>
      <c r="Z384" s="1033">
        <f t="shared" si="433"/>
        <v>2890.6270000000004</v>
      </c>
      <c r="AA384" s="1033">
        <f t="shared" si="433"/>
        <v>2890.6270000000004</v>
      </c>
      <c r="AB384" s="1033">
        <f>AB524+AB533</f>
        <v>2890.6270000000004</v>
      </c>
      <c r="AC384" s="1033">
        <f t="shared" si="433"/>
        <v>2890.6270000000004</v>
      </c>
      <c r="AD384" s="1033">
        <f t="shared" si="433"/>
        <v>2890.6270000000004</v>
      </c>
      <c r="AE384" s="83"/>
      <c r="AF384" s="83"/>
      <c r="AG384" s="83"/>
      <c r="AH384" s="28"/>
      <c r="AI384" s="28"/>
      <c r="AJ384" s="28"/>
      <c r="AK384" s="28"/>
      <c r="AL384" s="1687"/>
      <c r="AM384" s="216"/>
      <c r="AN384" s="216"/>
      <c r="AO384" s="216"/>
      <c r="AP384" s="1615"/>
      <c r="AQ384" s="1033"/>
      <c r="AR384" s="1033"/>
      <c r="AS384" s="1033"/>
      <c r="AT384" s="1615"/>
      <c r="AU384" s="1033"/>
      <c r="AV384" s="1033"/>
      <c r="AW384" s="1033"/>
      <c r="AX384" s="1615"/>
      <c r="AY384" s="1033"/>
      <c r="AZ384" s="1033"/>
      <c r="BA384" s="1033"/>
      <c r="BB384" s="1615"/>
      <c r="BC384" s="1033"/>
      <c r="BD384" s="1033"/>
      <c r="BE384" s="1033"/>
      <c r="BF384" s="1615"/>
      <c r="BG384" s="1034"/>
      <c r="BH384" s="1034"/>
      <c r="BI384" s="1033"/>
      <c r="BJ384" s="1615"/>
      <c r="BK384" s="1033"/>
      <c r="BL384" s="1033"/>
      <c r="BM384" s="1033"/>
      <c r="BN384" s="1615"/>
      <c r="BO384" s="1033"/>
      <c r="BP384" s="1033"/>
      <c r="BQ384" s="1033"/>
      <c r="BR384" s="83"/>
      <c r="BS384" s="83"/>
      <c r="BT384" s="83"/>
      <c r="BU384" s="83"/>
      <c r="BV384" s="83"/>
      <c r="CR384"/>
      <c r="CS384"/>
      <c r="CT384"/>
      <c r="CU384"/>
      <c r="CV384"/>
      <c r="CW384"/>
    </row>
    <row r="385" spans="8:101" s="583" customFormat="1" outlineLevel="1">
      <c r="I385" s="597"/>
      <c r="J385" s="28" t="s">
        <v>57</v>
      </c>
      <c r="K385" s="28"/>
      <c r="L385" s="28"/>
      <c r="M385" s="28"/>
      <c r="N385" s="1033"/>
      <c r="O385" s="1033"/>
      <c r="P385" s="1033"/>
      <c r="Q385" s="1033">
        <f t="shared" ref="Q385:AD385" si="434">P384</f>
        <v>0</v>
      </c>
      <c r="R385" s="1033">
        <f t="shared" si="434"/>
        <v>867.399</v>
      </c>
      <c r="S385" s="1033">
        <f t="shared" si="434"/>
        <v>932.82600000000002</v>
      </c>
      <c r="T385" s="1033">
        <f t="shared" si="434"/>
        <v>1890.771</v>
      </c>
      <c r="U385" s="1033">
        <f t="shared" si="434"/>
        <v>6373.7510000000002</v>
      </c>
      <c r="V385" s="1033">
        <f t="shared" si="434"/>
        <v>4196.6750000000002</v>
      </c>
      <c r="W385" s="1033">
        <f t="shared" si="434"/>
        <v>4675.2380000000003</v>
      </c>
      <c r="X385" s="1033">
        <f t="shared" si="434"/>
        <v>4337.9840000000004</v>
      </c>
      <c r="Y385" s="1033">
        <f t="shared" si="434"/>
        <v>4337.9840000000004</v>
      </c>
      <c r="Z385" s="1033">
        <f t="shared" si="434"/>
        <v>2890.6270000000004</v>
      </c>
      <c r="AA385" s="1033">
        <f t="shared" si="434"/>
        <v>2890.6270000000004</v>
      </c>
      <c r="AB385" s="1033">
        <f t="shared" si="434"/>
        <v>2890.6270000000004</v>
      </c>
      <c r="AC385" s="1033">
        <f t="shared" si="434"/>
        <v>2890.6270000000004</v>
      </c>
      <c r="AD385" s="1033">
        <f t="shared" si="434"/>
        <v>2890.6270000000004</v>
      </c>
      <c r="AE385" s="216"/>
      <c r="AF385" s="83"/>
      <c r="AG385" s="83"/>
      <c r="AH385" s="28"/>
      <c r="AI385" s="28"/>
      <c r="AJ385" s="28"/>
      <c r="AK385" s="28"/>
      <c r="AL385" s="1687"/>
      <c r="AM385" s="216"/>
      <c r="AN385" s="216"/>
      <c r="AO385" s="216"/>
      <c r="AP385" s="1615"/>
      <c r="AQ385" s="1033"/>
      <c r="AR385" s="1033"/>
      <c r="AS385" s="1033"/>
      <c r="AT385" s="1615"/>
      <c r="AU385" s="1033"/>
      <c r="AV385" s="1033"/>
      <c r="AW385" s="1033"/>
      <c r="AX385" s="1615"/>
      <c r="AY385" s="1033"/>
      <c r="AZ385" s="1033"/>
      <c r="BA385" s="1033"/>
      <c r="BB385" s="1615"/>
      <c r="BC385" s="1033"/>
      <c r="BD385" s="1033"/>
      <c r="BE385" s="1033"/>
      <c r="BF385" s="1615"/>
      <c r="BG385" s="1034"/>
      <c r="BH385" s="1034"/>
      <c r="BI385" s="1033"/>
      <c r="BJ385" s="1615"/>
      <c r="BK385" s="1033"/>
      <c r="BL385" s="1033"/>
      <c r="BM385" s="1033"/>
      <c r="BN385" s="1615"/>
      <c r="BO385" s="1033"/>
      <c r="BP385" s="1033"/>
      <c r="BQ385" s="1033"/>
      <c r="BR385" s="83"/>
      <c r="BS385" s="83"/>
      <c r="BT385" s="83"/>
      <c r="BU385" s="83"/>
      <c r="BV385" s="83"/>
      <c r="CR385"/>
      <c r="CS385"/>
      <c r="CT385"/>
      <c r="CU385"/>
      <c r="CV385"/>
      <c r="CW385"/>
    </row>
    <row r="386" spans="8:101" s="516" customFormat="1" outlineLevel="1">
      <c r="I386" s="597"/>
      <c r="J386" s="33" t="s">
        <v>664</v>
      </c>
      <c r="K386" s="28"/>
      <c r="L386" s="28"/>
      <c r="M386" s="28"/>
      <c r="N386" s="345"/>
      <c r="O386" s="345"/>
      <c r="P386" s="345"/>
      <c r="Q386" s="77">
        <f t="shared" ref="Q386:V386" si="435">-Q383/AVERAGE(Q384:Q385)</f>
        <v>1.9193012673521644E-2</v>
      </c>
      <c r="R386" s="77">
        <f t="shared" si="435"/>
        <v>9.3732727853462761E-3</v>
      </c>
      <c r="S386" s="77">
        <f t="shared" si="435"/>
        <v>2.054117496229101E-2</v>
      </c>
      <c r="T386" s="77">
        <f t="shared" si="435"/>
        <v>2.0085856145098287E-2</v>
      </c>
      <c r="U386" s="77">
        <f t="shared" si="435"/>
        <v>0.1170372887526009</v>
      </c>
      <c r="V386" s="77">
        <f t="shared" si="435"/>
        <v>0.21725686444400433</v>
      </c>
      <c r="W386" s="1164">
        <v>0.15</v>
      </c>
      <c r="X386" s="1164">
        <f t="shared" ref="X386:AD386" si="436">W386</f>
        <v>0.15</v>
      </c>
      <c r="Y386" s="1164">
        <f t="shared" si="436"/>
        <v>0.15</v>
      </c>
      <c r="Z386" s="1164">
        <f t="shared" si="436"/>
        <v>0.15</v>
      </c>
      <c r="AA386" s="1164">
        <f t="shared" si="436"/>
        <v>0.15</v>
      </c>
      <c r="AB386" s="1164">
        <f t="shared" si="436"/>
        <v>0.15</v>
      </c>
      <c r="AC386" s="1164">
        <f t="shared" si="436"/>
        <v>0.15</v>
      </c>
      <c r="AD386" s="1164">
        <f t="shared" si="436"/>
        <v>0.15</v>
      </c>
      <c r="AE386" s="499"/>
      <c r="AF386" s="437"/>
      <c r="AG386" s="437"/>
      <c r="AH386" s="28"/>
      <c r="AI386" s="28"/>
      <c r="AJ386" s="28"/>
      <c r="AK386" s="28"/>
      <c r="AL386" s="678"/>
      <c r="AM386" s="345"/>
      <c r="AN386" s="345"/>
      <c r="AO386" s="345"/>
      <c r="AP386" s="1697"/>
      <c r="AQ386" s="1445"/>
      <c r="AR386" s="1445"/>
      <c r="AS386" s="1445"/>
      <c r="AT386" s="1697"/>
      <c r="AU386" s="1445"/>
      <c r="AV386" s="1445"/>
      <c r="AW386" s="1445"/>
      <c r="AX386" s="1697"/>
      <c r="AY386" s="1445"/>
      <c r="AZ386" s="1446"/>
      <c r="BA386" s="1446"/>
      <c r="BB386" s="1697"/>
      <c r="BC386" s="1445"/>
      <c r="BD386" s="1446"/>
      <c r="BE386" s="1446"/>
      <c r="BF386" s="1616"/>
      <c r="BG386" s="1446"/>
      <c r="BH386" s="1446"/>
      <c r="BI386" s="1446"/>
      <c r="BJ386" s="1616"/>
      <c r="BK386" s="1446"/>
      <c r="BL386" s="1446"/>
      <c r="BM386" s="1446"/>
      <c r="BN386" s="1616"/>
      <c r="BO386" s="1446"/>
      <c r="BP386" s="1446"/>
      <c r="BQ386" s="1446"/>
      <c r="BR386" s="437"/>
      <c r="BS386" s="437"/>
      <c r="BT386" s="437"/>
      <c r="BU386" s="437"/>
      <c r="BV386" s="437"/>
      <c r="CR386"/>
      <c r="CS386"/>
      <c r="CT386"/>
      <c r="CU386"/>
      <c r="CV386"/>
      <c r="CW386"/>
    </row>
    <row r="387" spans="8:101" s="583" customFormat="1" outlineLevel="1">
      <c r="I387" s="597"/>
      <c r="J387" s="33"/>
      <c r="K387" s="28"/>
      <c r="L387" s="28"/>
      <c r="M387" s="28"/>
      <c r="N387" s="268"/>
      <c r="O387" s="268"/>
      <c r="P387" s="268"/>
      <c r="Q387" s="268"/>
      <c r="R387" s="268"/>
      <c r="S387" s="269"/>
      <c r="T387" s="269"/>
      <c r="U387" s="269"/>
      <c r="V387" s="269"/>
      <c r="W387" s="269"/>
      <c r="X387" s="269"/>
      <c r="Y387" s="269"/>
      <c r="Z387" s="269"/>
      <c r="AA387" s="269"/>
      <c r="AB387" s="269"/>
      <c r="AC387" s="269"/>
      <c r="AD387" s="269"/>
      <c r="AE387" s="83"/>
      <c r="AF387" s="83"/>
      <c r="AG387" s="83"/>
      <c r="AH387" s="28"/>
      <c r="AI387" s="28"/>
      <c r="AJ387" s="28"/>
      <c r="AK387" s="28"/>
      <c r="AL387" s="1780"/>
      <c r="AM387" s="94"/>
      <c r="AN387" s="94"/>
      <c r="AO387" s="94"/>
      <c r="AP387" s="757"/>
      <c r="AQ387" s="528"/>
      <c r="AR387" s="528"/>
      <c r="AS387" s="528"/>
      <c r="AT387" s="757"/>
      <c r="AU387" s="528"/>
      <c r="AV387" s="528"/>
      <c r="AW387" s="528"/>
      <c r="AX387" s="757"/>
      <c r="AY387" s="528"/>
      <c r="AZ387" s="528"/>
      <c r="BA387" s="528"/>
      <c r="BB387" s="757"/>
      <c r="BC387" s="528"/>
      <c r="BD387" s="528"/>
      <c r="BE387" s="528"/>
      <c r="BF387" s="757"/>
      <c r="BG387" s="1008"/>
      <c r="BH387" s="1008"/>
      <c r="BI387" s="528"/>
      <c r="BJ387" s="757"/>
      <c r="BK387" s="528"/>
      <c r="BL387" s="528"/>
      <c r="BM387" s="528"/>
      <c r="BN387" s="757"/>
      <c r="BO387" s="528"/>
      <c r="BP387" s="528"/>
      <c r="BQ387" s="528"/>
      <c r="BR387" s="83"/>
      <c r="BS387" s="83"/>
      <c r="BT387" s="83"/>
      <c r="BU387" s="83"/>
      <c r="BV387" s="83"/>
      <c r="CR387"/>
      <c r="CS387"/>
      <c r="CT387"/>
      <c r="CU387"/>
      <c r="CV387"/>
      <c r="CW387"/>
    </row>
    <row r="388" spans="8:101" s="70" customFormat="1" outlineLevel="1">
      <c r="I388" s="602"/>
      <c r="J388" s="19" t="s">
        <v>76</v>
      </c>
      <c r="K388" s="19"/>
      <c r="L388" s="19"/>
      <c r="M388" s="19"/>
      <c r="N388" s="1067"/>
      <c r="O388" s="1067">
        <f t="shared" ref="O388:V388" si="437">O418</f>
        <v>2</v>
      </c>
      <c r="P388" s="1067">
        <f t="shared" si="437"/>
        <v>56.097999999999999</v>
      </c>
      <c r="Q388" s="1067">
        <f t="shared" si="437"/>
        <v>175.751</v>
      </c>
      <c r="R388" s="1067">
        <f t="shared" si="437"/>
        <v>343.77</v>
      </c>
      <c r="S388" s="1008">
        <f t="shared" si="437"/>
        <v>638</v>
      </c>
      <c r="T388" s="1008">
        <f t="shared" si="437"/>
        <v>415</v>
      </c>
      <c r="U388" s="1008">
        <f t="shared" si="437"/>
        <v>1226.8520000000001</v>
      </c>
      <c r="V388" s="1008">
        <f t="shared" si="437"/>
        <v>2530.4899999999998</v>
      </c>
      <c r="W388" s="1488">
        <f t="shared" ref="W388:AD388" si="438">W390*W391</f>
        <v>2303.18334</v>
      </c>
      <c r="X388" s="1488">
        <f t="shared" ca="1" si="438"/>
        <v>2666.1527973675838</v>
      </c>
      <c r="Y388" s="1488">
        <f t="shared" ca="1" si="438"/>
        <v>3744.908987853054</v>
      </c>
      <c r="Z388" s="1488">
        <f t="shared" ca="1" si="438"/>
        <v>4991.4011182136946</v>
      </c>
      <c r="AA388" s="1488">
        <f t="shared" ca="1" si="438"/>
        <v>7061.4513769301138</v>
      </c>
      <c r="AB388" s="1488">
        <f t="shared" ca="1" si="438"/>
        <v>9146.0856501661783</v>
      </c>
      <c r="AC388" s="1488">
        <f t="shared" ca="1" si="438"/>
        <v>11808.180905317477</v>
      </c>
      <c r="AD388" s="1488">
        <f t="shared" ca="1" si="438"/>
        <v>15103.422482758344</v>
      </c>
      <c r="AE388" s="208"/>
      <c r="AF388" s="208"/>
      <c r="AG388" s="208"/>
      <c r="AH388" s="19"/>
      <c r="AI388" s="19"/>
      <c r="AJ388" s="19"/>
      <c r="AK388" s="19"/>
      <c r="AL388" s="663"/>
      <c r="AM388" s="214"/>
      <c r="AN388" s="214"/>
      <c r="AO388" s="214"/>
      <c r="AP388" s="1081">
        <f t="shared" ref="AP388:BM388" si="439">AP418</f>
        <v>37</v>
      </c>
      <c r="AQ388" s="1067">
        <f t="shared" si="439"/>
        <v>37</v>
      </c>
      <c r="AR388" s="1067">
        <f t="shared" si="439"/>
        <v>50</v>
      </c>
      <c r="AS388" s="1067">
        <f t="shared" si="439"/>
        <v>52</v>
      </c>
      <c r="AT388" s="1081">
        <f t="shared" si="439"/>
        <v>40</v>
      </c>
      <c r="AU388" s="1067">
        <f t="shared" si="439"/>
        <v>96.504000000000005</v>
      </c>
      <c r="AV388" s="1067">
        <f t="shared" si="439"/>
        <v>85.641000000000005</v>
      </c>
      <c r="AW388" s="1067">
        <f t="shared" si="439"/>
        <v>122</v>
      </c>
      <c r="AX388" s="1081">
        <f t="shared" si="439"/>
        <v>97.661000000000001</v>
      </c>
      <c r="AY388" s="1008">
        <f t="shared" si="439"/>
        <v>154.91200000000001</v>
      </c>
      <c r="AZ388" s="1008">
        <f t="shared" si="439"/>
        <v>197.90799999999999</v>
      </c>
      <c r="BA388" s="1008">
        <f t="shared" si="439"/>
        <v>187.16</v>
      </c>
      <c r="BB388" s="1081">
        <f t="shared" si="439"/>
        <v>154.76</v>
      </c>
      <c r="BC388" s="1008">
        <f t="shared" si="439"/>
        <v>98.260999999999996</v>
      </c>
      <c r="BD388" s="1008">
        <f t="shared" si="439"/>
        <v>70.055000000000007</v>
      </c>
      <c r="BE388" s="1008">
        <f t="shared" si="439"/>
        <v>91.923000000000002</v>
      </c>
      <c r="BF388" s="1081">
        <f t="shared" si="439"/>
        <v>304.60000000000002</v>
      </c>
      <c r="BG388" s="1008">
        <f t="shared" si="439"/>
        <v>1401.058</v>
      </c>
      <c r="BH388" s="1008">
        <f t="shared" si="439"/>
        <v>120.46</v>
      </c>
      <c r="BI388" s="1008">
        <f t="shared" si="439"/>
        <v>434.75099999999998</v>
      </c>
      <c r="BJ388" s="1081">
        <f t="shared" si="439"/>
        <v>226.983</v>
      </c>
      <c r="BK388" s="1008">
        <f t="shared" si="439"/>
        <v>448.24099999999999</v>
      </c>
      <c r="BL388" s="1008">
        <f t="shared" si="439"/>
        <v>521.31700000000001</v>
      </c>
      <c r="BM388" s="1008">
        <f t="shared" si="439"/>
        <v>811.83900000000006</v>
      </c>
      <c r="BN388" s="1659">
        <f>W388/4</f>
        <v>575.79583500000001</v>
      </c>
      <c r="BO388" s="1486">
        <f>BN388</f>
        <v>575.79583500000001</v>
      </c>
      <c r="BP388" s="1486">
        <f>BO388</f>
        <v>575.79583500000001</v>
      </c>
      <c r="BQ388" s="1487">
        <f>W388-SUM(BN388:BP388)</f>
        <v>575.7958349999999</v>
      </c>
      <c r="BR388" s="1567"/>
      <c r="BS388" s="247"/>
      <c r="BT388" s="247"/>
      <c r="BU388" s="247"/>
      <c r="BV388" s="247"/>
      <c r="CR388"/>
      <c r="CS388"/>
      <c r="CT388"/>
      <c r="CU388"/>
      <c r="CV388"/>
      <c r="CW388"/>
    </row>
    <row r="389" spans="8:101" s="42" customFormat="1" outlineLevel="1">
      <c r="I389" s="587"/>
      <c r="J389" s="11" t="s">
        <v>58</v>
      </c>
      <c r="K389" s="11"/>
      <c r="L389" s="11"/>
      <c r="M389" s="11"/>
      <c r="N389" s="1032">
        <f t="shared" ref="N389:AD389" si="440">SUM(N493:N495)</f>
        <v>0</v>
      </c>
      <c r="O389" s="1032">
        <f t="shared" si="440"/>
        <v>0</v>
      </c>
      <c r="P389" s="1032">
        <f t="shared" si="440"/>
        <v>6578.7479999999996</v>
      </c>
      <c r="Q389" s="1032">
        <f t="shared" si="440"/>
        <v>10177.423999999999</v>
      </c>
      <c r="R389" s="1032">
        <f t="shared" si="440"/>
        <v>14602.95</v>
      </c>
      <c r="S389" s="1033">
        <f t="shared" si="440"/>
        <v>32114.58</v>
      </c>
      <c r="T389" s="1033">
        <f t="shared" si="440"/>
        <v>22759.262999999999</v>
      </c>
      <c r="U389" s="1033">
        <f t="shared" si="440"/>
        <v>24408.677</v>
      </c>
      <c r="V389" s="1033">
        <f t="shared" si="440"/>
        <v>38386.389000000003</v>
      </c>
      <c r="W389" s="1032">
        <f t="shared" ca="1" si="440"/>
        <v>44435.879956126402</v>
      </c>
      <c r="X389" s="1032">
        <f t="shared" ca="1" si="440"/>
        <v>62415.149797550905</v>
      </c>
      <c r="Y389" s="1032">
        <f t="shared" ca="1" si="440"/>
        <v>83190.018636894907</v>
      </c>
      <c r="Z389" s="1032">
        <f t="shared" ca="1" si="440"/>
        <v>117690.85628216856</v>
      </c>
      <c r="AA389" s="1032">
        <f t="shared" ca="1" si="440"/>
        <v>152434.76083610297</v>
      </c>
      <c r="AB389" s="1032">
        <f t="shared" ca="1" si="440"/>
        <v>196803.01508862461</v>
      </c>
      <c r="AC389" s="1032">
        <f t="shared" ca="1" si="440"/>
        <v>251723.70804597239</v>
      </c>
      <c r="AD389" s="1032">
        <f t="shared" ca="1" si="440"/>
        <v>317706.30147886288</v>
      </c>
      <c r="AE389" s="2"/>
      <c r="AF389" s="2"/>
      <c r="AG389" s="2"/>
      <c r="AH389" s="11"/>
      <c r="AI389" s="11"/>
      <c r="AJ389" s="11"/>
      <c r="AK389" s="11"/>
      <c r="AL389" s="1781"/>
      <c r="AM389" s="200"/>
      <c r="AN389" s="200"/>
      <c r="AO389" s="216"/>
      <c r="AP389" s="1615"/>
      <c r="AQ389" s="1032"/>
      <c r="AR389" s="1032"/>
      <c r="AS389" s="1032"/>
      <c r="AT389" s="757"/>
      <c r="AU389" s="39"/>
      <c r="AV389" s="39"/>
      <c r="AW389" s="39"/>
      <c r="AX389" s="757"/>
      <c r="AY389" s="528"/>
      <c r="AZ389" s="528"/>
      <c r="BA389" s="528"/>
      <c r="BB389" s="757"/>
      <c r="BC389" s="528"/>
      <c r="BD389" s="528"/>
      <c r="BE389" s="528"/>
      <c r="BF389" s="757"/>
      <c r="BG389" s="1008"/>
      <c r="BH389" s="1008"/>
      <c r="BI389" s="528"/>
      <c r="BJ389" s="757"/>
      <c r="BK389" s="528"/>
      <c r="BL389" s="528"/>
      <c r="BM389" s="528"/>
      <c r="BN389" s="757"/>
      <c r="BO389" s="39"/>
      <c r="BP389" s="39"/>
      <c r="BQ389" s="528"/>
      <c r="BR389" s="83"/>
      <c r="BS389" s="2"/>
      <c r="BT389" s="2"/>
      <c r="BU389" s="2"/>
      <c r="BV389" s="2"/>
      <c r="CR389"/>
      <c r="CS389"/>
      <c r="CT389"/>
      <c r="CU389"/>
      <c r="CV389"/>
      <c r="CW389"/>
    </row>
    <row r="390" spans="8:101" s="42" customFormat="1" outlineLevel="1">
      <c r="I390" s="587"/>
      <c r="J390" s="11" t="s">
        <v>59</v>
      </c>
      <c r="K390" s="11"/>
      <c r="L390" s="11"/>
      <c r="M390" s="11"/>
      <c r="N390" s="39"/>
      <c r="O390" s="39">
        <f t="shared" ref="O390:AD390" si="441">N389</f>
        <v>0</v>
      </c>
      <c r="P390" s="39">
        <f t="shared" si="441"/>
        <v>0</v>
      </c>
      <c r="Q390" s="39">
        <f t="shared" si="441"/>
        <v>6578.7479999999996</v>
      </c>
      <c r="R390" s="39">
        <f t="shared" si="441"/>
        <v>10177.423999999999</v>
      </c>
      <c r="S390" s="528">
        <f t="shared" si="441"/>
        <v>14602.95</v>
      </c>
      <c r="T390" s="528">
        <f t="shared" si="441"/>
        <v>32114.58</v>
      </c>
      <c r="U390" s="528">
        <f t="shared" si="441"/>
        <v>22759.262999999999</v>
      </c>
      <c r="V390" s="528">
        <f t="shared" si="441"/>
        <v>24408.677</v>
      </c>
      <c r="W390" s="39">
        <f t="shared" si="441"/>
        <v>38386.389000000003</v>
      </c>
      <c r="X390" s="39">
        <f t="shared" ca="1" si="441"/>
        <v>44435.879956126402</v>
      </c>
      <c r="Y390" s="39">
        <f t="shared" ca="1" si="441"/>
        <v>62415.149797550905</v>
      </c>
      <c r="Z390" s="39">
        <f t="shared" ca="1" si="441"/>
        <v>83190.018636894907</v>
      </c>
      <c r="AA390" s="39">
        <f t="shared" ca="1" si="441"/>
        <v>117690.85628216856</v>
      </c>
      <c r="AB390" s="39">
        <f t="shared" ca="1" si="441"/>
        <v>152434.76083610297</v>
      </c>
      <c r="AC390" s="39">
        <f t="shared" ca="1" si="441"/>
        <v>196803.01508862461</v>
      </c>
      <c r="AD390" s="39">
        <f t="shared" ca="1" si="441"/>
        <v>251723.70804597239</v>
      </c>
      <c r="AE390" s="2"/>
      <c r="AF390" s="2"/>
      <c r="AG390" s="2"/>
      <c r="AH390" s="11"/>
      <c r="AI390" s="11"/>
      <c r="AJ390" s="11"/>
      <c r="AK390" s="11"/>
      <c r="AL390" s="662"/>
      <c r="AM390" s="205"/>
      <c r="AN390" s="205"/>
      <c r="AO390" s="205"/>
      <c r="AP390" s="757"/>
      <c r="AQ390" s="39"/>
      <c r="AR390" s="39"/>
      <c r="AS390" s="39"/>
      <c r="AT390" s="757"/>
      <c r="AU390" s="39"/>
      <c r="AV390" s="39"/>
      <c r="AW390" s="39"/>
      <c r="AX390" s="757"/>
      <c r="AY390" s="528"/>
      <c r="AZ390" s="528"/>
      <c r="BA390" s="528"/>
      <c r="BB390" s="757"/>
      <c r="BC390" s="528"/>
      <c r="BD390" s="528"/>
      <c r="BE390" s="528"/>
      <c r="BF390" s="757"/>
      <c r="BG390" s="1008"/>
      <c r="BH390" s="1008"/>
      <c r="BI390" s="528"/>
      <c r="BJ390" s="757"/>
      <c r="BK390" s="528"/>
      <c r="BL390" s="528"/>
      <c r="BM390" s="528"/>
      <c r="BN390" s="757"/>
      <c r="BO390" s="39"/>
      <c r="BP390" s="39"/>
      <c r="BQ390" s="528"/>
      <c r="BR390" s="1530"/>
      <c r="BS390" s="204"/>
      <c r="BT390" s="204"/>
      <c r="BU390" s="204"/>
      <c r="BV390" s="204"/>
      <c r="CR390"/>
      <c r="CS390"/>
      <c r="CT390"/>
      <c r="CU390"/>
      <c r="CV390"/>
      <c r="CW390"/>
    </row>
    <row r="391" spans="8:101" s="592" customFormat="1" outlineLevel="1">
      <c r="I391" s="587"/>
      <c r="J391" s="33" t="s">
        <v>664</v>
      </c>
      <c r="K391" s="11"/>
      <c r="L391" s="11"/>
      <c r="M391" s="11"/>
      <c r="N391" s="1439"/>
      <c r="O391" s="36" t="str">
        <f>IF(ISERROR(O388/O390), "--", O388/O390)</f>
        <v>--</v>
      </c>
      <c r="P391" s="36" t="str">
        <f>IF(ISERROR(P388/P390), "--", P388/P390)</f>
        <v>--</v>
      </c>
      <c r="Q391" s="77">
        <f t="shared" ref="Q391:V391" si="442">Q388/AVERAGE(Q389:Q390)</f>
        <v>2.0977464303899483E-2</v>
      </c>
      <c r="R391" s="77">
        <f t="shared" si="442"/>
        <v>2.7745343956471359E-2</v>
      </c>
      <c r="S391" s="77">
        <f t="shared" si="442"/>
        <v>2.7313087828059402E-2</v>
      </c>
      <c r="T391" s="77">
        <f t="shared" si="442"/>
        <v>1.5125603650540749E-2</v>
      </c>
      <c r="U391" s="77">
        <f t="shared" si="442"/>
        <v>5.2020588560789387E-2</v>
      </c>
      <c r="V391" s="77">
        <f t="shared" si="442"/>
        <v>8.0595185615379386E-2</v>
      </c>
      <c r="W391" s="1447">
        <v>0.06</v>
      </c>
      <c r="X391" s="1447">
        <f>W391</f>
        <v>0.06</v>
      </c>
      <c r="Y391" s="1447">
        <f t="shared" ref="Y391:AD391" si="443">X391</f>
        <v>0.06</v>
      </c>
      <c r="Z391" s="1447">
        <f t="shared" si="443"/>
        <v>0.06</v>
      </c>
      <c r="AA391" s="1447">
        <f t="shared" si="443"/>
        <v>0.06</v>
      </c>
      <c r="AB391" s="1447">
        <f t="shared" si="443"/>
        <v>0.06</v>
      </c>
      <c r="AC391" s="1447">
        <f t="shared" si="443"/>
        <v>0.06</v>
      </c>
      <c r="AD391" s="1447">
        <f t="shared" si="443"/>
        <v>0.06</v>
      </c>
      <c r="AE391" s="52"/>
      <c r="AF391" s="52"/>
      <c r="AG391" s="52"/>
      <c r="AH391" s="11"/>
      <c r="AI391" s="11"/>
      <c r="AJ391" s="11"/>
      <c r="AK391" s="11"/>
      <c r="AL391" s="1698"/>
      <c r="AM391" s="1440"/>
      <c r="AN391" s="1440"/>
      <c r="AO391" s="1440"/>
      <c r="AP391" s="1698"/>
      <c r="AQ391" s="1440"/>
      <c r="AR391" s="1440"/>
      <c r="AS391" s="1440"/>
      <c r="AT391" s="1698"/>
      <c r="AU391" s="1440"/>
      <c r="AV391" s="1440"/>
      <c r="AW391" s="1440"/>
      <c r="AX391" s="1698"/>
      <c r="AY391" s="1441"/>
      <c r="AZ391" s="1441"/>
      <c r="BA391" s="1441"/>
      <c r="BB391" s="1698"/>
      <c r="BC391" s="1442"/>
      <c r="BD391" s="1442"/>
      <c r="BE391" s="1442"/>
      <c r="BF391" s="1443"/>
      <c r="BG391" s="1442"/>
      <c r="BH391" s="1442"/>
      <c r="BI391" s="1442"/>
      <c r="BJ391" s="1443"/>
      <c r="BK391" s="1442"/>
      <c r="BL391" s="1442"/>
      <c r="BM391" s="1442"/>
      <c r="BN391" s="1443"/>
      <c r="BO391" s="1442"/>
      <c r="BP391" s="1442"/>
      <c r="BQ391" s="1442"/>
      <c r="BR391" s="437"/>
      <c r="BS391" s="52"/>
      <c r="BT391" s="52"/>
      <c r="BU391" s="52"/>
      <c r="BV391" s="52"/>
      <c r="CR391"/>
      <c r="CS391"/>
      <c r="CT391"/>
      <c r="CU391"/>
      <c r="CV391"/>
      <c r="CW391"/>
    </row>
    <row r="392" spans="8:101" s="70" customFormat="1" outlineLevel="1">
      <c r="I392" s="600"/>
      <c r="J392" s="19"/>
      <c r="K392" s="19"/>
      <c r="L392" s="19"/>
      <c r="M392" s="19"/>
      <c r="N392" s="263"/>
      <c r="O392" s="264"/>
      <c r="P392" s="264"/>
      <c r="Q392" s="262"/>
      <c r="R392" s="262"/>
      <c r="S392" s="648"/>
      <c r="T392" s="648"/>
      <c r="U392" s="648"/>
      <c r="V392" s="648"/>
      <c r="W392" s="448"/>
      <c r="X392" s="448"/>
      <c r="Y392" s="448"/>
      <c r="Z392" s="448"/>
      <c r="AA392" s="448"/>
      <c r="AB392" s="448"/>
      <c r="AC392" s="448"/>
      <c r="AD392" s="448"/>
      <c r="AE392" s="208"/>
      <c r="AF392" s="208"/>
      <c r="AG392" s="208"/>
      <c r="AH392" s="19"/>
      <c r="AI392" s="19"/>
      <c r="AJ392" s="19"/>
      <c r="AK392" s="19"/>
      <c r="AL392" s="1699"/>
      <c r="AM392" s="265"/>
      <c r="AN392" s="265"/>
      <c r="AO392" s="265"/>
      <c r="AP392" s="1699"/>
      <c r="AQ392" s="265"/>
      <c r="AR392" s="265"/>
      <c r="AS392" s="265"/>
      <c r="AT392" s="1699"/>
      <c r="AU392" s="265"/>
      <c r="AV392" s="265"/>
      <c r="AW392" s="265"/>
      <c r="AX392" s="1699"/>
      <c r="AY392" s="534"/>
      <c r="AZ392" s="534"/>
      <c r="BA392" s="534"/>
      <c r="BB392" s="1699"/>
      <c r="BC392" s="401"/>
      <c r="BD392" s="401"/>
      <c r="BE392" s="401"/>
      <c r="BF392" s="668"/>
      <c r="BG392" s="401"/>
      <c r="BH392" s="401"/>
      <c r="BI392" s="401"/>
      <c r="BJ392" s="668"/>
      <c r="BK392" s="401"/>
      <c r="BL392" s="401"/>
      <c r="BM392" s="401"/>
      <c r="BN392" s="668"/>
      <c r="BO392" s="401"/>
      <c r="BP392" s="401"/>
      <c r="BQ392" s="401"/>
      <c r="BR392" s="296"/>
      <c r="BS392" s="208"/>
      <c r="BT392" s="208"/>
      <c r="BU392" s="208"/>
      <c r="BV392" s="208"/>
      <c r="BW392" s="208"/>
      <c r="BX392" s="208"/>
      <c r="BY392" s="208"/>
      <c r="BZ392" s="208"/>
      <c r="CA392" s="208"/>
      <c r="CB392" s="208"/>
      <c r="CC392" s="208"/>
      <c r="CD392" s="208"/>
      <c r="CE392" s="208"/>
      <c r="CF392" s="208"/>
      <c r="CG392" s="208"/>
      <c r="CH392" s="208"/>
      <c r="CI392" s="208"/>
      <c r="CJ392" s="208"/>
      <c r="CK392" s="208"/>
      <c r="CL392" s="208"/>
      <c r="CM392" s="208"/>
      <c r="CN392" s="208"/>
      <c r="CO392" s="208"/>
      <c r="CP392" s="208"/>
      <c r="CQ392" s="208"/>
      <c r="CR392"/>
      <c r="CS392"/>
      <c r="CT392"/>
      <c r="CU392"/>
      <c r="CV392"/>
      <c r="CW392"/>
    </row>
    <row r="393" spans="8:101" s="70" customFormat="1" outlineLevel="1">
      <c r="I393" s="600"/>
      <c r="J393" s="19" t="s">
        <v>662</v>
      </c>
      <c r="K393" s="19"/>
      <c r="L393" s="19"/>
      <c r="M393" s="19"/>
      <c r="N393" s="1490">
        <f>N424</f>
        <v>0</v>
      </c>
      <c r="O393" s="1490">
        <f t="shared" ref="O393:V393" si="444">O424</f>
        <v>0</v>
      </c>
      <c r="P393" s="1490">
        <f t="shared" si="444"/>
        <v>0</v>
      </c>
      <c r="Q393" s="1490">
        <f t="shared" si="444"/>
        <v>-6.1269999999999998</v>
      </c>
      <c r="R393" s="1490">
        <f t="shared" si="444"/>
        <v>0.04</v>
      </c>
      <c r="S393" s="1490">
        <f t="shared" si="444"/>
        <v>-19</v>
      </c>
      <c r="T393" s="1490">
        <f t="shared" si="444"/>
        <v>14</v>
      </c>
      <c r="U393" s="1490">
        <f t="shared" si="444"/>
        <v>-166.39099999999999</v>
      </c>
      <c r="V393" s="1490">
        <f t="shared" si="444"/>
        <v>-139.59299999999999</v>
      </c>
      <c r="W393" s="1488">
        <f>IF(W423&lt;0,0,W423*-W394)</f>
        <v>-330.46601540473392</v>
      </c>
      <c r="X393" s="1488">
        <f t="shared" ref="X393:AD393" ca="1" si="445">IF(X423&lt;0,0,X423*-X394)</f>
        <v>-1622.9525372313451</v>
      </c>
      <c r="Y393" s="1488">
        <f t="shared" ca="1" si="445"/>
        <v>-3026.2563750160903</v>
      </c>
      <c r="Z393" s="1488">
        <f t="shared" ca="1" si="445"/>
        <v>-4856.2602470881138</v>
      </c>
      <c r="AA393" s="1488">
        <f t="shared" ca="1" si="445"/>
        <v>-6732.3476381713263</v>
      </c>
      <c r="AB393" s="1488">
        <f t="shared" ca="1" si="445"/>
        <v>-8789.396345936846</v>
      </c>
      <c r="AC393" s="1488">
        <f t="shared" ca="1" si="445"/>
        <v>-11166.802644682281</v>
      </c>
      <c r="AD393" s="1488">
        <f t="shared" ca="1" si="445"/>
        <v>-13360.135475227118</v>
      </c>
      <c r="AE393" s="208"/>
      <c r="AF393" s="208"/>
      <c r="AG393" s="208"/>
      <c r="AH393" s="19"/>
      <c r="AI393" s="19"/>
      <c r="AJ393" s="19"/>
      <c r="AK393" s="19"/>
      <c r="AL393" s="1699"/>
      <c r="AM393" s="265"/>
      <c r="AN393" s="265"/>
      <c r="AO393" s="265"/>
      <c r="AP393" s="741">
        <f>AP424</f>
        <v>0</v>
      </c>
      <c r="AQ393" s="1491">
        <f t="shared" ref="AQ393:BM393" si="446">AQ424</f>
        <v>0</v>
      </c>
      <c r="AR393" s="1491">
        <f t="shared" si="446"/>
        <v>-3</v>
      </c>
      <c r="AS393" s="1491">
        <f t="shared" si="446"/>
        <v>-3</v>
      </c>
      <c r="AT393" s="741">
        <f t="shared" si="446"/>
        <v>-1</v>
      </c>
      <c r="AU393" s="1491">
        <f t="shared" si="446"/>
        <v>-1.9490000000000001</v>
      </c>
      <c r="AV393" s="1491">
        <f t="shared" si="446"/>
        <v>-0.45300000000000001</v>
      </c>
      <c r="AW393" s="1491">
        <f t="shared" si="446"/>
        <v>3</v>
      </c>
      <c r="AX393" s="741">
        <f t="shared" si="446"/>
        <v>2.4900000000000002</v>
      </c>
      <c r="AY393" s="1491">
        <f t="shared" si="446"/>
        <v>-0.36399999999999999</v>
      </c>
      <c r="AZ393" s="1491">
        <f t="shared" si="446"/>
        <v>-6.2039999999999997</v>
      </c>
      <c r="BA393" s="1491">
        <f t="shared" si="446"/>
        <v>-15.246</v>
      </c>
      <c r="BB393" s="741">
        <f t="shared" si="446"/>
        <v>2.9769999999999999</v>
      </c>
      <c r="BC393" s="1491">
        <f t="shared" si="446"/>
        <v>2.069</v>
      </c>
      <c r="BD393" s="1491">
        <f t="shared" si="446"/>
        <v>1.7000000000000001E-2</v>
      </c>
      <c r="BE393" s="1491">
        <f t="shared" si="446"/>
        <v>9.1989999999999998</v>
      </c>
      <c r="BF393" s="741">
        <f t="shared" si="446"/>
        <v>-19.972999999999999</v>
      </c>
      <c r="BG393" s="1491">
        <f t="shared" si="446"/>
        <v>-43.628</v>
      </c>
      <c r="BH393" s="1491">
        <f t="shared" si="446"/>
        <v>-2.1819999999999999</v>
      </c>
      <c r="BI393" s="1491">
        <f t="shared" si="446"/>
        <v>-100.608</v>
      </c>
      <c r="BJ393" s="741">
        <f t="shared" si="446"/>
        <v>-89.683000000000007</v>
      </c>
      <c r="BK393" s="1491">
        <f t="shared" si="446"/>
        <v>16.266999999999999</v>
      </c>
      <c r="BL393" s="1491">
        <f t="shared" si="446"/>
        <v>-53.177</v>
      </c>
      <c r="BM393" s="1491">
        <f t="shared" si="446"/>
        <v>-13</v>
      </c>
      <c r="BN393" s="1655">
        <f>IF(BN423&lt;0,0,BN423*-BN394)</f>
        <v>0</v>
      </c>
      <c r="BO393" s="1480">
        <f>IF(BO423&lt;0,0,BO423*-BO394)</f>
        <v>-10.467975373043728</v>
      </c>
      <c r="BP393" s="1480">
        <f>IF(BP423&lt;0,0,BP423*-BP394)</f>
        <v>-49.493675530815501</v>
      </c>
      <c r="BQ393" s="1452">
        <f>W393-SUM(BN393:BP393)</f>
        <v>-270.50436450087471</v>
      </c>
      <c r="BR393" s="296"/>
      <c r="BS393" s="208"/>
      <c r="BT393" s="208"/>
      <c r="BU393" s="208"/>
      <c r="BV393" s="208"/>
      <c r="BW393" s="208"/>
      <c r="BX393" s="208"/>
      <c r="BY393" s="208"/>
      <c r="BZ393" s="208"/>
      <c r="CA393" s="208"/>
      <c r="CB393" s="208"/>
      <c r="CC393" s="208"/>
      <c r="CD393" s="208"/>
      <c r="CE393" s="208"/>
      <c r="CF393" s="208"/>
      <c r="CG393" s="208"/>
      <c r="CH393" s="208"/>
      <c r="CI393" s="208"/>
      <c r="CJ393" s="208"/>
      <c r="CK393" s="208"/>
      <c r="CL393" s="208"/>
      <c r="CM393" s="208"/>
      <c r="CN393" s="208"/>
      <c r="CO393" s="208"/>
      <c r="CP393" s="208"/>
      <c r="CQ393" s="208"/>
      <c r="CR393"/>
      <c r="CS393"/>
      <c r="CT393"/>
      <c r="CU393"/>
      <c r="CV393"/>
      <c r="CW393"/>
    </row>
    <row r="394" spans="8:101" s="583" customFormat="1" outlineLevel="1">
      <c r="I394" s="597"/>
      <c r="J394" s="33" t="s">
        <v>663</v>
      </c>
      <c r="K394" s="28"/>
      <c r="L394" s="28"/>
      <c r="M394" s="28"/>
      <c r="N394" s="258">
        <f t="shared" ref="N394:U394" si="447">IF(ISERROR(-N424/N423), "--", -N424/N423)</f>
        <v>0</v>
      </c>
      <c r="O394" s="258">
        <f t="shared" si="447"/>
        <v>0</v>
      </c>
      <c r="P394" s="258">
        <f t="shared" si="447"/>
        <v>0</v>
      </c>
      <c r="Q394" s="258">
        <f t="shared" si="447"/>
        <v>-3.5530395682305915E-3</v>
      </c>
      <c r="R394" s="258">
        <f t="shared" si="447"/>
        <v>8.0000000000000004E-4</v>
      </c>
      <c r="S394" s="258">
        <f t="shared" si="447"/>
        <v>-3.817560779586096E-3</v>
      </c>
      <c r="T394" s="258">
        <f t="shared" si="447"/>
        <v>1.4890448840672197E-3</v>
      </c>
      <c r="U394" s="258">
        <f t="shared" si="447"/>
        <v>-8.8416446986319938E-2</v>
      </c>
      <c r="V394" s="258">
        <f>IF(ISERROR(-V424/V423), "--", V424/V423)</f>
        <v>-1.1540426587306269</v>
      </c>
      <c r="W394" s="1021">
        <v>0.13</v>
      </c>
      <c r="X394" s="1021">
        <v>0.18</v>
      </c>
      <c r="Y394" s="1021">
        <f t="shared" ref="Y394:AD394" si="448">X394</f>
        <v>0.18</v>
      </c>
      <c r="Z394" s="1021">
        <f t="shared" si="448"/>
        <v>0.18</v>
      </c>
      <c r="AA394" s="1021">
        <f t="shared" si="448"/>
        <v>0.18</v>
      </c>
      <c r="AB394" s="1021">
        <f t="shared" si="448"/>
        <v>0.18</v>
      </c>
      <c r="AC394" s="1021">
        <f t="shared" si="448"/>
        <v>0.18</v>
      </c>
      <c r="AD394" s="1021">
        <f t="shared" si="448"/>
        <v>0.18</v>
      </c>
      <c r="AE394" s="83"/>
      <c r="AF394" s="83"/>
      <c r="AG394" s="83"/>
      <c r="AH394" s="28"/>
      <c r="AI394" s="28"/>
      <c r="AJ394" s="28"/>
      <c r="AK394" s="28"/>
      <c r="AL394" s="1617"/>
      <c r="AM394" s="258"/>
      <c r="AN394" s="258"/>
      <c r="AO394" s="258"/>
      <c r="AP394" s="1617">
        <f t="shared" ref="AP394:BM394" si="449">IF(ISERROR(-AP424/AP423), "-", -AP424/AP423)</f>
        <v>0</v>
      </c>
      <c r="AQ394" s="258">
        <f t="shared" si="449"/>
        <v>0</v>
      </c>
      <c r="AR394" s="258">
        <f t="shared" si="449"/>
        <v>-6.1983471074380167E-3</v>
      </c>
      <c r="AS394" s="258">
        <f t="shared" si="449"/>
        <v>-9.9337748344370865E-3</v>
      </c>
      <c r="AT394" s="1617">
        <f t="shared" si="449"/>
        <v>7.1428571428571425E-2</v>
      </c>
      <c r="AU394" s="258">
        <f t="shared" si="449"/>
        <v>-7.3909745923388503E-2</v>
      </c>
      <c r="AV394" s="258">
        <f t="shared" si="449"/>
        <v>5.9126802845395135E-3</v>
      </c>
      <c r="AW394" s="258">
        <f t="shared" si="449"/>
        <v>2.6548672566371681E-2</v>
      </c>
      <c r="AX394" s="1617">
        <f t="shared" si="449"/>
        <v>6.5569142792739851E-4</v>
      </c>
      <c r="AY394" s="258">
        <f t="shared" si="449"/>
        <v>-6.2525121700683238E-4</v>
      </c>
      <c r="AZ394" s="258">
        <f t="shared" si="449"/>
        <v>-3.9227588300011308E-2</v>
      </c>
      <c r="BA394" s="258">
        <f t="shared" si="449"/>
        <v>-3.4722918128069206E-2</v>
      </c>
      <c r="BB394" s="1617">
        <f t="shared" si="449"/>
        <v>4.174220786413687E-3</v>
      </c>
      <c r="BC394" s="258">
        <f t="shared" si="449"/>
        <v>4.0371440669201763E-3</v>
      </c>
      <c r="BD394" s="258">
        <f t="shared" si="449"/>
        <v>3.1781700844458747E-5</v>
      </c>
      <c r="BE394" s="258">
        <f t="shared" si="449"/>
        <v>1.2038579465944595E-3</v>
      </c>
      <c r="BF394" s="1617">
        <f t="shared" si="449"/>
        <v>-5.2572701046557674E-2</v>
      </c>
      <c r="BG394" s="258">
        <f t="shared" si="449"/>
        <v>0.26838750953517737</v>
      </c>
      <c r="BH394" s="258">
        <f t="shared" si="449"/>
        <v>-4.4957062091018638E-3</v>
      </c>
      <c r="BI394" s="258">
        <f t="shared" si="449"/>
        <v>-8.5319366719442943E-2</v>
      </c>
      <c r="BJ394" s="1617">
        <f t="shared" si="449"/>
        <v>0.24352843740242155</v>
      </c>
      <c r="BK394" s="258">
        <f t="shared" si="449"/>
        <v>4.9686765977073666E-2</v>
      </c>
      <c r="BL394" s="258">
        <f t="shared" si="449"/>
        <v>5.1561225865066389E-2</v>
      </c>
      <c r="BM394" s="258">
        <f t="shared" si="449"/>
        <v>-1.3666214279932377E-2</v>
      </c>
      <c r="BN394" s="1660">
        <v>0.13</v>
      </c>
      <c r="BO394" s="1169">
        <v>0.13</v>
      </c>
      <c r="BP394" s="1169">
        <v>0.13</v>
      </c>
      <c r="BQ394" s="258">
        <f>IF(ISERROR(-BQ424/BQ423), "-", -BQ424/BQ423)</f>
        <v>0.11115666248731609</v>
      </c>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c r="CS394"/>
      <c r="CT394"/>
      <c r="CU394"/>
      <c r="CV394"/>
      <c r="CW394"/>
    </row>
    <row r="395" spans="8:101" s="583" customFormat="1" outlineLevel="1">
      <c r="I395" s="597"/>
      <c r="J395" s="33"/>
      <c r="K395" s="28"/>
      <c r="L395" s="28"/>
      <c r="M395" s="28"/>
      <c r="N395" s="258"/>
      <c r="O395" s="258"/>
      <c r="P395" s="258"/>
      <c r="Q395" s="258"/>
      <c r="R395" s="258"/>
      <c r="S395" s="258"/>
      <c r="T395" s="258"/>
      <c r="U395" s="258"/>
      <c r="V395" s="258"/>
      <c r="W395" s="1506"/>
      <c r="X395" s="1506"/>
      <c r="Y395" s="1506"/>
      <c r="Z395" s="1506"/>
      <c r="AA395" s="1506"/>
      <c r="AB395" s="1506"/>
      <c r="AC395" s="1506"/>
      <c r="AD395" s="1506"/>
      <c r="AE395" s="83"/>
      <c r="AF395" s="83"/>
      <c r="AG395" s="83"/>
      <c r="AH395" s="28"/>
      <c r="AI395" s="28"/>
      <c r="AJ395" s="28"/>
      <c r="AK395" s="28"/>
      <c r="AL395" s="1617"/>
      <c r="AM395" s="258"/>
      <c r="AN395" s="258"/>
      <c r="AO395" s="258"/>
      <c r="AP395" s="1617"/>
      <c r="AQ395" s="258"/>
      <c r="AR395" s="258"/>
      <c r="AS395" s="258"/>
      <c r="AT395" s="1617"/>
      <c r="AU395" s="258"/>
      <c r="AV395" s="258"/>
      <c r="AW395" s="258"/>
      <c r="AX395" s="1617"/>
      <c r="AY395" s="258"/>
      <c r="AZ395" s="258"/>
      <c r="BA395" s="258"/>
      <c r="BB395" s="1617"/>
      <c r="BC395" s="258"/>
      <c r="BD395" s="258"/>
      <c r="BE395" s="258"/>
      <c r="BF395" s="1617"/>
      <c r="BG395" s="258"/>
      <c r="BH395" s="258"/>
      <c r="BI395" s="258"/>
      <c r="BJ395" s="1617"/>
      <c r="BK395" s="258"/>
      <c r="BL395" s="258"/>
      <c r="BM395" s="258"/>
      <c r="BN395" s="1660"/>
      <c r="BO395" s="1169"/>
      <c r="BP395" s="1169"/>
      <c r="BQ395" s="258"/>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c r="CS395"/>
      <c r="CT395"/>
      <c r="CU395"/>
      <c r="CV395"/>
      <c r="CW395"/>
    </row>
    <row r="396" spans="8:101" s="583" customFormat="1" outlineLevel="1">
      <c r="I396" s="597"/>
      <c r="J396" s="13" t="s">
        <v>502</v>
      </c>
      <c r="K396" s="13"/>
      <c r="L396" s="13"/>
      <c r="M396" s="251"/>
      <c r="N396" s="282"/>
      <c r="O396" s="282"/>
      <c r="P396" s="282"/>
      <c r="Q396" s="282"/>
      <c r="R396" s="282"/>
      <c r="S396" s="283"/>
      <c r="T396" s="283"/>
      <c r="U396" s="1494"/>
      <c r="V396" s="283"/>
      <c r="W396" s="283"/>
      <c r="X396" s="283"/>
      <c r="Y396" s="283"/>
      <c r="Z396" s="283"/>
      <c r="AA396" s="283"/>
      <c r="AB396" s="283"/>
      <c r="AC396" s="283"/>
      <c r="AD396" s="283"/>
      <c r="AE396" s="83"/>
      <c r="AF396" s="463"/>
      <c r="AG396" s="83"/>
      <c r="AH396" s="282"/>
      <c r="AI396" s="282"/>
      <c r="AJ396" s="282"/>
      <c r="AK396" s="282"/>
      <c r="AL396" s="1741"/>
      <c r="AM396" s="283"/>
      <c r="AN396" s="283"/>
      <c r="AO396" s="283"/>
      <c r="AP396" s="1741"/>
      <c r="AQ396" s="283"/>
      <c r="AR396" s="283"/>
      <c r="AS396" s="283"/>
      <c r="AT396" s="1741"/>
      <c r="AU396" s="283"/>
      <c r="AV396" s="283"/>
      <c r="AW396" s="283"/>
      <c r="AX396" s="130"/>
      <c r="AY396" s="13"/>
      <c r="AZ396" s="13"/>
      <c r="BA396" s="13"/>
      <c r="BB396" s="1524"/>
      <c r="BC396" s="282"/>
      <c r="BD396" s="282"/>
      <c r="BE396" s="282"/>
      <c r="BF396" s="1524"/>
      <c r="BG396" s="282"/>
      <c r="BH396" s="282"/>
      <c r="BI396" s="282"/>
      <c r="BJ396" s="1524"/>
      <c r="BK396" s="282"/>
      <c r="BL396" s="282"/>
      <c r="BM396" s="282"/>
      <c r="BN396" s="1524"/>
      <c r="BO396" s="282"/>
      <c r="BP396" s="282"/>
      <c r="BQ396" s="282"/>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c r="CS396"/>
      <c r="CT396"/>
      <c r="CU396"/>
      <c r="CV396"/>
      <c r="CW396"/>
    </row>
    <row r="397" spans="8:101" s="583" customFormat="1" outlineLevel="1">
      <c r="I397" s="597"/>
      <c r="J397" s="191" t="s">
        <v>342</v>
      </c>
      <c r="K397" s="28"/>
      <c r="L397" s="28"/>
      <c r="M397" s="28"/>
      <c r="N397" s="915">
        <f>380.53697</f>
        <v>380.53697</v>
      </c>
      <c r="O397" s="915">
        <f>855.8455</f>
        <v>855.84550000000002</v>
      </c>
      <c r="P397" s="915">
        <f>1322.840034</f>
        <v>1322.8400340000001</v>
      </c>
      <c r="Q397" s="915">
        <f>1523.639783</f>
        <v>1523.6397830000001</v>
      </c>
      <c r="R397" s="915">
        <f>1694.495048</f>
        <v>1694.495048</v>
      </c>
      <c r="S397" s="1406">
        <f>2149.668247/2</f>
        <v>1074.8341235</v>
      </c>
      <c r="T397" s="1406">
        <f>2735.034034/2</f>
        <v>1367.5170169999999</v>
      </c>
      <c r="U397" s="1406">
        <f>2804.768/2</f>
        <v>1402.384</v>
      </c>
      <c r="V397" s="1406">
        <f>2844.826/2</f>
        <v>1422.413</v>
      </c>
      <c r="W397" s="1010">
        <f t="shared" ref="W397:AD397" si="450">V397*1.03</f>
        <v>1465.08539</v>
      </c>
      <c r="X397" s="1010">
        <f t="shared" si="450"/>
        <v>1509.0379516999999</v>
      </c>
      <c r="Y397" s="1010">
        <f t="shared" si="450"/>
        <v>1554.309090251</v>
      </c>
      <c r="Z397" s="1010">
        <f t="shared" si="450"/>
        <v>1600.93836295853</v>
      </c>
      <c r="AA397" s="1010">
        <f t="shared" si="450"/>
        <v>1648.966513847286</v>
      </c>
      <c r="AB397" s="1010">
        <f t="shared" si="450"/>
        <v>1698.4355092627047</v>
      </c>
      <c r="AC397" s="1010">
        <f t="shared" si="450"/>
        <v>1749.388574540586</v>
      </c>
      <c r="AD397" s="1010">
        <f t="shared" si="450"/>
        <v>1801.8702317768036</v>
      </c>
      <c r="AE397" s="83"/>
      <c r="AF397" s="463"/>
      <c r="AG397" s="83"/>
      <c r="AH397" s="28"/>
      <c r="AI397" s="429"/>
      <c r="AJ397" s="429"/>
      <c r="AK397" s="429"/>
      <c r="AL397" s="1764"/>
      <c r="AM397" s="428"/>
      <c r="AN397" s="428"/>
      <c r="AO397" s="428"/>
      <c r="AP397" s="1764"/>
      <c r="AQ397" s="428"/>
      <c r="AR397" s="428"/>
      <c r="AS397" s="1003"/>
      <c r="AT397" s="1700"/>
      <c r="AU397" s="1004"/>
      <c r="AV397" s="1004"/>
      <c r="AW397" s="1004"/>
      <c r="AX397" s="1700">
        <f>AY397</f>
        <v>1202.7819999999999</v>
      </c>
      <c r="AY397" s="1409">
        <v>1202.7819999999999</v>
      </c>
      <c r="AZ397" s="1409">
        <v>1362.239</v>
      </c>
      <c r="BA397" s="1409">
        <v>1362.4414999999999</v>
      </c>
      <c r="BB397" s="1618">
        <v>1366.3495</v>
      </c>
      <c r="BC397" s="1409">
        <v>1367.5930000000001</v>
      </c>
      <c r="BD397" s="1409">
        <v>1367.8685</v>
      </c>
      <c r="BE397" s="1409">
        <v>1368.2574999999999</v>
      </c>
      <c r="BF397" s="1618">
        <f>2742.495/2</f>
        <v>1371.2474999999999</v>
      </c>
      <c r="BG397" s="1409">
        <f>2763.103/2</f>
        <v>1381.5515</v>
      </c>
      <c r="BH397" s="1409">
        <f>2879.201/2</f>
        <v>1439.6005</v>
      </c>
      <c r="BI397" s="1409">
        <f>2834.273/2</f>
        <v>1417.1365000000001</v>
      </c>
      <c r="BJ397" s="1618">
        <f>2837.203/2</f>
        <v>1418.6015</v>
      </c>
      <c r="BK397" s="1409">
        <f>2845.374/2</f>
        <v>1422.6869999999999</v>
      </c>
      <c r="BL397" s="1409">
        <f>2847.511/2</f>
        <v>1423.7555</v>
      </c>
      <c r="BM397" s="1409">
        <f>2849.216/2</f>
        <v>1424.6079999999999</v>
      </c>
      <c r="BN397" s="1661">
        <f>W397</f>
        <v>1465.08539</v>
      </c>
      <c r="BO397" s="1010">
        <f t="shared" ref="BO397:BQ398" si="451">BN397</f>
        <v>1465.08539</v>
      </c>
      <c r="BP397" s="1010">
        <f t="shared" si="451"/>
        <v>1465.08539</v>
      </c>
      <c r="BQ397" s="1010">
        <f t="shared" si="451"/>
        <v>1465.08539</v>
      </c>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c r="CS397"/>
      <c r="CT397"/>
      <c r="CU397"/>
      <c r="CV397"/>
      <c r="CW397"/>
    </row>
    <row r="398" spans="8:101" s="42" customFormat="1" outlineLevel="1">
      <c r="I398" s="587"/>
      <c r="J398" s="59" t="s">
        <v>200</v>
      </c>
      <c r="K398" s="11"/>
      <c r="L398" s="11"/>
      <c r="M398" s="11"/>
      <c r="N398" s="435">
        <f>380.53697</f>
        <v>380.53697</v>
      </c>
      <c r="O398" s="435">
        <f>855.8455</f>
        <v>855.84550000000002</v>
      </c>
      <c r="P398" s="435">
        <f>1322.840034</f>
        <v>1322.8400340000001</v>
      </c>
      <c r="Q398" s="435">
        <f>1523.639783</f>
        <v>1523.6397830000001</v>
      </c>
      <c r="R398" s="435">
        <f>1694.495048</f>
        <v>1694.495048</v>
      </c>
      <c r="S398" s="1406">
        <f>2419.668247/2</f>
        <v>1209.8341235</v>
      </c>
      <c r="T398" s="1406">
        <f>2735.034034/2</f>
        <v>1367.5170169999999</v>
      </c>
      <c r="U398" s="1406">
        <f>2804.768/2</f>
        <v>1402.384</v>
      </c>
      <c r="V398" s="1406">
        <f>2911.462/2</f>
        <v>1455.731</v>
      </c>
      <c r="W398" s="1015">
        <f t="shared" ref="W398:AD398" si="452">W397*W400</f>
        <v>1499.4029299999997</v>
      </c>
      <c r="X398" s="1165">
        <f t="shared" si="452"/>
        <v>1544.3850178999999</v>
      </c>
      <c r="Y398" s="1015">
        <f t="shared" si="452"/>
        <v>1590.716568437</v>
      </c>
      <c r="Z398" s="1015">
        <f t="shared" si="452"/>
        <v>1638.4380654901099</v>
      </c>
      <c r="AA398" s="1015">
        <f t="shared" si="452"/>
        <v>1687.5912074548132</v>
      </c>
      <c r="AB398" s="1015">
        <f t="shared" si="452"/>
        <v>1738.2189436784579</v>
      </c>
      <c r="AC398" s="1015">
        <f t="shared" si="452"/>
        <v>1790.3655119888117</v>
      </c>
      <c r="AD398" s="1015">
        <f t="shared" si="452"/>
        <v>1844.0764773484761</v>
      </c>
      <c r="AE398" s="2"/>
      <c r="AF398" s="405"/>
      <c r="AG398" s="2"/>
      <c r="AH398" s="11"/>
      <c r="AI398" s="430"/>
      <c r="AJ398" s="430"/>
      <c r="AK398" s="430"/>
      <c r="AL398" s="1764"/>
      <c r="AM398" s="388"/>
      <c r="AN398" s="388"/>
      <c r="AO398" s="388"/>
      <c r="AP398" s="1764"/>
      <c r="AQ398" s="388"/>
      <c r="AR398" s="388"/>
      <c r="AS398" s="426"/>
      <c r="AT398" s="1700"/>
      <c r="AU398" s="1004"/>
      <c r="AV398" s="1004"/>
      <c r="AW398" s="1004"/>
      <c r="AX398" s="1700">
        <f>AY398</f>
        <v>1202.7819999999999</v>
      </c>
      <c r="AY398" s="1409">
        <v>1202.7819999999999</v>
      </c>
      <c r="AZ398" s="1409">
        <v>1362.239</v>
      </c>
      <c r="BA398" s="1409">
        <v>1362.4414999999999</v>
      </c>
      <c r="BB398" s="1618">
        <v>1366.3495</v>
      </c>
      <c r="BC398" s="1409">
        <v>1367.5930000000001</v>
      </c>
      <c r="BD398" s="1409">
        <v>1367.8685</v>
      </c>
      <c r="BE398" s="1409">
        <v>1368.2574999999999</v>
      </c>
      <c r="BF398" s="1618">
        <f>2742.495/2</f>
        <v>1371.2474999999999</v>
      </c>
      <c r="BG398" s="1409">
        <f>2763.103/2</f>
        <v>1381.5515</v>
      </c>
      <c r="BH398" s="1409">
        <f>2914.658/2</f>
        <v>1457.329</v>
      </c>
      <c r="BI398" s="1409">
        <f>2874.359/2</f>
        <v>1437.1795</v>
      </c>
      <c r="BJ398" s="1618">
        <f>2887.564/2</f>
        <v>1443.7819999999999</v>
      </c>
      <c r="BK398" s="1409">
        <f>2908.746/2</f>
        <v>1454.373</v>
      </c>
      <c r="BL398" s="1409">
        <f>2924.929/2</f>
        <v>1462.4645</v>
      </c>
      <c r="BM398" s="1409">
        <f>2849.216/2</f>
        <v>1424.6079999999999</v>
      </c>
      <c r="BN398" s="1661">
        <f>W398</f>
        <v>1499.4029299999997</v>
      </c>
      <c r="BO398" s="1010">
        <f t="shared" si="451"/>
        <v>1499.4029299999997</v>
      </c>
      <c r="BP398" s="1010">
        <f t="shared" si="451"/>
        <v>1499.4029299999997</v>
      </c>
      <c r="BQ398" s="1010">
        <f t="shared" si="451"/>
        <v>1499.4029299999997</v>
      </c>
      <c r="BR398" s="83"/>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c r="CS398"/>
      <c r="CT398"/>
      <c r="CU398"/>
      <c r="CV398"/>
      <c r="CW398"/>
    </row>
    <row r="399" spans="8:101" s="42" customFormat="1" outlineLevel="1">
      <c r="H399" s="563"/>
      <c r="I399" s="588"/>
      <c r="J399" s="369" t="s">
        <v>247</v>
      </c>
      <c r="K399" s="11"/>
      <c r="L399" s="11"/>
      <c r="M399" s="11"/>
      <c r="N399" s="433">
        <f>380.53697</f>
        <v>380.53697</v>
      </c>
      <c r="O399" s="1413">
        <f>905.35614</f>
        <v>905.35613999999998</v>
      </c>
      <c r="P399" s="1413">
        <f>1211.46963</f>
        <v>1211.4696300000001</v>
      </c>
      <c r="Q399" s="1413">
        <f>(1358.540331-38.083486+191.894+84.786405)</f>
        <v>1597.13725</v>
      </c>
      <c r="R399" s="1413">
        <f>(1502.933134-39.279042+191.894+59.539244)</f>
        <v>1715.0873360000003</v>
      </c>
      <c r="S399" s="1404">
        <f>S398</f>
        <v>1209.8341235</v>
      </c>
      <c r="T399" s="1404">
        <f>T397</f>
        <v>1367.5170169999999</v>
      </c>
      <c r="U399" s="1404">
        <f>U397</f>
        <v>1402.384</v>
      </c>
      <c r="V399" s="1404">
        <f>V397</f>
        <v>1422.413</v>
      </c>
      <c r="W399" s="39">
        <f t="shared" ref="W399:AD399" si="453">V399</f>
        <v>1422.413</v>
      </c>
      <c r="X399" s="39">
        <f t="shared" si="453"/>
        <v>1422.413</v>
      </c>
      <c r="Y399" s="39">
        <f t="shared" si="453"/>
        <v>1422.413</v>
      </c>
      <c r="Z399" s="39">
        <f t="shared" si="453"/>
        <v>1422.413</v>
      </c>
      <c r="AA399" s="39">
        <f t="shared" si="453"/>
        <v>1422.413</v>
      </c>
      <c r="AB399" s="39">
        <f t="shared" si="453"/>
        <v>1422.413</v>
      </c>
      <c r="AC399" s="39">
        <f t="shared" si="453"/>
        <v>1422.413</v>
      </c>
      <c r="AD399" s="39">
        <f t="shared" si="453"/>
        <v>1422.413</v>
      </c>
      <c r="AE399" s="28"/>
      <c r="AF399" s="287"/>
      <c r="AG399" s="28"/>
      <c r="AH399" s="28"/>
      <c r="AI399" s="429"/>
      <c r="AJ399" s="429"/>
      <c r="AK399" s="429"/>
      <c r="AL399" s="1764"/>
      <c r="AM399" s="428"/>
      <c r="AN399" s="428"/>
      <c r="AO399" s="428"/>
      <c r="AP399" s="1764"/>
      <c r="AQ399" s="428"/>
      <c r="AR399" s="428"/>
      <c r="AS399" s="1003"/>
      <c r="AT399" s="1700"/>
      <c r="AU399" s="1003"/>
      <c r="AV399" s="1003"/>
      <c r="AW399" s="1003"/>
      <c r="AX399" s="1700"/>
      <c r="AY399" s="1003"/>
      <c r="AZ399" s="1005"/>
      <c r="BA399" s="1005"/>
      <c r="BB399" s="1700"/>
      <c r="BC399" s="1005"/>
      <c r="BD399" s="1005"/>
      <c r="BE399" s="1005"/>
      <c r="BF399" s="1427"/>
      <c r="BG399" s="1426"/>
      <c r="BH399" s="1426"/>
      <c r="BI399" s="1425"/>
      <c r="BJ399" s="1427"/>
      <c r="BK399" s="1428"/>
      <c r="BL399" s="1425"/>
      <c r="BM399" s="1425"/>
      <c r="BN399" s="1006"/>
      <c r="BO399" s="1005"/>
      <c r="BP399" s="1005"/>
      <c r="BQ399" s="1005"/>
      <c r="BR399" s="28"/>
      <c r="BS399" s="28"/>
      <c r="BT399" s="28"/>
      <c r="BU399" s="28"/>
      <c r="BV399" s="28"/>
      <c r="BW399" s="2"/>
      <c r="BX399" s="2"/>
      <c r="BY399" s="2"/>
      <c r="BZ399" s="2"/>
      <c r="CA399" s="2"/>
      <c r="CB399" s="2"/>
      <c r="CC399" s="2"/>
      <c r="CD399" s="2"/>
      <c r="CE399" s="2"/>
      <c r="CF399" s="2"/>
      <c r="CG399" s="2"/>
      <c r="CH399" s="2"/>
      <c r="CI399" s="2"/>
      <c r="CJ399" s="2"/>
      <c r="CK399" s="2"/>
      <c r="CL399" s="2"/>
      <c r="CM399" s="2"/>
      <c r="CN399" s="2"/>
      <c r="CO399" s="2"/>
      <c r="CP399" s="2"/>
      <c r="CQ399" s="2"/>
      <c r="CR399"/>
      <c r="CS399"/>
      <c r="CT399"/>
      <c r="CU399"/>
      <c r="CV399"/>
      <c r="CW399"/>
    </row>
    <row r="400" spans="8:101" s="593" customFormat="1" outlineLevel="1">
      <c r="I400" s="587"/>
      <c r="J400" s="59" t="s">
        <v>54</v>
      </c>
      <c r="K400" s="11"/>
      <c r="L400" s="11"/>
      <c r="M400" s="11"/>
      <c r="N400" s="205">
        <f t="shared" ref="N400:V400" si="454">N398/N397</f>
        <v>1</v>
      </c>
      <c r="O400" s="205">
        <f t="shared" si="454"/>
        <v>1</v>
      </c>
      <c r="P400" s="205">
        <f t="shared" si="454"/>
        <v>1</v>
      </c>
      <c r="Q400" s="205">
        <f t="shared" si="454"/>
        <v>1</v>
      </c>
      <c r="R400" s="205">
        <f t="shared" si="454"/>
        <v>1</v>
      </c>
      <c r="S400" s="215">
        <f t="shared" si="454"/>
        <v>1.1256007760159281</v>
      </c>
      <c r="T400" s="215">
        <f t="shared" si="454"/>
        <v>1</v>
      </c>
      <c r="U400" s="215">
        <f t="shared" si="454"/>
        <v>1</v>
      </c>
      <c r="V400" s="215">
        <f t="shared" si="454"/>
        <v>1.0234235766967821</v>
      </c>
      <c r="W400" s="1151">
        <f t="shared" ref="W400:AD400" si="455">V400</f>
        <v>1.0234235766967821</v>
      </c>
      <c r="X400" s="1146">
        <f t="shared" si="455"/>
        <v>1.0234235766967821</v>
      </c>
      <c r="Y400" s="1146">
        <f t="shared" si="455"/>
        <v>1.0234235766967821</v>
      </c>
      <c r="Z400" s="1146">
        <f t="shared" si="455"/>
        <v>1.0234235766967821</v>
      </c>
      <c r="AA400" s="1146">
        <f t="shared" si="455"/>
        <v>1.0234235766967821</v>
      </c>
      <c r="AB400" s="1146">
        <f t="shared" si="455"/>
        <v>1.0234235766967821</v>
      </c>
      <c r="AC400" s="1146">
        <f t="shared" si="455"/>
        <v>1.0234235766967821</v>
      </c>
      <c r="AD400" s="1146">
        <f t="shared" si="455"/>
        <v>1.0234235766967821</v>
      </c>
      <c r="AE400" s="3"/>
      <c r="AF400" s="3"/>
      <c r="AG400" s="3"/>
      <c r="AH400" s="11"/>
      <c r="AI400" s="11"/>
      <c r="AJ400" s="11"/>
      <c r="AK400" s="11"/>
      <c r="AL400" s="662"/>
      <c r="AM400" s="205"/>
      <c r="AN400" s="205"/>
      <c r="AO400" s="205"/>
      <c r="AP400" s="662"/>
      <c r="AQ400" s="205"/>
      <c r="AR400" s="205"/>
      <c r="AS400" s="39"/>
      <c r="AT400" s="757"/>
      <c r="AU400" s="39"/>
      <c r="AV400" s="39"/>
      <c r="AW400" s="39"/>
      <c r="AX400" s="757"/>
      <c r="AY400" s="647">
        <f t="shared" ref="AY400:BQ400" si="456">AY398/AY397</f>
        <v>1</v>
      </c>
      <c r="AZ400" s="647">
        <f t="shared" si="456"/>
        <v>1</v>
      </c>
      <c r="BA400" s="647">
        <f t="shared" si="456"/>
        <v>1</v>
      </c>
      <c r="BB400" s="1701">
        <f t="shared" si="456"/>
        <v>1</v>
      </c>
      <c r="BC400" s="403">
        <f t="shared" si="456"/>
        <v>1</v>
      </c>
      <c r="BD400" s="403">
        <f t="shared" si="456"/>
        <v>1</v>
      </c>
      <c r="BE400" s="1147">
        <f t="shared" si="456"/>
        <v>1</v>
      </c>
      <c r="BF400" s="1619">
        <f t="shared" si="456"/>
        <v>1</v>
      </c>
      <c r="BG400" s="1148">
        <f t="shared" si="456"/>
        <v>1</v>
      </c>
      <c r="BH400" s="1148">
        <f t="shared" si="456"/>
        <v>1.0123148748559061</v>
      </c>
      <c r="BI400" s="1147">
        <f t="shared" si="456"/>
        <v>1.014143309413031</v>
      </c>
      <c r="BJ400" s="1619">
        <f t="shared" si="456"/>
        <v>1.0177502279533752</v>
      </c>
      <c r="BK400" s="1147">
        <f t="shared" si="456"/>
        <v>1.0222719403494938</v>
      </c>
      <c r="BL400" s="1147">
        <f t="shared" si="456"/>
        <v>1.0271879546733973</v>
      </c>
      <c r="BM400" s="1147">
        <f t="shared" si="456"/>
        <v>1</v>
      </c>
      <c r="BN400" s="1619">
        <f t="shared" si="456"/>
        <v>1.0234235766967821</v>
      </c>
      <c r="BO400" s="1147">
        <f t="shared" si="456"/>
        <v>1.0234235766967821</v>
      </c>
      <c r="BP400" s="1147">
        <f t="shared" si="456"/>
        <v>1.0234235766967821</v>
      </c>
      <c r="BQ400" s="1147">
        <f t="shared" si="456"/>
        <v>1.0234235766967821</v>
      </c>
      <c r="BR400" s="538"/>
      <c r="BS400" s="3"/>
      <c r="BT400" s="3"/>
      <c r="BU400" s="3"/>
      <c r="BV400" s="3"/>
      <c r="BW400" s="3"/>
      <c r="BX400" s="3"/>
      <c r="BY400" s="3"/>
      <c r="BZ400" s="3"/>
      <c r="CA400" s="3"/>
      <c r="CB400" s="3"/>
      <c r="CC400" s="3"/>
      <c r="CD400" s="3"/>
      <c r="CE400" s="3"/>
      <c r="CF400" s="3"/>
      <c r="CG400" s="3"/>
      <c r="CH400" s="3"/>
      <c r="CI400" s="3"/>
      <c r="CJ400" s="3"/>
      <c r="CK400" s="3"/>
      <c r="CL400" s="3"/>
      <c r="CM400" s="3"/>
      <c r="CN400" s="3"/>
      <c r="CO400" s="3"/>
      <c r="CP400" s="3"/>
      <c r="CQ400" s="3"/>
      <c r="CR400"/>
      <c r="CS400"/>
      <c r="CT400"/>
      <c r="CU400"/>
      <c r="CV400"/>
      <c r="CW400"/>
    </row>
    <row r="401" spans="1:101" s="500" customFormat="1">
      <c r="A401" s="290"/>
      <c r="B401" s="290"/>
      <c r="C401" s="290"/>
      <c r="D401" s="290"/>
      <c r="E401" s="290"/>
      <c r="F401" s="290"/>
      <c r="G401" s="290"/>
      <c r="H401" s="557"/>
      <c r="I401" s="557"/>
      <c r="Q401" s="1385"/>
      <c r="R401" s="1385"/>
      <c r="S401" s="1386"/>
      <c r="T401" s="1386"/>
      <c r="U401" s="506"/>
      <c r="V401" s="506"/>
      <c r="AG401" s="513"/>
      <c r="AL401" s="529"/>
      <c r="AP401" s="529"/>
      <c r="AT401" s="529"/>
      <c r="AW401" s="506"/>
      <c r="AX401" s="529"/>
      <c r="AY401" s="506"/>
      <c r="AZ401" s="506"/>
      <c r="BA401" s="506"/>
      <c r="BB401" s="529"/>
      <c r="BC401" s="506"/>
      <c r="BD401" s="506"/>
      <c r="BE401" s="506"/>
      <c r="BF401" s="529"/>
      <c r="BG401" s="506"/>
      <c r="BH401" s="506"/>
      <c r="BI401" s="506"/>
      <c r="BJ401" s="529"/>
      <c r="BK401" s="506"/>
      <c r="BL401" s="506"/>
      <c r="BM401" s="506"/>
      <c r="BN401" s="529"/>
      <c r="BO401" s="506"/>
      <c r="BP401" s="506"/>
      <c r="BQ401" s="506"/>
      <c r="BR401" s="506"/>
      <c r="CR401"/>
      <c r="CS401"/>
      <c r="CT401"/>
      <c r="CU401"/>
      <c r="CV401"/>
      <c r="CW401"/>
    </row>
    <row r="402" spans="1:101" s="477" customFormat="1">
      <c r="A402" s="563"/>
      <c r="B402" s="583"/>
      <c r="C402" s="583"/>
      <c r="D402" s="583"/>
      <c r="E402" s="583"/>
      <c r="F402" s="583"/>
      <c r="G402" s="583"/>
      <c r="H402" s="563"/>
      <c r="I402" s="588"/>
      <c r="J402" s="1392" t="s">
        <v>205</v>
      </c>
      <c r="K402" s="1387"/>
      <c r="L402" s="1387"/>
      <c r="M402" s="1387"/>
      <c r="N402" s="1388"/>
      <c r="O402" s="1388"/>
      <c r="P402" s="1388"/>
      <c r="Q402" s="1388"/>
      <c r="R402" s="1388"/>
      <c r="S402" s="1389"/>
      <c r="T402" s="1389"/>
      <c r="U402" s="1389"/>
      <c r="V402" s="1390"/>
      <c r="W402" s="1389"/>
      <c r="X402" s="1389"/>
      <c r="Y402" s="1389"/>
      <c r="Z402" s="1389"/>
      <c r="AA402" s="1389"/>
      <c r="AB402" s="1389"/>
      <c r="AC402" s="1389"/>
      <c r="AD402" s="1389"/>
      <c r="AE402" s="480"/>
      <c r="AF402" s="1391"/>
      <c r="AG402" s="480"/>
      <c r="AH402" s="1387"/>
      <c r="AI402" s="1387"/>
      <c r="AJ402" s="1387"/>
      <c r="AK402" s="1387"/>
      <c r="AL402" s="1742"/>
      <c r="AM402" s="1387"/>
      <c r="AN402" s="1387"/>
      <c r="AO402" s="1387"/>
      <c r="AP402" s="1742"/>
      <c r="AQ402" s="1387"/>
      <c r="AR402" s="1387"/>
      <c r="AS402" s="1387"/>
      <c r="AT402" s="1742"/>
      <c r="AU402" s="1387"/>
      <c r="AV402" s="1387"/>
      <c r="AW402" s="1387"/>
      <c r="AX402" s="1620"/>
      <c r="AY402" s="1352"/>
      <c r="AZ402" s="1352"/>
      <c r="BA402" s="1353"/>
      <c r="BB402" s="1620"/>
      <c r="BC402" s="1352"/>
      <c r="BD402" s="1352"/>
      <c r="BE402" s="1353"/>
      <c r="BF402" s="1620"/>
      <c r="BG402" s="1387"/>
      <c r="BH402" s="1387"/>
      <c r="BI402" s="1353"/>
      <c r="BJ402" s="1620"/>
      <c r="BK402" s="1352"/>
      <c r="BL402" s="1352"/>
      <c r="BM402" s="1353"/>
      <c r="BN402" s="1662"/>
      <c r="BO402" s="1352"/>
      <c r="BP402" s="1352"/>
      <c r="BQ402" s="1352"/>
      <c r="CR402"/>
      <c r="CS402"/>
      <c r="CT402"/>
      <c r="CU402"/>
      <c r="CV402"/>
      <c r="CW402"/>
    </row>
    <row r="403" spans="1:101" s="42" customFormat="1" outlineLevel="1">
      <c r="H403" s="289"/>
      <c r="I403" s="586"/>
      <c r="J403" s="11" t="s">
        <v>313</v>
      </c>
      <c r="K403" s="13"/>
      <c r="L403" s="13"/>
      <c r="M403" s="13"/>
      <c r="N403" s="352"/>
      <c r="O403" s="352"/>
      <c r="P403" s="1269">
        <v>29800</v>
      </c>
      <c r="Q403" s="1269">
        <v>56700</v>
      </c>
      <c r="R403" s="1269">
        <v>93705.882352941175</v>
      </c>
      <c r="S403" s="1269">
        <v>159300</v>
      </c>
      <c r="T403" s="1269">
        <v>255600</v>
      </c>
      <c r="U403" s="1269">
        <v>372300</v>
      </c>
      <c r="V403" s="352">
        <f>Model!V76</f>
        <v>527338.56000000006</v>
      </c>
      <c r="W403" s="352">
        <f>Model!W76</f>
        <v>677331.72275999992</v>
      </c>
      <c r="X403" s="352">
        <f>Model!X76</f>
        <v>837341.09316361323</v>
      </c>
      <c r="Y403" s="352">
        <f>Model!Y76</f>
        <v>996415.15258982498</v>
      </c>
      <c r="Z403" s="352">
        <f>Model!Z76</f>
        <v>1114161.1753088101</v>
      </c>
      <c r="AA403" s="352">
        <f>Model!AA76</f>
        <v>1199283.0891024033</v>
      </c>
      <c r="AB403" s="352">
        <f>Model!AB76</f>
        <v>1290908.3171098267</v>
      </c>
      <c r="AC403" s="352">
        <f>Model!AC76</f>
        <v>1389533.7125370174</v>
      </c>
      <c r="AD403" s="352">
        <f>Model!AD76</f>
        <v>1495694.0881748456</v>
      </c>
      <c r="AE403" s="836"/>
      <c r="AF403" s="1912">
        <f t="shared" ref="AF403:AF415" si="457">(Y403/V403)^(1/3)-1</f>
        <v>0.23628025043074885</v>
      </c>
      <c r="AG403" s="11"/>
      <c r="AH403" s="245"/>
      <c r="AI403" s="245"/>
      <c r="AJ403" s="245"/>
      <c r="AK403" s="245"/>
      <c r="AL403" s="1782"/>
      <c r="AM403" s="245"/>
      <c r="AN403" s="245"/>
      <c r="AO403" s="245"/>
      <c r="AP403" s="1635">
        <f>Model!AP76</f>
        <v>0</v>
      </c>
      <c r="AQ403" s="833">
        <f>Model!AQ76</f>
        <v>0</v>
      </c>
      <c r="AR403" s="833">
        <f>Model!AR76</f>
        <v>0</v>
      </c>
      <c r="AS403" s="833">
        <f>Model!AS76</f>
        <v>0</v>
      </c>
      <c r="AT403" s="1421">
        <v>18400</v>
      </c>
      <c r="AU403" s="1269">
        <v>23600</v>
      </c>
      <c r="AV403" s="1269">
        <v>24200</v>
      </c>
      <c r="AW403" s="1269">
        <v>27344.632768361582</v>
      </c>
      <c r="AX403" s="1421">
        <v>31200</v>
      </c>
      <c r="AY403" s="1269">
        <v>39200</v>
      </c>
      <c r="AZ403" s="1269">
        <v>40500</v>
      </c>
      <c r="BA403" s="1269">
        <v>48400</v>
      </c>
      <c r="BB403" s="1421">
        <v>50900</v>
      </c>
      <c r="BC403" s="1269">
        <v>64700</v>
      </c>
      <c r="BD403" s="1269">
        <v>61300</v>
      </c>
      <c r="BE403" s="1269">
        <v>78700</v>
      </c>
      <c r="BF403" s="742">
        <v>76200</v>
      </c>
      <c r="BG403" s="352">
        <v>94700</v>
      </c>
      <c r="BH403" s="352">
        <v>86800</v>
      </c>
      <c r="BI403" s="352">
        <v>114700</v>
      </c>
      <c r="BJ403" s="742">
        <v>107900</v>
      </c>
      <c r="BK403" s="352">
        <v>136600</v>
      </c>
      <c r="BL403" s="352">
        <f>Model!BL76</f>
        <v>121287.86880000001</v>
      </c>
      <c r="BM403" s="1451">
        <f>V403-SUM(BJ403:BL403)</f>
        <v>161550.69120000006</v>
      </c>
      <c r="BN403" s="742">
        <f>Model!BN76</f>
        <v>142239.66177959996</v>
      </c>
      <c r="BO403" s="352">
        <f>Model!BO76</f>
        <v>176106.24791759998</v>
      </c>
      <c r="BP403" s="352">
        <f>Model!BP76</f>
        <v>149012.97900719999</v>
      </c>
      <c r="BQ403" s="1451">
        <f>W403-SUM(BN403:BP403)</f>
        <v>209972.83405559999</v>
      </c>
      <c r="BR403" s="245"/>
      <c r="BS403" s="245"/>
      <c r="BT403" s="245"/>
      <c r="BU403" s="245"/>
      <c r="BV403" s="245"/>
      <c r="BW403" s="245"/>
      <c r="BX403" s="245"/>
      <c r="BY403" s="245"/>
      <c r="BZ403" s="245"/>
      <c r="CA403" s="245"/>
      <c r="CB403" s="246"/>
      <c r="CC403" s="246"/>
      <c r="CD403" s="2"/>
      <c r="CE403" s="2"/>
      <c r="CF403" s="2"/>
      <c r="CG403" s="2"/>
      <c r="CH403" s="2"/>
      <c r="CI403" s="2"/>
      <c r="CJ403" s="2"/>
      <c r="CK403" s="2"/>
      <c r="CL403" s="2"/>
      <c r="CM403" s="2"/>
      <c r="CN403" s="2"/>
      <c r="CO403" s="2"/>
      <c r="CP403" s="2"/>
      <c r="CQ403" s="2"/>
      <c r="CR403"/>
      <c r="CS403"/>
      <c r="CT403"/>
      <c r="CU403"/>
      <c r="CV403"/>
      <c r="CW403"/>
    </row>
    <row r="404" spans="1:101" s="583" customFormat="1" outlineLevel="1">
      <c r="H404" s="563"/>
      <c r="I404" s="588"/>
      <c r="J404" s="191" t="s">
        <v>312</v>
      </c>
      <c r="K404" s="13"/>
      <c r="L404" s="13"/>
      <c r="M404" s="13"/>
      <c r="N404" s="352"/>
      <c r="O404" s="352"/>
      <c r="P404" s="1269">
        <v>2900</v>
      </c>
      <c r="Q404" s="1269">
        <v>16600</v>
      </c>
      <c r="R404" s="1269">
        <v>31829.652996845427</v>
      </c>
      <c r="S404" s="1269">
        <v>100900</v>
      </c>
      <c r="T404" s="1269">
        <v>207100</v>
      </c>
      <c r="U404" s="1269">
        <v>285900</v>
      </c>
      <c r="V404" s="352">
        <f>Model!V77</f>
        <v>378741.44</v>
      </c>
      <c r="W404" s="352">
        <f>Model!W77</f>
        <v>510969.54523999983</v>
      </c>
      <c r="X404" s="352">
        <f>Model!X77</f>
        <v>644678.54075428634</v>
      </c>
      <c r="Y404" s="352">
        <f>Model!Y77</f>
        <v>782897.61989200523</v>
      </c>
      <c r="Z404" s="352">
        <f>Model!Z77</f>
        <v>911586.41616175359</v>
      </c>
      <c r="AA404" s="352">
        <f>Model!AA77</f>
        <v>981231.6183565117</v>
      </c>
      <c r="AB404" s="352">
        <f>Model!AB77</f>
        <v>1056197.7139989492</v>
      </c>
      <c r="AC404" s="352">
        <f>Model!AC77</f>
        <v>1136891.2193484688</v>
      </c>
      <c r="AD404" s="352">
        <f>Model!AD77</f>
        <v>1223749.7085066917</v>
      </c>
      <c r="AE404" s="734"/>
      <c r="AF404" s="1912">
        <f t="shared" si="457"/>
        <v>0.2738571104125711</v>
      </c>
      <c r="AG404" s="28"/>
      <c r="AH404" s="245"/>
      <c r="AI404" s="245"/>
      <c r="AJ404" s="245"/>
      <c r="AK404" s="245"/>
      <c r="AL404" s="1782"/>
      <c r="AM404" s="245"/>
      <c r="AN404" s="245"/>
      <c r="AO404" s="245"/>
      <c r="AP404" s="1635">
        <f>Model!AP77</f>
        <v>0</v>
      </c>
      <c r="AQ404" s="833">
        <f>Model!AQ77</f>
        <v>0</v>
      </c>
      <c r="AR404" s="833">
        <f>Model!AR77</f>
        <v>0</v>
      </c>
      <c r="AS404" s="833">
        <f>Model!AS77</f>
        <v>0</v>
      </c>
      <c r="AT404" s="1421">
        <v>5600</v>
      </c>
      <c r="AU404" s="1269">
        <v>6900</v>
      </c>
      <c r="AV404" s="1269">
        <v>7700</v>
      </c>
      <c r="AW404" s="1269">
        <v>11687.5</v>
      </c>
      <c r="AX404" s="1421">
        <v>12900</v>
      </c>
      <c r="AY404" s="1269">
        <v>23800</v>
      </c>
      <c r="AZ404" s="1269">
        <v>26800</v>
      </c>
      <c r="BA404" s="1269">
        <v>37400</v>
      </c>
      <c r="BB404" s="1421">
        <v>36900</v>
      </c>
      <c r="BC404" s="1269">
        <v>49800</v>
      </c>
      <c r="BD404" s="1269">
        <v>53700</v>
      </c>
      <c r="BE404" s="1269">
        <v>66700</v>
      </c>
      <c r="BF404" s="742">
        <v>53100</v>
      </c>
      <c r="BG404" s="352">
        <v>65700</v>
      </c>
      <c r="BH404" s="352">
        <v>72000</v>
      </c>
      <c r="BI404" s="352">
        <v>95000</v>
      </c>
      <c r="BJ404" s="742">
        <v>76200</v>
      </c>
      <c r="BK404" s="352">
        <v>98200</v>
      </c>
      <c r="BL404" s="352">
        <f>Model!BL77</f>
        <v>91528.746072912458</v>
      </c>
      <c r="BM404" s="1451">
        <f>V404-SUM(BJ404:BL404)</f>
        <v>112812.69392708753</v>
      </c>
      <c r="BN404" s="742">
        <f>Model!BN77</f>
        <v>97084.213595599969</v>
      </c>
      <c r="BO404" s="352">
        <f>Model!BO77</f>
        <v>127742.38630999996</v>
      </c>
      <c r="BP404" s="352">
        <f>Model!BP77</f>
        <v>117522.99540519997</v>
      </c>
      <c r="BQ404" s="1451">
        <f>W404-SUM(BN404:BP404)</f>
        <v>168619.94992919994</v>
      </c>
      <c r="BR404" s="245"/>
      <c r="BS404" s="245"/>
      <c r="BT404" s="245"/>
      <c r="BU404" s="245"/>
      <c r="BV404" s="245"/>
      <c r="BW404" s="245"/>
      <c r="BX404" s="245"/>
      <c r="BY404" s="245"/>
      <c r="BZ404" s="245"/>
      <c r="CA404" s="245"/>
      <c r="CB404" s="246"/>
      <c r="CC404" s="246"/>
      <c r="CD404" s="83"/>
      <c r="CE404" s="83"/>
      <c r="CF404" s="83"/>
      <c r="CG404" s="83"/>
      <c r="CH404" s="83"/>
      <c r="CI404" s="83"/>
      <c r="CJ404" s="83"/>
      <c r="CK404" s="83"/>
      <c r="CL404" s="83"/>
      <c r="CM404" s="83"/>
      <c r="CN404" s="83"/>
      <c r="CO404" s="83"/>
      <c r="CP404" s="83"/>
      <c r="CQ404" s="83"/>
      <c r="CR404"/>
      <c r="CS404"/>
      <c r="CT404"/>
      <c r="CU404"/>
      <c r="CV404"/>
      <c r="CW404"/>
    </row>
    <row r="405" spans="1:101" s="589" customFormat="1" outlineLevel="1">
      <c r="H405" s="378"/>
      <c r="I405" s="590"/>
      <c r="J405" s="13" t="s">
        <v>623</v>
      </c>
      <c r="K405" s="13"/>
      <c r="L405" s="13"/>
      <c r="M405" s="13"/>
      <c r="N405" s="213"/>
      <c r="O405" s="213"/>
      <c r="P405" s="1008">
        <f t="shared" ref="P405:V405" si="458">SUM(P403:P404)</f>
        <v>32700</v>
      </c>
      <c r="Q405" s="1008">
        <f t="shared" si="458"/>
        <v>73300</v>
      </c>
      <c r="R405" s="1008">
        <f t="shared" si="458"/>
        <v>125535.5353497866</v>
      </c>
      <c r="S405" s="844">
        <f t="shared" si="458"/>
        <v>260200</v>
      </c>
      <c r="T405" s="844">
        <f t="shared" si="458"/>
        <v>462700</v>
      </c>
      <c r="U405" s="844">
        <f t="shared" si="458"/>
        <v>658200</v>
      </c>
      <c r="V405" s="844">
        <f t="shared" si="458"/>
        <v>906080</v>
      </c>
      <c r="W405" s="844">
        <f t="shared" ref="W405:AD405" si="459">SUM(W403:W404)</f>
        <v>1188301.2679999997</v>
      </c>
      <c r="X405" s="844">
        <f t="shared" si="459"/>
        <v>1482019.6339178996</v>
      </c>
      <c r="Y405" s="844">
        <f t="shared" si="459"/>
        <v>1779312.7724818303</v>
      </c>
      <c r="Z405" s="844">
        <f t="shared" si="459"/>
        <v>2025747.5914705638</v>
      </c>
      <c r="AA405" s="844">
        <f t="shared" si="459"/>
        <v>2180514.7074589152</v>
      </c>
      <c r="AB405" s="844">
        <f t="shared" si="459"/>
        <v>2347106.0311087761</v>
      </c>
      <c r="AC405" s="844">
        <f t="shared" si="459"/>
        <v>2526424.9318854865</v>
      </c>
      <c r="AD405" s="844">
        <f t="shared" si="459"/>
        <v>2719443.7966815373</v>
      </c>
      <c r="AE405" s="734"/>
      <c r="AF405" s="920">
        <f t="shared" si="457"/>
        <v>0.25226214009218939</v>
      </c>
      <c r="AG405" s="13"/>
      <c r="AH405" s="13"/>
      <c r="AI405" s="13"/>
      <c r="AJ405" s="13"/>
      <c r="AK405" s="13"/>
      <c r="AL405" s="663"/>
      <c r="AM405" s="213"/>
      <c r="AN405" s="213"/>
      <c r="AO405" s="213"/>
      <c r="AP405" s="1450">
        <f t="shared" ref="AP405:BE405" si="460">SUM(AP403:AP404)</f>
        <v>0</v>
      </c>
      <c r="AQ405" s="844">
        <f t="shared" si="460"/>
        <v>0</v>
      </c>
      <c r="AR405" s="844">
        <f t="shared" si="460"/>
        <v>0</v>
      </c>
      <c r="AS405" s="844">
        <f t="shared" si="460"/>
        <v>0</v>
      </c>
      <c r="AT405" s="1450">
        <f t="shared" si="460"/>
        <v>24000</v>
      </c>
      <c r="AU405" s="844">
        <f t="shared" si="460"/>
        <v>30500</v>
      </c>
      <c r="AV405" s="844">
        <f t="shared" si="460"/>
        <v>31900</v>
      </c>
      <c r="AW405" s="844">
        <f t="shared" si="460"/>
        <v>39032.132768361582</v>
      </c>
      <c r="AX405" s="1450">
        <f t="shared" si="460"/>
        <v>44100</v>
      </c>
      <c r="AY405" s="844">
        <f t="shared" si="460"/>
        <v>63000</v>
      </c>
      <c r="AZ405" s="844">
        <f t="shared" si="460"/>
        <v>67300</v>
      </c>
      <c r="BA405" s="844">
        <f t="shared" si="460"/>
        <v>85800</v>
      </c>
      <c r="BB405" s="1450">
        <f t="shared" si="460"/>
        <v>87800</v>
      </c>
      <c r="BC405" s="844">
        <f t="shared" si="460"/>
        <v>114500</v>
      </c>
      <c r="BD405" s="844">
        <f t="shared" si="460"/>
        <v>115000</v>
      </c>
      <c r="BE405" s="844">
        <f t="shared" si="460"/>
        <v>145400</v>
      </c>
      <c r="BF405" s="1450">
        <f t="shared" ref="BF405:BQ405" si="461">SUM(BF403:BF404)</f>
        <v>129300</v>
      </c>
      <c r="BG405" s="844">
        <f t="shared" si="461"/>
        <v>160400</v>
      </c>
      <c r="BH405" s="844">
        <f t="shared" si="461"/>
        <v>158800</v>
      </c>
      <c r="BI405" s="844">
        <f t="shared" si="461"/>
        <v>209700</v>
      </c>
      <c r="BJ405" s="1450">
        <f t="shared" si="461"/>
        <v>184100</v>
      </c>
      <c r="BK405" s="844">
        <f t="shared" si="461"/>
        <v>234800</v>
      </c>
      <c r="BL405" s="844">
        <f t="shared" si="461"/>
        <v>212816.61487291247</v>
      </c>
      <c r="BM405" s="844">
        <f t="shared" si="461"/>
        <v>274363.38512708759</v>
      </c>
      <c r="BN405" s="1450">
        <f t="shared" si="461"/>
        <v>239323.87537519995</v>
      </c>
      <c r="BO405" s="844">
        <f t="shared" si="461"/>
        <v>303848.63422759995</v>
      </c>
      <c r="BP405" s="844">
        <f t="shared" si="461"/>
        <v>266535.97441239993</v>
      </c>
      <c r="BQ405" s="844">
        <f t="shared" si="461"/>
        <v>378592.78398479993</v>
      </c>
      <c r="BR405" s="462"/>
      <c r="BS405" s="462"/>
      <c r="BT405" s="462"/>
      <c r="BU405" s="462"/>
      <c r="BV405" s="462"/>
      <c r="BW405" s="462"/>
      <c r="BX405" s="462"/>
      <c r="BY405" s="462"/>
      <c r="BZ405" s="462"/>
      <c r="CA405" s="462"/>
      <c r="CB405" s="462"/>
      <c r="CC405" s="462"/>
      <c r="CD405" s="296"/>
      <c r="CE405" s="296"/>
      <c r="CF405" s="296"/>
      <c r="CG405" s="296"/>
      <c r="CH405" s="296"/>
      <c r="CI405" s="296"/>
      <c r="CJ405" s="296"/>
      <c r="CK405" s="296"/>
      <c r="CL405" s="296"/>
      <c r="CM405" s="296"/>
      <c r="CN405" s="296"/>
      <c r="CO405" s="296"/>
      <c r="CP405" s="296"/>
      <c r="CQ405" s="296"/>
      <c r="CR405"/>
      <c r="CS405"/>
      <c r="CT405"/>
      <c r="CU405"/>
      <c r="CV405"/>
      <c r="CW405"/>
    </row>
    <row r="406" spans="1:101" s="589" customFormat="1" outlineLevel="1">
      <c r="H406" s="378"/>
      <c r="I406" s="590"/>
      <c r="J406" s="13" t="s">
        <v>624</v>
      </c>
      <c r="K406" s="13"/>
      <c r="L406" s="13"/>
      <c r="M406" s="13"/>
      <c r="N406" s="213"/>
      <c r="O406" s="213"/>
      <c r="P406" s="1008"/>
      <c r="Q406" s="1008"/>
      <c r="R406" s="1008"/>
      <c r="S406" s="844"/>
      <c r="T406" s="844"/>
      <c r="U406" s="844">
        <f>Model!U71</f>
        <v>939100</v>
      </c>
      <c r="V406" s="844">
        <f>Model!V71</f>
        <v>1294400</v>
      </c>
      <c r="W406" s="844">
        <f>Model!W71</f>
        <v>1697573.2399999998</v>
      </c>
      <c r="X406" s="844">
        <f>Model!X71</f>
        <v>2117170.9055969995</v>
      </c>
      <c r="Y406" s="844">
        <f>Model!Y71</f>
        <v>2541875.3892597575</v>
      </c>
      <c r="Z406" s="844">
        <f>Model!Z71</f>
        <v>2893925.1306722336</v>
      </c>
      <c r="AA406" s="844">
        <f>Model!AA71</f>
        <v>3115021.0106555927</v>
      </c>
      <c r="AB406" s="844">
        <f>Model!AB71</f>
        <v>3353008.6158696795</v>
      </c>
      <c r="AC406" s="844">
        <f>Model!AC71</f>
        <v>3609178.4741221229</v>
      </c>
      <c r="AD406" s="844">
        <f>Model!AD71</f>
        <v>3884919.7095450535</v>
      </c>
      <c r="AE406" s="734"/>
      <c r="AF406" s="364"/>
      <c r="AG406" s="13"/>
      <c r="AH406" s="13"/>
      <c r="AI406" s="13"/>
      <c r="AJ406" s="13"/>
      <c r="AK406" s="13"/>
      <c r="AL406" s="663"/>
      <c r="AM406" s="213"/>
      <c r="AN406" s="213"/>
      <c r="AO406" s="213"/>
      <c r="AP406" s="1450"/>
      <c r="AQ406" s="844"/>
      <c r="AR406" s="844"/>
      <c r="AS406" s="844"/>
      <c r="AT406" s="1450"/>
      <c r="AU406" s="844"/>
      <c r="AV406" s="844"/>
      <c r="AW406" s="844"/>
      <c r="AX406" s="1450"/>
      <c r="AY406" s="844"/>
      <c r="AZ406" s="844"/>
      <c r="BA406" s="844"/>
      <c r="BB406" s="1450"/>
      <c r="BC406" s="844"/>
      <c r="BD406" s="844"/>
      <c r="BE406" s="844"/>
      <c r="BF406" s="1450">
        <f>Model!BF71</f>
        <v>178600</v>
      </c>
      <c r="BG406" s="844">
        <f>Model!BG71</f>
        <v>228900</v>
      </c>
      <c r="BH406" s="844">
        <f>Model!BH71</f>
        <v>228600</v>
      </c>
      <c r="BI406" s="844">
        <f>Model!BI71</f>
        <v>303000</v>
      </c>
      <c r="BJ406" s="1450">
        <f>Model!BJ71</f>
        <v>253200</v>
      </c>
      <c r="BK406" s="844">
        <f>Model!BK71</f>
        <v>335300</v>
      </c>
      <c r="BL406" s="844">
        <f>Model!BL71</f>
        <v>302500</v>
      </c>
      <c r="BM406" s="844">
        <f>Model!BM71</f>
        <v>403400</v>
      </c>
      <c r="BN406" s="1450">
        <f>Model!BN71</f>
        <v>340177.72693278827</v>
      </c>
      <c r="BO406" s="844">
        <f>Model!BO71</f>
        <v>431893.96612072474</v>
      </c>
      <c r="BP406" s="844">
        <f>Model!BP71</f>
        <v>378857.31951849256</v>
      </c>
      <c r="BQ406" s="844">
        <f>Model!BQ71</f>
        <v>546644.22742799413</v>
      </c>
      <c r="BR406" s="462"/>
      <c r="BS406" s="462"/>
      <c r="BT406" s="462"/>
      <c r="BU406" s="462"/>
      <c r="BV406" s="462"/>
      <c r="BW406" s="462"/>
      <c r="BX406" s="462"/>
      <c r="BY406" s="462"/>
      <c r="BZ406" s="462"/>
      <c r="CA406" s="462"/>
      <c r="CB406" s="462"/>
      <c r="CC406" s="462"/>
      <c r="CD406" s="296"/>
      <c r="CE406" s="296"/>
      <c r="CF406" s="296"/>
      <c r="CG406" s="296"/>
      <c r="CH406" s="296"/>
      <c r="CI406" s="296"/>
      <c r="CJ406" s="296"/>
      <c r="CK406" s="296"/>
      <c r="CL406" s="296"/>
      <c r="CM406" s="296"/>
      <c r="CN406" s="296"/>
      <c r="CO406" s="296"/>
      <c r="CP406" s="296"/>
      <c r="CQ406" s="296"/>
      <c r="CR406"/>
      <c r="CS406"/>
      <c r="CT406"/>
      <c r="CU406"/>
      <c r="CV406"/>
      <c r="CW406"/>
    </row>
    <row r="407" spans="1:101" s="256" customFormat="1" outlineLevel="1">
      <c r="A407" s="563"/>
      <c r="H407" s="563"/>
      <c r="I407" s="588"/>
      <c r="J407" s="28" t="s">
        <v>279</v>
      </c>
      <c r="K407" s="28"/>
      <c r="L407" s="28"/>
      <c r="M407" s="28"/>
      <c r="N407" s="915">
        <v>2906</v>
      </c>
      <c r="O407" s="915">
        <v>8566</v>
      </c>
      <c r="P407" s="915">
        <v>20888.010999999999</v>
      </c>
      <c r="Q407" s="915">
        <v>40334.550999999999</v>
      </c>
      <c r="R407" s="1403">
        <v>67018</v>
      </c>
      <c r="S407" s="1403">
        <v>108549</v>
      </c>
      <c r="T407" s="1403">
        <v>167721</v>
      </c>
      <c r="U407" s="1403">
        <v>237943.63200000001</v>
      </c>
      <c r="V407" s="1403">
        <v>331824.40999999997</v>
      </c>
      <c r="W407" s="863">
        <f>Model!W120</f>
        <v>419945.66811119992</v>
      </c>
      <c r="X407" s="863">
        <f>Model!X120</f>
        <v>519151.47776144021</v>
      </c>
      <c r="Y407" s="863">
        <f>Model!Y120</f>
        <v>617777.39460569143</v>
      </c>
      <c r="Z407" s="863">
        <f>Model!Z120</f>
        <v>690779.92869146226</v>
      </c>
      <c r="AA407" s="863">
        <f>Model!AA120</f>
        <v>743555.51524348999</v>
      </c>
      <c r="AB407" s="863">
        <f>Model!AB120</f>
        <v>800363.1566080926</v>
      </c>
      <c r="AC407" s="863">
        <f>Model!AC120</f>
        <v>861510.90177295078</v>
      </c>
      <c r="AD407" s="863">
        <f>Model!AD120</f>
        <v>927330.33466840419</v>
      </c>
      <c r="AE407" s="734"/>
      <c r="AF407" s="1912">
        <f t="shared" si="457"/>
        <v>0.23019670832718453</v>
      </c>
      <c r="AG407" s="28"/>
      <c r="AH407" s="28"/>
      <c r="AI407" s="28"/>
      <c r="AJ407" s="28"/>
      <c r="AK407" s="28"/>
      <c r="AL407" s="1764"/>
      <c r="AM407" s="428"/>
      <c r="AN407" s="428"/>
      <c r="AO407" s="428"/>
      <c r="AP407" s="1421">
        <v>7804</v>
      </c>
      <c r="AQ407" s="1269">
        <v>9501</v>
      </c>
      <c r="AR407" s="1269">
        <v>10850</v>
      </c>
      <c r="AS407" s="1269">
        <v>12180</v>
      </c>
      <c r="AT407" s="1421">
        <v>13322</v>
      </c>
      <c r="AU407" s="1269">
        <v>16895.281999999999</v>
      </c>
      <c r="AV407" s="1269">
        <v>17460.641</v>
      </c>
      <c r="AW407" s="1269">
        <v>19340</v>
      </c>
      <c r="AX407" s="1421">
        <v>21781.456999999999</v>
      </c>
      <c r="AY407" s="1269">
        <v>27018.303</v>
      </c>
      <c r="AZ407" s="1269">
        <v>27368.87</v>
      </c>
      <c r="BA407" s="1269">
        <v>32380.628000000001</v>
      </c>
      <c r="BB407" s="1421">
        <v>34548.516000000003</v>
      </c>
      <c r="BC407" s="1269">
        <v>42616.447</v>
      </c>
      <c r="BD407" s="1269">
        <v>40641.370999999999</v>
      </c>
      <c r="BE407" s="1269">
        <v>49914.65</v>
      </c>
      <c r="BF407" s="1614">
        <v>50061.334999999999</v>
      </c>
      <c r="BG407" s="1404">
        <v>59752.504000000001</v>
      </c>
      <c r="BH407" s="1404">
        <v>55195.489000000001</v>
      </c>
      <c r="BI407" s="1404">
        <v>72934.304000000004</v>
      </c>
      <c r="BJ407" s="1614">
        <v>69825.448999999993</v>
      </c>
      <c r="BK407" s="1404">
        <v>85386.013000000006</v>
      </c>
      <c r="BL407" s="1404">
        <v>76466.266000000003</v>
      </c>
      <c r="BM407" s="1404">
        <v>100146.682</v>
      </c>
      <c r="BN407" s="767">
        <f>Model!BN120</f>
        <v>91033.383538943977</v>
      </c>
      <c r="BO407" s="734">
        <f>Model!BO120</f>
        <v>109185.87370891198</v>
      </c>
      <c r="BP407" s="734">
        <f>Model!BP120</f>
        <v>93133.111879499993</v>
      </c>
      <c r="BQ407" s="1452">
        <f>W407-SUM(BN407:BP407)</f>
        <v>126593.298983844</v>
      </c>
      <c r="BR407" s="85"/>
      <c r="BS407" s="85"/>
      <c r="BT407" s="85"/>
      <c r="BU407" s="85"/>
      <c r="BV407" s="85"/>
      <c r="BW407" s="85"/>
      <c r="BX407" s="85"/>
      <c r="BY407" s="85"/>
      <c r="BZ407" s="85"/>
      <c r="CA407" s="85"/>
      <c r="CB407" s="85"/>
      <c r="CC407" s="85"/>
      <c r="CD407" s="238"/>
      <c r="CE407" s="238"/>
      <c r="CF407" s="238"/>
      <c r="CG407" s="238"/>
      <c r="CH407" s="238"/>
      <c r="CI407" s="238"/>
      <c r="CJ407" s="238"/>
      <c r="CK407" s="238"/>
      <c r="CL407" s="238"/>
      <c r="CM407" s="238"/>
      <c r="CN407" s="238"/>
      <c r="CO407" s="238"/>
      <c r="CP407" s="238"/>
      <c r="CQ407" s="238"/>
      <c r="CR407"/>
      <c r="CS407"/>
      <c r="CT407"/>
      <c r="CU407"/>
      <c r="CV407"/>
      <c r="CW407"/>
    </row>
    <row r="408" spans="1:101" s="583" customFormat="1" outlineLevel="1">
      <c r="H408" s="563"/>
      <c r="I408" s="588"/>
      <c r="J408" s="191" t="s">
        <v>280</v>
      </c>
      <c r="K408" s="28"/>
      <c r="L408" s="28"/>
      <c r="M408" s="28"/>
      <c r="N408" s="915">
        <v>13</v>
      </c>
      <c r="O408" s="915">
        <v>17</v>
      </c>
      <c r="P408" s="915">
        <v>240.94800000000001</v>
      </c>
      <c r="Q408" s="915">
        <v>1045.97</v>
      </c>
      <c r="R408" s="1403">
        <v>2322</v>
      </c>
      <c r="S408" s="1403">
        <v>6453</v>
      </c>
      <c r="T408" s="1403">
        <v>13566</v>
      </c>
      <c r="U408" s="1403">
        <v>20346.314999999999</v>
      </c>
      <c r="V408" s="1403">
        <v>30507.344000000001</v>
      </c>
      <c r="W408" s="91">
        <f>Model!W121</f>
        <v>44121.843836391992</v>
      </c>
      <c r="X408" s="91">
        <f>Model!X121</f>
        <v>57601.552727364491</v>
      </c>
      <c r="Y408" s="91">
        <f>Model!Y121</f>
        <v>73865.813731571456</v>
      </c>
      <c r="Z408" s="91">
        <f>Model!Z121</f>
        <v>89653.852528345524</v>
      </c>
      <c r="AA408" s="91">
        <f>Model!AA121</f>
        <v>100428.3333349372</v>
      </c>
      <c r="AB408" s="91">
        <f>Model!AB121</f>
        <v>112325.84885772219</v>
      </c>
      <c r="AC408" s="91">
        <f>Model!AC121</f>
        <v>125455.10858784604</v>
      </c>
      <c r="AD408" s="91">
        <f>Model!AD121</f>
        <v>139934.87771798423</v>
      </c>
      <c r="AE408" s="734"/>
      <c r="AF408" s="1912">
        <f t="shared" si="457"/>
        <v>0.3428052455679238</v>
      </c>
      <c r="AG408" s="28"/>
      <c r="AH408" s="28"/>
      <c r="AI408" s="28"/>
      <c r="AJ408" s="28"/>
      <c r="AK408" s="28"/>
      <c r="AL408" s="1764"/>
      <c r="AM408" s="428"/>
      <c r="AN408" s="428"/>
      <c r="AO408" s="428"/>
      <c r="AP408" s="1421">
        <v>136</v>
      </c>
      <c r="AQ408" s="1269">
        <v>248</v>
      </c>
      <c r="AR408" s="1269">
        <v>268</v>
      </c>
      <c r="AS408" s="1269">
        <v>394</v>
      </c>
      <c r="AT408" s="1421">
        <v>403</v>
      </c>
      <c r="AU408" s="1269">
        <v>557.88400000000001</v>
      </c>
      <c r="AV408" s="1269">
        <v>577.87699999999995</v>
      </c>
      <c r="AW408" s="1269">
        <v>784</v>
      </c>
      <c r="AX408" s="1421">
        <v>875.95899999999995</v>
      </c>
      <c r="AY408" s="1269">
        <v>1594.547</v>
      </c>
      <c r="AZ408" s="1269">
        <v>1643.133</v>
      </c>
      <c r="BA408" s="1269">
        <v>2339.42</v>
      </c>
      <c r="BB408" s="1421">
        <v>2092.0590000000002</v>
      </c>
      <c r="BC408" s="1269">
        <v>3312.24</v>
      </c>
      <c r="BD408" s="1269">
        <v>3468.779</v>
      </c>
      <c r="BE408" s="1269">
        <v>4692.893</v>
      </c>
      <c r="BF408" s="1614">
        <v>3746.8240000000001</v>
      </c>
      <c r="BG408" s="1404">
        <v>5144.4309999999996</v>
      </c>
      <c r="BH408" s="1404">
        <v>4978.2359999999999</v>
      </c>
      <c r="BI408" s="1404">
        <v>6476.8239999999996</v>
      </c>
      <c r="BJ408" s="1614">
        <v>5392.7380000000003</v>
      </c>
      <c r="BK408" s="1404">
        <v>7815.9620000000004</v>
      </c>
      <c r="BL408" s="1404">
        <v>7279.9920000000002</v>
      </c>
      <c r="BM408" s="1404">
        <v>10018.652</v>
      </c>
      <c r="BN408" s="767">
        <f>Model!BN121</f>
        <v>7550.3208318766619</v>
      </c>
      <c r="BO408" s="734">
        <f>Model!BO121</f>
        <v>11189.247004820936</v>
      </c>
      <c r="BP408" s="734">
        <f>Model!BP121</f>
        <v>10052.654496740864</v>
      </c>
      <c r="BQ408" s="1452">
        <f>W408-SUM(BN408:BP408)</f>
        <v>15329.621502953531</v>
      </c>
      <c r="BR408" s="85"/>
      <c r="BS408" s="85"/>
      <c r="BT408" s="85"/>
      <c r="BU408" s="85"/>
      <c r="BV408" s="85"/>
      <c r="BW408" s="85"/>
      <c r="BX408" s="85"/>
      <c r="BY408" s="85"/>
      <c r="BZ408" s="85"/>
      <c r="CA408" s="85"/>
      <c r="CB408" s="85"/>
      <c r="CC408" s="85"/>
      <c r="CD408" s="83"/>
      <c r="CE408" s="83"/>
      <c r="CF408" s="83"/>
      <c r="CG408" s="83"/>
      <c r="CH408" s="83"/>
      <c r="CI408" s="83"/>
      <c r="CJ408" s="83"/>
      <c r="CK408" s="83"/>
      <c r="CL408" s="83"/>
      <c r="CM408" s="83"/>
      <c r="CN408" s="83"/>
      <c r="CO408" s="83"/>
      <c r="CP408" s="83"/>
      <c r="CQ408" s="83"/>
      <c r="CR408"/>
      <c r="CS408"/>
      <c r="CT408"/>
      <c r="CU408"/>
      <c r="CV408"/>
      <c r="CW408"/>
    </row>
    <row r="409" spans="1:101" s="589" customFormat="1" outlineLevel="1">
      <c r="H409" s="378"/>
      <c r="I409" s="590"/>
      <c r="J409" s="13" t="s">
        <v>32</v>
      </c>
      <c r="K409" s="13"/>
      <c r="L409" s="13"/>
      <c r="M409" s="13"/>
      <c r="N409" s="844">
        <f t="shared" ref="N409:AD409" si="462">SUM(N407:N408)</f>
        <v>2919</v>
      </c>
      <c r="O409" s="844">
        <f t="shared" si="462"/>
        <v>8583</v>
      </c>
      <c r="P409" s="844">
        <f t="shared" si="462"/>
        <v>21128.958999999999</v>
      </c>
      <c r="Q409" s="844">
        <f t="shared" si="462"/>
        <v>41380.521000000001</v>
      </c>
      <c r="R409" s="844">
        <f t="shared" si="462"/>
        <v>69340</v>
      </c>
      <c r="S409" s="844">
        <f t="shared" si="462"/>
        <v>115002</v>
      </c>
      <c r="T409" s="844">
        <f t="shared" si="462"/>
        <v>181287</v>
      </c>
      <c r="U409" s="844">
        <f t="shared" si="462"/>
        <v>258289.94700000001</v>
      </c>
      <c r="V409" s="844">
        <f t="shared" si="462"/>
        <v>362331.75399999996</v>
      </c>
      <c r="W409" s="844">
        <f t="shared" si="462"/>
        <v>464067.51194759191</v>
      </c>
      <c r="X409" s="844">
        <f t="shared" si="462"/>
        <v>576753.03048880468</v>
      </c>
      <c r="Y409" s="844">
        <f t="shared" si="462"/>
        <v>691643.20833726285</v>
      </c>
      <c r="Z409" s="844">
        <f t="shared" si="462"/>
        <v>780433.7812198078</v>
      </c>
      <c r="AA409" s="844">
        <f t="shared" si="462"/>
        <v>843983.84857842722</v>
      </c>
      <c r="AB409" s="844">
        <f t="shared" si="462"/>
        <v>912689.00546581484</v>
      </c>
      <c r="AC409" s="844">
        <f t="shared" si="462"/>
        <v>986966.01036079682</v>
      </c>
      <c r="AD409" s="844">
        <f t="shared" si="462"/>
        <v>1067265.2123863883</v>
      </c>
      <c r="AE409" s="93"/>
      <c r="AF409" s="920">
        <f t="shared" si="457"/>
        <v>0.24048611295209232</v>
      </c>
      <c r="AG409" s="13"/>
      <c r="AH409" s="13"/>
      <c r="AI409" s="13"/>
      <c r="AJ409" s="13"/>
      <c r="AK409" s="13"/>
      <c r="AL409" s="663"/>
      <c r="AM409" s="213"/>
      <c r="AN409" s="213"/>
      <c r="AO409" s="213"/>
      <c r="AP409" s="1450">
        <f t="shared" ref="AP409:BQ409" si="463">SUM(AP407:AP408)</f>
        <v>7940</v>
      </c>
      <c r="AQ409" s="844">
        <f t="shared" si="463"/>
        <v>9749</v>
      </c>
      <c r="AR409" s="844">
        <f t="shared" si="463"/>
        <v>11118</v>
      </c>
      <c r="AS409" s="844">
        <f t="shared" si="463"/>
        <v>12574</v>
      </c>
      <c r="AT409" s="1450">
        <f t="shared" si="463"/>
        <v>13725</v>
      </c>
      <c r="AU409" s="844">
        <f t="shared" si="463"/>
        <v>17453.165999999997</v>
      </c>
      <c r="AV409" s="844">
        <f t="shared" si="463"/>
        <v>18038.518</v>
      </c>
      <c r="AW409" s="844">
        <f t="shared" si="463"/>
        <v>20124</v>
      </c>
      <c r="AX409" s="1450">
        <f t="shared" si="463"/>
        <v>22657.415999999997</v>
      </c>
      <c r="AY409" s="844">
        <f t="shared" si="463"/>
        <v>28612.85</v>
      </c>
      <c r="AZ409" s="844">
        <f t="shared" si="463"/>
        <v>29012.003000000001</v>
      </c>
      <c r="BA409" s="844">
        <f t="shared" si="463"/>
        <v>34720.048000000003</v>
      </c>
      <c r="BB409" s="1450">
        <f t="shared" si="463"/>
        <v>36640.575000000004</v>
      </c>
      <c r="BC409" s="844">
        <f t="shared" si="463"/>
        <v>45928.686999999998</v>
      </c>
      <c r="BD409" s="844">
        <f t="shared" si="463"/>
        <v>44110.15</v>
      </c>
      <c r="BE409" s="844">
        <f t="shared" si="463"/>
        <v>54607.543000000005</v>
      </c>
      <c r="BF409" s="1450">
        <f t="shared" si="463"/>
        <v>53808.159</v>
      </c>
      <c r="BG409" s="844">
        <f t="shared" si="463"/>
        <v>64896.934999999998</v>
      </c>
      <c r="BH409" s="844">
        <f t="shared" si="463"/>
        <v>60173.724999999999</v>
      </c>
      <c r="BI409" s="844">
        <f t="shared" si="463"/>
        <v>79411.127999999997</v>
      </c>
      <c r="BJ409" s="1450">
        <f t="shared" si="463"/>
        <v>75218.186999999991</v>
      </c>
      <c r="BK409" s="844">
        <f t="shared" si="463"/>
        <v>93201.975000000006</v>
      </c>
      <c r="BL409" s="844">
        <f t="shared" si="463"/>
        <v>83746.258000000002</v>
      </c>
      <c r="BM409" s="844">
        <f t="shared" si="463"/>
        <v>110165.334</v>
      </c>
      <c r="BN409" s="1450">
        <f t="shared" si="463"/>
        <v>98583.704370820633</v>
      </c>
      <c r="BO409" s="844">
        <f t="shared" si="463"/>
        <v>120375.12071373292</v>
      </c>
      <c r="BP409" s="844">
        <f t="shared" si="463"/>
        <v>103185.76637624086</v>
      </c>
      <c r="BQ409" s="844">
        <f t="shared" si="463"/>
        <v>141922.92048679752</v>
      </c>
      <c r="BR409" s="462"/>
      <c r="BS409" s="1453"/>
      <c r="BT409" s="462"/>
      <c r="BU409" s="462"/>
      <c r="BV409" s="462"/>
      <c r="BW409" s="462"/>
      <c r="BX409" s="462"/>
      <c r="BY409" s="462"/>
      <c r="BZ409" s="462"/>
      <c r="CA409" s="462"/>
      <c r="CB409" s="462"/>
      <c r="CC409" s="462"/>
      <c r="CD409" s="296"/>
      <c r="CE409" s="296"/>
      <c r="CF409" s="296"/>
      <c r="CG409" s="296"/>
      <c r="CH409" s="296"/>
      <c r="CI409" s="296"/>
      <c r="CJ409" s="296"/>
      <c r="CK409" s="296"/>
      <c r="CL409" s="296"/>
      <c r="CM409" s="296"/>
      <c r="CN409" s="296"/>
      <c r="CO409" s="296"/>
      <c r="CP409" s="296"/>
      <c r="CQ409" s="296"/>
      <c r="CR409"/>
      <c r="CS409"/>
      <c r="CT409"/>
      <c r="CU409"/>
      <c r="CV409"/>
      <c r="CW409"/>
    </row>
    <row r="410" spans="1:101" s="583" customFormat="1" outlineLevel="1">
      <c r="H410" s="563"/>
      <c r="I410" s="588"/>
      <c r="J410" s="33" t="s">
        <v>30</v>
      </c>
      <c r="K410" s="28"/>
      <c r="L410" s="28"/>
      <c r="M410" s="28"/>
      <c r="N410" s="915">
        <v>-2779</v>
      </c>
      <c r="O410" s="915">
        <v>-8169</v>
      </c>
      <c r="P410" s="915">
        <v>-19976.527999999998</v>
      </c>
      <c r="Q410" s="915">
        <v>-37898.387000000002</v>
      </c>
      <c r="R410" s="1403">
        <v>-62496</v>
      </c>
      <c r="S410" s="1404">
        <v>-101631</v>
      </c>
      <c r="T410" s="1404">
        <v>-157008</v>
      </c>
      <c r="U410" s="1404">
        <v>-222934.63699999999</v>
      </c>
      <c r="V410" s="1404">
        <v>-311516.83100000001</v>
      </c>
      <c r="W410" s="734">
        <f>Model!W185</f>
        <v>-397656.14746770589</v>
      </c>
      <c r="X410" s="734">
        <f>Model!X185</f>
        <v>-491383.37173384195</v>
      </c>
      <c r="Y410" s="734">
        <f>Model!Y185</f>
        <v>-584935.25788880477</v>
      </c>
      <c r="Z410" s="734">
        <f>Model!Z185</f>
        <v>-654581.31088225858</v>
      </c>
      <c r="AA410" s="734">
        <f>Model!AA185</f>
        <v>-704163.94215100119</v>
      </c>
      <c r="AB410" s="734">
        <f>Model!AB185</f>
        <v>-757502.03454924037</v>
      </c>
      <c r="AC410" s="734">
        <f>Model!AC185</f>
        <v>-816134.56178803113</v>
      </c>
      <c r="AD410" s="734">
        <f>Model!AD185</f>
        <v>-878003.18131282716</v>
      </c>
      <c r="AE410" s="734"/>
      <c r="AF410" s="1912">
        <f t="shared" si="457"/>
        <v>0.23369771752366675</v>
      </c>
      <c r="AG410" s="28"/>
      <c r="AH410" s="28"/>
      <c r="AI410" s="28"/>
      <c r="AJ410" s="28"/>
      <c r="AK410" s="28"/>
      <c r="AL410" s="1764"/>
      <c r="AM410" s="428"/>
      <c r="AN410" s="428"/>
      <c r="AO410" s="428"/>
      <c r="AP410" s="1421">
        <v>-7344</v>
      </c>
      <c r="AQ410" s="1269">
        <v>-8955</v>
      </c>
      <c r="AR410" s="1269">
        <v>-10174</v>
      </c>
      <c r="AS410" s="1269">
        <v>-11425</v>
      </c>
      <c r="AT410" s="1421">
        <v>-12250</v>
      </c>
      <c r="AU410" s="1269">
        <v>-15899.888000000001</v>
      </c>
      <c r="AV410" s="1269">
        <v>-16263.352999999999</v>
      </c>
      <c r="AW410" s="1269">
        <v>-18083</v>
      </c>
      <c r="AX410" s="1421">
        <v>-20396.018</v>
      </c>
      <c r="AY410" s="1269">
        <v>-25457.620999999999</v>
      </c>
      <c r="AZ410" s="1269">
        <v>-25467.986000000001</v>
      </c>
      <c r="BA410" s="1269">
        <v>-30309.817999999999</v>
      </c>
      <c r="BB410" s="1421">
        <v>-32174.983</v>
      </c>
      <c r="BC410" s="1269">
        <v>-40019.182000000001</v>
      </c>
      <c r="BD410" s="1269">
        <v>-38015.663999999997</v>
      </c>
      <c r="BE410" s="1269">
        <v>-46798.5</v>
      </c>
      <c r="BF410" s="1421">
        <v>-46774.319000000003</v>
      </c>
      <c r="BG410" s="1269">
        <v>-56052.281999999999</v>
      </c>
      <c r="BH410" s="1269">
        <v>-51537.517999999996</v>
      </c>
      <c r="BI410" s="1269">
        <v>-68570.517999999996</v>
      </c>
      <c r="BJ410" s="1421">
        <v>-64393.726000000002</v>
      </c>
      <c r="BK410" s="1269">
        <v>-80554.156000000003</v>
      </c>
      <c r="BL410" s="1269">
        <v>-70763.508000000002</v>
      </c>
      <c r="BM410" s="1269">
        <v>-95805.441000000006</v>
      </c>
      <c r="BN410" s="767">
        <f>Model!BN185</f>
        <v>-85190.983005898321</v>
      </c>
      <c r="BO410" s="734">
        <f>Model!BO185</f>
        <v>-103972.09504336103</v>
      </c>
      <c r="BP410" s="734">
        <f>Model!BP185</f>
        <v>-87692.25405735636</v>
      </c>
      <c r="BQ410" s="1452">
        <f>W410-SUM(BN410:BP410)</f>
        <v>-120800.81536109018</v>
      </c>
      <c r="BR410" s="85"/>
      <c r="BS410" s="1453"/>
      <c r="BT410" s="549"/>
      <c r="BU410" s="85"/>
      <c r="BV410" s="85"/>
      <c r="BW410" s="85"/>
      <c r="BX410" s="85"/>
      <c r="BY410" s="85"/>
      <c r="BZ410" s="85"/>
      <c r="CA410" s="85"/>
      <c r="CB410" s="85"/>
      <c r="CC410" s="85"/>
      <c r="CD410" s="83"/>
      <c r="CE410" s="83"/>
      <c r="CF410" s="83"/>
      <c r="CG410" s="83"/>
      <c r="CH410" s="83"/>
      <c r="CI410" s="83"/>
      <c r="CJ410" s="83"/>
      <c r="CK410" s="83"/>
      <c r="CL410" s="83"/>
      <c r="CM410" s="83"/>
      <c r="CN410" s="83"/>
      <c r="CO410" s="83"/>
      <c r="CP410" s="83"/>
      <c r="CQ410" s="83"/>
      <c r="CR410"/>
      <c r="CS410"/>
      <c r="CT410"/>
      <c r="CU410"/>
      <c r="CV410"/>
      <c r="CW410"/>
    </row>
    <row r="411" spans="1:101" s="589" customFormat="1" outlineLevel="1">
      <c r="H411" s="378"/>
      <c r="I411" s="590"/>
      <c r="J411" s="13" t="s">
        <v>29</v>
      </c>
      <c r="K411" s="13"/>
      <c r="L411" s="13"/>
      <c r="M411" s="13"/>
      <c r="N411" s="844">
        <f t="shared" ref="N411:AD411" si="464">SUM(N409:N410)</f>
        <v>140</v>
      </c>
      <c r="O411" s="844">
        <f t="shared" si="464"/>
        <v>414</v>
      </c>
      <c r="P411" s="844">
        <f t="shared" si="464"/>
        <v>1152.4310000000005</v>
      </c>
      <c r="Q411" s="844">
        <f t="shared" si="464"/>
        <v>3482.1339999999982</v>
      </c>
      <c r="R411" s="844">
        <f t="shared" si="464"/>
        <v>6844</v>
      </c>
      <c r="S411" s="844">
        <f t="shared" si="464"/>
        <v>13371</v>
      </c>
      <c r="T411" s="1300">
        <f t="shared" si="464"/>
        <v>24279</v>
      </c>
      <c r="U411" s="844">
        <f t="shared" si="464"/>
        <v>35355.310000000027</v>
      </c>
      <c r="V411" s="844">
        <f t="shared" si="464"/>
        <v>50814.922999999952</v>
      </c>
      <c r="W411" s="844">
        <f t="shared" si="464"/>
        <v>66411.364479886019</v>
      </c>
      <c r="X411" s="844">
        <f t="shared" si="464"/>
        <v>85369.658754962729</v>
      </c>
      <c r="Y411" s="844">
        <f t="shared" si="464"/>
        <v>106707.95044845808</v>
      </c>
      <c r="Z411" s="844">
        <f t="shared" si="464"/>
        <v>125852.47033754922</v>
      </c>
      <c r="AA411" s="844">
        <f t="shared" si="464"/>
        <v>139819.90642742603</v>
      </c>
      <c r="AB411" s="844">
        <f t="shared" si="464"/>
        <v>155186.97091657447</v>
      </c>
      <c r="AC411" s="844">
        <f t="shared" si="464"/>
        <v>170831.44857276569</v>
      </c>
      <c r="AD411" s="844">
        <f t="shared" si="464"/>
        <v>189262.03107356117</v>
      </c>
      <c r="AE411" s="734"/>
      <c r="AF411" s="920">
        <f t="shared" si="457"/>
        <v>0.2805656129817431</v>
      </c>
      <c r="AG411" s="13"/>
      <c r="AH411" s="13"/>
      <c r="AI411" s="13"/>
      <c r="AJ411" s="13"/>
      <c r="AK411" s="13"/>
      <c r="AL411" s="663"/>
      <c r="AM411" s="213"/>
      <c r="AN411" s="213"/>
      <c r="AO411" s="213"/>
      <c r="AP411" s="1450">
        <f t="shared" ref="AP411:BQ411" si="465">AP409+AP410</f>
        <v>596</v>
      </c>
      <c r="AQ411" s="844">
        <f t="shared" si="465"/>
        <v>794</v>
      </c>
      <c r="AR411" s="844">
        <f t="shared" si="465"/>
        <v>944</v>
      </c>
      <c r="AS411" s="844">
        <f t="shared" si="465"/>
        <v>1149</v>
      </c>
      <c r="AT411" s="1450">
        <f t="shared" si="465"/>
        <v>1475</v>
      </c>
      <c r="AU411" s="844">
        <f t="shared" si="465"/>
        <v>1553.2779999999966</v>
      </c>
      <c r="AV411" s="844">
        <f t="shared" si="465"/>
        <v>1775.1650000000009</v>
      </c>
      <c r="AW411" s="844">
        <f t="shared" si="465"/>
        <v>2041</v>
      </c>
      <c r="AX411" s="1450">
        <f t="shared" si="465"/>
        <v>2261.3979999999974</v>
      </c>
      <c r="AY411" s="844">
        <f t="shared" si="465"/>
        <v>3155.2289999999994</v>
      </c>
      <c r="AZ411" s="844">
        <f t="shared" si="465"/>
        <v>3544.0169999999998</v>
      </c>
      <c r="BA411" s="844">
        <f t="shared" si="465"/>
        <v>4410.2300000000032</v>
      </c>
      <c r="BB411" s="1450">
        <f t="shared" si="465"/>
        <v>4465.5920000000042</v>
      </c>
      <c r="BC411" s="844">
        <f t="shared" si="465"/>
        <v>5909.5049999999974</v>
      </c>
      <c r="BD411" s="844">
        <f t="shared" si="465"/>
        <v>6094.4860000000044</v>
      </c>
      <c r="BE411" s="844">
        <f t="shared" si="465"/>
        <v>7809.0430000000051</v>
      </c>
      <c r="BF411" s="767">
        <f t="shared" si="465"/>
        <v>7033.8399999999965</v>
      </c>
      <c r="BG411" s="734">
        <f t="shared" si="465"/>
        <v>8844.6529999999984</v>
      </c>
      <c r="BH411" s="734">
        <f t="shared" si="465"/>
        <v>8636.2070000000022</v>
      </c>
      <c r="BI411" s="734">
        <f t="shared" si="465"/>
        <v>10840.61</v>
      </c>
      <c r="BJ411" s="1450">
        <f t="shared" si="465"/>
        <v>10824.460999999988</v>
      </c>
      <c r="BK411" s="844">
        <f t="shared" si="465"/>
        <v>12647.819000000003</v>
      </c>
      <c r="BL411" s="844">
        <f t="shared" si="465"/>
        <v>12982.75</v>
      </c>
      <c r="BM411" s="844">
        <f t="shared" si="465"/>
        <v>14359.892999999996</v>
      </c>
      <c r="BN411" s="1450">
        <f t="shared" si="465"/>
        <v>13392.721364922312</v>
      </c>
      <c r="BO411" s="844">
        <f t="shared" si="465"/>
        <v>16403.025670371891</v>
      </c>
      <c r="BP411" s="844">
        <f t="shared" si="465"/>
        <v>15493.512318884503</v>
      </c>
      <c r="BQ411" s="844">
        <f t="shared" si="465"/>
        <v>21122.105125707341</v>
      </c>
      <c r="BR411" s="462"/>
      <c r="BS411" s="1453"/>
      <c r="BT411" s="549"/>
      <c r="BU411" s="85"/>
      <c r="BV411" s="462"/>
      <c r="BW411" s="462"/>
      <c r="BX411" s="462"/>
      <c r="BY411" s="462"/>
      <c r="BZ411" s="462"/>
      <c r="CA411" s="462"/>
      <c r="CB411" s="462"/>
      <c r="CC411" s="462"/>
      <c r="CD411" s="296"/>
      <c r="CE411" s="296"/>
      <c r="CF411" s="296"/>
      <c r="CG411" s="296"/>
      <c r="CH411" s="296"/>
      <c r="CI411" s="296"/>
      <c r="CJ411" s="296"/>
      <c r="CK411" s="296"/>
      <c r="CL411" s="296"/>
      <c r="CM411" s="296"/>
      <c r="CN411" s="296"/>
      <c r="CO411" s="296"/>
      <c r="CP411" s="296"/>
      <c r="CQ411" s="296"/>
      <c r="CR411"/>
      <c r="CS411"/>
      <c r="CT411"/>
      <c r="CU411"/>
      <c r="CV411"/>
      <c r="CW411"/>
    </row>
    <row r="412" spans="1:101" s="583" customFormat="1" ht="13.5" customHeight="1" outlineLevel="1">
      <c r="H412" s="563"/>
      <c r="I412" s="1454"/>
      <c r="J412" s="33" t="s">
        <v>592</v>
      </c>
      <c r="K412" s="28"/>
      <c r="L412" s="28"/>
      <c r="M412" s="28"/>
      <c r="N412" s="915">
        <v>-144</v>
      </c>
      <c r="O412" s="915">
        <v>-477</v>
      </c>
      <c r="P412" s="915">
        <v>-1515</v>
      </c>
      <c r="Q412" s="915">
        <v>-3061</v>
      </c>
      <c r="R412" s="1403">
        <v>-4109</v>
      </c>
      <c r="S412" s="1403">
        <v>-8067</v>
      </c>
      <c r="T412" s="1403">
        <v>-13921</v>
      </c>
      <c r="U412" s="1403">
        <v>-18559.690999999999</v>
      </c>
      <c r="V412" s="1403">
        <v>-25865.128000000001</v>
      </c>
      <c r="W412" s="863">
        <f>-Model!W193</f>
        <v>-34039.098827725029</v>
      </c>
      <c r="X412" s="863">
        <f>-Model!X193</f>
        <v>-41114.39649974159</v>
      </c>
      <c r="Y412" s="863">
        <f>-Model!Y193</f>
        <v>-48572.181233922754</v>
      </c>
      <c r="Z412" s="863">
        <f>-Model!Z193</f>
        <v>-53984.831797231185</v>
      </c>
      <c r="AA412" s="863">
        <f>-Model!AA193</f>
        <v>-57483.815322376548</v>
      </c>
      <c r="AB412" s="863">
        <f>-Model!AB193</f>
        <v>-61222.468110671478</v>
      </c>
      <c r="AC412" s="863">
        <f>-Model!AC193</f>
        <v>-65158.413373677642</v>
      </c>
      <c r="AD412" s="863">
        <f>-Model!AD193</f>
        <v>-70412.804231667134</v>
      </c>
      <c r="AE412" s="734"/>
      <c r="AF412" s="1912">
        <f t="shared" si="457"/>
        <v>0.23374193003268284</v>
      </c>
      <c r="AG412" s="28"/>
      <c r="AH412" s="28"/>
      <c r="AI412" s="28"/>
      <c r="AJ412" s="28"/>
      <c r="AK412" s="28"/>
      <c r="AL412" s="1783"/>
      <c r="AM412" s="220"/>
      <c r="AN412" s="220"/>
      <c r="AO412" s="220"/>
      <c r="AP412" s="1621">
        <v>-613</v>
      </c>
      <c r="AQ412" s="447">
        <v>-735</v>
      </c>
      <c r="AR412" s="447">
        <v>-836</v>
      </c>
      <c r="AS412" s="447">
        <v>-877</v>
      </c>
      <c r="AT412" s="1621">
        <v>-845</v>
      </c>
      <c r="AU412" s="447">
        <v>-978.63199999999995</v>
      </c>
      <c r="AV412" s="447">
        <v>-1034</v>
      </c>
      <c r="AW412" s="447">
        <v>-1251</v>
      </c>
      <c r="AX412" s="1621">
        <v>-1360</v>
      </c>
      <c r="AY412" s="447">
        <v>-2001.7529999999999</v>
      </c>
      <c r="AZ412" s="447">
        <v>-2119.297</v>
      </c>
      <c r="BA412" s="447">
        <v>-2585.4299999999998</v>
      </c>
      <c r="BB412" s="1621">
        <v>-2677.6509999999998</v>
      </c>
      <c r="BC412" s="447">
        <v>-3252.01</v>
      </c>
      <c r="BD412" s="447">
        <v>-3459.1170000000002</v>
      </c>
      <c r="BE412" s="447">
        <v>-4532.21</v>
      </c>
      <c r="BF412" s="1621">
        <v>-3949.8530000000001</v>
      </c>
      <c r="BG412" s="447">
        <v>-4605.8419999999996</v>
      </c>
      <c r="BH412" s="447">
        <v>-4540.0770000000002</v>
      </c>
      <c r="BI412" s="447">
        <v>-5463.9189999999999</v>
      </c>
      <c r="BJ412" s="1621">
        <v>-5150.5839999999998</v>
      </c>
      <c r="BK412" s="447">
        <v>-6380.6580000000004</v>
      </c>
      <c r="BL412" s="447">
        <v>-6373.7889999999998</v>
      </c>
      <c r="BM412" s="447">
        <v>-7960.0969999999998</v>
      </c>
      <c r="BN412" s="767">
        <f>-Model!BN193</f>
        <v>-7441.9497671559357</v>
      </c>
      <c r="BO412" s="734">
        <f>-Model!BO193</f>
        <v>-8698.3145526241315</v>
      </c>
      <c r="BP412" s="734">
        <f>-Model!BP193</f>
        <v>-8406.5498933879699</v>
      </c>
      <c r="BQ412" s="1452">
        <f>W412-SUM(BN412:BP412)</f>
        <v>-9492.2846145569929</v>
      </c>
      <c r="BR412" s="85"/>
      <c r="BS412" s="85"/>
      <c r="BT412" s="85"/>
      <c r="BU412" s="85"/>
      <c r="BV412" s="85"/>
      <c r="BW412" s="85"/>
      <c r="BX412" s="85"/>
      <c r="BY412" s="85"/>
      <c r="BZ412" s="85"/>
      <c r="CA412" s="85"/>
      <c r="CB412" s="85"/>
      <c r="CC412" s="85"/>
      <c r="CD412" s="83"/>
      <c r="CE412" s="83"/>
      <c r="CF412" s="83"/>
      <c r="CG412" s="83"/>
      <c r="CH412" s="83"/>
      <c r="CI412" s="83"/>
      <c r="CJ412" s="83"/>
      <c r="CK412" s="83"/>
      <c r="CL412" s="83"/>
      <c r="CM412" s="83"/>
      <c r="CN412" s="83"/>
      <c r="CO412" s="83"/>
      <c r="CP412" s="83"/>
      <c r="CQ412" s="83"/>
      <c r="CR412"/>
      <c r="CS412"/>
      <c r="CT412"/>
      <c r="CU412"/>
      <c r="CV412"/>
      <c r="CW412"/>
    </row>
    <row r="413" spans="1:101" s="583" customFormat="1" outlineLevel="1">
      <c r="H413" s="563"/>
      <c r="I413" s="1454"/>
      <c r="J413" s="33" t="s">
        <v>591</v>
      </c>
      <c r="K413" s="28"/>
      <c r="L413" s="28"/>
      <c r="M413" s="28"/>
      <c r="N413" s="915">
        <v>-43</v>
      </c>
      <c r="O413" s="915">
        <v>-200</v>
      </c>
      <c r="P413" s="915">
        <v>-479</v>
      </c>
      <c r="Q413" s="915">
        <v>-1097</v>
      </c>
      <c r="R413" s="1403">
        <v>-1590</v>
      </c>
      <c r="S413" s="1403">
        <v>-4010</v>
      </c>
      <c r="T413" s="1403">
        <v>-7736</v>
      </c>
      <c r="U413" s="1403">
        <v>-10158.686</v>
      </c>
      <c r="V413" s="1403">
        <v>-14918.107</v>
      </c>
      <c r="W413" s="863">
        <f>-Model!W194</f>
        <v>-18320.403345210871</v>
      </c>
      <c r="X413" s="863">
        <f>-Model!X194</f>
        <v>-21441.308895391194</v>
      </c>
      <c r="Y413" s="863">
        <f>-Model!Y194</f>
        <v>-25708.184600474007</v>
      </c>
      <c r="Z413" s="863">
        <f>-Model!Z194</f>
        <v>-28861.671398516664</v>
      </c>
      <c r="AA413" s="863">
        <f>-Model!AA194</f>
        <v>-30248.815844481163</v>
      </c>
      <c r="AB413" s="863">
        <f>-Model!AB194</f>
        <v>-31687.439101082135</v>
      </c>
      <c r="AC413" s="863">
        <f>-Model!AC194</f>
        <v>-33158.192405662136</v>
      </c>
      <c r="AD413" s="863">
        <f>-Model!AD194</f>
        <v>-35738.909396440373</v>
      </c>
      <c r="AE413" s="734"/>
      <c r="AF413" s="1912">
        <f t="shared" si="457"/>
        <v>0.19890810814853643</v>
      </c>
      <c r="AG413" s="28"/>
      <c r="AH413" s="28"/>
      <c r="AI413" s="28"/>
      <c r="AJ413" s="28"/>
      <c r="AK413" s="28"/>
      <c r="AL413" s="1783"/>
      <c r="AM413" s="220"/>
      <c r="AN413" s="220"/>
      <c r="AO413" s="220"/>
      <c r="AP413" s="1621">
        <v>-348</v>
      </c>
      <c r="AQ413" s="447">
        <v>-260</v>
      </c>
      <c r="AR413" s="447">
        <v>-296</v>
      </c>
      <c r="AS413" s="447">
        <v>-193</v>
      </c>
      <c r="AT413" s="1621">
        <v>-262</v>
      </c>
      <c r="AU413" s="447">
        <v>-428.21600000000001</v>
      </c>
      <c r="AV413" s="447">
        <v>-377</v>
      </c>
      <c r="AW413" s="447">
        <v>-523</v>
      </c>
      <c r="AX413" s="1621">
        <v>-594</v>
      </c>
      <c r="AY413" s="447">
        <v>-1066.02</v>
      </c>
      <c r="AZ413" s="447">
        <v>-879.97400000000005</v>
      </c>
      <c r="BA413" s="447">
        <v>-1470.65</v>
      </c>
      <c r="BB413" s="1621">
        <v>-1426.29</v>
      </c>
      <c r="BC413" s="447">
        <v>-1981.922</v>
      </c>
      <c r="BD413" s="447">
        <v>-1662.7190000000001</v>
      </c>
      <c r="BE413" s="447">
        <v>-2665.241</v>
      </c>
      <c r="BF413" s="1621">
        <v>-2016.454</v>
      </c>
      <c r="BG413" s="447">
        <v>-2494.9690000000001</v>
      </c>
      <c r="BH413" s="447">
        <v>-2132.5540000000001</v>
      </c>
      <c r="BI413" s="447">
        <v>-3514.7089999999998</v>
      </c>
      <c r="BJ413" s="1621">
        <v>-2799.5309999999999</v>
      </c>
      <c r="BK413" s="447">
        <v>-4075.143</v>
      </c>
      <c r="BL413" s="447">
        <v>-3300.107</v>
      </c>
      <c r="BM413" s="447">
        <v>-4743.326</v>
      </c>
      <c r="BN413" s="767">
        <f>-Model!BN194</f>
        <v>-3595.6207858942244</v>
      </c>
      <c r="BO413" s="734">
        <f>-Model!BO194</f>
        <v>-4918.1837191392706</v>
      </c>
      <c r="BP413" s="734">
        <f>-Model!BP194</f>
        <v>-3955.4333790987148</v>
      </c>
      <c r="BQ413" s="1452">
        <f>W413-SUM(BN413:BP413)</f>
        <v>-5851.1654610786609</v>
      </c>
      <c r="BR413" s="85"/>
      <c r="BS413" s="85"/>
      <c r="BT413" s="85"/>
      <c r="BU413" s="85"/>
      <c r="BV413" s="85"/>
      <c r="BW413" s="85"/>
      <c r="BX413" s="85"/>
      <c r="BY413" s="85"/>
      <c r="BZ413" s="85"/>
      <c r="CA413" s="85"/>
      <c r="CB413" s="85"/>
      <c r="CC413" s="85"/>
      <c r="CD413" s="83"/>
      <c r="CE413" s="83"/>
      <c r="CF413" s="83"/>
      <c r="CG413" s="83"/>
      <c r="CH413" s="83"/>
      <c r="CI413" s="83"/>
      <c r="CJ413" s="83"/>
      <c r="CK413" s="83"/>
      <c r="CL413" s="83"/>
      <c r="CM413" s="83"/>
      <c r="CN413" s="83"/>
      <c r="CO413" s="83"/>
      <c r="CP413" s="83"/>
      <c r="CQ413" s="83"/>
      <c r="CR413"/>
      <c r="CS413"/>
      <c r="CT413"/>
      <c r="CU413"/>
      <c r="CV413"/>
      <c r="CW413"/>
    </row>
    <row r="414" spans="1:101" s="583" customFormat="1" outlineLevel="1">
      <c r="H414" s="563"/>
      <c r="I414" s="1454"/>
      <c r="J414" s="33" t="s">
        <v>590</v>
      </c>
      <c r="K414" s="28"/>
      <c r="L414" s="28"/>
      <c r="M414" s="28"/>
      <c r="N414" s="915">
        <v>-14</v>
      </c>
      <c r="O414" s="915">
        <v>-47</v>
      </c>
      <c r="P414" s="915">
        <v>-240</v>
      </c>
      <c r="Q414" s="915">
        <v>-636</v>
      </c>
      <c r="R414" s="1403">
        <v>-964</v>
      </c>
      <c r="S414" s="1403">
        <v>-1836</v>
      </c>
      <c r="T414" s="1403">
        <v>-3454</v>
      </c>
      <c r="U414" s="1403">
        <v>-4452.7079999999996</v>
      </c>
      <c r="V414" s="1403">
        <v>-6652.3739999999998</v>
      </c>
      <c r="W414" s="863">
        <f>-Model!W195</f>
        <v>-9168.2904963353776</v>
      </c>
      <c r="X414" s="863">
        <f>-Model!X195</f>
        <v>-11375.063149575226</v>
      </c>
      <c r="Y414" s="863">
        <f>-Model!Y195</f>
        <v>-13608.327474556849</v>
      </c>
      <c r="Z414" s="863">
        <f>-Model!Z195</f>
        <v>-15307.802477776757</v>
      </c>
      <c r="AA414" s="863">
        <f>-Model!AA195</f>
        <v>-15641.687575173246</v>
      </c>
      <c r="AB414" s="863">
        <f>-Model!AB195</f>
        <v>-15972.752009579017</v>
      </c>
      <c r="AC414" s="863">
        <f>-Model!AC195</f>
        <v>-16206.714733956547</v>
      </c>
      <c r="AD414" s="863">
        <f>-Model!AD195</f>
        <v>-17466.24782263644</v>
      </c>
      <c r="AE414" s="734"/>
      <c r="AF414" s="1912">
        <f t="shared" si="457"/>
        <v>0.26943177455727785</v>
      </c>
      <c r="AG414" s="28"/>
      <c r="AH414" s="28"/>
      <c r="AI414" s="28"/>
      <c r="AJ414" s="28"/>
      <c r="AK414" s="28"/>
      <c r="AL414" s="1783"/>
      <c r="AM414" s="220"/>
      <c r="AN414" s="220"/>
      <c r="AO414" s="220"/>
      <c r="AP414" s="1621">
        <v>-98</v>
      </c>
      <c r="AQ414" s="447">
        <v>-137</v>
      </c>
      <c r="AR414" s="447">
        <v>-181</v>
      </c>
      <c r="AS414" s="447">
        <v>-220</v>
      </c>
      <c r="AT414" s="1621">
        <v>-219</v>
      </c>
      <c r="AU414" s="447">
        <v>-218.18199999999999</v>
      </c>
      <c r="AV414" s="447">
        <v>-251</v>
      </c>
      <c r="AW414" s="447">
        <v>-276</v>
      </c>
      <c r="AX414" s="1621">
        <v>-285</v>
      </c>
      <c r="AY414" s="447">
        <v>-419.99</v>
      </c>
      <c r="AZ414" s="447">
        <v>-511.97300000000001</v>
      </c>
      <c r="BA414" s="447">
        <v>-618.94600000000003</v>
      </c>
      <c r="BB414" s="1621">
        <v>-704.38699999999994</v>
      </c>
      <c r="BC414" s="447">
        <v>-784.62099999999998</v>
      </c>
      <c r="BD414" s="447">
        <v>-884.74199999999996</v>
      </c>
      <c r="BE414" s="447">
        <v>-1080.0540000000001</v>
      </c>
      <c r="BF414" s="1621">
        <v>-928.49699999999996</v>
      </c>
      <c r="BG414" s="447">
        <v>-1114.115</v>
      </c>
      <c r="BH414" s="447">
        <v>-1229.3530000000001</v>
      </c>
      <c r="BI414" s="447">
        <v>-1180.7429999999999</v>
      </c>
      <c r="BJ414" s="1621">
        <v>-1289.0609999999999</v>
      </c>
      <c r="BK414" s="447">
        <v>-1546.39</v>
      </c>
      <c r="BL414" s="447">
        <v>-1756.05</v>
      </c>
      <c r="BM414" s="447">
        <v>-2060.873</v>
      </c>
      <c r="BN414" s="767">
        <f>-Model!BN195</f>
        <v>-1962.8315582892094</v>
      </c>
      <c r="BO414" s="734">
        <f>-Model!BO195</f>
        <v>-2122.0856655574789</v>
      </c>
      <c r="BP414" s="734">
        <f>-Model!BP195</f>
        <v>-2259.8110360053206</v>
      </c>
      <c r="BQ414" s="1452">
        <f>W414-SUM(BN414:BP414)</f>
        <v>-2823.5622364833689</v>
      </c>
      <c r="BR414" s="85"/>
      <c r="BS414" s="85"/>
      <c r="BT414" s="85"/>
      <c r="BU414" s="85"/>
      <c r="BV414" s="85"/>
      <c r="BW414" s="85"/>
      <c r="BX414" s="85"/>
      <c r="BY414" s="85"/>
      <c r="BZ414" s="85"/>
      <c r="CA414" s="85"/>
      <c r="CB414" s="85"/>
      <c r="CC414" s="85"/>
      <c r="CD414" s="83"/>
      <c r="CE414" s="83"/>
      <c r="CF414" s="83"/>
      <c r="CG414" s="83"/>
      <c r="CH414" s="83"/>
      <c r="CI414" s="83"/>
      <c r="CJ414" s="83"/>
      <c r="CK414" s="83"/>
      <c r="CL414" s="83"/>
      <c r="CM414" s="83"/>
      <c r="CN414" s="83"/>
      <c r="CO414" s="83"/>
      <c r="CP414" s="83"/>
      <c r="CQ414" s="83"/>
      <c r="CR414"/>
      <c r="CS414"/>
      <c r="CT414"/>
      <c r="CU414"/>
      <c r="CV414"/>
      <c r="CW414"/>
    </row>
    <row r="415" spans="1:101" s="583" customFormat="1" outlineLevel="1">
      <c r="H415" s="563"/>
      <c r="I415" s="1454"/>
      <c r="J415" s="33" t="s">
        <v>589</v>
      </c>
      <c r="K415" s="28"/>
      <c r="L415" s="28"/>
      <c r="M415" s="28"/>
      <c r="N415" s="915">
        <v>-42</v>
      </c>
      <c r="O415" s="915">
        <v>-106</v>
      </c>
      <c r="P415" s="915">
        <v>-322</v>
      </c>
      <c r="Q415" s="915">
        <v>-640</v>
      </c>
      <c r="R415" s="1403">
        <v>-760</v>
      </c>
      <c r="S415" s="1403">
        <v>-5260</v>
      </c>
      <c r="T415" s="1403">
        <v>-2877</v>
      </c>
      <c r="U415" s="1403">
        <v>-3435.8780000000002</v>
      </c>
      <c r="V415" s="1403">
        <v>-4214.79</v>
      </c>
      <c r="W415" s="863">
        <f>-Model!W196</f>
        <v>-4743.4231782706347</v>
      </c>
      <c r="X415" s="863">
        <f>-Model!X196</f>
        <v>-5537.9424230037203</v>
      </c>
      <c r="Y415" s="863">
        <f>-Model!Y196</f>
        <v>-6200.9331106014688</v>
      </c>
      <c r="Z415" s="863">
        <f>-Model!Z196</f>
        <v>-6876.7481373043365</v>
      </c>
      <c r="AA415" s="863">
        <f>-Model!AA196</f>
        <v>-7271.5136891511474</v>
      </c>
      <c r="AB415" s="863">
        <f>-Model!AB196</f>
        <v>-7786.8235957588795</v>
      </c>
      <c r="AC415" s="863">
        <f>-Model!AC196</f>
        <v>-7244.9224443297144</v>
      </c>
      <c r="AD415" s="863">
        <f>-Model!AD196</f>
        <v>-7690.9231932026751</v>
      </c>
      <c r="AE415" s="734"/>
      <c r="AF415" s="1912">
        <f t="shared" si="457"/>
        <v>0.13734887373627447</v>
      </c>
      <c r="AG415" s="28"/>
      <c r="AH415" s="28"/>
      <c r="AI415" s="28"/>
      <c r="AJ415" s="28"/>
      <c r="AK415" s="28"/>
      <c r="AL415" s="1783"/>
      <c r="AM415" s="220"/>
      <c r="AN415" s="220"/>
      <c r="AO415" s="220"/>
      <c r="AP415" s="1621">
        <v>-110</v>
      </c>
      <c r="AQ415" s="447">
        <v>-126</v>
      </c>
      <c r="AR415" s="447">
        <v>-167</v>
      </c>
      <c r="AS415" s="447">
        <v>-237</v>
      </c>
      <c r="AT415" s="1621">
        <v>-151</v>
      </c>
      <c r="AU415" s="447">
        <v>-160.55699999999999</v>
      </c>
      <c r="AV415" s="447">
        <v>-194</v>
      </c>
      <c r="AW415" s="447">
        <v>-254</v>
      </c>
      <c r="AX415" s="1621">
        <v>-3874</v>
      </c>
      <c r="AY415" s="447">
        <v>-455.411</v>
      </c>
      <c r="AZ415" s="447">
        <v>-439.41300000000001</v>
      </c>
      <c r="BA415" s="447">
        <v>-491.334</v>
      </c>
      <c r="BB415" s="1621">
        <v>-479.87099999999998</v>
      </c>
      <c r="BC415" s="447">
        <v>-614.09199999999998</v>
      </c>
      <c r="BD415" s="447">
        <v>-755.14599999999996</v>
      </c>
      <c r="BE415" s="447">
        <v>-1027.8800000000001</v>
      </c>
      <c r="BF415" s="1621">
        <v>-660.10699999999997</v>
      </c>
      <c r="BG415" s="447">
        <v>-787.40899999999999</v>
      </c>
      <c r="BH415" s="447">
        <v>-968.64499999999998</v>
      </c>
      <c r="BI415" s="447">
        <v>-1019.717</v>
      </c>
      <c r="BJ415" s="1621">
        <v>-923.96199999999999</v>
      </c>
      <c r="BK415" s="447">
        <v>-1048.6120000000001</v>
      </c>
      <c r="BL415" s="447">
        <v>-1050.4179999999999</v>
      </c>
      <c r="BM415" s="447">
        <v>-1191.798</v>
      </c>
      <c r="BN415" s="767">
        <f>-Model!BN196</f>
        <v>-1095.5324797093263</v>
      </c>
      <c r="BO415" s="734">
        <f>-Model!BO196</f>
        <v>-1134.3932555660588</v>
      </c>
      <c r="BP415" s="734">
        <f>-Model!BP196</f>
        <v>-1091.4718393862245</v>
      </c>
      <c r="BQ415" s="1452">
        <f>W415-SUM(BN415:BP415)</f>
        <v>-1422.0256036090254</v>
      </c>
      <c r="BR415" s="85"/>
      <c r="BS415" s="85"/>
      <c r="BT415" s="85"/>
      <c r="BU415" s="85"/>
      <c r="BV415" s="85"/>
      <c r="BW415" s="85"/>
      <c r="BX415" s="85"/>
      <c r="BY415" s="85"/>
      <c r="BZ415" s="85"/>
      <c r="CA415" s="85"/>
      <c r="CB415" s="85"/>
      <c r="CC415" s="85"/>
      <c r="CD415" s="83"/>
      <c r="CE415" s="83"/>
      <c r="CF415" s="83"/>
      <c r="CG415" s="83"/>
      <c r="CH415" s="83"/>
      <c r="CI415" s="83"/>
      <c r="CJ415" s="83"/>
      <c r="CK415" s="83"/>
      <c r="CL415" s="83"/>
      <c r="CM415" s="83"/>
      <c r="CN415" s="83"/>
      <c r="CO415" s="83"/>
      <c r="CP415" s="83"/>
      <c r="CQ415" s="83"/>
      <c r="CR415"/>
      <c r="CS415"/>
      <c r="CT415"/>
      <c r="CU415"/>
      <c r="CV415"/>
      <c r="CW415"/>
    </row>
    <row r="416" spans="1:101" s="642" customFormat="1" outlineLevel="1">
      <c r="H416" s="563"/>
      <c r="I416" s="588"/>
      <c r="J416" s="33" t="s">
        <v>553</v>
      </c>
      <c r="K416" s="28"/>
      <c r="L416" s="28"/>
      <c r="M416" s="28"/>
      <c r="N416" s="1455"/>
      <c r="O416" s="1455"/>
      <c r="P416" s="428"/>
      <c r="Q416" s="428"/>
      <c r="R416" s="428"/>
      <c r="S416" s="837"/>
      <c r="T416" s="1403">
        <v>-2750</v>
      </c>
      <c r="U416" s="834"/>
      <c r="V416" s="837"/>
      <c r="W416" s="837"/>
      <c r="X416" s="837"/>
      <c r="Y416" s="837"/>
      <c r="Z416" s="837"/>
      <c r="AA416" s="837"/>
      <c r="AB416" s="837"/>
      <c r="AC416" s="837"/>
      <c r="AD416" s="837"/>
      <c r="AE416" s="734"/>
      <c r="AF416" s="287"/>
      <c r="AG416" s="28"/>
      <c r="AH416" s="28"/>
      <c r="AI416" s="28"/>
      <c r="AJ416" s="28"/>
      <c r="AK416" s="28"/>
      <c r="AL416" s="1784"/>
      <c r="AM416" s="217"/>
      <c r="AN416" s="217"/>
      <c r="AO416" s="217"/>
      <c r="AP416" s="1000"/>
      <c r="AQ416" s="837"/>
      <c r="AR416" s="837"/>
      <c r="AS416" s="837"/>
      <c r="AT416" s="1000"/>
      <c r="AU416" s="837"/>
      <c r="AV416" s="837"/>
      <c r="AW416" s="837"/>
      <c r="AX416" s="1000"/>
      <c r="AY416" s="837"/>
      <c r="AZ416" s="837"/>
      <c r="BA416" s="837"/>
      <c r="BB416" s="1000"/>
      <c r="BC416" s="837"/>
      <c r="BD416" s="837"/>
      <c r="BE416" s="1404">
        <v>-2750.1289999999999</v>
      </c>
      <c r="BF416" s="1000"/>
      <c r="BG416" s="999"/>
      <c r="BH416" s="999"/>
      <c r="BI416" s="1056"/>
      <c r="BJ416" s="1000"/>
      <c r="BK416" s="837"/>
      <c r="BL416" s="837"/>
      <c r="BM416" s="837"/>
      <c r="BN416" s="1000"/>
      <c r="BO416" s="837"/>
      <c r="BP416" s="837"/>
      <c r="BQ416" s="1452">
        <f>W416-SUM(BN416:BP416)</f>
        <v>0</v>
      </c>
      <c r="BR416" s="85"/>
      <c r="BS416" s="85"/>
      <c r="BT416" s="85"/>
      <c r="BU416" s="85"/>
      <c r="BV416" s="85"/>
      <c r="BW416" s="85"/>
      <c r="BX416" s="85"/>
      <c r="BY416" s="85"/>
      <c r="BZ416" s="85"/>
      <c r="CA416" s="85"/>
      <c r="CB416" s="85"/>
      <c r="CC416" s="85"/>
      <c r="CD416" s="538"/>
      <c r="CE416" s="538"/>
      <c r="CF416" s="538"/>
      <c r="CG416" s="538"/>
      <c r="CH416" s="538"/>
      <c r="CI416" s="538"/>
      <c r="CJ416" s="538"/>
      <c r="CK416" s="538"/>
      <c r="CL416" s="538"/>
      <c r="CM416" s="538"/>
      <c r="CN416" s="538"/>
      <c r="CO416" s="538"/>
      <c r="CP416" s="538"/>
      <c r="CQ416" s="538"/>
      <c r="CR416"/>
      <c r="CS416"/>
      <c r="CT416"/>
      <c r="CU416"/>
      <c r="CV416"/>
      <c r="CW416"/>
    </row>
    <row r="417" spans="8:101" s="589" customFormat="1" outlineLevel="1">
      <c r="H417" s="378"/>
      <c r="I417" s="590"/>
      <c r="J417" s="13" t="s">
        <v>206</v>
      </c>
      <c r="K417" s="13"/>
      <c r="L417" s="13"/>
      <c r="M417" s="13"/>
      <c r="N417" s="1008">
        <f t="shared" ref="N417:V417" si="466">SUM(N411:N416)</f>
        <v>-103</v>
      </c>
      <c r="O417" s="1008">
        <f t="shared" si="466"/>
        <v>-416</v>
      </c>
      <c r="P417" s="1008">
        <f t="shared" si="466"/>
        <v>-1403.5689999999995</v>
      </c>
      <c r="Q417" s="1008">
        <f t="shared" si="466"/>
        <v>-1951.8660000000018</v>
      </c>
      <c r="R417" s="1008">
        <f t="shared" si="466"/>
        <v>-579</v>
      </c>
      <c r="S417" s="844">
        <f t="shared" si="466"/>
        <v>-5802</v>
      </c>
      <c r="T417" s="844">
        <f t="shared" si="466"/>
        <v>-6459</v>
      </c>
      <c r="U417" s="844">
        <f t="shared" si="466"/>
        <v>-1251.6529999999716</v>
      </c>
      <c r="V417" s="844">
        <f t="shared" si="466"/>
        <v>-835.47600000004877</v>
      </c>
      <c r="W417" s="844">
        <f t="shared" ref="W417:AD417" si="467">SUM(W411:W415)</f>
        <v>140.14863234410677</v>
      </c>
      <c r="X417" s="844">
        <f t="shared" si="467"/>
        <v>5900.9477872509997</v>
      </c>
      <c r="Y417" s="844">
        <f t="shared" si="467"/>
        <v>12618.324028903004</v>
      </c>
      <c r="Z417" s="844">
        <f t="shared" si="467"/>
        <v>20821.416526720273</v>
      </c>
      <c r="AA417" s="844">
        <f t="shared" si="467"/>
        <v>29174.073996243922</v>
      </c>
      <c r="AB417" s="844">
        <f t="shared" si="467"/>
        <v>38517.488099482973</v>
      </c>
      <c r="AC417" s="844">
        <f t="shared" si="467"/>
        <v>49063.205615139646</v>
      </c>
      <c r="AD417" s="844">
        <f t="shared" si="467"/>
        <v>57953.146429614542</v>
      </c>
      <c r="AE417" s="179"/>
      <c r="AF417" s="920"/>
      <c r="AG417" s="13"/>
      <c r="AH417" s="13"/>
      <c r="AI417" s="13"/>
      <c r="AJ417" s="13"/>
      <c r="AK417" s="13"/>
      <c r="AL417" s="663"/>
      <c r="AM417" s="213"/>
      <c r="AN417" s="213"/>
      <c r="AO417" s="213"/>
      <c r="AP417" s="1450">
        <f t="shared" ref="AP417:BM417" si="468">SUM(AP411:AP416)</f>
        <v>-573</v>
      </c>
      <c r="AQ417" s="844">
        <f t="shared" si="468"/>
        <v>-464</v>
      </c>
      <c r="AR417" s="844">
        <f t="shared" si="468"/>
        <v>-536</v>
      </c>
      <c r="AS417" s="844">
        <f t="shared" si="468"/>
        <v>-378</v>
      </c>
      <c r="AT417" s="1450">
        <f t="shared" si="468"/>
        <v>-2</v>
      </c>
      <c r="AU417" s="844">
        <f t="shared" si="468"/>
        <v>-232.30900000000332</v>
      </c>
      <c r="AV417" s="844">
        <f t="shared" si="468"/>
        <v>-80.834999999999127</v>
      </c>
      <c r="AW417" s="844">
        <f t="shared" si="468"/>
        <v>-263</v>
      </c>
      <c r="AX417" s="1450">
        <f t="shared" si="468"/>
        <v>-3851.6020000000026</v>
      </c>
      <c r="AY417" s="844">
        <f t="shared" si="468"/>
        <v>-787.94500000000062</v>
      </c>
      <c r="AZ417" s="844">
        <f t="shared" si="468"/>
        <v>-406.64000000000027</v>
      </c>
      <c r="BA417" s="844">
        <f t="shared" si="468"/>
        <v>-756.1299999999967</v>
      </c>
      <c r="BB417" s="1450">
        <f t="shared" si="468"/>
        <v>-822.60699999999554</v>
      </c>
      <c r="BC417" s="844">
        <f t="shared" si="468"/>
        <v>-723.14000000000283</v>
      </c>
      <c r="BD417" s="844">
        <f t="shared" si="468"/>
        <v>-667.23799999999574</v>
      </c>
      <c r="BE417" s="844">
        <f t="shared" si="468"/>
        <v>-4246.470999999995</v>
      </c>
      <c r="BF417" s="1450">
        <f t="shared" si="468"/>
        <v>-521.07100000000344</v>
      </c>
      <c r="BG417" s="844">
        <f t="shared" si="468"/>
        <v>-157.68200000000127</v>
      </c>
      <c r="BH417" s="844">
        <f t="shared" si="468"/>
        <v>-234.42199999999821</v>
      </c>
      <c r="BI417" s="844">
        <f t="shared" si="468"/>
        <v>-338.47799999999904</v>
      </c>
      <c r="BJ417" s="1450">
        <f t="shared" si="468"/>
        <v>661.32299999998872</v>
      </c>
      <c r="BK417" s="844">
        <f t="shared" si="468"/>
        <v>-402.98399999999742</v>
      </c>
      <c r="BL417" s="844">
        <f t="shared" si="468"/>
        <v>502.38600000000042</v>
      </c>
      <c r="BM417" s="844">
        <f t="shared" si="468"/>
        <v>-1596.2010000000034</v>
      </c>
      <c r="BN417" s="1450">
        <f>SUM(BN411:BN415)</f>
        <v>-703.21322612638346</v>
      </c>
      <c r="BO417" s="844">
        <f>SUM(BO411:BO415)</f>
        <v>-469.95152251504828</v>
      </c>
      <c r="BP417" s="844">
        <f>SUM(BP411:BP415)</f>
        <v>-219.75382899372698</v>
      </c>
      <c r="BQ417" s="844">
        <f>SUM(BQ411:BQ415)</f>
        <v>1533.0672099792932</v>
      </c>
      <c r="BR417" s="462"/>
      <c r="BS417" s="462"/>
      <c r="BT417" s="462"/>
      <c r="BU417" s="462"/>
      <c r="BV417" s="462"/>
      <c r="BW417" s="462"/>
      <c r="BX417" s="462"/>
      <c r="BY417" s="462"/>
      <c r="BZ417" s="462"/>
      <c r="CA417" s="462"/>
      <c r="CB417" s="462"/>
      <c r="CC417" s="462"/>
      <c r="CD417" s="296"/>
      <c r="CE417" s="296"/>
      <c r="CF417" s="296"/>
      <c r="CG417" s="296"/>
      <c r="CH417" s="296"/>
      <c r="CI417" s="296"/>
      <c r="CJ417" s="296"/>
      <c r="CK417" s="296"/>
      <c r="CL417" s="296"/>
      <c r="CM417" s="296"/>
      <c r="CN417" s="296"/>
      <c r="CO417" s="296"/>
      <c r="CP417" s="296"/>
      <c r="CQ417" s="296"/>
      <c r="CR417"/>
      <c r="CS417"/>
      <c r="CT417"/>
      <c r="CU417"/>
      <c r="CV417"/>
      <c r="CW417"/>
    </row>
    <row r="418" spans="8:101" s="583" customFormat="1" outlineLevel="1">
      <c r="H418" s="563"/>
      <c r="I418" s="588"/>
      <c r="J418" s="33" t="s">
        <v>638</v>
      </c>
      <c r="K418" s="28"/>
      <c r="L418" s="28"/>
      <c r="M418" s="28"/>
      <c r="N418" s="915">
        <v>1</v>
      </c>
      <c r="O418" s="915">
        <v>2</v>
      </c>
      <c r="P418" s="915">
        <v>56.097999999999999</v>
      </c>
      <c r="Q418" s="915">
        <v>175.751</v>
      </c>
      <c r="R418" s="915">
        <v>343.77</v>
      </c>
      <c r="S418" s="1403">
        <v>638</v>
      </c>
      <c r="T418" s="1403">
        <v>415</v>
      </c>
      <c r="U418" s="1403">
        <v>1226.8520000000001</v>
      </c>
      <c r="V418" s="1403">
        <v>2530.4899999999998</v>
      </c>
      <c r="W418" s="734">
        <f t="shared" ref="W418:AD418" si="469">W388</f>
        <v>2303.18334</v>
      </c>
      <c r="X418" s="734">
        <f t="shared" ca="1" si="469"/>
        <v>2666.1527973675838</v>
      </c>
      <c r="Y418" s="734">
        <f t="shared" ca="1" si="469"/>
        <v>3744.908987853054</v>
      </c>
      <c r="Z418" s="734">
        <f t="shared" ca="1" si="469"/>
        <v>4991.4011182136946</v>
      </c>
      <c r="AA418" s="734">
        <f t="shared" ca="1" si="469"/>
        <v>7061.4513769301138</v>
      </c>
      <c r="AB418" s="734">
        <f t="shared" ca="1" si="469"/>
        <v>9146.0856501661783</v>
      </c>
      <c r="AC418" s="734">
        <f t="shared" ca="1" si="469"/>
        <v>11808.180905317477</v>
      </c>
      <c r="AD418" s="734">
        <f t="shared" ca="1" si="469"/>
        <v>15103.422482758344</v>
      </c>
      <c r="AE418" s="734"/>
      <c r="AF418" s="287"/>
      <c r="AG418" s="28"/>
      <c r="AH418" s="28"/>
      <c r="AI418" s="28"/>
      <c r="AJ418" s="28"/>
      <c r="AK418" s="28"/>
      <c r="AL418" s="1764"/>
      <c r="AM418" s="428"/>
      <c r="AN418" s="428"/>
      <c r="AO418" s="428"/>
      <c r="AP418" s="1614">
        <v>37</v>
      </c>
      <c r="AQ418" s="1404">
        <v>37</v>
      </c>
      <c r="AR418" s="1404">
        <v>50</v>
      </c>
      <c r="AS418" s="1404">
        <v>52</v>
      </c>
      <c r="AT418" s="1614">
        <v>40</v>
      </c>
      <c r="AU418" s="1404">
        <v>96.504000000000005</v>
      </c>
      <c r="AV418" s="1404">
        <v>85.641000000000005</v>
      </c>
      <c r="AW418" s="1404">
        <v>122</v>
      </c>
      <c r="AX418" s="1614">
        <v>97.661000000000001</v>
      </c>
      <c r="AY418" s="1404">
        <v>154.91200000000001</v>
      </c>
      <c r="AZ418" s="1404">
        <v>197.90799999999999</v>
      </c>
      <c r="BA418" s="1404">
        <v>187.16</v>
      </c>
      <c r="BB418" s="1614">
        <v>154.76</v>
      </c>
      <c r="BC418" s="1404">
        <v>98.260999999999996</v>
      </c>
      <c r="BD418" s="1404">
        <v>70.055000000000007</v>
      </c>
      <c r="BE418" s="1404">
        <v>91.923000000000002</v>
      </c>
      <c r="BF418" s="1614">
        <v>304.60000000000002</v>
      </c>
      <c r="BG418" s="1420">
        <v>1401.058</v>
      </c>
      <c r="BH418" s="1420">
        <v>120.46</v>
      </c>
      <c r="BI418" s="1420">
        <v>434.75099999999998</v>
      </c>
      <c r="BJ418" s="1614">
        <v>226.983</v>
      </c>
      <c r="BK418" s="1404">
        <v>448.24099999999999</v>
      </c>
      <c r="BL418" s="1404">
        <v>521.31700000000001</v>
      </c>
      <c r="BM418" s="1404">
        <v>811.83900000000006</v>
      </c>
      <c r="BN418" s="767">
        <f>BN388</f>
        <v>575.79583500000001</v>
      </c>
      <c r="BO418" s="734">
        <f>BO388</f>
        <v>575.79583500000001</v>
      </c>
      <c r="BP418" s="734">
        <f>BP388</f>
        <v>575.79583500000001</v>
      </c>
      <c r="BQ418" s="1452">
        <f>W418-SUM(BN418:BP418)</f>
        <v>575.7958349999999</v>
      </c>
      <c r="BR418" s="85"/>
      <c r="BS418" s="85"/>
      <c r="BT418" s="85"/>
      <c r="BU418" s="85"/>
      <c r="BV418" s="85"/>
      <c r="BW418" s="85"/>
      <c r="BX418" s="85"/>
      <c r="BY418" s="85"/>
      <c r="BZ418" s="85"/>
      <c r="CA418" s="85"/>
      <c r="CB418" s="85"/>
      <c r="CC418" s="85"/>
      <c r="CD418" s="83"/>
      <c r="CE418" s="83"/>
      <c r="CF418" s="83"/>
      <c r="CG418" s="83"/>
      <c r="CH418" s="83"/>
      <c r="CI418" s="83"/>
      <c r="CJ418" s="83"/>
      <c r="CK418" s="83"/>
      <c r="CL418" s="83"/>
      <c r="CM418" s="83"/>
      <c r="CN418" s="83"/>
      <c r="CO418" s="83"/>
      <c r="CP418" s="83"/>
      <c r="CQ418" s="83"/>
      <c r="CR418"/>
      <c r="CS418"/>
      <c r="CT418"/>
      <c r="CU418"/>
      <c r="CV418"/>
      <c r="CW418"/>
    </row>
    <row r="419" spans="8:101" s="583" customFormat="1" outlineLevel="1">
      <c r="H419" s="563"/>
      <c r="I419" s="588"/>
      <c r="J419" s="33" t="s">
        <v>639</v>
      </c>
      <c r="K419" s="28"/>
      <c r="L419" s="28"/>
      <c r="M419" s="28"/>
      <c r="N419" s="915">
        <v>0</v>
      </c>
      <c r="O419" s="915">
        <v>0</v>
      </c>
      <c r="P419" s="915">
        <v>0</v>
      </c>
      <c r="Q419" s="915">
        <v>-8.3239999999999998</v>
      </c>
      <c r="R419" s="915">
        <v>-8.4369999999999994</v>
      </c>
      <c r="S419" s="1403">
        <v>-29</v>
      </c>
      <c r="T419" s="1403">
        <v>-83</v>
      </c>
      <c r="U419" s="1403">
        <v>-618.56700000000001</v>
      </c>
      <c r="V419" s="1403">
        <v>-963.74199999999996</v>
      </c>
      <c r="W419" s="734">
        <f t="shared" ref="W419:AD419" si="470">W383</f>
        <v>-701.28570000000002</v>
      </c>
      <c r="X419" s="734">
        <f t="shared" si="470"/>
        <v>-650.69760000000008</v>
      </c>
      <c r="Y419" s="734">
        <f t="shared" si="470"/>
        <v>-650.69760000000008</v>
      </c>
      <c r="Z419" s="734">
        <f t="shared" si="470"/>
        <v>-433.59405000000004</v>
      </c>
      <c r="AA419" s="734">
        <f t="shared" si="470"/>
        <v>-433.59405000000004</v>
      </c>
      <c r="AB419" s="734">
        <f t="shared" si="470"/>
        <v>-433.59405000000004</v>
      </c>
      <c r="AC419" s="734">
        <f t="shared" si="470"/>
        <v>-433.59405000000004</v>
      </c>
      <c r="AD419" s="734">
        <f t="shared" si="470"/>
        <v>-433.59405000000004</v>
      </c>
      <c r="AE419" s="734"/>
      <c r="AF419" s="287"/>
      <c r="AG419" s="28"/>
      <c r="AH419" s="28"/>
      <c r="AI419" s="28"/>
      <c r="AJ419" s="28"/>
      <c r="AK419" s="28"/>
      <c r="AL419" s="1764"/>
      <c r="AM419" s="428"/>
      <c r="AN419" s="428"/>
      <c r="AO419" s="428"/>
      <c r="AP419" s="1614">
        <v>0</v>
      </c>
      <c r="AQ419" s="1404">
        <v>0</v>
      </c>
      <c r="AR419" s="1404">
        <v>-4</v>
      </c>
      <c r="AS419" s="1404">
        <v>-4</v>
      </c>
      <c r="AT419" s="1614">
        <v>-4</v>
      </c>
      <c r="AU419" s="1404">
        <v>-3.395</v>
      </c>
      <c r="AV419" s="1404">
        <v>0</v>
      </c>
      <c r="AW419" s="1404">
        <v>-1</v>
      </c>
      <c r="AX419" s="1614">
        <v>-5.0149999999999997</v>
      </c>
      <c r="AY419" s="1404">
        <v>-8.3019999999999996</v>
      </c>
      <c r="AZ419" s="1404">
        <v>-8.35</v>
      </c>
      <c r="BA419" s="1404">
        <v>-7.1580000000000004</v>
      </c>
      <c r="BB419" s="1614">
        <v>-0.76700000000000002</v>
      </c>
      <c r="BC419" s="1404">
        <v>-3.2730000000000001</v>
      </c>
      <c r="BD419" s="1404">
        <v>-17.48</v>
      </c>
      <c r="BE419" s="1404">
        <v>-60.987000000000002</v>
      </c>
      <c r="BF419" s="1614">
        <v>0</v>
      </c>
      <c r="BG419" s="1420">
        <v>0</v>
      </c>
      <c r="BH419" s="1420">
        <v>0</v>
      </c>
      <c r="BI419" s="1420">
        <v>-188.10599999999999</v>
      </c>
      <c r="BJ419" s="1614">
        <v>0</v>
      </c>
      <c r="BK419" s="1404">
        <v>0</v>
      </c>
      <c r="BL419" s="1404">
        <v>0</v>
      </c>
      <c r="BM419" s="1404">
        <v>-282.47500000000002</v>
      </c>
      <c r="BN419" s="767">
        <f>BN383</f>
        <v>-175.321425</v>
      </c>
      <c r="BO419" s="734">
        <f>BO383</f>
        <v>-175.321425</v>
      </c>
      <c r="BP419" s="734">
        <f>BP383</f>
        <v>-175.321425</v>
      </c>
      <c r="BQ419" s="1452">
        <f>W419-SUM(BN419:BP419)</f>
        <v>-175.32142499999998</v>
      </c>
      <c r="BR419" s="85"/>
      <c r="BS419" s="85"/>
      <c r="BT419" s="85"/>
      <c r="BU419" s="85"/>
      <c r="BV419" s="85"/>
      <c r="BW419" s="85"/>
      <c r="BX419" s="85"/>
      <c r="BY419" s="85"/>
      <c r="BZ419" s="85"/>
      <c r="CA419" s="85"/>
      <c r="CB419" s="85"/>
      <c r="CC419" s="85"/>
      <c r="CD419" s="83"/>
      <c r="CE419" s="83"/>
      <c r="CF419" s="83"/>
      <c r="CG419" s="83"/>
      <c r="CH419" s="83"/>
      <c r="CI419" s="83"/>
      <c r="CJ419" s="83"/>
      <c r="CK419" s="83"/>
      <c r="CL419" s="83"/>
      <c r="CM419" s="83"/>
      <c r="CN419" s="83"/>
      <c r="CO419" s="83"/>
      <c r="CP419" s="83"/>
      <c r="CQ419" s="83"/>
      <c r="CR419"/>
      <c r="CS419"/>
      <c r="CT419"/>
      <c r="CU419"/>
      <c r="CV419"/>
      <c r="CW419"/>
    </row>
    <row r="420" spans="8:101" s="583" customFormat="1" outlineLevel="1">
      <c r="H420" s="563"/>
      <c r="I420" s="588"/>
      <c r="J420" s="879" t="s">
        <v>528</v>
      </c>
      <c r="K420" s="480"/>
      <c r="L420" s="480"/>
      <c r="M420" s="480"/>
      <c r="N420" s="1456"/>
      <c r="O420" s="841"/>
      <c r="P420" s="841"/>
      <c r="Q420" s="841"/>
      <c r="R420" s="841"/>
      <c r="S420" s="1405"/>
      <c r="T420" s="1405">
        <v>-3134</v>
      </c>
      <c r="U420" s="1405">
        <v>-2781.9090000000001</v>
      </c>
      <c r="V420" s="1405">
        <v>-1926.72</v>
      </c>
      <c r="W420" s="950">
        <v>-1800</v>
      </c>
      <c r="X420" s="950">
        <v>-1500</v>
      </c>
      <c r="Y420" s="950">
        <v>-1500</v>
      </c>
      <c r="Z420" s="950">
        <v>-1000</v>
      </c>
      <c r="AA420" s="950">
        <f t="shared" ref="AA420:AD421" si="471">Z420</f>
        <v>-1000</v>
      </c>
      <c r="AB420" s="950">
        <f t="shared" si="471"/>
        <v>-1000</v>
      </c>
      <c r="AC420" s="950">
        <f t="shared" si="471"/>
        <v>-1000</v>
      </c>
      <c r="AD420" s="950">
        <f t="shared" si="471"/>
        <v>-1000</v>
      </c>
      <c r="AE420" s="734"/>
      <c r="AF420" s="287"/>
      <c r="AG420" s="28"/>
      <c r="AH420" s="28"/>
      <c r="AI420" s="28"/>
      <c r="AJ420" s="28"/>
      <c r="AK420" s="28"/>
      <c r="AL420" s="1764"/>
      <c r="AM420" s="428"/>
      <c r="AN420" s="428"/>
      <c r="AO420" s="428"/>
      <c r="AP420" s="1614"/>
      <c r="AQ420" s="1404"/>
      <c r="AR420" s="1404"/>
      <c r="AS420" s="1404"/>
      <c r="AT420" s="1614"/>
      <c r="AU420" s="1404"/>
      <c r="AV420" s="1404"/>
      <c r="AW420" s="1404"/>
      <c r="AX420" s="1614"/>
      <c r="AY420" s="1404"/>
      <c r="AZ420" s="1404"/>
      <c r="BA420" s="1404"/>
      <c r="BB420" s="1614"/>
      <c r="BC420" s="1404"/>
      <c r="BD420" s="1404">
        <v>-68.525999999999996</v>
      </c>
      <c r="BE420" s="1404">
        <v>-3038.0390000000002</v>
      </c>
      <c r="BF420" s="1614">
        <v>-163.441</v>
      </c>
      <c r="BG420" s="1420">
        <v>-1080.82</v>
      </c>
      <c r="BH420" s="1420">
        <v>-468.59899999999999</v>
      </c>
      <c r="BI420" s="1420">
        <v>-1069.049</v>
      </c>
      <c r="BJ420" s="1614">
        <v>-520.04100000000005</v>
      </c>
      <c r="BK420" s="1404">
        <v>-372.64800000000002</v>
      </c>
      <c r="BL420" s="1404">
        <v>-477.077</v>
      </c>
      <c r="BM420" s="1404">
        <v>-556.95399999999995</v>
      </c>
      <c r="BN420" s="1259">
        <v>-500</v>
      </c>
      <c r="BO420" s="950">
        <v>-500</v>
      </c>
      <c r="BP420" s="950">
        <v>-450</v>
      </c>
      <c r="BQ420" s="1452">
        <f>W420-SUM(BN420:BP420)</f>
        <v>-350</v>
      </c>
      <c r="BR420" s="85"/>
      <c r="BS420" s="85"/>
      <c r="BT420" s="85"/>
      <c r="BU420" s="85"/>
      <c r="BV420" s="85"/>
      <c r="BW420" s="85"/>
      <c r="BX420" s="85"/>
      <c r="BY420" s="85"/>
      <c r="BZ420" s="85"/>
      <c r="CA420" s="85"/>
      <c r="CB420" s="85"/>
      <c r="CC420" s="85"/>
      <c r="CD420" s="83"/>
      <c r="CE420" s="83"/>
      <c r="CF420" s="83"/>
      <c r="CG420" s="83"/>
      <c r="CH420" s="83"/>
      <c r="CI420" s="83"/>
      <c r="CJ420" s="83"/>
      <c r="CK420" s="83"/>
      <c r="CL420" s="83"/>
      <c r="CM420" s="83"/>
      <c r="CN420" s="83"/>
      <c r="CO420" s="83"/>
      <c r="CP420" s="83"/>
      <c r="CQ420" s="83"/>
      <c r="CR420"/>
      <c r="CS420"/>
      <c r="CT420"/>
      <c r="CU420"/>
      <c r="CV420"/>
      <c r="CW420"/>
    </row>
    <row r="421" spans="8:101" s="583" customFormat="1" outlineLevel="1">
      <c r="H421" s="563"/>
      <c r="I421" s="588"/>
      <c r="J421" s="33" t="s">
        <v>640</v>
      </c>
      <c r="K421" s="28"/>
      <c r="L421" s="28"/>
      <c r="M421" s="28"/>
      <c r="N421" s="428">
        <v>-1</v>
      </c>
      <c r="O421" s="428">
        <v>2</v>
      </c>
      <c r="P421" s="428">
        <v>64</v>
      </c>
      <c r="Q421" s="428">
        <v>60</v>
      </c>
      <c r="R421" s="428">
        <v>193</v>
      </c>
      <c r="S421" s="1403">
        <v>216</v>
      </c>
      <c r="T421" s="1403">
        <v>-141</v>
      </c>
      <c r="U421" s="1403">
        <v>1543.376</v>
      </c>
      <c r="V421" s="1403">
        <v>1316.4079999999999</v>
      </c>
      <c r="W421" s="950">
        <v>2600</v>
      </c>
      <c r="X421" s="950">
        <f>W421</f>
        <v>2600</v>
      </c>
      <c r="Y421" s="950">
        <f>X421</f>
        <v>2600</v>
      </c>
      <c r="Z421" s="950">
        <f>Y421</f>
        <v>2600</v>
      </c>
      <c r="AA421" s="950">
        <f t="shared" si="471"/>
        <v>2600</v>
      </c>
      <c r="AB421" s="950">
        <f t="shared" si="471"/>
        <v>2600</v>
      </c>
      <c r="AC421" s="950">
        <f t="shared" si="471"/>
        <v>2600</v>
      </c>
      <c r="AD421" s="950">
        <f t="shared" si="471"/>
        <v>2600</v>
      </c>
      <c r="AE421" s="734"/>
      <c r="AF421" s="287"/>
      <c r="AG421" s="28"/>
      <c r="AH421" s="28"/>
      <c r="AI421" s="28"/>
      <c r="AJ421" s="28"/>
      <c r="AK421" s="28"/>
      <c r="AL421" s="1764"/>
      <c r="AM421" s="428"/>
      <c r="AN421" s="428"/>
      <c r="AO421" s="428"/>
      <c r="AP421" s="1614">
        <v>8</v>
      </c>
      <c r="AQ421" s="1404">
        <v>18</v>
      </c>
      <c r="AR421" s="1404">
        <v>6</v>
      </c>
      <c r="AS421" s="1404">
        <v>28</v>
      </c>
      <c r="AT421" s="1614">
        <v>-20</v>
      </c>
      <c r="AU421" s="1404">
        <v>112.83</v>
      </c>
      <c r="AV421" s="1404">
        <v>71.808999999999997</v>
      </c>
      <c r="AW421" s="1404">
        <v>29</v>
      </c>
      <c r="AX421" s="1614">
        <v>-38.561999999999998</v>
      </c>
      <c r="AY421" s="1404">
        <v>59.168999999999997</v>
      </c>
      <c r="AZ421" s="1404">
        <v>58.927999999999997</v>
      </c>
      <c r="BA421" s="1404">
        <v>137.05199999999999</v>
      </c>
      <c r="BB421" s="1614">
        <v>-44.573</v>
      </c>
      <c r="BC421" s="1404">
        <v>115.661</v>
      </c>
      <c r="BD421" s="1404">
        <v>148.29</v>
      </c>
      <c r="BE421" s="1404">
        <v>-387.69299999999998</v>
      </c>
      <c r="BF421" s="1614">
        <v>0</v>
      </c>
      <c r="BG421" s="1420">
        <v>0</v>
      </c>
      <c r="BH421" s="1420">
        <v>97.209000000000003</v>
      </c>
      <c r="BI421" s="1420">
        <v>-18.311</v>
      </c>
      <c r="BJ421" s="1614">
        <v>0</v>
      </c>
      <c r="BK421" s="1404">
        <v>0</v>
      </c>
      <c r="BL421" s="1404">
        <v>484.71100000000001</v>
      </c>
      <c r="BM421" s="1404">
        <v>672.54</v>
      </c>
      <c r="BN421" s="1259">
        <v>450</v>
      </c>
      <c r="BO421" s="950">
        <v>650</v>
      </c>
      <c r="BP421" s="950">
        <v>650</v>
      </c>
      <c r="BQ421" s="1452">
        <f>W421-SUM(BN421:BP421)</f>
        <v>850</v>
      </c>
      <c r="BR421" s="85"/>
      <c r="BS421" s="85"/>
      <c r="BT421" s="85"/>
      <c r="BU421" s="85"/>
      <c r="BV421" s="85"/>
      <c r="BW421" s="85"/>
      <c r="BX421" s="85"/>
      <c r="BY421" s="85"/>
      <c r="BZ421" s="85"/>
      <c r="CA421" s="85"/>
      <c r="CB421" s="85"/>
      <c r="CC421" s="85"/>
      <c r="CD421" s="83"/>
      <c r="CE421" s="83"/>
      <c r="CF421" s="83"/>
      <c r="CG421" s="83"/>
      <c r="CH421" s="83"/>
      <c r="CI421" s="83"/>
      <c r="CJ421" s="83"/>
      <c r="CK421" s="83"/>
      <c r="CL421" s="83"/>
      <c r="CM421" s="83"/>
      <c r="CN421" s="83"/>
      <c r="CO421" s="83"/>
      <c r="CP421" s="83"/>
      <c r="CQ421" s="83"/>
      <c r="CR421"/>
      <c r="CS421"/>
      <c r="CT421"/>
      <c r="CU421"/>
      <c r="CV421"/>
      <c r="CW421"/>
    </row>
    <row r="422" spans="8:101" s="583" customFormat="1" outlineLevel="1">
      <c r="H422" s="563"/>
      <c r="I422" s="588"/>
      <c r="J422" s="33" t="s">
        <v>641</v>
      </c>
      <c r="K422" s="28"/>
      <c r="L422" s="28"/>
      <c r="M422" s="28"/>
      <c r="N422" s="915">
        <v>0</v>
      </c>
      <c r="O422" s="915">
        <v>0</v>
      </c>
      <c r="P422" s="915">
        <v>0</v>
      </c>
      <c r="Q422" s="915">
        <v>0</v>
      </c>
      <c r="R422" s="428"/>
      <c r="S422" s="837"/>
      <c r="T422" s="837"/>
      <c r="U422" s="837"/>
      <c r="V422" s="837"/>
      <c r="W422" s="894"/>
      <c r="X422" s="837"/>
      <c r="Y422" s="837"/>
      <c r="Z422" s="837"/>
      <c r="AA422" s="837"/>
      <c r="AB422" s="837"/>
      <c r="AC422" s="837"/>
      <c r="AD422" s="837"/>
      <c r="AE422" s="734"/>
      <c r="AF422" s="287"/>
      <c r="AG422" s="28"/>
      <c r="AH422" s="28"/>
      <c r="AI422" s="28"/>
      <c r="AJ422" s="28"/>
      <c r="AK422" s="28"/>
      <c r="AL422" s="1764"/>
      <c r="AM422" s="428"/>
      <c r="AN422" s="428"/>
      <c r="AO422" s="428"/>
      <c r="AP422" s="1702"/>
      <c r="AQ422" s="998"/>
      <c r="AR422" s="998"/>
      <c r="AS422" s="998"/>
      <c r="AT422" s="1702"/>
      <c r="AU422" s="998"/>
      <c r="AV422" s="998"/>
      <c r="AW422" s="998"/>
      <c r="AX422" s="1702"/>
      <c r="AY422" s="998"/>
      <c r="AZ422" s="998"/>
      <c r="BA422" s="998"/>
      <c r="BB422" s="1702"/>
      <c r="BC422" s="837"/>
      <c r="BD422" s="837"/>
      <c r="BE422" s="837"/>
      <c r="BF422" s="1000"/>
      <c r="BG422" s="999"/>
      <c r="BH422" s="999"/>
      <c r="BI422" s="1056"/>
      <c r="BJ422" s="1000"/>
      <c r="BK422" s="837"/>
      <c r="BL422" s="837"/>
      <c r="BM422" s="837"/>
      <c r="BN422" s="1000"/>
      <c r="BO422" s="837"/>
      <c r="BP422" s="837"/>
      <c r="BQ422" s="1056">
        <f>Z422-SUM(BN422:BP422)</f>
        <v>0</v>
      </c>
      <c r="BR422" s="85"/>
      <c r="BS422" s="85"/>
      <c r="BT422" s="85"/>
      <c r="BU422" s="85"/>
      <c r="BV422" s="85"/>
      <c r="BW422" s="85"/>
      <c r="BX422" s="85"/>
      <c r="BY422" s="85"/>
      <c r="BZ422" s="85"/>
      <c r="CA422" s="85"/>
      <c r="CB422" s="85"/>
      <c r="CC422" s="85"/>
      <c r="CD422" s="83"/>
      <c r="CE422" s="83"/>
      <c r="CF422" s="83"/>
      <c r="CG422" s="83"/>
      <c r="CH422" s="83"/>
      <c r="CI422" s="83"/>
      <c r="CJ422" s="83"/>
      <c r="CK422" s="83"/>
      <c r="CL422" s="83"/>
      <c r="CM422" s="83"/>
      <c r="CN422" s="83"/>
      <c r="CO422" s="83"/>
      <c r="CP422" s="83"/>
      <c r="CQ422" s="83"/>
      <c r="CR422"/>
      <c r="CS422"/>
      <c r="CT422"/>
      <c r="CU422"/>
      <c r="CV422"/>
      <c r="CW422"/>
    </row>
    <row r="423" spans="8:101" s="589" customFormat="1" outlineLevel="1">
      <c r="H423" s="378"/>
      <c r="I423" s="590"/>
      <c r="J423" s="13" t="s">
        <v>478</v>
      </c>
      <c r="K423" s="13"/>
      <c r="L423" s="13"/>
      <c r="M423" s="13"/>
      <c r="N423" s="1008">
        <f>SUM(N417:N422)</f>
        <v>-103</v>
      </c>
      <c r="O423" s="1008">
        <f>SUM(O417:O422)</f>
        <v>-412</v>
      </c>
      <c r="P423" s="1008">
        <f>SUM(P417:P422)</f>
        <v>-1283.4709999999995</v>
      </c>
      <c r="Q423" s="1008">
        <f>SUM(Q417:Q422)</f>
        <v>-1724.4390000000019</v>
      </c>
      <c r="R423" s="1312">
        <v>-50</v>
      </c>
      <c r="S423" s="844">
        <f t="shared" ref="S423:AD423" si="472">SUM(S417:S422)</f>
        <v>-4977</v>
      </c>
      <c r="T423" s="844">
        <f t="shared" si="472"/>
        <v>-9402</v>
      </c>
      <c r="U423" s="844">
        <f t="shared" si="472"/>
        <v>-1881.9009999999719</v>
      </c>
      <c r="V423" s="844">
        <f t="shared" si="472"/>
        <v>120.95999999995092</v>
      </c>
      <c r="W423" s="844">
        <f t="shared" si="472"/>
        <v>2542.0462723441069</v>
      </c>
      <c r="X423" s="844">
        <f t="shared" ca="1" si="472"/>
        <v>9016.402984618584</v>
      </c>
      <c r="Y423" s="844">
        <f t="shared" ca="1" si="472"/>
        <v>16812.535416756058</v>
      </c>
      <c r="Z423" s="844">
        <f t="shared" ca="1" si="472"/>
        <v>26979.223594933967</v>
      </c>
      <c r="AA423" s="844">
        <f t="shared" ca="1" si="472"/>
        <v>37401.931323174038</v>
      </c>
      <c r="AB423" s="844">
        <f t="shared" ca="1" si="472"/>
        <v>48829.97969964915</v>
      </c>
      <c r="AC423" s="844">
        <f t="shared" ca="1" si="472"/>
        <v>62037.79247045712</v>
      </c>
      <c r="AD423" s="844">
        <f t="shared" ca="1" si="472"/>
        <v>74222.974862372881</v>
      </c>
      <c r="AE423" s="734"/>
      <c r="AF423" s="920"/>
      <c r="AG423" s="13"/>
      <c r="AH423" s="13"/>
      <c r="AI423" s="13"/>
      <c r="AJ423" s="13"/>
      <c r="AK423" s="13"/>
      <c r="AL423" s="663"/>
      <c r="AM423" s="213"/>
      <c r="AN423" s="213"/>
      <c r="AO423" s="213"/>
      <c r="AP423" s="1450">
        <f t="shared" ref="AP423:BQ423" si="473">SUM(AP417:AP422)</f>
        <v>-528</v>
      </c>
      <c r="AQ423" s="844">
        <f t="shared" si="473"/>
        <v>-409</v>
      </c>
      <c r="AR423" s="844">
        <f t="shared" si="473"/>
        <v>-484</v>
      </c>
      <c r="AS423" s="844">
        <f t="shared" si="473"/>
        <v>-302</v>
      </c>
      <c r="AT423" s="1450">
        <f t="shared" si="473"/>
        <v>14</v>
      </c>
      <c r="AU423" s="844">
        <f t="shared" si="473"/>
        <v>-26.370000000003316</v>
      </c>
      <c r="AV423" s="844">
        <f t="shared" si="473"/>
        <v>76.615000000000876</v>
      </c>
      <c r="AW423" s="844">
        <f t="shared" si="473"/>
        <v>-113</v>
      </c>
      <c r="AX423" s="1450">
        <f t="shared" si="473"/>
        <v>-3797.5180000000023</v>
      </c>
      <c r="AY423" s="844">
        <f t="shared" si="473"/>
        <v>-582.16600000000062</v>
      </c>
      <c r="AZ423" s="844">
        <f t="shared" si="473"/>
        <v>-158.15400000000028</v>
      </c>
      <c r="BA423" s="844">
        <f t="shared" si="473"/>
        <v>-439.07599999999672</v>
      </c>
      <c r="BB423" s="1450">
        <f t="shared" si="473"/>
        <v>-713.18699999999558</v>
      </c>
      <c r="BC423" s="844">
        <f t="shared" si="473"/>
        <v>-512.49100000000294</v>
      </c>
      <c r="BD423" s="844">
        <f t="shared" si="473"/>
        <v>-534.89899999999568</v>
      </c>
      <c r="BE423" s="844">
        <f t="shared" si="473"/>
        <v>-7641.2669999999953</v>
      </c>
      <c r="BF423" s="1450">
        <f t="shared" si="473"/>
        <v>-379.91200000000345</v>
      </c>
      <c r="BG423" s="844">
        <f t="shared" si="473"/>
        <v>162.5559999999989</v>
      </c>
      <c r="BH423" s="844">
        <f t="shared" si="473"/>
        <v>-485.35199999999821</v>
      </c>
      <c r="BI423" s="844">
        <f t="shared" si="473"/>
        <v>-1179.1929999999991</v>
      </c>
      <c r="BJ423" s="1450">
        <f t="shared" si="473"/>
        <v>368.26499999998862</v>
      </c>
      <c r="BK423" s="844">
        <f t="shared" si="473"/>
        <v>-327.39099999999746</v>
      </c>
      <c r="BL423" s="844">
        <f t="shared" si="473"/>
        <v>1031.3370000000004</v>
      </c>
      <c r="BM423" s="844">
        <f t="shared" si="473"/>
        <v>-951.25100000000339</v>
      </c>
      <c r="BN423" s="1450">
        <f t="shared" si="473"/>
        <v>-352.73881612638343</v>
      </c>
      <c r="BO423" s="844">
        <f t="shared" si="473"/>
        <v>80.522887484951752</v>
      </c>
      <c r="BP423" s="844">
        <f t="shared" si="473"/>
        <v>380.72058100627305</v>
      </c>
      <c r="BQ423" s="844">
        <f t="shared" si="473"/>
        <v>2433.541619979293</v>
      </c>
      <c r="BR423" s="462"/>
      <c r="BS423" s="462"/>
      <c r="BT423" s="462"/>
      <c r="BU423" s="462"/>
      <c r="BV423" s="462"/>
      <c r="BW423" s="462"/>
      <c r="BX423" s="462"/>
      <c r="BY423" s="462"/>
      <c r="BZ423" s="462"/>
      <c r="CA423" s="462"/>
      <c r="CB423" s="462"/>
      <c r="CC423" s="462"/>
      <c r="CD423" s="296"/>
      <c r="CE423" s="296"/>
      <c r="CF423" s="296"/>
      <c r="CG423" s="296"/>
      <c r="CH423" s="296"/>
      <c r="CI423" s="296"/>
      <c r="CJ423" s="296"/>
      <c r="CK423" s="296"/>
      <c r="CL423" s="296"/>
      <c r="CM423" s="296"/>
      <c r="CN423" s="296"/>
      <c r="CO423" s="296"/>
      <c r="CP423" s="296"/>
      <c r="CQ423" s="296"/>
      <c r="CR423"/>
      <c r="CS423"/>
      <c r="CT423"/>
      <c r="CU423"/>
      <c r="CV423"/>
      <c r="CW423"/>
    </row>
    <row r="424" spans="8:101" s="583" customFormat="1" outlineLevel="1">
      <c r="H424" s="563"/>
      <c r="I424" s="588"/>
      <c r="J424" s="33" t="s">
        <v>479</v>
      </c>
      <c r="K424" s="28"/>
      <c r="L424" s="28"/>
      <c r="M424" s="28"/>
      <c r="N424" s="915">
        <v>0</v>
      </c>
      <c r="O424" s="915">
        <v>0</v>
      </c>
      <c r="P424" s="915">
        <v>0</v>
      </c>
      <c r="Q424" s="915">
        <v>-6.1269999999999998</v>
      </c>
      <c r="R424" s="915">
        <v>0.04</v>
      </c>
      <c r="S424" s="1403">
        <v>-19</v>
      </c>
      <c r="T424" s="1403">
        <v>14</v>
      </c>
      <c r="U424" s="1403">
        <v>-166.39099999999999</v>
      </c>
      <c r="V424" s="1403">
        <v>-139.59299999999999</v>
      </c>
      <c r="W424" s="894">
        <f>W393</f>
        <v>-330.46601540473392</v>
      </c>
      <c r="X424" s="894">
        <f t="shared" ref="X424:AD424" ca="1" si="474">X393</f>
        <v>-1622.9525372313451</v>
      </c>
      <c r="Y424" s="894">
        <f t="shared" ca="1" si="474"/>
        <v>-3026.2563750160903</v>
      </c>
      <c r="Z424" s="894">
        <f t="shared" ca="1" si="474"/>
        <v>-4856.2602470881138</v>
      </c>
      <c r="AA424" s="894">
        <f t="shared" ca="1" si="474"/>
        <v>-6732.3476381713263</v>
      </c>
      <c r="AB424" s="894">
        <f t="shared" ca="1" si="474"/>
        <v>-8789.396345936846</v>
      </c>
      <c r="AC424" s="894">
        <f t="shared" ca="1" si="474"/>
        <v>-11166.802644682281</v>
      </c>
      <c r="AD424" s="894">
        <f t="shared" ca="1" si="474"/>
        <v>-13360.135475227118</v>
      </c>
      <c r="AE424" s="734"/>
      <c r="AF424" s="287"/>
      <c r="AG424" s="28"/>
      <c r="AH424" s="28"/>
      <c r="AI424" s="28"/>
      <c r="AJ424" s="28"/>
      <c r="AK424" s="28"/>
      <c r="AL424" s="1764"/>
      <c r="AM424" s="428"/>
      <c r="AN424" s="428"/>
      <c r="AO424" s="428"/>
      <c r="AP424" s="1614">
        <v>0</v>
      </c>
      <c r="AQ424" s="1404">
        <v>0</v>
      </c>
      <c r="AR424" s="1404">
        <v>-3</v>
      </c>
      <c r="AS424" s="1404">
        <v>-3</v>
      </c>
      <c r="AT424" s="1614">
        <v>-1</v>
      </c>
      <c r="AU424" s="1404">
        <v>-1.9490000000000001</v>
      </c>
      <c r="AV424" s="1404">
        <v>-0.45300000000000001</v>
      </c>
      <c r="AW424" s="1404">
        <v>3</v>
      </c>
      <c r="AX424" s="1614">
        <v>2.4900000000000002</v>
      </c>
      <c r="AY424" s="1404">
        <v>-0.36399999999999999</v>
      </c>
      <c r="AZ424" s="1404">
        <v>-6.2039999999999997</v>
      </c>
      <c r="BA424" s="1404">
        <v>-15.246</v>
      </c>
      <c r="BB424" s="1614">
        <v>2.9769999999999999</v>
      </c>
      <c r="BC424" s="1404">
        <v>2.069</v>
      </c>
      <c r="BD424" s="1404">
        <v>1.7000000000000001E-2</v>
      </c>
      <c r="BE424" s="1404">
        <v>9.1989999999999998</v>
      </c>
      <c r="BF424" s="1614">
        <v>-19.972999999999999</v>
      </c>
      <c r="BG424" s="1420">
        <v>-43.628</v>
      </c>
      <c r="BH424" s="1420">
        <v>-2.1819999999999999</v>
      </c>
      <c r="BI424" s="1420">
        <v>-100.608</v>
      </c>
      <c r="BJ424" s="1614">
        <v>-89.683000000000007</v>
      </c>
      <c r="BK424" s="1404">
        <v>16.266999999999999</v>
      </c>
      <c r="BL424" s="1404">
        <v>-53.177</v>
      </c>
      <c r="BM424" s="1404">
        <v>-13</v>
      </c>
      <c r="BN424" s="767">
        <f>BN393</f>
        <v>0</v>
      </c>
      <c r="BO424" s="734">
        <f>BO393</f>
        <v>-10.467975373043728</v>
      </c>
      <c r="BP424" s="734">
        <f>BP393</f>
        <v>-49.493675530815501</v>
      </c>
      <c r="BQ424" s="734">
        <f>BQ393</f>
        <v>-270.50436450087471</v>
      </c>
      <c r="BR424" s="85"/>
      <c r="BS424" s="85"/>
      <c r="BT424" s="85"/>
      <c r="BU424" s="85"/>
      <c r="BV424" s="85"/>
      <c r="BW424" s="85"/>
      <c r="BX424" s="85"/>
      <c r="BY424" s="85"/>
      <c r="BZ424" s="85"/>
      <c r="CA424" s="85"/>
      <c r="CB424" s="85"/>
      <c r="CC424" s="85"/>
      <c r="CD424" s="83"/>
      <c r="CE424" s="83"/>
      <c r="CF424" s="83"/>
      <c r="CG424" s="83"/>
      <c r="CH424" s="83"/>
      <c r="CI424" s="83"/>
      <c r="CJ424" s="83"/>
      <c r="CK424" s="83"/>
      <c r="CL424" s="83"/>
      <c r="CM424" s="83"/>
      <c r="CN424" s="83"/>
      <c r="CO424" s="83"/>
      <c r="CP424" s="83"/>
      <c r="CQ424" s="83"/>
      <c r="CR424"/>
      <c r="CS424"/>
      <c r="CT424"/>
      <c r="CU424"/>
      <c r="CV424"/>
      <c r="CW424"/>
    </row>
    <row r="425" spans="8:101" s="70" customFormat="1" outlineLevel="1">
      <c r="H425" s="379"/>
      <c r="I425" s="591"/>
      <c r="J425" s="19" t="s">
        <v>643</v>
      </c>
      <c r="K425" s="19"/>
      <c r="L425" s="19"/>
      <c r="M425" s="19"/>
      <c r="N425" s="1448">
        <f t="shared" ref="N425:AD425" si="475">SUM(N423:N424)</f>
        <v>-103</v>
      </c>
      <c r="O425" s="1448">
        <f t="shared" si="475"/>
        <v>-412</v>
      </c>
      <c r="P425" s="1448">
        <f t="shared" si="475"/>
        <v>-1283.4709999999995</v>
      </c>
      <c r="Q425" s="1448">
        <f t="shared" si="475"/>
        <v>-1730.5660000000018</v>
      </c>
      <c r="R425" s="1449">
        <f t="shared" si="475"/>
        <v>-49.96</v>
      </c>
      <c r="S425" s="844">
        <f t="shared" si="475"/>
        <v>-4996</v>
      </c>
      <c r="T425" s="844">
        <f t="shared" si="475"/>
        <v>-9388</v>
      </c>
      <c r="U425" s="844">
        <f t="shared" si="475"/>
        <v>-2048.2919999999717</v>
      </c>
      <c r="V425" s="844">
        <f t="shared" si="475"/>
        <v>-18.633000000049066</v>
      </c>
      <c r="W425" s="844">
        <f t="shared" si="475"/>
        <v>2211.5802569393732</v>
      </c>
      <c r="X425" s="844">
        <f t="shared" ca="1" si="475"/>
        <v>7393.4504473872385</v>
      </c>
      <c r="Y425" s="844">
        <f t="shared" ca="1" si="475"/>
        <v>13786.279041739968</v>
      </c>
      <c r="Z425" s="844">
        <f t="shared" ca="1" si="475"/>
        <v>22122.963347845853</v>
      </c>
      <c r="AA425" s="844">
        <f t="shared" ca="1" si="475"/>
        <v>30669.583685002712</v>
      </c>
      <c r="AB425" s="844">
        <f t="shared" ca="1" si="475"/>
        <v>40040.583353712304</v>
      </c>
      <c r="AC425" s="844">
        <f t="shared" ca="1" si="475"/>
        <v>50870.989825774843</v>
      </c>
      <c r="AD425" s="844">
        <f t="shared" ca="1" si="475"/>
        <v>60862.839387145767</v>
      </c>
      <c r="AE425" s="836"/>
      <c r="AF425" s="920"/>
      <c r="AG425" s="19"/>
      <c r="AH425" s="19"/>
      <c r="AI425" s="19"/>
      <c r="AJ425" s="19"/>
      <c r="AK425" s="19"/>
      <c r="AL425" s="663"/>
      <c r="AM425" s="213"/>
      <c r="AN425" s="213"/>
      <c r="AO425" s="213"/>
      <c r="AP425" s="1450">
        <f t="shared" ref="AP425:BQ425" si="476">SUM(AP423:AP424)</f>
        <v>-528</v>
      </c>
      <c r="AQ425" s="844">
        <f t="shared" si="476"/>
        <v>-409</v>
      </c>
      <c r="AR425" s="844">
        <f t="shared" si="476"/>
        <v>-487</v>
      </c>
      <c r="AS425" s="844">
        <f t="shared" si="476"/>
        <v>-305</v>
      </c>
      <c r="AT425" s="1450">
        <f t="shared" si="476"/>
        <v>13</v>
      </c>
      <c r="AU425" s="844">
        <f t="shared" si="476"/>
        <v>-28.319000000003317</v>
      </c>
      <c r="AV425" s="844">
        <f t="shared" si="476"/>
        <v>76.162000000000873</v>
      </c>
      <c r="AW425" s="844">
        <f t="shared" si="476"/>
        <v>-110</v>
      </c>
      <c r="AX425" s="1450">
        <f t="shared" si="476"/>
        <v>-3795.0280000000025</v>
      </c>
      <c r="AY425" s="844">
        <f t="shared" si="476"/>
        <v>-582.53000000000065</v>
      </c>
      <c r="AZ425" s="844">
        <f t="shared" si="476"/>
        <v>-164.35800000000029</v>
      </c>
      <c r="BA425" s="844">
        <f t="shared" si="476"/>
        <v>-454.32199999999671</v>
      </c>
      <c r="BB425" s="1450">
        <f t="shared" si="476"/>
        <v>-710.2099999999956</v>
      </c>
      <c r="BC425" s="844">
        <f t="shared" si="476"/>
        <v>-510.42200000000292</v>
      </c>
      <c r="BD425" s="844">
        <f t="shared" si="476"/>
        <v>-534.88199999999563</v>
      </c>
      <c r="BE425" s="844">
        <f t="shared" si="476"/>
        <v>-7632.0679999999957</v>
      </c>
      <c r="BF425" s="1450">
        <f t="shared" si="476"/>
        <v>-399.88500000000346</v>
      </c>
      <c r="BG425" s="844">
        <f t="shared" si="476"/>
        <v>118.9279999999989</v>
      </c>
      <c r="BH425" s="844">
        <f t="shared" si="476"/>
        <v>-487.53399999999823</v>
      </c>
      <c r="BI425" s="844">
        <f t="shared" si="476"/>
        <v>-1279.800999999999</v>
      </c>
      <c r="BJ425" s="1450">
        <f t="shared" si="476"/>
        <v>278.58199999998862</v>
      </c>
      <c r="BK425" s="844">
        <f t="shared" si="476"/>
        <v>-311.12399999999747</v>
      </c>
      <c r="BL425" s="844">
        <f t="shared" si="476"/>
        <v>978.16000000000042</v>
      </c>
      <c r="BM425" s="844">
        <f t="shared" si="476"/>
        <v>-964.25100000000339</v>
      </c>
      <c r="BN425" s="1450">
        <f t="shared" si="476"/>
        <v>-352.73881612638343</v>
      </c>
      <c r="BO425" s="844">
        <f t="shared" si="476"/>
        <v>70.054912111908024</v>
      </c>
      <c r="BP425" s="844">
        <f t="shared" si="476"/>
        <v>331.22690547545756</v>
      </c>
      <c r="BQ425" s="844">
        <f t="shared" si="476"/>
        <v>2163.0372554784185</v>
      </c>
      <c r="BR425" s="462"/>
      <c r="BS425" s="375"/>
      <c r="BT425" s="375"/>
      <c r="BU425" s="375"/>
      <c r="BV425" s="375"/>
      <c r="BW425" s="375"/>
      <c r="BX425" s="375"/>
      <c r="BY425" s="375"/>
      <c r="BZ425" s="375"/>
      <c r="CA425" s="375"/>
      <c r="CB425" s="375"/>
      <c r="CC425" s="375"/>
      <c r="CD425" s="208"/>
      <c r="CE425" s="208"/>
      <c r="CF425" s="208"/>
      <c r="CG425" s="208"/>
      <c r="CH425" s="208"/>
      <c r="CI425" s="208"/>
      <c r="CJ425" s="208"/>
      <c r="CK425" s="208"/>
      <c r="CL425" s="208"/>
      <c r="CM425" s="208"/>
      <c r="CN425" s="208"/>
      <c r="CO425" s="208"/>
      <c r="CP425" s="208"/>
      <c r="CQ425" s="208"/>
      <c r="CR425"/>
      <c r="CS425"/>
      <c r="CT425"/>
      <c r="CU425"/>
      <c r="CV425"/>
      <c r="CW425"/>
    </row>
    <row r="426" spans="8:101" s="42" customFormat="1" outlineLevel="2">
      <c r="H426" s="563"/>
      <c r="I426" s="588"/>
      <c r="J426" s="24" t="s">
        <v>256</v>
      </c>
      <c r="K426" s="19"/>
      <c r="L426" s="19"/>
      <c r="M426" s="19"/>
      <c r="N426" s="435">
        <v>-110</v>
      </c>
      <c r="O426" s="435">
        <v>-457</v>
      </c>
      <c r="P426" s="435">
        <v>-1660.6189999999999</v>
      </c>
      <c r="Q426" s="435">
        <v>-1588</v>
      </c>
      <c r="R426" s="435">
        <v>-2435.366</v>
      </c>
      <c r="S426" s="1405">
        <v>-7957.64</v>
      </c>
      <c r="T426" s="1406"/>
      <c r="U426" s="839"/>
      <c r="V426" s="839"/>
      <c r="W426" s="839"/>
      <c r="X426" s="839"/>
      <c r="Y426" s="839"/>
      <c r="Z426" s="839"/>
      <c r="AA426" s="839"/>
      <c r="AB426" s="839"/>
      <c r="AC426" s="839"/>
      <c r="AD426" s="839"/>
      <c r="AE426" s="836"/>
      <c r="AF426" s="287"/>
      <c r="AG426" s="28"/>
      <c r="AH426" s="28"/>
      <c r="AI426" s="28"/>
      <c r="AJ426" s="28"/>
      <c r="AK426" s="28"/>
      <c r="AL426" s="1764"/>
      <c r="AM426" s="428"/>
      <c r="AN426" s="428"/>
      <c r="AO426" s="428"/>
      <c r="AP426" s="1629"/>
      <c r="AQ426" s="889"/>
      <c r="AR426" s="889"/>
      <c r="AS426" s="889"/>
      <c r="AT426" s="1629"/>
      <c r="AU426" s="889"/>
      <c r="AV426" s="889"/>
      <c r="AW426" s="889"/>
      <c r="AX426" s="1629"/>
      <c r="AY426" s="889"/>
      <c r="AZ426" s="837"/>
      <c r="BA426" s="837"/>
      <c r="BB426" s="1629"/>
      <c r="BC426" s="837"/>
      <c r="BD426" s="1354"/>
      <c r="BE426" s="1354"/>
      <c r="BF426" s="1000"/>
      <c r="BG426" s="999"/>
      <c r="BH426" s="999"/>
      <c r="BI426" s="1056"/>
      <c r="BJ426" s="1000"/>
      <c r="BK426" s="837"/>
      <c r="BL426" s="837"/>
      <c r="BM426" s="837"/>
      <c r="BN426" s="1000"/>
      <c r="BO426" s="837"/>
      <c r="BP426" s="837"/>
      <c r="BQ426" s="1056"/>
      <c r="BR426" s="85"/>
      <c r="BS426" s="47"/>
      <c r="BT426" s="47"/>
      <c r="BU426" s="47"/>
      <c r="BV426" s="47"/>
      <c r="BW426" s="47"/>
      <c r="BX426" s="47"/>
      <c r="BY426" s="47"/>
      <c r="BZ426" s="47"/>
      <c r="CA426" s="47"/>
      <c r="CB426" s="47"/>
      <c r="CC426" s="47"/>
      <c r="CD426" s="2"/>
      <c r="CE426" s="2"/>
      <c r="CF426" s="2"/>
      <c r="CG426" s="2"/>
      <c r="CH426" s="2"/>
      <c r="CI426" s="2"/>
      <c r="CJ426" s="2"/>
      <c r="CK426" s="2"/>
      <c r="CL426" s="2"/>
      <c r="CM426" s="2"/>
      <c r="CN426" s="2"/>
      <c r="CO426" s="2"/>
      <c r="CP426" s="2"/>
      <c r="CQ426" s="2"/>
      <c r="CR426"/>
      <c r="CS426"/>
      <c r="CT426"/>
      <c r="CU426"/>
      <c r="CV426"/>
      <c r="CW426"/>
    </row>
    <row r="427" spans="8:101" s="42" customFormat="1" outlineLevel="2">
      <c r="H427" s="563"/>
      <c r="I427" s="588"/>
      <c r="J427" s="11" t="s">
        <v>644</v>
      </c>
      <c r="K427" s="19"/>
      <c r="L427" s="19"/>
      <c r="M427" s="19"/>
      <c r="N427" s="435"/>
      <c r="O427" s="435"/>
      <c r="P427" s="435"/>
      <c r="Q427" s="435"/>
      <c r="R427" s="435"/>
      <c r="S427" s="1405"/>
      <c r="T427" s="1406"/>
      <c r="U427" s="1406">
        <v>-1365.432</v>
      </c>
      <c r="V427" s="1406">
        <v>6.915</v>
      </c>
      <c r="W427" s="839"/>
      <c r="X427" s="839"/>
      <c r="Y427" s="839"/>
      <c r="Z427" s="839"/>
      <c r="AA427" s="839"/>
      <c r="AB427" s="839"/>
      <c r="AC427" s="839"/>
      <c r="AD427" s="839"/>
      <c r="AE427" s="836"/>
      <c r="AF427" s="287"/>
      <c r="AG427" s="28"/>
      <c r="AH427" s="28"/>
      <c r="AI427" s="28"/>
      <c r="AJ427" s="28"/>
      <c r="AK427" s="28"/>
      <c r="AL427" s="1764"/>
      <c r="AM427" s="428"/>
      <c r="AN427" s="428"/>
      <c r="AO427" s="428"/>
      <c r="AP427" s="1629"/>
      <c r="AQ427" s="889"/>
      <c r="AR427" s="889"/>
      <c r="AS427" s="889"/>
      <c r="AT427" s="1629"/>
      <c r="AU427" s="889"/>
      <c r="AV427" s="889"/>
      <c r="AW427" s="889"/>
      <c r="AX427" s="1629"/>
      <c r="AY427" s="889"/>
      <c r="AZ427" s="837"/>
      <c r="BA427" s="837"/>
      <c r="BB427" s="1629"/>
      <c r="BC427" s="837"/>
      <c r="BD427" s="1354"/>
      <c r="BE427" s="1354"/>
      <c r="BF427" s="1614">
        <v>-467.36700000000002</v>
      </c>
      <c r="BG427" s="1420">
        <v>-251.01400000000001</v>
      </c>
      <c r="BH427" s="1420">
        <v>-320.40699999999998</v>
      </c>
      <c r="BI427" s="1404">
        <v>-326.64400000000001</v>
      </c>
      <c r="BJ427" s="1614">
        <v>77.114000000000004</v>
      </c>
      <c r="BK427" s="1404">
        <v>-70.198999999999998</v>
      </c>
      <c r="BL427" s="1404">
        <v>0</v>
      </c>
      <c r="BM427" s="1404">
        <v>0</v>
      </c>
      <c r="BN427" s="1000"/>
      <c r="BO427" s="837"/>
      <c r="BP427" s="837"/>
      <c r="BQ427" s="1056"/>
      <c r="BR427" s="85"/>
      <c r="BS427" s="47"/>
      <c r="BT427" s="47"/>
      <c r="BU427" s="47"/>
      <c r="BV427" s="47"/>
      <c r="BW427" s="47"/>
      <c r="BX427" s="47"/>
      <c r="BY427" s="47"/>
      <c r="BZ427" s="47"/>
      <c r="CA427" s="47"/>
      <c r="CB427" s="47"/>
      <c r="CC427" s="47"/>
      <c r="CD427" s="2"/>
      <c r="CE427" s="2"/>
      <c r="CF427" s="2"/>
      <c r="CG427" s="2"/>
      <c r="CH427" s="2"/>
      <c r="CI427" s="2"/>
      <c r="CJ427" s="2"/>
      <c r="CK427" s="2"/>
      <c r="CL427" s="2"/>
      <c r="CM427" s="2"/>
      <c r="CN427" s="2"/>
      <c r="CO427" s="2"/>
      <c r="CP427" s="2"/>
      <c r="CQ427" s="2"/>
      <c r="CR427"/>
      <c r="CS427"/>
      <c r="CT427"/>
      <c r="CU427"/>
      <c r="CV427"/>
      <c r="CW427"/>
    </row>
    <row r="428" spans="8:101" s="42" customFormat="1" outlineLevel="2">
      <c r="H428" s="563"/>
      <c r="I428" s="588"/>
      <c r="J428" s="7" t="s">
        <v>472</v>
      </c>
      <c r="K428" s="19"/>
      <c r="L428" s="19"/>
      <c r="M428" s="19"/>
      <c r="N428" s="417">
        <v>0</v>
      </c>
      <c r="O428" s="417">
        <v>0</v>
      </c>
      <c r="P428" s="432">
        <v>0</v>
      </c>
      <c r="Q428" s="417">
        <v>0</v>
      </c>
      <c r="R428" s="417">
        <v>0</v>
      </c>
      <c r="S428" s="1406"/>
      <c r="T428" s="1403">
        <v>-9.5660000000000007</v>
      </c>
      <c r="U428" s="1405">
        <f>-(444.657-3.743-47.848)</f>
        <v>-393.06599999999997</v>
      </c>
      <c r="V428" s="1405">
        <f>-(281.021-5.03-135.452)</f>
        <v>-140.53900000000004</v>
      </c>
      <c r="W428" s="1065">
        <v>86</v>
      </c>
      <c r="X428" s="1065">
        <v>157</v>
      </c>
      <c r="Y428" s="1287">
        <v>50</v>
      </c>
      <c r="Z428" s="1287">
        <f>Y428</f>
        <v>50</v>
      </c>
      <c r="AA428" s="1287">
        <f>Z428</f>
        <v>50</v>
      </c>
      <c r="AB428" s="1287">
        <f>AA428</f>
        <v>50</v>
      </c>
      <c r="AC428" s="1287">
        <f>AB428</f>
        <v>50</v>
      </c>
      <c r="AD428" s="1287">
        <f>AC428</f>
        <v>50</v>
      </c>
      <c r="AE428" s="836"/>
      <c r="AF428" s="287"/>
      <c r="AG428" s="28"/>
      <c r="AH428" s="28"/>
      <c r="AI428" s="28"/>
      <c r="AJ428" s="28"/>
      <c r="AK428" s="28"/>
      <c r="AL428" s="1764"/>
      <c r="AM428" s="427"/>
      <c r="AN428" s="388"/>
      <c r="AO428" s="388"/>
      <c r="AP428" s="1614"/>
      <c r="AQ428" s="1407"/>
      <c r="AR428" s="1407"/>
      <c r="AS428" s="1407"/>
      <c r="AT428" s="1614"/>
      <c r="AU428" s="1407"/>
      <c r="AV428" s="1407"/>
      <c r="AW428" s="1407"/>
      <c r="AX428" s="1614"/>
      <c r="AY428" s="1404"/>
      <c r="AZ428" s="1404"/>
      <c r="BA428" s="1404"/>
      <c r="BB428" s="1614"/>
      <c r="BC428" s="1404"/>
      <c r="BD428" s="1404">
        <v>4.08</v>
      </c>
      <c r="BE428" s="1404">
        <v>5.4859999999999998</v>
      </c>
      <c r="BF428" s="1622">
        <f>BG428</f>
        <v>-81.381499999999974</v>
      </c>
      <c r="BG428" s="1422">
        <f>(U428-BH428-BI428)/2</f>
        <v>-81.381499999999974</v>
      </c>
      <c r="BH428" s="1420">
        <f>-(133.81-20.161)</f>
        <v>-113.649</v>
      </c>
      <c r="BI428" s="1420">
        <f>-(136.449-1.374-18.421)</f>
        <v>-116.65400000000002</v>
      </c>
      <c r="BJ428" s="1622">
        <f>BK428</f>
        <v>-115.84350000000002</v>
      </c>
      <c r="BK428" s="1422">
        <f>(V428-BL428-BM428)/2</f>
        <v>-115.84350000000002</v>
      </c>
      <c r="BL428" s="1420">
        <v>36.130000000000003</v>
      </c>
      <c r="BM428" s="1420">
        <v>55.018000000000001</v>
      </c>
      <c r="BN428" s="1259">
        <f>W428/4</f>
        <v>21.5</v>
      </c>
      <c r="BO428" s="996">
        <f>BN428</f>
        <v>21.5</v>
      </c>
      <c r="BP428" s="996">
        <f>BO428</f>
        <v>21.5</v>
      </c>
      <c r="BQ428" s="1452">
        <f>W428-SUM(BN428:BP428)</f>
        <v>21.5</v>
      </c>
      <c r="BR428" s="85"/>
      <c r="BS428" s="47"/>
      <c r="BT428" s="47"/>
      <c r="BU428" s="47"/>
      <c r="BV428" s="47"/>
      <c r="BW428" s="47"/>
      <c r="BX428" s="47"/>
      <c r="BY428" s="47"/>
      <c r="BZ428" s="47"/>
      <c r="CA428" s="47"/>
      <c r="CB428" s="47"/>
      <c r="CC428" s="47"/>
      <c r="CD428" s="2"/>
      <c r="CE428" s="2"/>
      <c r="CF428" s="2"/>
      <c r="CG428" s="2"/>
      <c r="CH428" s="2"/>
      <c r="CI428" s="2"/>
      <c r="CJ428" s="2"/>
      <c r="CK428" s="2"/>
      <c r="CL428" s="2"/>
      <c r="CM428" s="2"/>
      <c r="CN428" s="2"/>
      <c r="CO428" s="2"/>
      <c r="CP428" s="2"/>
      <c r="CQ428" s="2"/>
      <c r="CR428"/>
      <c r="CS428"/>
      <c r="CT428"/>
      <c r="CU428"/>
      <c r="CV428"/>
      <c r="CW428"/>
    </row>
    <row r="429" spans="8:101" s="42" customFormat="1" outlineLevel="2">
      <c r="H429" s="563"/>
      <c r="I429" s="588"/>
      <c r="J429" s="24" t="s">
        <v>457</v>
      </c>
      <c r="K429" s="19"/>
      <c r="L429" s="19"/>
      <c r="M429" s="19"/>
      <c r="N429" s="843">
        <f>SUM(N430:N432)</f>
        <v>-74</v>
      </c>
      <c r="O429" s="843">
        <f>SUM(O430:O432)</f>
        <v>-292</v>
      </c>
      <c r="P429" s="297">
        <f>SUM(P430:P432)</f>
        <v>0</v>
      </c>
      <c r="Q429" s="297">
        <f>SUM(Q430:Q432)</f>
        <v>0</v>
      </c>
      <c r="R429" s="297">
        <f>SUM(R430:R432)</f>
        <v>0</v>
      </c>
      <c r="S429" s="841"/>
      <c r="T429" s="842"/>
      <c r="U429" s="843"/>
      <c r="V429" s="843"/>
      <c r="W429" s="843"/>
      <c r="X429" s="843"/>
      <c r="Y429" s="843"/>
      <c r="Z429" s="843"/>
      <c r="AA429" s="843"/>
      <c r="AB429" s="843"/>
      <c r="AC429" s="843"/>
      <c r="AD429" s="843"/>
      <c r="AE429" s="836"/>
      <c r="AF429" s="287"/>
      <c r="AG429" s="28"/>
      <c r="AH429" s="28"/>
      <c r="AI429" s="28"/>
      <c r="AJ429" s="28"/>
      <c r="AK429" s="28"/>
      <c r="AL429" s="1785"/>
      <c r="AM429" s="445"/>
      <c r="AN429" s="445"/>
      <c r="AO429" s="445"/>
      <c r="AP429" s="1614">
        <v>0</v>
      </c>
      <c r="AQ429" s="1404">
        <v>0</v>
      </c>
      <c r="AR429" s="1404">
        <v>0</v>
      </c>
      <c r="AS429" s="1404">
        <v>0</v>
      </c>
      <c r="AT429" s="1614">
        <v>-965</v>
      </c>
      <c r="AU429" s="1404">
        <v>-455.89400000000001</v>
      </c>
      <c r="AV429" s="1404">
        <v>-739.60400000000004</v>
      </c>
      <c r="AW429" s="1404">
        <v>-109.97499999999999</v>
      </c>
      <c r="AX429" s="1614">
        <v>-1493.874</v>
      </c>
      <c r="AY429" s="1404">
        <v>-6463.7659999999996</v>
      </c>
      <c r="AZ429" s="1404">
        <v>0</v>
      </c>
      <c r="BA429" s="1404">
        <v>0</v>
      </c>
      <c r="BB429" s="1614"/>
      <c r="BC429" s="1404"/>
      <c r="BD429" s="1408"/>
      <c r="BE429" s="1404"/>
      <c r="BF429" s="1002"/>
      <c r="BG429" s="1001"/>
      <c r="BH429" s="1001"/>
      <c r="BI429" s="1056"/>
      <c r="BJ429" s="1002"/>
      <c r="BK429" s="843"/>
      <c r="BL429" s="843"/>
      <c r="BM429" s="843"/>
      <c r="BN429" s="1002"/>
      <c r="BO429" s="843"/>
      <c r="BP429" s="843"/>
      <c r="BQ429" s="1056"/>
      <c r="BR429" s="85"/>
      <c r="BS429" s="47"/>
      <c r="BT429" s="47"/>
      <c r="BU429" s="47"/>
      <c r="BV429" s="47"/>
      <c r="BW429" s="47"/>
      <c r="BX429" s="47"/>
      <c r="BY429" s="47"/>
      <c r="BZ429" s="47"/>
      <c r="CA429" s="47"/>
      <c r="CB429" s="47"/>
      <c r="CC429" s="47"/>
      <c r="CD429" s="2"/>
      <c r="CE429" s="2"/>
      <c r="CF429" s="2"/>
      <c r="CG429" s="2"/>
      <c r="CH429" s="2"/>
      <c r="CI429" s="2"/>
      <c r="CJ429" s="2"/>
      <c r="CK429" s="2"/>
      <c r="CL429" s="2"/>
      <c r="CM429" s="2"/>
      <c r="CN429" s="2"/>
      <c r="CO429" s="2"/>
      <c r="CP429" s="2"/>
      <c r="CQ429" s="2"/>
      <c r="CR429"/>
      <c r="CS429"/>
      <c r="CT429"/>
      <c r="CU429"/>
      <c r="CV429"/>
      <c r="CW429"/>
    </row>
    <row r="430" spans="8:101" s="42" customFormat="1" outlineLevel="2">
      <c r="H430" s="563"/>
      <c r="I430" s="588"/>
      <c r="J430" s="284" t="s">
        <v>458</v>
      </c>
      <c r="K430" s="19"/>
      <c r="L430" s="19"/>
      <c r="M430" s="19"/>
      <c r="N430" s="435">
        <v>-74</v>
      </c>
      <c r="O430" s="435">
        <v>0</v>
      </c>
      <c r="P430" s="416">
        <v>0</v>
      </c>
      <c r="Q430" s="416">
        <v>0</v>
      </c>
      <c r="R430" s="416">
        <v>0</v>
      </c>
      <c r="S430" s="839"/>
      <c r="T430" s="839"/>
      <c r="U430" s="839"/>
      <c r="V430" s="839"/>
      <c r="W430" s="839"/>
      <c r="X430" s="839"/>
      <c r="Y430" s="839"/>
      <c r="Z430" s="839"/>
      <c r="AA430" s="839"/>
      <c r="AB430" s="839"/>
      <c r="AC430" s="839"/>
      <c r="AD430" s="839"/>
      <c r="AE430" s="836"/>
      <c r="AF430" s="287"/>
      <c r="AG430" s="28"/>
      <c r="AH430" s="28"/>
      <c r="AI430" s="28"/>
      <c r="AJ430" s="28"/>
      <c r="AK430" s="28"/>
      <c r="AL430" s="1764"/>
      <c r="AM430" s="428"/>
      <c r="AN430" s="428"/>
      <c r="AO430" s="428"/>
      <c r="AP430" s="1629"/>
      <c r="AQ430" s="889"/>
      <c r="AR430" s="889"/>
      <c r="AS430" s="889"/>
      <c r="AT430" s="1629"/>
      <c r="AU430" s="889"/>
      <c r="AV430" s="889"/>
      <c r="AW430" s="889"/>
      <c r="AX430" s="1629"/>
      <c r="AY430" s="889"/>
      <c r="AZ430" s="837"/>
      <c r="BA430" s="837"/>
      <c r="BB430" s="1629"/>
      <c r="BC430" s="837"/>
      <c r="BD430" s="837"/>
      <c r="BE430" s="1056"/>
      <c r="BF430" s="1000"/>
      <c r="BG430" s="999"/>
      <c r="BH430" s="999"/>
      <c r="BI430" s="1056"/>
      <c r="BJ430" s="1000"/>
      <c r="BK430" s="837"/>
      <c r="BL430" s="837"/>
      <c r="BM430" s="837"/>
      <c r="BN430" s="1000"/>
      <c r="BO430" s="837"/>
      <c r="BP430" s="837"/>
      <c r="BQ430" s="1056"/>
      <c r="BR430" s="85"/>
      <c r="BS430" s="47"/>
      <c r="BT430" s="47"/>
      <c r="BU430" s="47"/>
      <c r="BV430" s="47"/>
      <c r="BW430" s="47"/>
      <c r="BX430" s="47"/>
      <c r="BY430" s="47"/>
      <c r="BZ430" s="47"/>
      <c r="CA430" s="47"/>
      <c r="CB430" s="47"/>
      <c r="CC430" s="47"/>
      <c r="CD430" s="2"/>
      <c r="CE430" s="2"/>
      <c r="CF430" s="2"/>
      <c r="CG430" s="2"/>
      <c r="CH430" s="2"/>
      <c r="CI430" s="2"/>
      <c r="CJ430" s="2"/>
      <c r="CK430" s="2"/>
      <c r="CL430" s="2"/>
      <c r="CM430" s="2"/>
      <c r="CN430" s="2"/>
      <c r="CO430" s="2"/>
      <c r="CP430" s="2"/>
      <c r="CQ430" s="2"/>
      <c r="CR430"/>
      <c r="CS430"/>
      <c r="CT430"/>
      <c r="CU430"/>
      <c r="CV430"/>
      <c r="CW430"/>
    </row>
    <row r="431" spans="8:101" s="42" customFormat="1" outlineLevel="2">
      <c r="H431" s="563"/>
      <c r="I431" s="588"/>
      <c r="J431" s="284" t="s">
        <v>459</v>
      </c>
      <c r="K431" s="19"/>
      <c r="L431" s="19"/>
      <c r="M431" s="19"/>
      <c r="N431" s="435">
        <v>0</v>
      </c>
      <c r="O431" s="435">
        <v>-235</v>
      </c>
      <c r="P431" s="416">
        <v>0</v>
      </c>
      <c r="Q431" s="416">
        <v>0</v>
      </c>
      <c r="R431" s="416">
        <v>0</v>
      </c>
      <c r="S431" s="839"/>
      <c r="T431" s="839"/>
      <c r="U431" s="839"/>
      <c r="V431" s="839"/>
      <c r="W431" s="839"/>
      <c r="X431" s="839"/>
      <c r="Y431" s="839"/>
      <c r="Z431" s="839"/>
      <c r="AA431" s="839"/>
      <c r="AB431" s="839"/>
      <c r="AC431" s="839"/>
      <c r="AD431" s="839"/>
      <c r="AE431" s="836"/>
      <c r="AF431" s="287"/>
      <c r="AG431" s="28"/>
      <c r="AH431" s="28"/>
      <c r="AI431" s="28"/>
      <c r="AJ431" s="28"/>
      <c r="AK431" s="28"/>
      <c r="AL431" s="1764"/>
      <c r="AM431" s="428"/>
      <c r="AN431" s="428"/>
      <c r="AO431" s="428"/>
      <c r="AP431" s="1629"/>
      <c r="AQ431" s="889"/>
      <c r="AR431" s="889"/>
      <c r="AS431" s="889"/>
      <c r="AT431" s="1629"/>
      <c r="AU431" s="889"/>
      <c r="AV431" s="889"/>
      <c r="AW431" s="889"/>
      <c r="AX431" s="1629"/>
      <c r="AY431" s="889"/>
      <c r="AZ431" s="837"/>
      <c r="BA431" s="837"/>
      <c r="BB431" s="1629"/>
      <c r="BC431" s="837"/>
      <c r="BD431" s="837"/>
      <c r="BE431" s="1056"/>
      <c r="BF431" s="1000"/>
      <c r="BG431" s="999"/>
      <c r="BH431" s="999"/>
      <c r="BI431" s="1056"/>
      <c r="BJ431" s="1000"/>
      <c r="BK431" s="837"/>
      <c r="BL431" s="837"/>
      <c r="BM431" s="837"/>
      <c r="BN431" s="1000"/>
      <c r="BO431" s="837"/>
      <c r="BP431" s="837"/>
      <c r="BQ431" s="1056"/>
      <c r="BR431" s="85"/>
      <c r="BS431" s="47"/>
      <c r="BT431" s="47"/>
      <c r="BU431" s="47"/>
      <c r="BV431" s="47"/>
      <c r="BW431" s="47"/>
      <c r="BX431" s="47"/>
      <c r="BY431" s="47"/>
      <c r="BZ431" s="47"/>
      <c r="CA431" s="47"/>
      <c r="CB431" s="47"/>
      <c r="CC431" s="47"/>
      <c r="CD431" s="2"/>
      <c r="CE431" s="2"/>
      <c r="CF431" s="2"/>
      <c r="CG431" s="2"/>
      <c r="CH431" s="2"/>
      <c r="CI431" s="2"/>
      <c r="CJ431" s="2"/>
      <c r="CK431" s="2"/>
      <c r="CL431" s="2"/>
      <c r="CM431" s="2"/>
      <c r="CN431" s="2"/>
      <c r="CO431" s="2"/>
      <c r="CP431" s="2"/>
      <c r="CQ431" s="2"/>
      <c r="CR431"/>
      <c r="CS431"/>
      <c r="CT431"/>
      <c r="CU431"/>
      <c r="CV431"/>
      <c r="CW431"/>
    </row>
    <row r="432" spans="8:101" s="42" customFormat="1" outlineLevel="2">
      <c r="H432" s="563"/>
      <c r="I432" s="588"/>
      <c r="J432" s="284" t="s">
        <v>460</v>
      </c>
      <c r="K432" s="19"/>
      <c r="L432" s="19"/>
      <c r="M432" s="19"/>
      <c r="N432" s="435">
        <v>0</v>
      </c>
      <c r="O432" s="435">
        <v>-57</v>
      </c>
      <c r="P432" s="416">
        <v>0</v>
      </c>
      <c r="Q432" s="416">
        <v>0</v>
      </c>
      <c r="R432" s="416">
        <v>0</v>
      </c>
      <c r="S432" s="839"/>
      <c r="T432" s="839"/>
      <c r="U432" s="839"/>
      <c r="V432" s="839"/>
      <c r="W432" s="839"/>
      <c r="X432" s="839"/>
      <c r="Y432" s="839"/>
      <c r="Z432" s="839"/>
      <c r="AA432" s="839"/>
      <c r="AB432" s="839"/>
      <c r="AC432" s="839"/>
      <c r="AD432" s="839"/>
      <c r="AE432" s="836"/>
      <c r="AF432" s="287"/>
      <c r="AG432" s="28"/>
      <c r="AH432" s="28"/>
      <c r="AI432" s="28"/>
      <c r="AJ432" s="28"/>
      <c r="AK432" s="28"/>
      <c r="AL432" s="1764"/>
      <c r="AM432" s="428"/>
      <c r="AN432" s="428"/>
      <c r="AO432" s="428"/>
      <c r="AP432" s="1629"/>
      <c r="AQ432" s="889"/>
      <c r="AR432" s="889"/>
      <c r="AS432" s="889"/>
      <c r="AT432" s="1629"/>
      <c r="AU432" s="889"/>
      <c r="AV432" s="889"/>
      <c r="AW432" s="889"/>
      <c r="AX432" s="1629"/>
      <c r="AY432" s="889"/>
      <c r="AZ432" s="837"/>
      <c r="BA432" s="837"/>
      <c r="BB432" s="1629"/>
      <c r="BC432" s="837"/>
      <c r="BD432" s="837"/>
      <c r="BE432" s="1056"/>
      <c r="BF432" s="1000"/>
      <c r="BG432" s="999"/>
      <c r="BH432" s="999"/>
      <c r="BI432" s="1056"/>
      <c r="BJ432" s="1000"/>
      <c r="BK432" s="837"/>
      <c r="BL432" s="837"/>
      <c r="BM432" s="837"/>
      <c r="BN432" s="1000"/>
      <c r="BO432" s="837"/>
      <c r="BP432" s="837"/>
      <c r="BQ432" s="1056"/>
      <c r="BR432" s="85"/>
      <c r="BS432" s="47"/>
      <c r="BT432" s="47"/>
      <c r="BU432" s="47"/>
      <c r="BV432" s="47"/>
      <c r="BW432" s="47"/>
      <c r="BX432" s="47"/>
      <c r="BY432" s="47"/>
      <c r="BZ432" s="47"/>
      <c r="CA432" s="47"/>
      <c r="CB432" s="47"/>
      <c r="CC432" s="47"/>
      <c r="CD432" s="2"/>
      <c r="CE432" s="2"/>
      <c r="CF432" s="2"/>
      <c r="CG432" s="2"/>
      <c r="CH432" s="2"/>
      <c r="CI432" s="2"/>
      <c r="CJ432" s="2"/>
      <c r="CK432" s="2"/>
      <c r="CL432" s="2"/>
      <c r="CM432" s="2"/>
      <c r="CN432" s="2"/>
      <c r="CO432" s="2"/>
      <c r="CP432" s="2"/>
      <c r="CQ432" s="2"/>
      <c r="CR432"/>
      <c r="CS432"/>
      <c r="CT432"/>
      <c r="CU432"/>
      <c r="CV432"/>
      <c r="CW432"/>
    </row>
    <row r="433" spans="8:101" s="592" customFormat="1" outlineLevel="2">
      <c r="H433" s="563"/>
      <c r="I433" s="588"/>
      <c r="J433" s="369" t="s">
        <v>246</v>
      </c>
      <c r="K433" s="11"/>
      <c r="L433" s="11"/>
      <c r="M433" s="11"/>
      <c r="N433" s="528">
        <f t="shared" ref="N433:AD433" si="477">SUM(N425:N429)</f>
        <v>-287</v>
      </c>
      <c r="O433" s="1013">
        <f t="shared" si="477"/>
        <v>-1161</v>
      </c>
      <c r="P433" s="1013">
        <f t="shared" si="477"/>
        <v>-2944.0899999999992</v>
      </c>
      <c r="Q433" s="1402">
        <v>-3317</v>
      </c>
      <c r="R433" s="1013">
        <f t="shared" si="477"/>
        <v>-2485.326</v>
      </c>
      <c r="S433" s="1013">
        <f t="shared" si="477"/>
        <v>-12953.64</v>
      </c>
      <c r="T433" s="1013">
        <f t="shared" si="477"/>
        <v>-9397.5660000000007</v>
      </c>
      <c r="U433" s="1013">
        <f t="shared" si="477"/>
        <v>-3806.7899999999718</v>
      </c>
      <c r="V433" s="1013">
        <f t="shared" si="477"/>
        <v>-152.25700000004912</v>
      </c>
      <c r="W433" s="894">
        <f t="shared" si="477"/>
        <v>2297.5802569393732</v>
      </c>
      <c r="X433" s="894">
        <f t="shared" ca="1" si="477"/>
        <v>7550.4504473872385</v>
      </c>
      <c r="Y433" s="734">
        <f t="shared" ca="1" si="477"/>
        <v>13836.279041739968</v>
      </c>
      <c r="Z433" s="734">
        <f t="shared" ca="1" si="477"/>
        <v>22172.963347845853</v>
      </c>
      <c r="AA433" s="734">
        <f t="shared" ca="1" si="477"/>
        <v>30719.583685002712</v>
      </c>
      <c r="AB433" s="734">
        <f t="shared" ca="1" si="477"/>
        <v>40090.583353712304</v>
      </c>
      <c r="AC433" s="734">
        <f t="shared" ca="1" si="477"/>
        <v>50920.989825774843</v>
      </c>
      <c r="AD433" s="734">
        <f t="shared" ca="1" si="477"/>
        <v>60912.839387145767</v>
      </c>
      <c r="AE433" s="836"/>
      <c r="AF433" s="440" t="str">
        <f ca="1">IF(ISERROR(RATE(3,,-U433,X433)),"NM",(RATE(3,,-U433,X433)))</f>
        <v>NM</v>
      </c>
      <c r="AG433" s="28"/>
      <c r="AH433" s="28"/>
      <c r="AI433" s="28"/>
      <c r="AJ433" s="28"/>
      <c r="AK433" s="28"/>
      <c r="AL433" s="662"/>
      <c r="AM433" s="215"/>
      <c r="AN433" s="215"/>
      <c r="AO433" s="215"/>
      <c r="AP433" s="767">
        <f t="shared" ref="AP433:BC433" si="478">SUM(AP425:AP429)</f>
        <v>-528</v>
      </c>
      <c r="AQ433" s="734">
        <f t="shared" si="478"/>
        <v>-409</v>
      </c>
      <c r="AR433" s="734">
        <f t="shared" si="478"/>
        <v>-487</v>
      </c>
      <c r="AS433" s="734">
        <f t="shared" si="478"/>
        <v>-305</v>
      </c>
      <c r="AT433" s="767">
        <f t="shared" si="478"/>
        <v>-952</v>
      </c>
      <c r="AU433" s="734">
        <f t="shared" si="478"/>
        <v>-484.21300000000332</v>
      </c>
      <c r="AV433" s="734">
        <f t="shared" si="478"/>
        <v>-663.44199999999921</v>
      </c>
      <c r="AW433" s="734">
        <f t="shared" si="478"/>
        <v>-219.97499999999999</v>
      </c>
      <c r="AX433" s="767">
        <f t="shared" si="478"/>
        <v>-5288.9020000000028</v>
      </c>
      <c r="AY433" s="734">
        <f t="shared" si="478"/>
        <v>-7046.2960000000003</v>
      </c>
      <c r="AZ433" s="734">
        <f t="shared" si="478"/>
        <v>-164.35800000000029</v>
      </c>
      <c r="BA433" s="734">
        <f t="shared" si="478"/>
        <v>-454.32199999999671</v>
      </c>
      <c r="BB433" s="767">
        <f t="shared" si="478"/>
        <v>-710.2099999999956</v>
      </c>
      <c r="BC433" s="734">
        <f t="shared" si="478"/>
        <v>-510.42200000000292</v>
      </c>
      <c r="BD433" s="734">
        <f>SUM(BD425:BD428)</f>
        <v>-530.80199999999559</v>
      </c>
      <c r="BE433" s="734">
        <f t="shared" ref="BE433:BQ433" si="479">SUM(BE425:BE429)</f>
        <v>-7626.5819999999958</v>
      </c>
      <c r="BF433" s="767">
        <f>SUM(BF425:BF429)</f>
        <v>-948.63350000000344</v>
      </c>
      <c r="BG433" s="734">
        <f t="shared" si="479"/>
        <v>-213.46750000000105</v>
      </c>
      <c r="BH433" s="734">
        <f t="shared" si="479"/>
        <v>-921.58999999999821</v>
      </c>
      <c r="BI433" s="734">
        <f t="shared" si="479"/>
        <v>-1723.098999999999</v>
      </c>
      <c r="BJ433" s="767">
        <f t="shared" si="479"/>
        <v>239.85249999998865</v>
      </c>
      <c r="BK433" s="734">
        <f t="shared" si="479"/>
        <v>-497.16649999999748</v>
      </c>
      <c r="BL433" s="734">
        <f t="shared" si="479"/>
        <v>1014.2900000000004</v>
      </c>
      <c r="BM433" s="734">
        <f t="shared" si="479"/>
        <v>-909.23300000000336</v>
      </c>
      <c r="BN433" s="767">
        <f t="shared" si="479"/>
        <v>-331.23881612638343</v>
      </c>
      <c r="BO433" s="734">
        <f t="shared" si="479"/>
        <v>91.554912111908024</v>
      </c>
      <c r="BP433" s="734">
        <f t="shared" si="479"/>
        <v>352.72690547545756</v>
      </c>
      <c r="BQ433" s="734">
        <f t="shared" si="479"/>
        <v>2184.5372554784185</v>
      </c>
      <c r="BR433" s="85"/>
      <c r="BS433" s="47"/>
      <c r="BT433" s="75"/>
      <c r="BU433" s="47"/>
      <c r="BV433" s="47"/>
      <c r="BW433" s="47"/>
      <c r="BX433" s="47"/>
      <c r="BY433" s="47"/>
      <c r="BZ433" s="47"/>
      <c r="CA433" s="47"/>
      <c r="CB433" s="47"/>
      <c r="CC433" s="47"/>
      <c r="CD433" s="52"/>
      <c r="CE433" s="52"/>
      <c r="CF433" s="52"/>
      <c r="CG433" s="52"/>
      <c r="CH433" s="52"/>
      <c r="CI433" s="52"/>
      <c r="CJ433" s="52"/>
      <c r="CK433" s="52"/>
      <c r="CL433" s="52"/>
      <c r="CM433" s="52"/>
      <c r="CN433" s="52"/>
      <c r="CO433" s="52"/>
      <c r="CP433" s="52"/>
      <c r="CQ433" s="52"/>
      <c r="CR433"/>
      <c r="CS433"/>
      <c r="CT433"/>
      <c r="CU433"/>
      <c r="CV433"/>
      <c r="CW433"/>
    </row>
    <row r="434" spans="8:101" s="592" customFormat="1" outlineLevel="2">
      <c r="H434" s="563"/>
      <c r="I434" s="588"/>
      <c r="J434" s="369" t="s">
        <v>593</v>
      </c>
      <c r="K434" s="11"/>
      <c r="L434" s="11"/>
      <c r="M434" s="11"/>
      <c r="N434" s="215"/>
      <c r="O434" s="616"/>
      <c r="P434" s="616"/>
      <c r="Q434" s="616"/>
      <c r="R434" s="616"/>
      <c r="S434" s="894"/>
      <c r="T434" s="894"/>
      <c r="U434" s="1401">
        <v>-1806.346</v>
      </c>
      <c r="V434" s="1401">
        <v>-269.07600000000002</v>
      </c>
      <c r="W434" s="950">
        <v>-50</v>
      </c>
      <c r="X434" s="950">
        <v>0</v>
      </c>
      <c r="Y434" s="950">
        <f t="shared" ref="Y434:AD434" si="480">X434</f>
        <v>0</v>
      </c>
      <c r="Z434" s="950">
        <f t="shared" si="480"/>
        <v>0</v>
      </c>
      <c r="AA434" s="950">
        <f t="shared" si="480"/>
        <v>0</v>
      </c>
      <c r="AB434" s="950">
        <f t="shared" si="480"/>
        <v>0</v>
      </c>
      <c r="AC434" s="950">
        <f t="shared" si="480"/>
        <v>0</v>
      </c>
      <c r="AD434" s="950">
        <f t="shared" si="480"/>
        <v>0</v>
      </c>
      <c r="AE434" s="836"/>
      <c r="AF434" s="440"/>
      <c r="AG434" s="28"/>
      <c r="AH434" s="28"/>
      <c r="AI434" s="28"/>
      <c r="AJ434" s="28"/>
      <c r="AK434" s="28"/>
      <c r="AL434" s="662"/>
      <c r="AM434" s="215"/>
      <c r="AN434" s="215"/>
      <c r="AO434" s="215"/>
      <c r="AP434" s="767"/>
      <c r="AQ434" s="734"/>
      <c r="AR434" s="734"/>
      <c r="AS434" s="734"/>
      <c r="AT434" s="767"/>
      <c r="AU434" s="734"/>
      <c r="AV434" s="734"/>
      <c r="AW434" s="734"/>
      <c r="AX434" s="767"/>
      <c r="AY434" s="734"/>
      <c r="AZ434" s="734"/>
      <c r="BA434" s="734"/>
      <c r="BB434" s="767"/>
      <c r="BC434" s="734"/>
      <c r="BD434" s="734"/>
      <c r="BE434" s="734"/>
      <c r="BF434" s="1622">
        <f>BG434</f>
        <v>-445.20499999999993</v>
      </c>
      <c r="BG434" s="1422">
        <f>(U434-BH434-BI434)/2</f>
        <v>-445.20499999999993</v>
      </c>
      <c r="BH434" s="1401">
        <v>-454.21699999999998</v>
      </c>
      <c r="BI434" s="1401">
        <v>-461.71899999999999</v>
      </c>
      <c r="BJ434" s="1622">
        <f>BK434</f>
        <v>-134.53800000000001</v>
      </c>
      <c r="BK434" s="1422">
        <f>(V434-BL434-BM434)/2</f>
        <v>-134.53800000000001</v>
      </c>
      <c r="BL434" s="894">
        <v>0</v>
      </c>
      <c r="BM434" s="894">
        <v>0</v>
      </c>
      <c r="BN434" s="1634"/>
      <c r="BO434" s="894"/>
      <c r="BP434" s="894"/>
      <c r="BQ434" s="894"/>
      <c r="BR434" s="85"/>
      <c r="BS434" s="47"/>
      <c r="BT434" s="47"/>
      <c r="BU434" s="47"/>
      <c r="BV434" s="47"/>
      <c r="BW434" s="47"/>
      <c r="BX434" s="47"/>
      <c r="BY434" s="47"/>
      <c r="BZ434" s="47"/>
      <c r="CA434" s="47"/>
      <c r="CB434" s="47"/>
      <c r="CC434" s="47"/>
      <c r="CD434" s="52"/>
      <c r="CE434" s="52"/>
      <c r="CF434" s="52"/>
      <c r="CG434" s="52"/>
      <c r="CH434" s="52"/>
      <c r="CI434" s="52"/>
      <c r="CJ434" s="52"/>
      <c r="CK434" s="52"/>
      <c r="CL434" s="52"/>
      <c r="CM434" s="52"/>
      <c r="CN434" s="52"/>
      <c r="CO434" s="52"/>
      <c r="CP434" s="52"/>
      <c r="CQ434" s="52"/>
      <c r="CR434"/>
      <c r="CS434"/>
      <c r="CT434"/>
      <c r="CU434"/>
      <c r="CV434"/>
      <c r="CW434"/>
    </row>
    <row r="435" spans="8:101" s="592" customFormat="1" outlineLevel="1">
      <c r="H435" s="563"/>
      <c r="I435" s="588"/>
      <c r="J435" s="5" t="s">
        <v>637</v>
      </c>
      <c r="K435" s="11"/>
      <c r="L435" s="11"/>
      <c r="M435" s="11"/>
      <c r="N435" s="1300">
        <f t="shared" ref="N435:T435" si="481">N433-N434</f>
        <v>-287</v>
      </c>
      <c r="O435" s="1300">
        <f t="shared" si="481"/>
        <v>-1161</v>
      </c>
      <c r="P435" s="1300">
        <f t="shared" si="481"/>
        <v>-2944.0899999999992</v>
      </c>
      <c r="Q435" s="1300">
        <f t="shared" si="481"/>
        <v>-3317</v>
      </c>
      <c r="R435" s="1300">
        <f t="shared" si="481"/>
        <v>-2485.326</v>
      </c>
      <c r="S435" s="1300">
        <f t="shared" si="481"/>
        <v>-12953.64</v>
      </c>
      <c r="T435" s="1300">
        <f t="shared" si="481"/>
        <v>-9397.5660000000007</v>
      </c>
      <c r="U435" s="1300">
        <f>U433-U434</f>
        <v>-2000.4439999999718</v>
      </c>
      <c r="V435" s="1300">
        <f>V433-V434</f>
        <v>116.8189999999509</v>
      </c>
      <c r="W435" s="1300">
        <f t="shared" ref="W435:AD435" si="482">W433-W434</f>
        <v>2347.5802569393732</v>
      </c>
      <c r="X435" s="1300">
        <f t="shared" ca="1" si="482"/>
        <v>7550.4504473872385</v>
      </c>
      <c r="Y435" s="1300">
        <f t="shared" ca="1" si="482"/>
        <v>13836.279041739968</v>
      </c>
      <c r="Z435" s="1300">
        <f t="shared" ca="1" si="482"/>
        <v>22172.963347845853</v>
      </c>
      <c r="AA435" s="1300">
        <f t="shared" ca="1" si="482"/>
        <v>30719.583685002712</v>
      </c>
      <c r="AB435" s="1300">
        <f t="shared" ca="1" si="482"/>
        <v>40090.583353712304</v>
      </c>
      <c r="AC435" s="1300">
        <f t="shared" ca="1" si="482"/>
        <v>50920.989825774843</v>
      </c>
      <c r="AD435" s="1300">
        <f t="shared" ca="1" si="482"/>
        <v>60912.839387145767</v>
      </c>
      <c r="AE435" s="836"/>
      <c r="AF435" s="440"/>
      <c r="AG435" s="28"/>
      <c r="AH435" s="28"/>
      <c r="AI435" s="28"/>
      <c r="AJ435" s="28"/>
      <c r="AK435" s="28"/>
      <c r="AL435" s="662"/>
      <c r="AM435" s="215"/>
      <c r="AN435" s="215"/>
      <c r="AO435" s="215"/>
      <c r="AP435" s="1623">
        <f t="shared" ref="AP435:BQ435" si="483">AP433-AP434</f>
        <v>-528</v>
      </c>
      <c r="AQ435" s="1300">
        <f t="shared" si="483"/>
        <v>-409</v>
      </c>
      <c r="AR435" s="1300">
        <f t="shared" si="483"/>
        <v>-487</v>
      </c>
      <c r="AS435" s="1300">
        <f t="shared" si="483"/>
        <v>-305</v>
      </c>
      <c r="AT435" s="1623">
        <f t="shared" si="483"/>
        <v>-952</v>
      </c>
      <c r="AU435" s="1300">
        <f t="shared" si="483"/>
        <v>-484.21300000000332</v>
      </c>
      <c r="AV435" s="1300">
        <f t="shared" si="483"/>
        <v>-663.44199999999921</v>
      </c>
      <c r="AW435" s="1300">
        <f t="shared" si="483"/>
        <v>-219.97499999999999</v>
      </c>
      <c r="AX435" s="1623">
        <f t="shared" si="483"/>
        <v>-5288.9020000000028</v>
      </c>
      <c r="AY435" s="1300">
        <f t="shared" si="483"/>
        <v>-7046.2960000000003</v>
      </c>
      <c r="AZ435" s="1300">
        <f t="shared" si="483"/>
        <v>-164.35800000000029</v>
      </c>
      <c r="BA435" s="1300">
        <f t="shared" si="483"/>
        <v>-454.32199999999671</v>
      </c>
      <c r="BB435" s="1623">
        <f t="shared" si="483"/>
        <v>-710.2099999999956</v>
      </c>
      <c r="BC435" s="1300">
        <f t="shared" si="483"/>
        <v>-510.42200000000292</v>
      </c>
      <c r="BD435" s="1300">
        <f t="shared" si="483"/>
        <v>-530.80199999999559</v>
      </c>
      <c r="BE435" s="1300">
        <f t="shared" si="483"/>
        <v>-7626.5819999999958</v>
      </c>
      <c r="BF435" s="1623">
        <f t="shared" si="483"/>
        <v>-503.42850000000351</v>
      </c>
      <c r="BG435" s="1300">
        <f t="shared" si="483"/>
        <v>231.73749999999887</v>
      </c>
      <c r="BH435" s="1300">
        <f t="shared" si="483"/>
        <v>-467.37299999999823</v>
      </c>
      <c r="BI435" s="1300">
        <f t="shared" si="483"/>
        <v>-1261.379999999999</v>
      </c>
      <c r="BJ435" s="1623">
        <f t="shared" si="483"/>
        <v>374.39049999998866</v>
      </c>
      <c r="BK435" s="1300">
        <f t="shared" si="483"/>
        <v>-362.62849999999747</v>
      </c>
      <c r="BL435" s="1300">
        <f t="shared" si="483"/>
        <v>1014.2900000000004</v>
      </c>
      <c r="BM435" s="1300">
        <f t="shared" si="483"/>
        <v>-909.23300000000336</v>
      </c>
      <c r="BN435" s="1623">
        <f t="shared" si="483"/>
        <v>-331.23881612638343</v>
      </c>
      <c r="BO435" s="1300">
        <f t="shared" si="483"/>
        <v>91.554912111908024</v>
      </c>
      <c r="BP435" s="1300">
        <f t="shared" si="483"/>
        <v>352.72690547545756</v>
      </c>
      <c r="BQ435" s="1300">
        <f t="shared" si="483"/>
        <v>2184.5372554784185</v>
      </c>
      <c r="BR435" s="85"/>
      <c r="BS435" s="47"/>
      <c r="BT435" s="47"/>
      <c r="BU435" s="47"/>
      <c r="BV435" s="47"/>
      <c r="BW435" s="47"/>
      <c r="BX435" s="47"/>
      <c r="BY435" s="47"/>
      <c r="BZ435" s="47"/>
      <c r="CA435" s="47"/>
      <c r="CB435" s="47"/>
      <c r="CC435" s="47"/>
      <c r="CD435" s="52"/>
      <c r="CE435" s="52"/>
      <c r="CF435" s="52"/>
      <c r="CG435" s="52"/>
      <c r="CH435" s="52"/>
      <c r="CI435" s="52"/>
      <c r="CJ435" s="52"/>
      <c r="CK435" s="52"/>
      <c r="CL435" s="52"/>
      <c r="CM435" s="52"/>
      <c r="CN435" s="52"/>
      <c r="CO435" s="52"/>
      <c r="CP435" s="52"/>
      <c r="CQ435" s="52"/>
      <c r="CR435"/>
      <c r="CS435"/>
      <c r="CT435"/>
      <c r="CU435"/>
      <c r="CV435"/>
      <c r="CW435"/>
    </row>
    <row r="436" spans="8:101" s="592" customFormat="1" outlineLevel="1">
      <c r="H436" s="563"/>
      <c r="I436" s="588"/>
      <c r="J436" s="5"/>
      <c r="K436" s="11"/>
      <c r="L436" s="11"/>
      <c r="M436" s="11"/>
      <c r="N436" s="1300"/>
      <c r="O436" s="1300"/>
      <c r="P436" s="1300"/>
      <c r="Q436" s="1300"/>
      <c r="R436" s="1300"/>
      <c r="S436" s="1300"/>
      <c r="T436" s="1300"/>
      <c r="U436" s="1300"/>
      <c r="V436" s="1300"/>
      <c r="W436" s="1300"/>
      <c r="X436" s="1300"/>
      <c r="Y436" s="1300"/>
      <c r="Z436" s="1300"/>
      <c r="AA436" s="1300"/>
      <c r="AB436" s="1300"/>
      <c r="AC436" s="1300"/>
      <c r="AD436" s="1300"/>
      <c r="AE436" s="836"/>
      <c r="AF436" s="440"/>
      <c r="AG436" s="28"/>
      <c r="AH436" s="28"/>
      <c r="AI436" s="28"/>
      <c r="AJ436" s="28"/>
      <c r="AK436" s="28"/>
      <c r="AL436" s="662"/>
      <c r="AM436" s="215"/>
      <c r="AN436" s="215"/>
      <c r="AO436" s="215"/>
      <c r="AP436" s="1623"/>
      <c r="AQ436" s="1300"/>
      <c r="AR436" s="1300"/>
      <c r="AS436" s="1300"/>
      <c r="AT436" s="1623"/>
      <c r="AU436" s="1300"/>
      <c r="AV436" s="1300"/>
      <c r="AW436" s="1300"/>
      <c r="AX436" s="1623"/>
      <c r="AY436" s="1300"/>
      <c r="AZ436" s="1300"/>
      <c r="BA436" s="1300"/>
      <c r="BB436" s="1623"/>
      <c r="BC436" s="1300"/>
      <c r="BD436" s="1300"/>
      <c r="BE436" s="1300"/>
      <c r="BF436" s="1623"/>
      <c r="BG436" s="1300"/>
      <c r="BH436" s="1300"/>
      <c r="BI436" s="1300"/>
      <c r="BJ436" s="1623"/>
      <c r="BK436" s="1300"/>
      <c r="BL436" s="1300"/>
      <c r="BM436" s="1300"/>
      <c r="BN436" s="1623"/>
      <c r="BO436" s="1300"/>
      <c r="BP436" s="1300"/>
      <c r="BQ436" s="1300"/>
      <c r="BR436" s="85"/>
      <c r="BS436" s="47"/>
      <c r="BT436" s="47"/>
      <c r="BU436" s="47"/>
      <c r="BV436" s="47"/>
      <c r="BW436" s="47"/>
      <c r="BX436" s="47"/>
      <c r="BY436" s="47"/>
      <c r="BZ436" s="47"/>
      <c r="CA436" s="47"/>
      <c r="CB436" s="47"/>
      <c r="CC436" s="47"/>
      <c r="CD436" s="52"/>
      <c r="CE436" s="52"/>
      <c r="CF436" s="52"/>
      <c r="CG436" s="52"/>
      <c r="CH436" s="52"/>
      <c r="CI436" s="52"/>
      <c r="CJ436" s="52"/>
      <c r="CK436" s="52"/>
      <c r="CL436" s="52"/>
      <c r="CM436" s="52"/>
      <c r="CN436" s="52"/>
      <c r="CO436" s="52"/>
      <c r="CP436" s="52"/>
      <c r="CQ436" s="52"/>
      <c r="CR436"/>
      <c r="CS436"/>
      <c r="CT436"/>
      <c r="CU436"/>
      <c r="CV436"/>
      <c r="CW436"/>
    </row>
    <row r="437" spans="8:101" s="593" customFormat="1" outlineLevel="1">
      <c r="H437" s="289"/>
      <c r="I437" s="586"/>
      <c r="J437" s="59" t="s">
        <v>340</v>
      </c>
      <c r="K437" s="11"/>
      <c r="L437" s="11"/>
      <c r="M437" s="11"/>
      <c r="N437" s="436">
        <f t="shared" ref="N437:S437" si="484">N433/N397</f>
        <v>-0.75419741740204638</v>
      </c>
      <c r="O437" s="436">
        <f t="shared" si="484"/>
        <v>-1.3565532563996656</v>
      </c>
      <c r="P437" s="436">
        <f t="shared" si="484"/>
        <v>-2.2255827797240668</v>
      </c>
      <c r="Q437" s="436">
        <f t="shared" si="484"/>
        <v>-2.1770237539144119</v>
      </c>
      <c r="R437" s="436">
        <f t="shared" si="484"/>
        <v>-1.4667059682077042</v>
      </c>
      <c r="S437" s="436">
        <f t="shared" si="484"/>
        <v>-12.051757305414577</v>
      </c>
      <c r="T437" s="436">
        <f>T433/T397</f>
        <v>-6.8719919994969985</v>
      </c>
      <c r="U437" s="436">
        <f>U433/U397</f>
        <v>-2.714513285947338</v>
      </c>
      <c r="V437" s="436">
        <f>V433/V397</f>
        <v>-0.10704134453217815</v>
      </c>
      <c r="W437" s="436">
        <f>W433/W397</f>
        <v>1.5682227620462268</v>
      </c>
      <c r="X437" s="436">
        <f t="shared" ref="X437:AD437" ca="1" si="485">X433/X397</f>
        <v>5.0034861209960377</v>
      </c>
      <c r="Y437" s="436">
        <f t="shared" ca="1" si="485"/>
        <v>8.9018838843087487</v>
      </c>
      <c r="Z437" s="436">
        <f t="shared" ca="1" si="485"/>
        <v>13.849979400125232</v>
      </c>
      <c r="AA437" s="436">
        <f t="shared" ca="1" si="485"/>
        <v>18.629598252622682</v>
      </c>
      <c r="AB437" s="436">
        <f t="shared" ca="1" si="485"/>
        <v>23.604418969735111</v>
      </c>
      <c r="AC437" s="436">
        <f t="shared" ca="1" si="485"/>
        <v>29.107878356383694</v>
      </c>
      <c r="AD437" s="436">
        <f t="shared" ca="1" si="485"/>
        <v>33.805341979083764</v>
      </c>
      <c r="AE437" s="11"/>
      <c r="AF437" s="11"/>
      <c r="AG437" s="11"/>
      <c r="AH437" s="11"/>
      <c r="AI437" s="11"/>
      <c r="AJ437" s="11"/>
      <c r="AK437" s="11"/>
      <c r="AL437" s="666"/>
      <c r="AM437" s="226"/>
      <c r="AN437" s="226"/>
      <c r="AO437" s="226"/>
      <c r="AP437" s="666"/>
      <c r="AQ437" s="226"/>
      <c r="AR437" s="226"/>
      <c r="AS437" s="226"/>
      <c r="AT437" s="666"/>
      <c r="AU437" s="226"/>
      <c r="AV437" s="226"/>
      <c r="AW437" s="226"/>
      <c r="AX437" s="436">
        <f t="shared" ref="AX437:BQ437" si="486">AX433/AX397</f>
        <v>-4.3972241021232472</v>
      </c>
      <c r="AY437" s="436">
        <f t="shared" si="486"/>
        <v>-5.858331767518969</v>
      </c>
      <c r="AZ437" s="436">
        <f t="shared" si="486"/>
        <v>-0.12065283698381876</v>
      </c>
      <c r="BA437" s="436">
        <f t="shared" si="486"/>
        <v>-0.33346165688581619</v>
      </c>
      <c r="BB437" s="436">
        <f t="shared" si="486"/>
        <v>-0.51978648215555068</v>
      </c>
      <c r="BC437" s="436">
        <f t="shared" si="486"/>
        <v>-0.3732265374274385</v>
      </c>
      <c r="BD437" s="436">
        <f t="shared" si="486"/>
        <v>-0.38805045952881845</v>
      </c>
      <c r="BE437" s="436">
        <f t="shared" si="486"/>
        <v>-5.5739376542792538</v>
      </c>
      <c r="BF437" s="1883">
        <f>U437-SUM(BG437:BI437)</f>
        <v>-0.70392782213772653</v>
      </c>
      <c r="BG437" s="436">
        <f t="shared" si="486"/>
        <v>-0.15451287917967665</v>
      </c>
      <c r="BH437" s="436">
        <f t="shared" si="486"/>
        <v>-0.6401706584569804</v>
      </c>
      <c r="BI437" s="436">
        <f t="shared" si="486"/>
        <v>-1.2159019261729545</v>
      </c>
      <c r="BJ437" s="1883">
        <f>V437-SUM(BK437:BM437)</f>
        <v>0.1682438427080005</v>
      </c>
      <c r="BK437" s="436">
        <f t="shared" si="486"/>
        <v>-0.34945599418564838</v>
      </c>
      <c r="BL437" s="436">
        <f t="shared" si="486"/>
        <v>0.71240462284430184</v>
      </c>
      <c r="BM437" s="436">
        <f t="shared" si="486"/>
        <v>-0.6382338158988321</v>
      </c>
      <c r="BN437" s="436">
        <f t="shared" si="486"/>
        <v>-0.22608840302911179</v>
      </c>
      <c r="BO437" s="436">
        <f t="shared" si="486"/>
        <v>6.2491178150311105E-2</v>
      </c>
      <c r="BP437" s="436">
        <f t="shared" si="486"/>
        <v>0.24075518593182993</v>
      </c>
      <c r="BQ437" s="436">
        <f t="shared" si="486"/>
        <v>1.4910648009932161</v>
      </c>
      <c r="BR437" s="1881"/>
      <c r="BS437" s="1882"/>
      <c r="BT437" s="1884"/>
      <c r="BU437" s="11"/>
      <c r="BV437" s="11"/>
      <c r="BW437" s="3"/>
      <c r="BX437" s="3"/>
      <c r="BY437" s="3"/>
      <c r="BZ437" s="3"/>
      <c r="CA437" s="3"/>
      <c r="CB437" s="3"/>
      <c r="CC437" s="3"/>
      <c r="CD437" s="3"/>
      <c r="CE437" s="3"/>
      <c r="CF437" s="3"/>
      <c r="CG437" s="3"/>
      <c r="CH437" s="3"/>
      <c r="CI437" s="3"/>
      <c r="CJ437" s="3"/>
      <c r="CK437" s="3"/>
      <c r="CL437" s="3"/>
      <c r="CM437" s="3"/>
      <c r="CN437" s="3"/>
      <c r="CO437" s="3"/>
      <c r="CP437" s="3"/>
      <c r="CQ437" s="3"/>
      <c r="CR437"/>
      <c r="CS437"/>
      <c r="CT437"/>
      <c r="CU437"/>
      <c r="CV437"/>
      <c r="CW437"/>
    </row>
    <row r="438" spans="8:101" s="593" customFormat="1" outlineLevel="1">
      <c r="H438" s="289"/>
      <c r="I438" s="586"/>
      <c r="J438" s="59" t="s">
        <v>341</v>
      </c>
      <c r="K438" s="11"/>
      <c r="L438" s="11"/>
      <c r="M438" s="11"/>
      <c r="N438" s="436">
        <f t="shared" ref="N438:S438" si="487">N433/N398</f>
        <v>-0.75419741740204638</v>
      </c>
      <c r="O438" s="436">
        <f t="shared" si="487"/>
        <v>-1.3565532563996656</v>
      </c>
      <c r="P438" s="436">
        <f t="shared" si="487"/>
        <v>-2.2255827797240668</v>
      </c>
      <c r="Q438" s="436">
        <f t="shared" si="487"/>
        <v>-2.1770237539144119</v>
      </c>
      <c r="R438" s="436">
        <f t="shared" si="487"/>
        <v>-1.4667059682077042</v>
      </c>
      <c r="S438" s="436">
        <f t="shared" si="487"/>
        <v>-10.706955398584441</v>
      </c>
      <c r="T438" s="436">
        <f>T433/T398</f>
        <v>-6.8719919994969985</v>
      </c>
      <c r="U438" s="436">
        <f>U433/U398</f>
        <v>-2.714513285947338</v>
      </c>
      <c r="V438" s="436">
        <f>V433/V398</f>
        <v>-0.10459143894033246</v>
      </c>
      <c r="W438" s="436">
        <f>W433/W398</f>
        <v>1.532330110185508</v>
      </c>
      <c r="X438" s="436">
        <f t="shared" ref="X438:AD438" ca="1" si="488">X433/X398</f>
        <v>4.8889689810990742</v>
      </c>
      <c r="Y438" s="436">
        <f t="shared" ca="1" si="488"/>
        <v>8.6981422814594591</v>
      </c>
      <c r="Z438" s="436">
        <f t="shared" ca="1" si="488"/>
        <v>13.532988408208888</v>
      </c>
      <c r="AA438" s="436">
        <f t="shared" ca="1" si="488"/>
        <v>18.20321387626408</v>
      </c>
      <c r="AB438" s="436">
        <f t="shared" ca="1" si="488"/>
        <v>23.064173532059037</v>
      </c>
      <c r="AC438" s="436">
        <f t="shared" ca="1" si="488"/>
        <v>28.44167265555161</v>
      </c>
      <c r="AD438" s="436">
        <f t="shared" ca="1" si="488"/>
        <v>33.031623219189861</v>
      </c>
      <c r="AE438" s="11"/>
      <c r="AF438" s="11"/>
      <c r="AG438" s="11"/>
      <c r="AH438" s="11"/>
      <c r="AI438" s="11"/>
      <c r="AJ438" s="11"/>
      <c r="AK438" s="11"/>
      <c r="AL438" s="666"/>
      <c r="AM438" s="226"/>
      <c r="AN438" s="226"/>
      <c r="AO438" s="226"/>
      <c r="AP438" s="666"/>
      <c r="AQ438" s="226"/>
      <c r="AR438" s="226"/>
      <c r="AS438" s="226"/>
      <c r="AT438" s="666"/>
      <c r="AU438" s="226"/>
      <c r="AV438" s="226"/>
      <c r="AW438" s="436"/>
      <c r="AX438" s="436">
        <f t="shared" ref="AX438:BQ438" si="489">AX433/AX398</f>
        <v>-4.3972241021232472</v>
      </c>
      <c r="AY438" s="436">
        <f t="shared" si="489"/>
        <v>-5.858331767518969</v>
      </c>
      <c r="AZ438" s="436">
        <f t="shared" si="489"/>
        <v>-0.12065283698381876</v>
      </c>
      <c r="BA438" s="436">
        <f t="shared" si="489"/>
        <v>-0.33346165688581619</v>
      </c>
      <c r="BB438" s="436">
        <f t="shared" si="489"/>
        <v>-0.51978648215555068</v>
      </c>
      <c r="BC438" s="436">
        <f t="shared" si="489"/>
        <v>-0.3732265374274385</v>
      </c>
      <c r="BD438" s="436">
        <f t="shared" si="489"/>
        <v>-0.38805045952881845</v>
      </c>
      <c r="BE438" s="436">
        <f t="shared" si="489"/>
        <v>-5.5739376542792538</v>
      </c>
      <c r="BF438" s="1883">
        <f>U438-SUM(BG438:BI438)</f>
        <v>-0.72867258730124718</v>
      </c>
      <c r="BG438" s="436">
        <f t="shared" si="489"/>
        <v>-0.15451287917967665</v>
      </c>
      <c r="BH438" s="436">
        <f t="shared" si="489"/>
        <v>-0.63238294166931297</v>
      </c>
      <c r="BI438" s="436">
        <f t="shared" si="489"/>
        <v>-1.1989448777971012</v>
      </c>
      <c r="BJ438" s="1883">
        <f>V438-SUM(BK438:BM438)</f>
        <v>0.18193641662661819</v>
      </c>
      <c r="BK438" s="436">
        <f t="shared" si="489"/>
        <v>-0.34184249845122089</v>
      </c>
      <c r="BL438" s="436">
        <f t="shared" si="489"/>
        <v>0.69354845878310234</v>
      </c>
      <c r="BM438" s="436">
        <f t="shared" si="489"/>
        <v>-0.6382338158988321</v>
      </c>
      <c r="BN438" s="436">
        <f t="shared" si="489"/>
        <v>-0.22091381142384689</v>
      </c>
      <c r="BO438" s="436">
        <f t="shared" si="489"/>
        <v>6.1060913167555325E-2</v>
      </c>
      <c r="BP438" s="436">
        <f t="shared" si="489"/>
        <v>0.23524490876875745</v>
      </c>
      <c r="BQ438" s="436">
        <f t="shared" si="489"/>
        <v>1.4569380996730605</v>
      </c>
      <c r="BR438" s="1881"/>
      <c r="BS438" s="1882"/>
      <c r="BT438" s="1884"/>
      <c r="BU438" s="11"/>
      <c r="BV438" s="11"/>
      <c r="BW438" s="3"/>
      <c r="BX438" s="3"/>
      <c r="BY438" s="3"/>
      <c r="BZ438" s="3"/>
      <c r="CA438" s="3"/>
      <c r="CB438" s="3"/>
      <c r="CC438" s="3"/>
      <c r="CD438" s="3"/>
      <c r="CE438" s="3"/>
      <c r="CF438" s="3"/>
      <c r="CG438" s="3"/>
      <c r="CH438" s="3"/>
      <c r="CI438" s="3"/>
      <c r="CJ438" s="3"/>
      <c r="CK438" s="3"/>
      <c r="CL438" s="3"/>
      <c r="CM438" s="3"/>
      <c r="CN438" s="3"/>
      <c r="CO438" s="3"/>
      <c r="CP438" s="3"/>
      <c r="CQ438" s="3"/>
      <c r="CR438"/>
      <c r="CS438"/>
      <c r="CT438"/>
      <c r="CU438"/>
      <c r="CV438"/>
      <c r="CW438"/>
    </row>
    <row r="439" spans="8:101" s="593" customFormat="1" outlineLevel="1">
      <c r="H439" s="289"/>
      <c r="I439" s="586"/>
      <c r="J439" s="59" t="s">
        <v>24</v>
      </c>
      <c r="K439" s="11"/>
      <c r="L439" s="11"/>
      <c r="M439" s="11"/>
      <c r="N439" s="436">
        <f t="shared" ref="N439:S439" si="490">N437/2</f>
        <v>-0.37709870870102319</v>
      </c>
      <c r="O439" s="436">
        <f t="shared" si="490"/>
        <v>-0.67827662819983281</v>
      </c>
      <c r="P439" s="436">
        <f t="shared" si="490"/>
        <v>-1.1127913898620334</v>
      </c>
      <c r="Q439" s="436">
        <f t="shared" si="490"/>
        <v>-1.088511876957206</v>
      </c>
      <c r="R439" s="436">
        <f t="shared" si="490"/>
        <v>-0.73335298410385208</v>
      </c>
      <c r="S439" s="436">
        <f t="shared" si="490"/>
        <v>-6.0258786527072887</v>
      </c>
      <c r="T439" s="436">
        <f t="shared" ref="T439:W440" si="491">T437/2</f>
        <v>-3.4359959997484992</v>
      </c>
      <c r="U439" s="436">
        <f t="shared" si="491"/>
        <v>-1.357256642973669</v>
      </c>
      <c r="V439" s="436">
        <f t="shared" si="491"/>
        <v>-5.3520672266089073E-2</v>
      </c>
      <c r="W439" s="436">
        <f t="shared" si="491"/>
        <v>0.7841113810231134</v>
      </c>
      <c r="X439" s="436">
        <f t="shared" ref="X439:AD439" ca="1" si="492">X437/2</f>
        <v>2.5017430604980189</v>
      </c>
      <c r="Y439" s="436">
        <f t="shared" ca="1" si="492"/>
        <v>4.4509419421543743</v>
      </c>
      <c r="Z439" s="436">
        <f t="shared" ca="1" si="492"/>
        <v>6.9249897000626159</v>
      </c>
      <c r="AA439" s="436">
        <f t="shared" ca="1" si="492"/>
        <v>9.3147991263113408</v>
      </c>
      <c r="AB439" s="436">
        <f t="shared" ca="1" si="492"/>
        <v>11.802209484867555</v>
      </c>
      <c r="AC439" s="436">
        <f t="shared" ca="1" si="492"/>
        <v>14.553939178191847</v>
      </c>
      <c r="AD439" s="436">
        <f t="shared" ca="1" si="492"/>
        <v>16.902670989541882</v>
      </c>
      <c r="AE439" s="11"/>
      <c r="AF439" s="11"/>
      <c r="AG439" s="11"/>
      <c r="AH439" s="11"/>
      <c r="AI439" s="11"/>
      <c r="AJ439" s="11"/>
      <c r="AK439" s="11"/>
      <c r="AL439" s="666"/>
      <c r="AM439" s="226"/>
      <c r="AN439" s="226"/>
      <c r="AO439" s="226"/>
      <c r="AP439" s="666"/>
      <c r="AQ439" s="226"/>
      <c r="AR439" s="226"/>
      <c r="AS439" s="226"/>
      <c r="AT439" s="666"/>
      <c r="AU439" s="226"/>
      <c r="AV439" s="226"/>
      <c r="AW439" s="226"/>
      <c r="AX439" s="436">
        <f t="shared" ref="AX439:BQ439" si="493">AX437/2</f>
        <v>-2.1986120510616236</v>
      </c>
      <c r="AY439" s="436">
        <f t="shared" si="493"/>
        <v>-2.9291658837594845</v>
      </c>
      <c r="AZ439" s="436">
        <f t="shared" si="493"/>
        <v>-6.0326418491909381E-2</v>
      </c>
      <c r="BA439" s="436">
        <f t="shared" si="493"/>
        <v>-0.1667308284429081</v>
      </c>
      <c r="BB439" s="436">
        <f t="shared" si="493"/>
        <v>-0.25989324107777534</v>
      </c>
      <c r="BC439" s="436">
        <f t="shared" si="493"/>
        <v>-0.18661326871371925</v>
      </c>
      <c r="BD439" s="436">
        <f t="shared" si="493"/>
        <v>-0.19402522976440922</v>
      </c>
      <c r="BE439" s="436">
        <f t="shared" si="493"/>
        <v>-2.7869688271396269</v>
      </c>
      <c r="BF439" s="436">
        <f t="shared" si="493"/>
        <v>-0.35196391106886327</v>
      </c>
      <c r="BG439" s="436">
        <f t="shared" si="493"/>
        <v>-7.7256439589838327E-2</v>
      </c>
      <c r="BH439" s="436">
        <f t="shared" si="493"/>
        <v>-0.3200853292284902</v>
      </c>
      <c r="BI439" s="436">
        <f t="shared" si="493"/>
        <v>-0.60795096308647723</v>
      </c>
      <c r="BJ439" s="436">
        <f t="shared" si="493"/>
        <v>8.4121921354000248E-2</v>
      </c>
      <c r="BK439" s="436">
        <f t="shared" si="493"/>
        <v>-0.17472799709282419</v>
      </c>
      <c r="BL439" s="436">
        <f t="shared" si="493"/>
        <v>0.35620231142215092</v>
      </c>
      <c r="BM439" s="436">
        <f t="shared" si="493"/>
        <v>-0.31911690794941605</v>
      </c>
      <c r="BN439" s="436">
        <f t="shared" si="493"/>
        <v>-0.11304420151455589</v>
      </c>
      <c r="BO439" s="436">
        <f t="shared" si="493"/>
        <v>3.1245589075155553E-2</v>
      </c>
      <c r="BP439" s="436">
        <f t="shared" si="493"/>
        <v>0.12037759296591496</v>
      </c>
      <c r="BQ439" s="436">
        <f t="shared" si="493"/>
        <v>0.74553240049660807</v>
      </c>
      <c r="BR439" s="1881"/>
      <c r="BS439" s="1882"/>
      <c r="BT439" s="1884"/>
      <c r="BU439" s="11"/>
      <c r="BV439" s="11"/>
      <c r="BW439" s="3"/>
      <c r="BX439" s="3"/>
      <c r="BY439" s="3"/>
      <c r="BZ439" s="3"/>
      <c r="CA439" s="3"/>
      <c r="CB439" s="3"/>
      <c r="CC439" s="3"/>
      <c r="CD439" s="3"/>
      <c r="CE439" s="3"/>
      <c r="CF439" s="3"/>
      <c r="CG439" s="3"/>
      <c r="CH439" s="3"/>
      <c r="CI439" s="3"/>
      <c r="CJ439" s="3"/>
      <c r="CK439" s="3"/>
      <c r="CL439" s="3"/>
      <c r="CM439" s="3"/>
      <c r="CN439" s="3"/>
      <c r="CO439" s="3"/>
      <c r="CP439" s="3"/>
      <c r="CQ439" s="3"/>
      <c r="CR439"/>
      <c r="CS439"/>
      <c r="CT439"/>
      <c r="CU439"/>
      <c r="CV439"/>
      <c r="CW439"/>
    </row>
    <row r="440" spans="8:101" s="593" customFormat="1" outlineLevel="1">
      <c r="H440" s="289"/>
      <c r="I440" s="586"/>
      <c r="J440" s="59" t="s">
        <v>25</v>
      </c>
      <c r="K440" s="11"/>
      <c r="L440" s="11"/>
      <c r="M440" s="11"/>
      <c r="N440" s="436">
        <f t="shared" ref="N440:S440" si="494">N438/2</f>
        <v>-0.37709870870102319</v>
      </c>
      <c r="O440" s="436">
        <f t="shared" si="494"/>
        <v>-0.67827662819983281</v>
      </c>
      <c r="P440" s="436">
        <f t="shared" si="494"/>
        <v>-1.1127913898620334</v>
      </c>
      <c r="Q440" s="436">
        <f t="shared" si="494"/>
        <v>-1.088511876957206</v>
      </c>
      <c r="R440" s="436">
        <f t="shared" si="494"/>
        <v>-0.73335298410385208</v>
      </c>
      <c r="S440" s="436">
        <f t="shared" si="494"/>
        <v>-5.3534776992922204</v>
      </c>
      <c r="T440" s="436">
        <f t="shared" si="491"/>
        <v>-3.4359959997484992</v>
      </c>
      <c r="U440" s="436">
        <f t="shared" si="491"/>
        <v>-1.357256642973669</v>
      </c>
      <c r="V440" s="436">
        <f t="shared" si="491"/>
        <v>-5.229571947016623E-2</v>
      </c>
      <c r="W440" s="436">
        <f t="shared" si="491"/>
        <v>0.76616505509275401</v>
      </c>
      <c r="X440" s="436">
        <f t="shared" ref="X440:AD440" ca="1" si="495">X438/2</f>
        <v>2.4444844905495371</v>
      </c>
      <c r="Y440" s="436">
        <f t="shared" ca="1" si="495"/>
        <v>4.3490711407297296</v>
      </c>
      <c r="Z440" s="436">
        <f t="shared" ca="1" si="495"/>
        <v>6.7664942041044442</v>
      </c>
      <c r="AA440" s="436">
        <f t="shared" ca="1" si="495"/>
        <v>9.1016069381320399</v>
      </c>
      <c r="AB440" s="436">
        <f t="shared" ca="1" si="495"/>
        <v>11.532086766029519</v>
      </c>
      <c r="AC440" s="436">
        <f t="shared" ca="1" si="495"/>
        <v>14.220836327775805</v>
      </c>
      <c r="AD440" s="436">
        <f t="shared" ca="1" si="495"/>
        <v>16.51581160959493</v>
      </c>
      <c r="AE440" s="11"/>
      <c r="AF440" s="11"/>
      <c r="AG440" s="11"/>
      <c r="AH440" s="11"/>
      <c r="AI440" s="11"/>
      <c r="AJ440" s="11"/>
      <c r="AK440" s="11"/>
      <c r="AL440" s="666"/>
      <c r="AM440" s="226"/>
      <c r="AN440" s="226"/>
      <c r="AO440" s="226"/>
      <c r="AP440" s="666"/>
      <c r="AQ440" s="226"/>
      <c r="AR440" s="226"/>
      <c r="AS440" s="226"/>
      <c r="AT440" s="666"/>
      <c r="AU440" s="226"/>
      <c r="AV440" s="226"/>
      <c r="AW440" s="226"/>
      <c r="AX440" s="436">
        <f t="shared" ref="AX440:BQ440" si="496">AX438/2</f>
        <v>-2.1986120510616236</v>
      </c>
      <c r="AY440" s="436">
        <f t="shared" si="496"/>
        <v>-2.9291658837594845</v>
      </c>
      <c r="AZ440" s="436">
        <f t="shared" si="496"/>
        <v>-6.0326418491909381E-2</v>
      </c>
      <c r="BA440" s="436">
        <f t="shared" si="496"/>
        <v>-0.1667308284429081</v>
      </c>
      <c r="BB440" s="436">
        <f t="shared" si="496"/>
        <v>-0.25989324107777534</v>
      </c>
      <c r="BC440" s="436">
        <f t="shared" si="496"/>
        <v>-0.18661326871371925</v>
      </c>
      <c r="BD440" s="436">
        <f t="shared" si="496"/>
        <v>-0.19402522976440922</v>
      </c>
      <c r="BE440" s="436">
        <f t="shared" si="496"/>
        <v>-2.7869688271396269</v>
      </c>
      <c r="BF440" s="436">
        <f t="shared" si="496"/>
        <v>-0.36433629365062359</v>
      </c>
      <c r="BG440" s="436">
        <f t="shared" si="496"/>
        <v>-7.7256439589838327E-2</v>
      </c>
      <c r="BH440" s="436">
        <f t="shared" si="496"/>
        <v>-0.31619147083465649</v>
      </c>
      <c r="BI440" s="436">
        <f t="shared" si="496"/>
        <v>-0.59947243889855062</v>
      </c>
      <c r="BJ440" s="436">
        <f t="shared" si="496"/>
        <v>9.0968208313309096E-2</v>
      </c>
      <c r="BK440" s="436">
        <f t="shared" si="496"/>
        <v>-0.17092124922561044</v>
      </c>
      <c r="BL440" s="436">
        <f t="shared" si="496"/>
        <v>0.34677422939155117</v>
      </c>
      <c r="BM440" s="436">
        <f t="shared" si="496"/>
        <v>-0.31911690794941605</v>
      </c>
      <c r="BN440" s="436">
        <f t="shared" si="496"/>
        <v>-0.11045690571192344</v>
      </c>
      <c r="BO440" s="436">
        <f t="shared" si="496"/>
        <v>3.0530456583777663E-2</v>
      </c>
      <c r="BP440" s="436">
        <f t="shared" si="496"/>
        <v>0.11762245438437872</v>
      </c>
      <c r="BQ440" s="436">
        <f t="shared" si="496"/>
        <v>0.72846904983653027</v>
      </c>
      <c r="BR440" s="1881"/>
      <c r="BS440" s="1882"/>
      <c r="BT440" s="1884"/>
      <c r="BU440" s="11"/>
      <c r="BV440" s="11"/>
      <c r="BW440" s="3"/>
      <c r="BX440" s="3"/>
      <c r="BY440" s="3"/>
      <c r="BZ440" s="3"/>
      <c r="CA440" s="3"/>
      <c r="CB440" s="3"/>
      <c r="CC440" s="3"/>
      <c r="CD440" s="3"/>
      <c r="CE440" s="3"/>
      <c r="CF440" s="3"/>
      <c r="CG440" s="3"/>
      <c r="CH440" s="3"/>
      <c r="CI440" s="3"/>
      <c r="CJ440" s="3"/>
      <c r="CK440" s="3"/>
      <c r="CL440" s="3"/>
      <c r="CM440" s="3"/>
      <c r="CN440" s="3"/>
      <c r="CO440" s="3"/>
      <c r="CP440" s="3"/>
      <c r="CQ440" s="3"/>
      <c r="CR440"/>
      <c r="CS440"/>
      <c r="CT440"/>
      <c r="CU440"/>
      <c r="CV440"/>
      <c r="CW440"/>
    </row>
    <row r="441" spans="8:101" s="593" customFormat="1" outlineLevel="1">
      <c r="H441" s="289"/>
      <c r="I441" s="586"/>
      <c r="J441" s="59"/>
      <c r="K441" s="11"/>
      <c r="L441" s="11"/>
      <c r="M441" s="11"/>
      <c r="N441" s="370"/>
      <c r="O441" s="370"/>
      <c r="P441" s="370"/>
      <c r="Q441" s="370"/>
      <c r="R441" s="370"/>
      <c r="S441" s="187"/>
      <c r="T441" s="187"/>
      <c r="U441" s="187"/>
      <c r="V441" s="187"/>
      <c r="W441" s="370"/>
      <c r="X441" s="370"/>
      <c r="Y441" s="370"/>
      <c r="Z441" s="370"/>
      <c r="AA441" s="370"/>
      <c r="AB441" s="370"/>
      <c r="AC441" s="370"/>
      <c r="AD441" s="370"/>
      <c r="AE441" s="11"/>
      <c r="AF441" s="11"/>
      <c r="AG441" s="11"/>
      <c r="AH441" s="11"/>
      <c r="AI441" s="11"/>
      <c r="AJ441" s="11"/>
      <c r="AK441" s="11"/>
      <c r="AL441" s="666"/>
      <c r="AM441" s="226"/>
      <c r="AN441" s="226"/>
      <c r="AO441" s="226"/>
      <c r="AP441" s="666"/>
      <c r="AQ441" s="226"/>
      <c r="AR441" s="226"/>
      <c r="AS441" s="226"/>
      <c r="AT441" s="666"/>
      <c r="AU441" s="226"/>
      <c r="AV441" s="226"/>
      <c r="AW441" s="226"/>
      <c r="AX441" s="666"/>
      <c r="AY441" s="436"/>
      <c r="AZ441" s="436"/>
      <c r="BA441" s="436"/>
      <c r="BB441" s="666"/>
      <c r="BC441" s="436"/>
      <c r="BD441" s="436"/>
      <c r="BE441" s="436"/>
      <c r="BF441" s="666"/>
      <c r="BG441" s="368"/>
      <c r="BH441" s="368"/>
      <c r="BI441" s="436"/>
      <c r="BJ441" s="666"/>
      <c r="BK441" s="436"/>
      <c r="BL441" s="226"/>
      <c r="BM441" s="436"/>
      <c r="BN441" s="666"/>
      <c r="BO441" s="226"/>
      <c r="BP441" s="226"/>
      <c r="BQ441" s="436"/>
      <c r="BR441" s="28"/>
      <c r="BS441" s="11"/>
      <c r="BT441" s="11"/>
      <c r="BU441" s="11"/>
      <c r="BV441" s="11"/>
      <c r="BW441" s="3"/>
      <c r="BX441" s="3"/>
      <c r="BY441" s="3"/>
      <c r="BZ441" s="3"/>
      <c r="CA441" s="3"/>
      <c r="CB441" s="3"/>
      <c r="CC441" s="3"/>
      <c r="CD441" s="3"/>
      <c r="CE441" s="3"/>
      <c r="CF441" s="3"/>
      <c r="CG441" s="3"/>
      <c r="CH441" s="3"/>
      <c r="CI441" s="3"/>
      <c r="CJ441" s="3"/>
      <c r="CK441" s="3"/>
      <c r="CL441" s="3"/>
      <c r="CM441" s="3"/>
      <c r="CN441" s="3"/>
      <c r="CO441" s="3"/>
      <c r="CP441" s="3"/>
      <c r="CQ441" s="3"/>
      <c r="CR441"/>
      <c r="CS441"/>
      <c r="CT441"/>
      <c r="CU441"/>
      <c r="CV441"/>
      <c r="CW441"/>
    </row>
    <row r="442" spans="8:101" s="592" customFormat="1" outlineLevel="1">
      <c r="H442" s="563"/>
      <c r="I442" s="588"/>
      <c r="J442" s="5" t="s">
        <v>665</v>
      </c>
      <c r="K442" s="11"/>
      <c r="L442" s="11"/>
      <c r="M442" s="11"/>
      <c r="N442" s="1300"/>
      <c r="O442" s="1300"/>
      <c r="P442" s="1300"/>
      <c r="Q442" s="1300"/>
      <c r="R442" s="1300"/>
      <c r="S442" s="1300"/>
      <c r="T442" s="1300"/>
      <c r="U442" s="1300"/>
      <c r="V442" s="1300"/>
      <c r="W442" s="1300"/>
      <c r="X442" s="1300"/>
      <c r="Y442" s="1300"/>
      <c r="Z442" s="1300"/>
      <c r="AA442" s="1300"/>
      <c r="AB442" s="1300"/>
      <c r="AC442" s="1300"/>
      <c r="AD442" s="1300"/>
      <c r="AE442" s="836"/>
      <c r="AF442" s="440"/>
      <c r="AG442" s="28"/>
      <c r="AH442" s="28"/>
      <c r="AI442" s="28"/>
      <c r="AJ442" s="28"/>
      <c r="AK442" s="28"/>
      <c r="AL442" s="662"/>
      <c r="AM442" s="215"/>
      <c r="AN442" s="215"/>
      <c r="AO442" s="215"/>
      <c r="AP442" s="1623"/>
      <c r="AQ442" s="1300"/>
      <c r="AR442" s="1300"/>
      <c r="AS442" s="1300"/>
      <c r="AT442" s="1623"/>
      <c r="AU442" s="1300"/>
      <c r="AV442" s="1300"/>
      <c r="AW442" s="1300"/>
      <c r="AX442" s="1623"/>
      <c r="AY442" s="1300"/>
      <c r="AZ442" s="1300"/>
      <c r="BA442" s="1300"/>
      <c r="BB442" s="1623"/>
      <c r="BC442" s="1300"/>
      <c r="BD442" s="1300"/>
      <c r="BE442" s="1300"/>
      <c r="BF442" s="1623"/>
      <c r="BG442" s="1300"/>
      <c r="BH442" s="1300"/>
      <c r="BI442" s="1300"/>
      <c r="BJ442" s="1623"/>
      <c r="BK442" s="1300"/>
      <c r="BL442" s="1300"/>
      <c r="BM442" s="1300"/>
      <c r="BN442" s="1623"/>
      <c r="BO442" s="1300"/>
      <c r="BP442" s="1300"/>
      <c r="BQ442" s="1300"/>
      <c r="BR442" s="85"/>
      <c r="BS442" s="47"/>
      <c r="BT442" s="47"/>
      <c r="BU442" s="47"/>
      <c r="BV442" s="47"/>
      <c r="BW442" s="47"/>
      <c r="BX442" s="47"/>
      <c r="BY442" s="47"/>
      <c r="BZ442" s="47"/>
      <c r="CA442" s="47"/>
      <c r="CB442" s="47"/>
      <c r="CC442" s="47"/>
      <c r="CD442" s="52"/>
      <c r="CE442" s="52"/>
      <c r="CF442" s="52"/>
      <c r="CG442" s="52"/>
      <c r="CH442" s="52"/>
      <c r="CI442" s="52"/>
      <c r="CJ442" s="52"/>
      <c r="CK442" s="52"/>
      <c r="CL442" s="52"/>
      <c r="CM442" s="52"/>
      <c r="CN442" s="52"/>
      <c r="CO442" s="52"/>
      <c r="CP442" s="52"/>
      <c r="CQ442" s="52"/>
      <c r="CR442"/>
      <c r="CS442"/>
      <c r="CT442"/>
      <c r="CU442"/>
      <c r="CV442"/>
      <c r="CW442"/>
    </row>
    <row r="443" spans="8:101" s="592" customFormat="1" outlineLevel="1">
      <c r="H443" s="563"/>
      <c r="I443" s="588"/>
      <c r="J443" s="369" t="s">
        <v>44</v>
      </c>
      <c r="K443" s="11"/>
      <c r="L443" s="11"/>
      <c r="M443" s="11"/>
      <c r="N443" s="77">
        <f>IF(ISERROR(N411/N$409), "--",N411/ N$409)</f>
        <v>4.7961630695443645E-2</v>
      </c>
      <c r="O443" s="77">
        <f t="shared" ref="O443:AD443" si="497">IF(ISERROR(O411/O$409), "--",O411/ O$409)</f>
        <v>4.8234882908074102E-2</v>
      </c>
      <c r="P443" s="77">
        <f t="shared" si="497"/>
        <v>5.4542724987066353E-2</v>
      </c>
      <c r="Q443" s="77">
        <f t="shared" si="497"/>
        <v>8.4149109674090339E-2</v>
      </c>
      <c r="R443" s="77">
        <f t="shared" si="497"/>
        <v>9.8702047880011537E-2</v>
      </c>
      <c r="S443" s="77">
        <f t="shared" si="497"/>
        <v>0.11626754317316221</v>
      </c>
      <c r="T443" s="77">
        <f t="shared" si="497"/>
        <v>0.13392576411987622</v>
      </c>
      <c r="U443" s="77">
        <f t="shared" si="497"/>
        <v>0.13688225349320321</v>
      </c>
      <c r="V443" s="77">
        <f t="shared" si="497"/>
        <v>0.14024418903124886</v>
      </c>
      <c r="W443" s="77">
        <f t="shared" si="497"/>
        <v>0.14310711861981407</v>
      </c>
      <c r="X443" s="77">
        <f t="shared" si="497"/>
        <v>0.14801770297177455</v>
      </c>
      <c r="Y443" s="77">
        <f t="shared" si="497"/>
        <v>0.1542817874334198</v>
      </c>
      <c r="Z443" s="77">
        <f t="shared" si="497"/>
        <v>0.16125963965942564</v>
      </c>
      <c r="AA443" s="77">
        <f t="shared" si="497"/>
        <v>0.16566656656159132</v>
      </c>
      <c r="AB443" s="77">
        <f t="shared" si="497"/>
        <v>0.17003269458403383</v>
      </c>
      <c r="AC443" s="77">
        <f t="shared" si="497"/>
        <v>0.17308746884841178</v>
      </c>
      <c r="AD443" s="77">
        <f t="shared" si="497"/>
        <v>0.17733364573026253</v>
      </c>
      <c r="AE443" s="836"/>
      <c r="AF443" s="440"/>
      <c r="AG443" s="28"/>
      <c r="AH443" s="28"/>
      <c r="AI443" s="28"/>
      <c r="AJ443" s="28"/>
      <c r="AK443" s="28"/>
      <c r="AL443" s="662"/>
      <c r="AM443" s="215"/>
      <c r="AN443" s="215"/>
      <c r="AO443" s="215"/>
      <c r="AP443" s="675">
        <f t="shared" ref="AP443:BQ443" si="498">IF(ISERROR(AP411/AP$409), "--",AP411/ AP$409)</f>
        <v>7.5062972292191429E-2</v>
      </c>
      <c r="AQ443" s="77">
        <f t="shared" si="498"/>
        <v>8.1444250692378706E-2</v>
      </c>
      <c r="AR443" s="77">
        <f t="shared" si="498"/>
        <v>8.4907357438388203E-2</v>
      </c>
      <c r="AS443" s="77">
        <f t="shared" si="498"/>
        <v>9.1379036106250991E-2</v>
      </c>
      <c r="AT443" s="675">
        <f t="shared" si="498"/>
        <v>0.10746812386156648</v>
      </c>
      <c r="AU443" s="77">
        <f t="shared" si="498"/>
        <v>8.8996918954417609E-2</v>
      </c>
      <c r="AV443" s="77">
        <f t="shared" si="498"/>
        <v>9.8409691971369312E-2</v>
      </c>
      <c r="AW443" s="77">
        <f t="shared" si="498"/>
        <v>0.10142118863049096</v>
      </c>
      <c r="AX443" s="675">
        <f t="shared" si="498"/>
        <v>9.9808292348959729E-2</v>
      </c>
      <c r="AY443" s="77">
        <f t="shared" si="498"/>
        <v>0.11027314650585313</v>
      </c>
      <c r="AZ443" s="77">
        <f t="shared" si="498"/>
        <v>0.12215692242965781</v>
      </c>
      <c r="BA443" s="77">
        <f t="shared" si="498"/>
        <v>0.12702257784897081</v>
      </c>
      <c r="BB443" s="675">
        <f t="shared" si="498"/>
        <v>0.1218755982950596</v>
      </c>
      <c r="BC443" s="77">
        <f t="shared" si="498"/>
        <v>0.1286669701661621</v>
      </c>
      <c r="BD443" s="77">
        <f t="shared" si="498"/>
        <v>0.13816516153311661</v>
      </c>
      <c r="BE443" s="77">
        <f t="shared" si="498"/>
        <v>0.14300300967578791</v>
      </c>
      <c r="BF443" s="675">
        <f t="shared" si="498"/>
        <v>0.13072069609369086</v>
      </c>
      <c r="BG443" s="77">
        <f t="shared" si="498"/>
        <v>0.13628768446460529</v>
      </c>
      <c r="BH443" s="77">
        <f t="shared" si="498"/>
        <v>0.14352122957320662</v>
      </c>
      <c r="BI443" s="77">
        <f t="shared" si="498"/>
        <v>0.13651247971191141</v>
      </c>
      <c r="BJ443" s="675">
        <f t="shared" si="498"/>
        <v>0.14390749673346939</v>
      </c>
      <c r="BK443" s="77">
        <f t="shared" si="498"/>
        <v>0.13570333675868995</v>
      </c>
      <c r="BL443" s="77">
        <f t="shared" si="498"/>
        <v>0.15502483705003273</v>
      </c>
      <c r="BM443" s="77">
        <f t="shared" si="498"/>
        <v>0.13034856318776283</v>
      </c>
      <c r="BN443" s="675">
        <f t="shared" si="498"/>
        <v>0.13585126923762023</v>
      </c>
      <c r="BO443" s="77">
        <f t="shared" si="498"/>
        <v>0.13626591253337419</v>
      </c>
      <c r="BP443" s="77">
        <f t="shared" si="498"/>
        <v>0.15015164264411546</v>
      </c>
      <c r="BQ443" s="77">
        <f t="shared" si="498"/>
        <v>0.14882800504145657</v>
      </c>
      <c r="BR443" s="85"/>
      <c r="BS443" s="47"/>
      <c r="BT443" s="47"/>
      <c r="BU443" s="47"/>
      <c r="BV443" s="47"/>
      <c r="BW443" s="47"/>
      <c r="BX443" s="47"/>
      <c r="BY443" s="47"/>
      <c r="BZ443" s="47"/>
      <c r="CA443" s="47"/>
      <c r="CB443" s="47"/>
      <c r="CC443" s="47"/>
      <c r="CD443" s="52"/>
      <c r="CE443" s="52"/>
      <c r="CF443" s="52"/>
      <c r="CG443" s="52"/>
      <c r="CH443" s="52"/>
      <c r="CI443" s="52"/>
      <c r="CJ443" s="52"/>
      <c r="CK443" s="52"/>
      <c r="CL443" s="52"/>
      <c r="CM443" s="52"/>
      <c r="CN443" s="52"/>
      <c r="CO443" s="52"/>
      <c r="CP443" s="52"/>
      <c r="CQ443" s="52"/>
      <c r="CR443"/>
      <c r="CS443"/>
      <c r="CT443"/>
      <c r="CU443"/>
      <c r="CV443"/>
      <c r="CW443"/>
    </row>
    <row r="444" spans="8:101" s="583" customFormat="1" outlineLevel="1">
      <c r="I444" s="597"/>
      <c r="J444" s="28" t="s">
        <v>407</v>
      </c>
      <c r="K444" s="28"/>
      <c r="L444" s="28"/>
      <c r="M444" s="28"/>
      <c r="N444" s="77">
        <f>IF(ISERROR(N417/N$409), "--",N417/ N$409)</f>
        <v>-3.5286056868790681E-2</v>
      </c>
      <c r="O444" s="77">
        <f t="shared" ref="O444:AD444" si="499">IF(ISERROR(O417/O$409), "--",O417/ O$409)</f>
        <v>-4.8467901666084119E-2</v>
      </c>
      <c r="P444" s="77">
        <f t="shared" si="499"/>
        <v>-6.642868680846982E-2</v>
      </c>
      <c r="Q444" s="77">
        <f t="shared" si="499"/>
        <v>-4.7168714961322064E-2</v>
      </c>
      <c r="R444" s="77">
        <f t="shared" si="499"/>
        <v>-8.3501586385924427E-3</v>
      </c>
      <c r="S444" s="77">
        <f t="shared" si="499"/>
        <v>-5.045129649919132E-2</v>
      </c>
      <c r="T444" s="77">
        <f t="shared" si="499"/>
        <v>-3.5628588922537195E-2</v>
      </c>
      <c r="U444" s="77">
        <f t="shared" si="499"/>
        <v>-4.8459222456690172E-3</v>
      </c>
      <c r="V444" s="77">
        <f t="shared" si="499"/>
        <v>-2.3058315777646386E-3</v>
      </c>
      <c r="W444" s="77">
        <f t="shared" si="499"/>
        <v>3.0200052521654232E-4</v>
      </c>
      <c r="X444" s="77">
        <f t="shared" si="499"/>
        <v>1.0231325151858985E-2</v>
      </c>
      <c r="Y444" s="77">
        <f t="shared" si="499"/>
        <v>1.8243978798314155E-2</v>
      </c>
      <c r="Z444" s="77">
        <f t="shared" si="499"/>
        <v>2.6679286606708222E-2</v>
      </c>
      <c r="AA444" s="77">
        <f t="shared" si="499"/>
        <v>3.4567099886311299E-2</v>
      </c>
      <c r="AB444" s="77">
        <f t="shared" si="499"/>
        <v>4.2202204550305239E-2</v>
      </c>
      <c r="AC444" s="77">
        <f t="shared" si="499"/>
        <v>4.9711140100158084E-2</v>
      </c>
      <c r="AD444" s="77">
        <f t="shared" si="499"/>
        <v>5.43006047203883E-2</v>
      </c>
      <c r="AE444" s="83"/>
      <c r="AF444" s="83"/>
      <c r="AG444" s="83"/>
      <c r="AH444" s="28"/>
      <c r="AI444" s="28"/>
      <c r="AJ444" s="28"/>
      <c r="AK444" s="28"/>
      <c r="AL444" s="1617"/>
      <c r="AM444" s="258"/>
      <c r="AN444" s="258"/>
      <c r="AO444" s="258"/>
      <c r="AP444" s="675">
        <f t="shared" ref="AP444:BQ444" si="500">IF(ISERROR(AP417/AP$409), "--",AP417/ AP$409)</f>
        <v>-7.2166246851385396E-2</v>
      </c>
      <c r="AQ444" s="77">
        <f t="shared" si="500"/>
        <v>-4.7594625089752797E-2</v>
      </c>
      <c r="AR444" s="77">
        <f t="shared" si="500"/>
        <v>-4.8210109731966183E-2</v>
      </c>
      <c r="AS444" s="77">
        <f t="shared" si="500"/>
        <v>-3.0062032766025131E-2</v>
      </c>
      <c r="AT444" s="675">
        <f t="shared" si="500"/>
        <v>-1.4571948998178506E-4</v>
      </c>
      <c r="AU444" s="77">
        <f t="shared" si="500"/>
        <v>-1.3310421730934281E-2</v>
      </c>
      <c r="AV444" s="77">
        <f t="shared" si="500"/>
        <v>-4.4812439691552892E-3</v>
      </c>
      <c r="AW444" s="77">
        <f t="shared" si="500"/>
        <v>-1.3068972371297952E-2</v>
      </c>
      <c r="AX444" s="675">
        <f t="shared" si="500"/>
        <v>-0.16999299478810836</v>
      </c>
      <c r="AY444" s="77">
        <f t="shared" si="500"/>
        <v>-2.7538151564768999E-2</v>
      </c>
      <c r="AZ444" s="77">
        <f t="shared" si="500"/>
        <v>-1.4016267680656185E-2</v>
      </c>
      <c r="BA444" s="77">
        <f t="shared" si="500"/>
        <v>-2.1777907680311865E-2</v>
      </c>
      <c r="BB444" s="675">
        <f t="shared" si="500"/>
        <v>-2.2450712086259438E-2</v>
      </c>
      <c r="BC444" s="77">
        <f t="shared" si="500"/>
        <v>-1.5744843740035565E-2</v>
      </c>
      <c r="BD444" s="77">
        <f t="shared" si="500"/>
        <v>-1.5126631852306005E-2</v>
      </c>
      <c r="BE444" s="77">
        <f t="shared" si="500"/>
        <v>-7.7763451104181605E-2</v>
      </c>
      <c r="BF444" s="675">
        <f t="shared" si="500"/>
        <v>-9.683865972816565E-3</v>
      </c>
      <c r="BG444" s="77">
        <f t="shared" si="500"/>
        <v>-2.4297295396154112E-3</v>
      </c>
      <c r="BH444" s="77">
        <f t="shared" si="500"/>
        <v>-3.8957535037094384E-3</v>
      </c>
      <c r="BI444" s="77">
        <f t="shared" si="500"/>
        <v>-4.262349730128491E-3</v>
      </c>
      <c r="BJ444" s="675">
        <f t="shared" si="500"/>
        <v>8.7920624835053363E-3</v>
      </c>
      <c r="BK444" s="77">
        <f t="shared" si="500"/>
        <v>-4.3237710359678256E-3</v>
      </c>
      <c r="BL444" s="77">
        <f t="shared" si="500"/>
        <v>5.998906840709234E-3</v>
      </c>
      <c r="BM444" s="77">
        <f t="shared" si="500"/>
        <v>-1.4489140476803742E-2</v>
      </c>
      <c r="BN444" s="675">
        <f t="shared" si="500"/>
        <v>-7.1331588786850714E-3</v>
      </c>
      <c r="BO444" s="77">
        <f t="shared" si="500"/>
        <v>-3.904058577292327E-3</v>
      </c>
      <c r="BP444" s="77">
        <f t="shared" si="500"/>
        <v>-2.129691300566108E-3</v>
      </c>
      <c r="BQ444" s="77">
        <f t="shared" si="500"/>
        <v>1.0802111489256649E-2</v>
      </c>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c r="CS444"/>
      <c r="CT444"/>
      <c r="CU444"/>
      <c r="CV444"/>
      <c r="CW444"/>
    </row>
    <row r="445" spans="8:101" s="516" customFormat="1" outlineLevel="1">
      <c r="H445" s="563"/>
      <c r="I445" s="588"/>
      <c r="J445" s="28" t="s">
        <v>403</v>
      </c>
      <c r="K445" s="28"/>
      <c r="L445" s="28"/>
      <c r="M445" s="1492"/>
      <c r="N445" s="179">
        <f t="shared" ref="N445:AD445" si="501">IF(ISERROR(N433/N$409), "--",N433/ N$409)</f>
        <v>-9.8321342925659472E-2</v>
      </c>
      <c r="O445" s="179">
        <f t="shared" si="501"/>
        <v>-0.1352673890248165</v>
      </c>
      <c r="P445" s="179">
        <f t="shared" si="501"/>
        <v>-0.13933909380012519</v>
      </c>
      <c r="Q445" s="179">
        <f t="shared" si="501"/>
        <v>-8.0158488096367858E-2</v>
      </c>
      <c r="R445" s="179">
        <f t="shared" si="501"/>
        <v>-3.5842601672916065E-2</v>
      </c>
      <c r="S445" s="179">
        <f t="shared" si="501"/>
        <v>-0.11263838889758439</v>
      </c>
      <c r="T445" s="179">
        <f t="shared" si="501"/>
        <v>-5.1838057886114286E-2</v>
      </c>
      <c r="U445" s="179">
        <f t="shared" si="501"/>
        <v>-1.473843656795505E-2</v>
      </c>
      <c r="V445" s="179">
        <f t="shared" si="501"/>
        <v>-4.2021434312392378E-4</v>
      </c>
      <c r="W445" s="179">
        <f t="shared" si="501"/>
        <v>4.950961223932529E-3</v>
      </c>
      <c r="X445" s="179">
        <f t="shared" ca="1" si="501"/>
        <v>1.3091306067326853E-2</v>
      </c>
      <c r="Y445" s="179">
        <f t="shared" ca="1" si="501"/>
        <v>2.0004937336120049E-2</v>
      </c>
      <c r="Z445" s="179">
        <f t="shared" ca="1" si="501"/>
        <v>2.8411075841937288E-2</v>
      </c>
      <c r="AA445" s="179">
        <f t="shared" ca="1" si="501"/>
        <v>3.6398307546697199E-2</v>
      </c>
      <c r="AB445" s="179">
        <f t="shared" ca="1" si="501"/>
        <v>4.3925787550438411E-2</v>
      </c>
      <c r="AC445" s="179">
        <f t="shared" ca="1" si="501"/>
        <v>5.159345842838102E-2</v>
      </c>
      <c r="AD445" s="179">
        <f t="shared" ca="1" si="501"/>
        <v>5.7073760748694892E-2</v>
      </c>
      <c r="AE445" s="28"/>
      <c r="AF445" s="28"/>
      <c r="AG445" s="28"/>
      <c r="AH445" s="1493"/>
      <c r="AI445" s="1493"/>
      <c r="AJ445" s="1493"/>
      <c r="AK445" s="1493"/>
      <c r="AL445" s="674"/>
      <c r="AM445" s="93"/>
      <c r="AN445" s="93"/>
      <c r="AO445" s="93"/>
      <c r="AP445" s="674">
        <f t="shared" ref="AP445:BQ445" si="502">IF(ISERROR(AP433/AP$409), "--",AP433/ AP$409)</f>
        <v>-6.6498740554156166E-2</v>
      </c>
      <c r="AQ445" s="93">
        <f t="shared" si="502"/>
        <v>-4.1953020822648478E-2</v>
      </c>
      <c r="AR445" s="93">
        <f t="shared" si="502"/>
        <v>-4.3802842237812556E-2</v>
      </c>
      <c r="AS445" s="93">
        <f t="shared" si="502"/>
        <v>-2.4256402099570543E-2</v>
      </c>
      <c r="AT445" s="674">
        <f t="shared" si="502"/>
        <v>-6.9362477231329697E-2</v>
      </c>
      <c r="AU445" s="93">
        <f t="shared" si="502"/>
        <v>-2.7743562400082793E-2</v>
      </c>
      <c r="AV445" s="93">
        <f t="shared" si="502"/>
        <v>-3.6779185518455521E-2</v>
      </c>
      <c r="AW445" s="93">
        <f t="shared" si="502"/>
        <v>-1.093097793679189E-2</v>
      </c>
      <c r="AX445" s="674">
        <f t="shared" si="502"/>
        <v>-0.23342917833172164</v>
      </c>
      <c r="AY445" s="93">
        <f t="shared" si="502"/>
        <v>-0.24626333972323627</v>
      </c>
      <c r="AZ445" s="93">
        <f t="shared" si="502"/>
        <v>-5.6651724460389822E-3</v>
      </c>
      <c r="BA445" s="93">
        <f t="shared" si="502"/>
        <v>-1.308529296964096E-2</v>
      </c>
      <c r="BB445" s="690">
        <f t="shared" si="502"/>
        <v>-1.9383156514328596E-2</v>
      </c>
      <c r="BC445" s="179">
        <f t="shared" si="502"/>
        <v>-1.1113359282402367E-2</v>
      </c>
      <c r="BD445" s="179">
        <f t="shared" si="502"/>
        <v>-1.2033556902436187E-2</v>
      </c>
      <c r="BE445" s="179">
        <f t="shared" si="502"/>
        <v>-0.13966169472228399</v>
      </c>
      <c r="BF445" s="690">
        <f t="shared" si="502"/>
        <v>-1.762991928417405E-2</v>
      </c>
      <c r="BG445" s="330">
        <f t="shared" si="502"/>
        <v>-3.2893309984516382E-3</v>
      </c>
      <c r="BH445" s="330">
        <f t="shared" si="502"/>
        <v>-1.531548861234697E-2</v>
      </c>
      <c r="BI445" s="179">
        <f t="shared" si="502"/>
        <v>-2.1698457677115469E-2</v>
      </c>
      <c r="BJ445" s="690">
        <f t="shared" si="502"/>
        <v>3.1887567298051027E-3</v>
      </c>
      <c r="BK445" s="179">
        <f t="shared" si="502"/>
        <v>-5.3342914675359341E-3</v>
      </c>
      <c r="BL445" s="179">
        <f t="shared" si="502"/>
        <v>1.2111466520689203E-2</v>
      </c>
      <c r="BM445" s="179">
        <f t="shared" si="502"/>
        <v>-8.2533494610927544E-3</v>
      </c>
      <c r="BN445" s="690">
        <f t="shared" si="502"/>
        <v>-3.3599753452196852E-3</v>
      </c>
      <c r="BO445" s="179">
        <f t="shared" si="502"/>
        <v>7.6058002325610989E-4</v>
      </c>
      <c r="BP445" s="179">
        <f t="shared" si="502"/>
        <v>3.4183678414455719E-3</v>
      </c>
      <c r="BQ445" s="179">
        <f t="shared" si="502"/>
        <v>1.5392420392600621E-2</v>
      </c>
      <c r="BR445" s="28"/>
      <c r="BS445" s="28"/>
      <c r="BT445" s="28"/>
      <c r="BU445" s="28"/>
      <c r="BV445" s="28"/>
      <c r="BW445" s="437"/>
      <c r="BX445" s="437"/>
      <c r="BY445" s="437"/>
      <c r="BZ445" s="437"/>
      <c r="CA445" s="437"/>
      <c r="CB445" s="437"/>
      <c r="CC445" s="437"/>
      <c r="CD445" s="437"/>
      <c r="CE445" s="437"/>
      <c r="CF445" s="437"/>
      <c r="CG445" s="437"/>
      <c r="CH445" s="437"/>
      <c r="CI445" s="437"/>
      <c r="CJ445" s="437"/>
      <c r="CK445" s="437"/>
      <c r="CL445" s="437"/>
      <c r="CM445" s="437"/>
      <c r="CN445" s="437"/>
      <c r="CO445" s="437"/>
      <c r="CP445" s="437"/>
      <c r="CQ445" s="437"/>
      <c r="CR445"/>
      <c r="CS445"/>
      <c r="CT445"/>
      <c r="CU445"/>
      <c r="CV445"/>
      <c r="CW445"/>
    </row>
    <row r="446" spans="8:101" s="516" customFormat="1" outlineLevel="1">
      <c r="H446" s="563"/>
      <c r="I446" s="588"/>
      <c r="J446" s="28"/>
      <c r="K446" s="28"/>
      <c r="L446" s="28"/>
      <c r="M446" s="1492"/>
      <c r="N446" s="179"/>
      <c r="O446" s="179"/>
      <c r="P446" s="179"/>
      <c r="Q446" s="179"/>
      <c r="R446" s="179"/>
      <c r="S446" s="179"/>
      <c r="T446" s="179"/>
      <c r="U446" s="179"/>
      <c r="V446" s="179"/>
      <c r="W446" s="179"/>
      <c r="X446" s="179"/>
      <c r="Y446" s="179"/>
      <c r="Z446" s="179"/>
      <c r="AA446" s="179"/>
      <c r="AB446" s="179"/>
      <c r="AC446" s="179"/>
      <c r="AD446" s="179"/>
      <c r="AE446" s="28"/>
      <c r="AF446" s="28"/>
      <c r="AG446" s="28"/>
      <c r="AH446" s="1493"/>
      <c r="AI446" s="1493"/>
      <c r="AJ446" s="1493"/>
      <c r="AK446" s="1493"/>
      <c r="AL446" s="674"/>
      <c r="AM446" s="93"/>
      <c r="AN446" s="93"/>
      <c r="AO446" s="93"/>
      <c r="AP446" s="674"/>
      <c r="AQ446" s="93"/>
      <c r="AR446" s="93"/>
      <c r="AS446" s="93"/>
      <c r="AT446" s="674"/>
      <c r="AU446" s="93"/>
      <c r="AV446" s="93"/>
      <c r="AW446" s="93"/>
      <c r="AX446" s="674"/>
      <c r="AY446" s="93"/>
      <c r="AZ446" s="93"/>
      <c r="BA446" s="93"/>
      <c r="BB446" s="690"/>
      <c r="BC446" s="179"/>
      <c r="BD446" s="179"/>
      <c r="BE446" s="179"/>
      <c r="BF446" s="690"/>
      <c r="BG446" s="330"/>
      <c r="BH446" s="330"/>
      <c r="BI446" s="179"/>
      <c r="BJ446" s="690"/>
      <c r="BK446" s="179"/>
      <c r="BL446" s="179"/>
      <c r="BM446" s="179"/>
      <c r="BN446" s="690"/>
      <c r="BO446" s="179"/>
      <c r="BP446" s="179"/>
      <c r="BQ446" s="179"/>
      <c r="BR446" s="28"/>
      <c r="BS446" s="28"/>
      <c r="BT446" s="28"/>
      <c r="BU446" s="28"/>
      <c r="BV446" s="28"/>
      <c r="BW446" s="437"/>
      <c r="BX446" s="437"/>
      <c r="BY446" s="437"/>
      <c r="BZ446" s="437"/>
      <c r="CA446" s="437"/>
      <c r="CB446" s="437"/>
      <c r="CC446" s="437"/>
      <c r="CD446" s="437"/>
      <c r="CE446" s="437"/>
      <c r="CF446" s="437"/>
      <c r="CG446" s="437"/>
      <c r="CH446" s="437"/>
      <c r="CI446" s="437"/>
      <c r="CJ446" s="437"/>
      <c r="CK446" s="437"/>
      <c r="CL446" s="437"/>
      <c r="CM446" s="437"/>
      <c r="CN446" s="437"/>
      <c r="CO446" s="437"/>
      <c r="CP446" s="437"/>
      <c r="CQ446" s="437"/>
      <c r="CR446"/>
      <c r="CS446"/>
      <c r="CT446"/>
      <c r="CU446"/>
      <c r="CV446"/>
      <c r="CW446"/>
    </row>
    <row r="447" spans="8:101" s="592" customFormat="1" outlineLevel="1">
      <c r="H447" s="563"/>
      <c r="I447" s="588"/>
      <c r="J447" s="5" t="s">
        <v>670</v>
      </c>
      <c r="K447" s="11"/>
      <c r="L447" s="11"/>
      <c r="M447" s="11"/>
      <c r="N447" s="1300"/>
      <c r="O447" s="1300"/>
      <c r="P447" s="1300"/>
      <c r="Q447" s="1300"/>
      <c r="R447" s="1300"/>
      <c r="S447" s="1300"/>
      <c r="T447" s="1300"/>
      <c r="U447" s="1300"/>
      <c r="V447" s="1300"/>
      <c r="W447" s="1300"/>
      <c r="X447" s="1300"/>
      <c r="Y447" s="1300"/>
      <c r="Z447" s="1300"/>
      <c r="AA447" s="1300"/>
      <c r="AB447" s="1300"/>
      <c r="AC447" s="1300"/>
      <c r="AD447" s="1300"/>
      <c r="AE447" s="836"/>
      <c r="AF447" s="440"/>
      <c r="AG447" s="28"/>
      <c r="AH447" s="28"/>
      <c r="AI447" s="28"/>
      <c r="AJ447" s="28"/>
      <c r="AK447" s="28"/>
      <c r="AL447" s="662"/>
      <c r="AM447" s="215"/>
      <c r="AN447" s="215"/>
      <c r="AO447" s="215"/>
      <c r="AP447" s="1623"/>
      <c r="AQ447" s="1300"/>
      <c r="AR447" s="1300"/>
      <c r="AS447" s="1300"/>
      <c r="AT447" s="1623"/>
      <c r="AU447" s="1300"/>
      <c r="AV447" s="1300"/>
      <c r="AW447" s="1300"/>
      <c r="AX447" s="1623"/>
      <c r="AY447" s="1300"/>
      <c r="AZ447" s="1300"/>
      <c r="BA447" s="1300"/>
      <c r="BB447" s="1623"/>
      <c r="BC447" s="1300"/>
      <c r="BD447" s="1300"/>
      <c r="BE447" s="1300"/>
      <c r="BF447" s="1623"/>
      <c r="BG447" s="1300"/>
      <c r="BH447" s="1300"/>
      <c r="BI447" s="1300"/>
      <c r="BJ447" s="1623"/>
      <c r="BK447" s="1300"/>
      <c r="BL447" s="1300"/>
      <c r="BM447" s="1300"/>
      <c r="BN447" s="1623"/>
      <c r="BO447" s="1300"/>
      <c r="BP447" s="1300"/>
      <c r="BQ447" s="1300"/>
      <c r="BR447" s="85"/>
      <c r="BS447" s="47"/>
      <c r="BT447" s="47"/>
      <c r="BU447" s="47"/>
      <c r="BV447" s="47"/>
      <c r="BW447" s="47"/>
      <c r="BX447" s="47"/>
      <c r="BY447" s="47"/>
      <c r="BZ447" s="47"/>
      <c r="CA447" s="47"/>
      <c r="CB447" s="47"/>
      <c r="CC447" s="47"/>
      <c r="CD447" s="52"/>
      <c r="CE447" s="52"/>
      <c r="CF447" s="52"/>
      <c r="CG447" s="52"/>
      <c r="CH447" s="52"/>
      <c r="CI447" s="52"/>
      <c r="CJ447" s="52"/>
      <c r="CK447" s="52"/>
      <c r="CL447" s="52"/>
      <c r="CM447" s="52"/>
      <c r="CN447" s="52"/>
      <c r="CO447" s="52"/>
      <c r="CP447" s="52"/>
      <c r="CQ447" s="52"/>
      <c r="CR447"/>
      <c r="CS447"/>
      <c r="CT447"/>
      <c r="CU447"/>
      <c r="CV447"/>
      <c r="CW447"/>
    </row>
    <row r="448" spans="8:101" s="592" customFormat="1" outlineLevel="1">
      <c r="H448" s="563"/>
      <c r="I448" s="588"/>
      <c r="J448" s="369" t="s">
        <v>207</v>
      </c>
      <c r="K448" s="11"/>
      <c r="L448" s="11"/>
      <c r="M448" s="11"/>
      <c r="N448" s="77"/>
      <c r="O448" s="79">
        <f>IF(ISERROR(+(O411-N411)/ABS(N411)), "--", (O411-N411)/ABS(N411))</f>
        <v>1.9571428571428571</v>
      </c>
      <c r="P448" s="79">
        <f t="shared" ref="P448:AD448" si="503">IF(ISERROR(+(P411-O411)/ABS(O411)), "--", (P411-O411)/ABS(O411))</f>
        <v>1.7836497584541076</v>
      </c>
      <c r="Q448" s="79">
        <f t="shared" si="503"/>
        <v>2.0215553035279306</v>
      </c>
      <c r="R448" s="79">
        <f t="shared" si="503"/>
        <v>0.96546140958389415</v>
      </c>
      <c r="S448" s="79">
        <f t="shared" si="503"/>
        <v>0.9536820572764465</v>
      </c>
      <c r="T448" s="79">
        <f t="shared" si="503"/>
        <v>0.81579537805698898</v>
      </c>
      <c r="U448" s="79">
        <f t="shared" si="503"/>
        <v>0.45620948144487117</v>
      </c>
      <c r="V448" s="79">
        <f t="shared" si="503"/>
        <v>0.43726424686984539</v>
      </c>
      <c r="W448" s="79">
        <f t="shared" si="503"/>
        <v>0.30692640191319548</v>
      </c>
      <c r="X448" s="79">
        <f t="shared" si="503"/>
        <v>0.2854676217474586</v>
      </c>
      <c r="Y448" s="79">
        <f t="shared" si="503"/>
        <v>0.24995170420843354</v>
      </c>
      <c r="Z448" s="79">
        <f t="shared" si="503"/>
        <v>0.17941043576071963</v>
      </c>
      <c r="AA448" s="79">
        <f t="shared" si="503"/>
        <v>0.11098261363018709</v>
      </c>
      <c r="AB448" s="79">
        <f t="shared" si="503"/>
        <v>0.10990612768808256</v>
      </c>
      <c r="AC448" s="79">
        <f t="shared" si="503"/>
        <v>0.10081050982431627</v>
      </c>
      <c r="AD448" s="79">
        <f t="shared" si="503"/>
        <v>0.1078875268855721</v>
      </c>
      <c r="AE448" s="836"/>
      <c r="AF448" s="440"/>
      <c r="AG448" s="28"/>
      <c r="AH448" s="28"/>
      <c r="AI448" s="28"/>
      <c r="AJ448" s="28"/>
      <c r="AK448" s="28"/>
      <c r="AL448" s="662"/>
      <c r="AM448" s="215"/>
      <c r="AN448" s="215"/>
      <c r="AO448" s="215"/>
      <c r="AP448" s="673"/>
      <c r="AQ448" s="77"/>
      <c r="AR448" s="77"/>
      <c r="AS448" s="77"/>
      <c r="AT448" s="673">
        <f>IF(ISERROR(+(AT411-AP411)/ABS(AP411)), "--", (AT411-AP411)/ABS(AP411))</f>
        <v>1.4748322147651007</v>
      </c>
      <c r="AU448" s="79">
        <f t="shared" ref="AU448:BQ448" si="504">IF(ISERROR(+(AU411-AQ411)/ABS(AQ411)), "--", (AU411-AQ411)/ABS(AQ411))</f>
        <v>0.95626952141057509</v>
      </c>
      <c r="AV448" s="79">
        <f t="shared" si="504"/>
        <v>0.8804713983050857</v>
      </c>
      <c r="AW448" s="79">
        <f t="shared" si="504"/>
        <v>0.77632724107919926</v>
      </c>
      <c r="AX448" s="673">
        <f t="shared" si="504"/>
        <v>0.53315118644067616</v>
      </c>
      <c r="AY448" s="79">
        <f t="shared" si="504"/>
        <v>1.0313356656052595</v>
      </c>
      <c r="AZ448" s="79">
        <f t="shared" si="504"/>
        <v>0.99644371086631278</v>
      </c>
      <c r="BA448" s="79">
        <f t="shared" si="504"/>
        <v>1.1608182263596292</v>
      </c>
      <c r="BB448" s="673">
        <f t="shared" si="504"/>
        <v>0.97470414318930565</v>
      </c>
      <c r="BC448" s="79">
        <f t="shared" si="504"/>
        <v>0.8729242790301428</v>
      </c>
      <c r="BD448" s="79">
        <f t="shared" si="504"/>
        <v>0.71965484364211707</v>
      </c>
      <c r="BE448" s="79">
        <f t="shared" si="504"/>
        <v>0.77066570224228659</v>
      </c>
      <c r="BF448" s="673">
        <f t="shared" si="504"/>
        <v>0.57511926750137266</v>
      </c>
      <c r="BG448" s="79">
        <f t="shared" si="504"/>
        <v>0.4966825478614541</v>
      </c>
      <c r="BH448" s="79">
        <f t="shared" si="504"/>
        <v>0.41705256193877482</v>
      </c>
      <c r="BI448" s="79">
        <f t="shared" si="504"/>
        <v>0.38821235841574869</v>
      </c>
      <c r="BJ448" s="673">
        <f t="shared" si="504"/>
        <v>0.53891203098165352</v>
      </c>
      <c r="BK448" s="79">
        <f t="shared" si="504"/>
        <v>0.42999606655003936</v>
      </c>
      <c r="BL448" s="79">
        <f t="shared" si="504"/>
        <v>0.50329305446245054</v>
      </c>
      <c r="BM448" s="79">
        <f t="shared" si="504"/>
        <v>0.32463883489951173</v>
      </c>
      <c r="BN448" s="673">
        <f t="shared" si="504"/>
        <v>0.23726450350944278</v>
      </c>
      <c r="BO448" s="79">
        <f t="shared" si="504"/>
        <v>0.29690547203212564</v>
      </c>
      <c r="BP448" s="79">
        <f t="shared" si="504"/>
        <v>0.19339217953703974</v>
      </c>
      <c r="BQ448" s="79">
        <f t="shared" si="504"/>
        <v>0.47090964575483585</v>
      </c>
      <c r="BR448" s="85"/>
      <c r="BS448" s="47"/>
      <c r="BT448" s="47"/>
      <c r="BU448" s="47"/>
      <c r="BV448" s="47"/>
      <c r="BW448" s="47"/>
      <c r="BX448" s="47"/>
      <c r="BY448" s="47"/>
      <c r="BZ448" s="47"/>
      <c r="CA448" s="47"/>
      <c r="CB448" s="47"/>
      <c r="CC448" s="47"/>
      <c r="CD448" s="52"/>
      <c r="CE448" s="52"/>
      <c r="CF448" s="52"/>
      <c r="CG448" s="52"/>
      <c r="CH448" s="52"/>
      <c r="CI448" s="52"/>
      <c r="CJ448" s="52"/>
      <c r="CK448" s="52"/>
      <c r="CL448" s="52"/>
      <c r="CM448" s="52"/>
      <c r="CN448" s="52"/>
      <c r="CO448" s="52"/>
      <c r="CP448" s="52"/>
      <c r="CQ448" s="52"/>
      <c r="CR448"/>
      <c r="CS448"/>
      <c r="CT448"/>
      <c r="CU448"/>
      <c r="CV448"/>
      <c r="CW448"/>
    </row>
    <row r="449" spans="8:101" s="583" customFormat="1" outlineLevel="1">
      <c r="I449" s="597"/>
      <c r="J449" s="28" t="s">
        <v>671</v>
      </c>
      <c r="K449" s="28"/>
      <c r="L449" s="28"/>
      <c r="M449" s="28"/>
      <c r="N449" s="77"/>
      <c r="O449" s="79">
        <f>IF(ISERROR(+(O417-N417)/ABS(N417)), "--", (O417-N417)/ABS(N417))</f>
        <v>-3.0388349514563107</v>
      </c>
      <c r="P449" s="79">
        <f t="shared" ref="P449:AD449" si="505">IF(ISERROR(+(P417-O417)/ABS(O417)), "--", (P417-O417)/ABS(O417))</f>
        <v>-2.3739639423076913</v>
      </c>
      <c r="Q449" s="79">
        <f t="shared" si="505"/>
        <v>-0.39064484895292106</v>
      </c>
      <c r="R449" s="79">
        <f t="shared" si="505"/>
        <v>0.70336078398824542</v>
      </c>
      <c r="S449" s="79">
        <f t="shared" si="505"/>
        <v>-9.0207253886010363</v>
      </c>
      <c r="T449" s="79">
        <f t="shared" si="505"/>
        <v>-0.11323681489141675</v>
      </c>
      <c r="U449" s="79">
        <f t="shared" si="505"/>
        <v>0.80621566806007572</v>
      </c>
      <c r="V449" s="79">
        <f t="shared" si="505"/>
        <v>0.3325018994880628</v>
      </c>
      <c r="W449" s="79">
        <f t="shared" si="505"/>
        <v>1.1677470476041185</v>
      </c>
      <c r="X449" s="79">
        <f t="shared" si="505"/>
        <v>41.104925952915544</v>
      </c>
      <c r="Y449" s="79">
        <f t="shared" si="505"/>
        <v>1.1383554784478687</v>
      </c>
      <c r="Z449" s="79">
        <f t="shared" si="505"/>
        <v>0.65009366370903221</v>
      </c>
      <c r="AA449" s="79">
        <f t="shared" si="505"/>
        <v>0.40115702304906214</v>
      </c>
      <c r="AB449" s="79">
        <f t="shared" si="505"/>
        <v>0.32026429028876763</v>
      </c>
      <c r="AC449" s="79">
        <f t="shared" si="505"/>
        <v>0.27379037512568821</v>
      </c>
      <c r="AD449" s="79">
        <f t="shared" si="505"/>
        <v>0.18119363997960394</v>
      </c>
      <c r="AE449" s="83"/>
      <c r="AF449" s="83"/>
      <c r="AG449" s="83"/>
      <c r="AH449" s="28"/>
      <c r="AI449" s="28"/>
      <c r="AJ449" s="28"/>
      <c r="AK449" s="28"/>
      <c r="AL449" s="1617"/>
      <c r="AM449" s="258"/>
      <c r="AN449" s="258"/>
      <c r="AO449" s="258"/>
      <c r="AP449" s="673"/>
      <c r="AQ449" s="77"/>
      <c r="AR449" s="77"/>
      <c r="AS449" s="77"/>
      <c r="AT449" s="673">
        <f>IF(ISERROR(+(AT417-AP417)/ABS(AP417)), "--", (AT417-AP417)/ABS(AP417))</f>
        <v>0.99650959860383947</v>
      </c>
      <c r="AU449" s="79">
        <f t="shared" ref="AU449:BQ449" si="506">IF(ISERROR(+(AU417-AQ417)/ABS(AQ417)), "--", (AU417-AQ417)/ABS(AQ417))</f>
        <v>0.49933405172413076</v>
      </c>
      <c r="AV449" s="79">
        <f t="shared" si="506"/>
        <v>0.84918843283582257</v>
      </c>
      <c r="AW449" s="79">
        <f t="shared" si="506"/>
        <v>0.30423280423280424</v>
      </c>
      <c r="AX449" s="673">
        <f t="shared" si="506"/>
        <v>-1924.8010000000013</v>
      </c>
      <c r="AY449" s="79">
        <f t="shared" si="506"/>
        <v>-2.3917971322677523</v>
      </c>
      <c r="AZ449" s="79">
        <f t="shared" si="506"/>
        <v>-4.030494216614148</v>
      </c>
      <c r="BA449" s="79">
        <f t="shared" si="506"/>
        <v>-1.8750190114068315</v>
      </c>
      <c r="BB449" s="673">
        <f t="shared" si="506"/>
        <v>0.7864247136646012</v>
      </c>
      <c r="BC449" s="79">
        <f t="shared" si="506"/>
        <v>8.2245588207295869E-2</v>
      </c>
      <c r="BD449" s="79">
        <f t="shared" si="506"/>
        <v>-0.6408567774935946</v>
      </c>
      <c r="BE449" s="79">
        <f t="shared" si="506"/>
        <v>-4.6160594077738137</v>
      </c>
      <c r="BF449" s="673">
        <f t="shared" si="506"/>
        <v>0.36656143212979436</v>
      </c>
      <c r="BG449" s="79">
        <f t="shared" si="506"/>
        <v>0.78194817047874454</v>
      </c>
      <c r="BH449" s="79">
        <f t="shared" si="506"/>
        <v>0.64866809144563153</v>
      </c>
      <c r="BI449" s="79">
        <f t="shared" si="506"/>
        <v>0.92029193181820867</v>
      </c>
      <c r="BJ449" s="673">
        <f t="shared" si="506"/>
        <v>2.2691610164449454</v>
      </c>
      <c r="BK449" s="79">
        <f t="shared" si="506"/>
        <v>-1.5556753465835935</v>
      </c>
      <c r="BL449" s="79">
        <f t="shared" si="506"/>
        <v>3.1430838402539192</v>
      </c>
      <c r="BM449" s="79">
        <f t="shared" si="506"/>
        <v>-3.715819048800832</v>
      </c>
      <c r="BN449" s="673">
        <f t="shared" si="506"/>
        <v>-2.0633430655313596</v>
      </c>
      <c r="BO449" s="79">
        <f t="shared" si="506"/>
        <v>-0.1661791101260876</v>
      </c>
      <c r="BP449" s="79">
        <f t="shared" si="506"/>
        <v>-1.4374202883713456</v>
      </c>
      <c r="BQ449" s="79">
        <f t="shared" si="506"/>
        <v>1.96044746869554</v>
      </c>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c r="CS449"/>
      <c r="CT449"/>
      <c r="CU449"/>
      <c r="CV449"/>
      <c r="CW449"/>
    </row>
    <row r="450" spans="8:101" s="516" customFormat="1" outlineLevel="1">
      <c r="H450" s="563"/>
      <c r="I450" s="588"/>
      <c r="J450" s="28" t="s">
        <v>672</v>
      </c>
      <c r="K450" s="28"/>
      <c r="L450" s="28"/>
      <c r="M450" s="1492"/>
      <c r="N450" s="179"/>
      <c r="O450" s="79">
        <f>IF(ISERROR(+(O435-N435)/ABS(N435)), "--", (O435-N435)/ABS(N435))</f>
        <v>-3.0452961672473866</v>
      </c>
      <c r="P450" s="79">
        <f t="shared" ref="P450:AD450" si="507">IF(ISERROR(+(P435-O435)/ABS(O435)), "--", (P435-O435)/ABS(O435))</f>
        <v>-1.5358225667527987</v>
      </c>
      <c r="Q450" s="79">
        <f t="shared" si="507"/>
        <v>-0.12666392671419721</v>
      </c>
      <c r="R450" s="79">
        <f t="shared" si="507"/>
        <v>0.25073078082604761</v>
      </c>
      <c r="S450" s="79">
        <f t="shared" si="507"/>
        <v>-4.212048640701461</v>
      </c>
      <c r="T450" s="79">
        <f t="shared" si="507"/>
        <v>0.27452314561775676</v>
      </c>
      <c r="U450" s="79">
        <f t="shared" si="507"/>
        <v>0.78713168920548449</v>
      </c>
      <c r="V450" s="79">
        <f t="shared" si="507"/>
        <v>1.0583965359689911</v>
      </c>
      <c r="W450" s="79">
        <f t="shared" si="507"/>
        <v>19.095877014358621</v>
      </c>
      <c r="X450" s="79">
        <f t="shared" ca="1" si="507"/>
        <v>2.2162693586591322</v>
      </c>
      <c r="Y450" s="79">
        <f t="shared" ca="1" si="507"/>
        <v>0.83251040956475397</v>
      </c>
      <c r="Z450" s="79">
        <f t="shared" ca="1" si="507"/>
        <v>0.60252357450703109</v>
      </c>
      <c r="AA450" s="79">
        <f t="shared" ca="1" si="507"/>
        <v>0.38545232782280225</v>
      </c>
      <c r="AB450" s="79">
        <f t="shared" ca="1" si="507"/>
        <v>0.30504969614169969</v>
      </c>
      <c r="AC450" s="79">
        <f t="shared" ca="1" si="507"/>
        <v>0.27014838812665137</v>
      </c>
      <c r="AD450" s="79">
        <f t="shared" ca="1" si="507"/>
        <v>0.1962226106671893</v>
      </c>
      <c r="AE450" s="28"/>
      <c r="AF450" s="28"/>
      <c r="AG450" s="28"/>
      <c r="AH450" s="1493"/>
      <c r="AI450" s="1493"/>
      <c r="AJ450" s="1493"/>
      <c r="AK450" s="1493"/>
      <c r="AL450" s="674"/>
      <c r="AM450" s="93"/>
      <c r="AN450" s="93"/>
      <c r="AO450" s="93"/>
      <c r="AP450" s="673"/>
      <c r="AQ450" s="93"/>
      <c r="AR450" s="93"/>
      <c r="AS450" s="93"/>
      <c r="AT450" s="673">
        <f>IF(ISERROR(+(AT435-AP435)/ABS(AP435)), "--", (AT435-AP435)/ABS(AP435))</f>
        <v>-0.80303030303030298</v>
      </c>
      <c r="AU450" s="79">
        <f t="shared" ref="AU450:BQ450" si="508">IF(ISERROR(+(AU435-AQ435)/ABS(AQ435)), "--", (AU435-AQ435)/ABS(AQ435))</f>
        <v>-0.18389486552568049</v>
      </c>
      <c r="AV450" s="79">
        <f t="shared" si="508"/>
        <v>-0.36230390143737007</v>
      </c>
      <c r="AW450" s="79">
        <f t="shared" si="508"/>
        <v>0.27877049180327873</v>
      </c>
      <c r="AX450" s="673">
        <f t="shared" si="508"/>
        <v>-4.5555693277310949</v>
      </c>
      <c r="AY450" s="79">
        <f t="shared" si="508"/>
        <v>-13.552058701439144</v>
      </c>
      <c r="AZ450" s="79">
        <f t="shared" si="508"/>
        <v>0.75226470437506143</v>
      </c>
      <c r="BA450" s="79">
        <f t="shared" si="508"/>
        <v>-1.0653346971246584</v>
      </c>
      <c r="BB450" s="673">
        <f t="shared" si="508"/>
        <v>0.86571692952525969</v>
      </c>
      <c r="BC450" s="79">
        <f t="shared" si="508"/>
        <v>0.92756165792637679</v>
      </c>
      <c r="BD450" s="79">
        <f t="shared" si="508"/>
        <v>-2.2295476946664881</v>
      </c>
      <c r="BE450" s="79">
        <f t="shared" si="508"/>
        <v>-15.786732757823859</v>
      </c>
      <c r="BF450" s="673">
        <f t="shared" si="508"/>
        <v>0.2911554329001188</v>
      </c>
      <c r="BG450" s="79">
        <f t="shared" si="508"/>
        <v>1.4540115825728466</v>
      </c>
      <c r="BH450" s="79">
        <f t="shared" si="508"/>
        <v>0.11949653543128679</v>
      </c>
      <c r="BI450" s="79">
        <f t="shared" si="508"/>
        <v>0.83460742964541657</v>
      </c>
      <c r="BJ450" s="673">
        <f t="shared" si="508"/>
        <v>1.7436815754371993</v>
      </c>
      <c r="BK450" s="79">
        <f t="shared" si="508"/>
        <v>-2.5648244241868459</v>
      </c>
      <c r="BL450" s="79">
        <f t="shared" si="508"/>
        <v>3.1701938280559729</v>
      </c>
      <c r="BM450" s="79">
        <f t="shared" si="508"/>
        <v>0.27917598186113296</v>
      </c>
      <c r="BN450" s="673">
        <f t="shared" si="508"/>
        <v>-1.8847415095372169</v>
      </c>
      <c r="BO450" s="79">
        <f t="shared" si="508"/>
        <v>1.25247577648174</v>
      </c>
      <c r="BP450" s="79">
        <f t="shared" si="508"/>
        <v>-0.6522425485063863</v>
      </c>
      <c r="BQ450" s="79">
        <f t="shared" si="508"/>
        <v>3.4026154522310676</v>
      </c>
      <c r="BR450" s="28"/>
      <c r="BS450" s="28"/>
      <c r="BT450" s="28"/>
      <c r="BU450" s="28"/>
      <c r="BV450" s="28"/>
      <c r="BW450" s="437"/>
      <c r="BX450" s="437"/>
      <c r="BY450" s="437"/>
      <c r="BZ450" s="437"/>
      <c r="CA450" s="437"/>
      <c r="CB450" s="437"/>
      <c r="CC450" s="437"/>
      <c r="CD450" s="437"/>
      <c r="CE450" s="437"/>
      <c r="CF450" s="437"/>
      <c r="CG450" s="437"/>
      <c r="CH450" s="437"/>
      <c r="CI450" s="437"/>
      <c r="CJ450" s="437"/>
      <c r="CK450" s="437"/>
      <c r="CL450" s="437"/>
      <c r="CM450" s="437"/>
      <c r="CN450" s="437"/>
      <c r="CO450" s="437"/>
      <c r="CP450" s="437"/>
      <c r="CQ450" s="437"/>
      <c r="CR450"/>
      <c r="CS450"/>
      <c r="CT450"/>
      <c r="CU450"/>
      <c r="CV450"/>
      <c r="CW450"/>
    </row>
    <row r="451" spans="8:101" s="594" customFormat="1" outlineLevel="1">
      <c r="H451" s="595"/>
      <c r="I451" s="596"/>
      <c r="J451" s="443"/>
      <c r="K451" s="210"/>
      <c r="L451" s="210"/>
      <c r="M451" s="210"/>
      <c r="N451" s="225"/>
      <c r="O451" s="225"/>
      <c r="P451" s="225"/>
      <c r="Q451" s="225"/>
      <c r="R451" s="225"/>
      <c r="S451" s="212"/>
      <c r="T451" s="212"/>
      <c r="U451" s="212"/>
      <c r="V451" s="212"/>
      <c r="W451" s="212"/>
      <c r="X451" s="212"/>
      <c r="Y451" s="212"/>
      <c r="Z451" s="212"/>
      <c r="AA451" s="212"/>
      <c r="AB451" s="212"/>
      <c r="AC451" s="212"/>
      <c r="AD451" s="212"/>
      <c r="AE451" s="836"/>
      <c r="AF451" s="286"/>
      <c r="AG451" s="225"/>
      <c r="AH451" s="225"/>
      <c r="AI451" s="225"/>
      <c r="AJ451" s="225"/>
      <c r="AK451" s="225"/>
      <c r="AL451" s="664"/>
      <c r="AM451" s="225"/>
      <c r="AN451" s="225"/>
      <c r="AO451" s="225"/>
      <c r="AP451" s="664"/>
      <c r="AQ451" s="225"/>
      <c r="AR451" s="225"/>
      <c r="AS451" s="225"/>
      <c r="AT451" s="664"/>
      <c r="AU451" s="225"/>
      <c r="AV451" s="225"/>
      <c r="AW451" s="225"/>
      <c r="AX451" s="664"/>
      <c r="AY451" s="225"/>
      <c r="AZ451" s="225"/>
      <c r="BA451" s="225"/>
      <c r="BB451" s="664"/>
      <c r="BC451" s="225"/>
      <c r="BD451" s="225"/>
      <c r="BE451" s="225"/>
      <c r="BF451" s="1683"/>
      <c r="BG451" s="797"/>
      <c r="BH451" s="797"/>
      <c r="BI451" s="225"/>
      <c r="BJ451" s="664"/>
      <c r="BK451" s="225"/>
      <c r="BL451" s="225"/>
      <c r="BM451" s="225"/>
      <c r="BN451" s="664"/>
      <c r="BO451" s="225"/>
      <c r="BP451" s="225"/>
      <c r="BQ451" s="225"/>
      <c r="BR451" s="209"/>
      <c r="BS451" s="209"/>
      <c r="BT451" s="209"/>
      <c r="BU451" s="209"/>
      <c r="BV451" s="209"/>
      <c r="BW451" s="211"/>
      <c r="BX451" s="211"/>
      <c r="BY451" s="211"/>
      <c r="BZ451" s="211"/>
      <c r="CA451" s="211"/>
      <c r="CB451" s="211"/>
      <c r="CC451" s="211"/>
      <c r="CD451" s="211"/>
      <c r="CE451" s="211"/>
      <c r="CF451" s="211"/>
      <c r="CG451" s="211"/>
      <c r="CH451" s="211"/>
      <c r="CI451" s="211"/>
      <c r="CJ451" s="211"/>
      <c r="CK451" s="211"/>
      <c r="CL451" s="211"/>
      <c r="CM451" s="211"/>
      <c r="CN451" s="211"/>
      <c r="CO451" s="211"/>
      <c r="CP451" s="211"/>
      <c r="CQ451" s="211"/>
      <c r="CR451"/>
      <c r="CS451"/>
      <c r="CT451"/>
      <c r="CU451"/>
      <c r="CV451"/>
      <c r="CW451"/>
    </row>
    <row r="452" spans="8:101" s="583" customFormat="1" outlineLevel="1">
      <c r="I452" s="597"/>
      <c r="J452" s="1363" t="s">
        <v>677</v>
      </c>
      <c r="K452" s="1363"/>
      <c r="L452" s="1363"/>
      <c r="M452" s="1507"/>
      <c r="N452" s="1508"/>
      <c r="O452" s="1508"/>
      <c r="P452" s="1508"/>
      <c r="Q452" s="1508"/>
      <c r="R452" s="1508"/>
      <c r="S452" s="1509"/>
      <c r="T452" s="1509"/>
      <c r="U452" s="1509"/>
      <c r="V452" s="1509"/>
      <c r="W452" s="1510"/>
      <c r="X452" s="1509"/>
      <c r="Y452" s="1509"/>
      <c r="Z452" s="1509"/>
      <c r="AA452" s="1511"/>
      <c r="AB452" s="1509"/>
      <c r="AC452" s="1509"/>
      <c r="AD452" s="1509"/>
      <c r="AE452" s="1512"/>
      <c r="AF452" s="860"/>
      <c r="AG452" s="993"/>
      <c r="AH452" s="1508"/>
      <c r="AI452" s="1508"/>
      <c r="AJ452" s="1508"/>
      <c r="AK452" s="1508"/>
      <c r="AL452" s="1765"/>
      <c r="AM452" s="1508"/>
      <c r="AN452" s="1508"/>
      <c r="AO452" s="1508"/>
      <c r="AP452" s="1765"/>
      <c r="AQ452" s="1508"/>
      <c r="AR452" s="1508"/>
      <c r="AS452" s="1508"/>
      <c r="AT452" s="1624"/>
      <c r="AU452" s="1513"/>
      <c r="AV452" s="1513"/>
      <c r="AW452" s="1513"/>
      <c r="AX452" s="1624"/>
      <c r="AY452" s="1513"/>
      <c r="AZ452" s="1513"/>
      <c r="BA452" s="1513"/>
      <c r="BB452" s="1624"/>
      <c r="BC452" s="1513"/>
      <c r="BD452" s="1513"/>
      <c r="BE452" s="1513"/>
      <c r="BF452" s="1624"/>
      <c r="BG452" s="1514"/>
      <c r="BH452" s="1514"/>
      <c r="BI452" s="1513"/>
      <c r="BJ452" s="1624"/>
      <c r="BK452" s="1513"/>
      <c r="BL452" s="1513"/>
      <c r="BM452" s="1513"/>
      <c r="BN452" s="1624"/>
      <c r="BO452" s="1513"/>
      <c r="BP452" s="1513"/>
      <c r="BQ452" s="1513"/>
      <c r="BR452" s="83"/>
      <c r="BS452" s="83"/>
      <c r="BT452" s="83"/>
      <c r="BU452" s="83"/>
      <c r="BV452" s="83"/>
      <c r="BW452" s="83"/>
      <c r="BX452" s="293"/>
      <c r="BY452" s="293"/>
      <c r="BZ452" s="293"/>
      <c r="CA452" s="293"/>
      <c r="CB452" s="293"/>
      <c r="CC452" s="293"/>
      <c r="CD452" s="83"/>
      <c r="CE452" s="83"/>
      <c r="CF452" s="83"/>
      <c r="CG452" s="83"/>
      <c r="CH452" s="83"/>
      <c r="CI452" s="83"/>
      <c r="CJ452" s="83"/>
      <c r="CK452" s="83"/>
      <c r="CL452" s="83"/>
      <c r="CM452" s="83"/>
      <c r="CN452" s="83"/>
      <c r="CO452" s="83"/>
      <c r="CP452" s="83"/>
      <c r="CQ452" s="83"/>
      <c r="CR452"/>
      <c r="CS452"/>
      <c r="CT452"/>
      <c r="CU452"/>
      <c r="CV452"/>
      <c r="CW452"/>
    </row>
    <row r="453" spans="8:101" s="516" customFormat="1" outlineLevel="1">
      <c r="H453" s="563"/>
      <c r="I453" s="588"/>
      <c r="J453" s="431" t="s">
        <v>674</v>
      </c>
      <c r="K453" s="28"/>
      <c r="L453" s="28"/>
      <c r="M453" s="28"/>
      <c r="N453" s="451">
        <f t="shared" ref="N453:U453" si="509">N411+N358+N464</f>
        <v>140</v>
      </c>
      <c r="O453" s="451">
        <f t="shared" si="509"/>
        <v>414</v>
      </c>
      <c r="P453" s="451">
        <f t="shared" si="509"/>
        <v>1152.4310000000005</v>
      </c>
      <c r="Q453" s="451">
        <f t="shared" si="509"/>
        <v>3482.1339999999982</v>
      </c>
      <c r="R453" s="451">
        <f t="shared" si="509"/>
        <v>6844</v>
      </c>
      <c r="S453" s="451">
        <f t="shared" si="509"/>
        <v>13373.877</v>
      </c>
      <c r="T453" s="451">
        <f t="shared" si="509"/>
        <v>23766.178</v>
      </c>
      <c r="U453" s="451">
        <f t="shared" si="509"/>
        <v>34553.30900000003</v>
      </c>
      <c r="V453" s="451">
        <f>V411+V358+V464</f>
        <v>50005.896999999954</v>
      </c>
      <c r="W453" s="451">
        <f t="shared" ref="W453:AD453" si="510">W411+W358+W464</f>
        <v>65594.722913397462</v>
      </c>
      <c r="X453" s="451">
        <f t="shared" si="510"/>
        <v>84560.265968668842</v>
      </c>
      <c r="Y453" s="451">
        <f t="shared" si="510"/>
        <v>106435.84681162582</v>
      </c>
      <c r="Z453" s="451">
        <f t="shared" si="510"/>
        <v>125835.07189363016</v>
      </c>
      <c r="AA453" s="451">
        <f t="shared" si="510"/>
        <v>139803.90156765445</v>
      </c>
      <c r="AB453" s="451">
        <f t="shared" si="510"/>
        <v>155217.38737768019</v>
      </c>
      <c r="AC453" s="451">
        <f t="shared" si="510"/>
        <v>170885.17010024845</v>
      </c>
      <c r="AD453" s="451">
        <f t="shared" si="510"/>
        <v>189318.01091835543</v>
      </c>
      <c r="AE453" s="836"/>
      <c r="AF453" s="920">
        <f t="shared" ref="AF453:AF458" si="511">(Y453/V453)^(1/3)-1</f>
        <v>0.28633938175370566</v>
      </c>
      <c r="AG453" s="28"/>
      <c r="AH453" s="89"/>
      <c r="AI453" s="89"/>
      <c r="AJ453" s="89"/>
      <c r="AK453" s="89"/>
      <c r="AL453" s="1786"/>
      <c r="AM453" s="89"/>
      <c r="AN453" s="89"/>
      <c r="AO453" s="89"/>
      <c r="AP453" s="740"/>
      <c r="AQ453" s="350"/>
      <c r="AR453" s="350"/>
      <c r="AS453" s="350"/>
      <c r="AT453" s="740"/>
      <c r="AU453" s="350"/>
      <c r="AV453" s="350"/>
      <c r="AW453" s="350"/>
      <c r="AX453" s="741">
        <f t="shared" ref="AX453:BQ453" si="512">AX411+AX358+AX464</f>
        <v>2261.3979999999974</v>
      </c>
      <c r="AY453" s="451">
        <f t="shared" si="512"/>
        <v>3155.2289999999994</v>
      </c>
      <c r="AZ453" s="451">
        <f t="shared" si="512"/>
        <v>3544.0169999999998</v>
      </c>
      <c r="BA453" s="451">
        <f t="shared" si="512"/>
        <v>4410.2300000000032</v>
      </c>
      <c r="BB453" s="741">
        <f t="shared" si="512"/>
        <v>4465.5920000000042</v>
      </c>
      <c r="BC453" s="451">
        <f t="shared" si="512"/>
        <v>5763.7809999999972</v>
      </c>
      <c r="BD453" s="451">
        <f t="shared" si="512"/>
        <v>5907.9090000000042</v>
      </c>
      <c r="BE453" s="451">
        <f t="shared" si="512"/>
        <v>7620.9930000000049</v>
      </c>
      <c r="BF453" s="741">
        <f t="shared" si="512"/>
        <v>6830.6149999999961</v>
      </c>
      <c r="BG453" s="451">
        <f t="shared" si="512"/>
        <v>8633.3339999999971</v>
      </c>
      <c r="BH453" s="451">
        <f t="shared" si="512"/>
        <v>8413.1490000000013</v>
      </c>
      <c r="BI453" s="451">
        <f t="shared" si="512"/>
        <v>10676.211000000001</v>
      </c>
      <c r="BJ453" s="741">
        <f t="shared" si="512"/>
        <v>10618.587999999989</v>
      </c>
      <c r="BK453" s="451">
        <f t="shared" si="512"/>
        <v>12448.409000000003</v>
      </c>
      <c r="BL453" s="451">
        <f t="shared" si="512"/>
        <v>12779.015000000001</v>
      </c>
      <c r="BM453" s="451">
        <f t="shared" si="512"/>
        <v>14159.884999999997</v>
      </c>
      <c r="BN453" s="741">
        <f t="shared" si="512"/>
        <v>13186.618582451596</v>
      </c>
      <c r="BO453" s="451">
        <f t="shared" si="512"/>
        <v>16197.180206250667</v>
      </c>
      <c r="BP453" s="451">
        <f t="shared" si="512"/>
        <v>15287.667251886089</v>
      </c>
      <c r="BQ453" s="451">
        <f t="shared" si="512"/>
        <v>20923.256872809139</v>
      </c>
      <c r="BR453" s="28"/>
      <c r="BS453" s="28"/>
      <c r="BT453" s="28"/>
      <c r="BU453" s="28"/>
      <c r="BV453" s="28"/>
      <c r="BW453" s="437"/>
      <c r="BX453" s="438"/>
      <c r="BY453" s="438"/>
      <c r="BZ453" s="438"/>
      <c r="CA453" s="438"/>
      <c r="CB453" s="438"/>
      <c r="CC453" s="438"/>
      <c r="CD453" s="437"/>
      <c r="CE453" s="437"/>
      <c r="CF453" s="437"/>
      <c r="CG453" s="437"/>
      <c r="CH453" s="437"/>
      <c r="CI453" s="437"/>
      <c r="CJ453" s="437"/>
      <c r="CK453" s="437"/>
      <c r="CL453" s="437"/>
      <c r="CM453" s="437"/>
      <c r="CN453" s="437"/>
      <c r="CO453" s="437"/>
      <c r="CP453" s="437"/>
      <c r="CQ453" s="437"/>
      <c r="CR453"/>
      <c r="CS453"/>
      <c r="CT453"/>
      <c r="CU453"/>
      <c r="CV453"/>
      <c r="CW453"/>
    </row>
    <row r="454" spans="8:101" s="516" customFormat="1" outlineLevel="1">
      <c r="H454" s="563"/>
      <c r="I454" s="588"/>
      <c r="J454" s="431" t="s">
        <v>399</v>
      </c>
      <c r="K454" s="28"/>
      <c r="L454" s="28"/>
      <c r="M454" s="28"/>
      <c r="N454" s="451">
        <f t="shared" ref="N454:AD454" si="513">N417+N357-N376+N464</f>
        <v>-86</v>
      </c>
      <c r="O454" s="451">
        <f t="shared" si="513"/>
        <v>-404</v>
      </c>
      <c r="P454" s="451">
        <f t="shared" si="513"/>
        <v>-1332.6049999999996</v>
      </c>
      <c r="Q454" s="451">
        <f t="shared" si="513"/>
        <v>-1724.8270000000018</v>
      </c>
      <c r="R454" s="451">
        <f t="shared" si="513"/>
        <v>-305.22699999999998</v>
      </c>
      <c r="S454" s="451">
        <f t="shared" si="513"/>
        <v>-465.7940000000001</v>
      </c>
      <c r="T454" s="451">
        <f t="shared" si="513"/>
        <v>-4451.7179999999998</v>
      </c>
      <c r="U454" s="451">
        <f t="shared" si="513"/>
        <v>1599.0700000000284</v>
      </c>
      <c r="V454" s="451">
        <f t="shared" si="513"/>
        <v>2885.5959999999513</v>
      </c>
      <c r="W454" s="451">
        <f t="shared" si="513"/>
        <v>4105.7775803415234</v>
      </c>
      <c r="X454" s="451">
        <f t="shared" si="513"/>
        <v>10634.946285766298</v>
      </c>
      <c r="Y454" s="451">
        <f>Y417+Y357-Y376+Y464</f>
        <v>18597.159352793416</v>
      </c>
      <c r="Z454" s="451">
        <f t="shared" si="513"/>
        <v>27500.415459934356</v>
      </c>
      <c r="AA454" s="451">
        <f t="shared" si="513"/>
        <v>35993.888192507919</v>
      </c>
      <c r="AB454" s="451">
        <f t="shared" si="513"/>
        <v>45694.706721782415</v>
      </c>
      <c r="AC454" s="451">
        <f t="shared" si="513"/>
        <v>56397.11289839603</v>
      </c>
      <c r="AD454" s="451">
        <f t="shared" si="513"/>
        <v>65515.246281534397</v>
      </c>
      <c r="AE454" s="836"/>
      <c r="AF454" s="920">
        <f t="shared" si="511"/>
        <v>0.86095995710440265</v>
      </c>
      <c r="AG454" s="28"/>
      <c r="AH454" s="89"/>
      <c r="AI454" s="89"/>
      <c r="AJ454" s="89"/>
      <c r="AK454" s="89"/>
      <c r="AL454" s="1786"/>
      <c r="AM454" s="89"/>
      <c r="AN454" s="89"/>
      <c r="AO454" s="89"/>
      <c r="AP454" s="740"/>
      <c r="AQ454" s="350"/>
      <c r="AR454" s="350"/>
      <c r="AS454" s="350"/>
      <c r="AT454" s="740"/>
      <c r="AU454" s="350"/>
      <c r="AV454" s="350"/>
      <c r="AW454" s="350"/>
      <c r="AX454" s="741">
        <f t="shared" ref="AX454:BQ454" si="514">AX417+AX357-AX376+AX464</f>
        <v>-136.86700000000246</v>
      </c>
      <c r="AY454" s="451">
        <f t="shared" si="514"/>
        <v>-217.25400000000053</v>
      </c>
      <c r="AZ454" s="451">
        <f t="shared" si="514"/>
        <v>128.49999999999974</v>
      </c>
      <c r="BA454" s="451">
        <f t="shared" si="514"/>
        <v>-217.97899999999669</v>
      </c>
      <c r="BB454" s="741">
        <f t="shared" si="514"/>
        <v>-318.02999999999554</v>
      </c>
      <c r="BC454" s="451">
        <f t="shared" si="514"/>
        <v>-246.68000000000274</v>
      </c>
      <c r="BD454" s="451">
        <f t="shared" si="514"/>
        <v>-179.57399999999575</v>
      </c>
      <c r="BE454" s="451">
        <f t="shared" si="514"/>
        <v>-3590.2309999999948</v>
      </c>
      <c r="BF454" s="741">
        <f t="shared" si="514"/>
        <v>-21.823000000003447</v>
      </c>
      <c r="BG454" s="451">
        <f t="shared" si="514"/>
        <v>523.59799999999882</v>
      </c>
      <c r="BH454" s="451">
        <f t="shared" si="514"/>
        <v>542.26300000000174</v>
      </c>
      <c r="BI454" s="451">
        <f t="shared" si="514"/>
        <v>555.03200000000106</v>
      </c>
      <c r="BJ454" s="741">
        <f t="shared" si="514"/>
        <v>1427.5119999999886</v>
      </c>
      <c r="BK454" s="451">
        <f t="shared" si="514"/>
        <v>581.86000000000251</v>
      </c>
      <c r="BL454" s="451">
        <f t="shared" si="514"/>
        <v>1472.0720000000006</v>
      </c>
      <c r="BM454" s="451">
        <f t="shared" si="514"/>
        <v>-595.84800000000348</v>
      </c>
      <c r="BN454" s="741">
        <f t="shared" si="514"/>
        <v>224.1702345538782</v>
      </c>
      <c r="BO454" s="451">
        <f t="shared" si="514"/>
        <v>489.59673185186648</v>
      </c>
      <c r="BP454" s="451">
        <f t="shared" si="514"/>
        <v>739.84406572447631</v>
      </c>
      <c r="BQ454" s="451">
        <f t="shared" si="514"/>
        <v>2652.1665482113294</v>
      </c>
      <c r="BR454" s="28"/>
      <c r="BS454" s="28"/>
      <c r="BT454" s="28"/>
      <c r="BU454" s="28"/>
      <c r="BV454" s="28"/>
      <c r="BW454" s="437"/>
      <c r="BX454" s="438"/>
      <c r="BY454" s="438"/>
      <c r="BZ454" s="438"/>
      <c r="CA454" s="438"/>
      <c r="CB454" s="438"/>
      <c r="CC454" s="438"/>
      <c r="CD454" s="437"/>
      <c r="CE454" s="437"/>
      <c r="CF454" s="437"/>
      <c r="CG454" s="437"/>
      <c r="CH454" s="437"/>
      <c r="CI454" s="437"/>
      <c r="CJ454" s="437"/>
      <c r="CK454" s="437"/>
      <c r="CL454" s="437"/>
      <c r="CM454" s="437"/>
      <c r="CN454" s="437"/>
      <c r="CO454" s="437"/>
      <c r="CP454" s="437"/>
      <c r="CQ454" s="437"/>
      <c r="CR454"/>
      <c r="CS454"/>
      <c r="CT454"/>
      <c r="CU454"/>
      <c r="CV454"/>
      <c r="CW454"/>
    </row>
    <row r="455" spans="8:101" s="516" customFormat="1" outlineLevel="1">
      <c r="H455" s="563"/>
      <c r="I455" s="588"/>
      <c r="J455" s="409" t="s">
        <v>645</v>
      </c>
      <c r="K455" s="28"/>
      <c r="L455" s="28"/>
      <c r="M455" s="28"/>
      <c r="N455" s="350"/>
      <c r="O455" s="350"/>
      <c r="P455" s="350">
        <f>P454-P456</f>
        <v>-73.945999999999913</v>
      </c>
      <c r="Q455" s="350">
        <f>Q454-Q456</f>
        <v>-185.73000000000002</v>
      </c>
      <c r="R455" s="350">
        <f>R454-R456</f>
        <v>-293.14100000000002</v>
      </c>
      <c r="S455" s="350">
        <f>S454-S456</f>
        <v>-1650.5329999999999</v>
      </c>
      <c r="T455" s="350">
        <f>T454-T456</f>
        <v>-2619.0610000000001</v>
      </c>
      <c r="U455" s="1406">
        <v>-1811.5119999999999</v>
      </c>
      <c r="V455" s="1406">
        <v>-2415.1669999999999</v>
      </c>
      <c r="W455" s="352">
        <f ca="1">-W585</f>
        <v>-3979.5510693600063</v>
      </c>
      <c r="X455" s="352">
        <f t="shared" ref="X455:AD455" ca="1" si="515">-X585</f>
        <v>-4479.9726356099127</v>
      </c>
      <c r="Y455" s="352">
        <f t="shared" ca="1" si="515"/>
        <v>-4464.1958526495509</v>
      </c>
      <c r="Z455" s="352">
        <f t="shared" ca="1" si="515"/>
        <v>-4353.833569815908</v>
      </c>
      <c r="AA455" s="352">
        <f t="shared" ca="1" si="515"/>
        <v>-4312.530982573775</v>
      </c>
      <c r="AB455" s="352">
        <f t="shared" ca="1" si="515"/>
        <v>-4670.5371823063369</v>
      </c>
      <c r="AC455" s="352">
        <f t="shared" ca="1" si="515"/>
        <v>-5004.3080009076693</v>
      </c>
      <c r="AD455" s="352">
        <f t="shared" ca="1" si="515"/>
        <v>-5265.0184393219051</v>
      </c>
      <c r="AE455" s="836"/>
      <c r="AF455" s="1912"/>
      <c r="AG455" s="28"/>
      <c r="AH455" s="89"/>
      <c r="AI455" s="89"/>
      <c r="AJ455" s="89"/>
      <c r="AK455" s="89"/>
      <c r="AL455" s="1786"/>
      <c r="AM455" s="89"/>
      <c r="AN455" s="89"/>
      <c r="AO455" s="89"/>
      <c r="AP455" s="740"/>
      <c r="AQ455" s="350"/>
      <c r="AR455" s="350"/>
      <c r="AS455" s="350"/>
      <c r="AT455" s="740"/>
      <c r="AU455" s="350"/>
      <c r="AV455" s="350"/>
      <c r="AW455" s="350"/>
      <c r="AX455" s="1703">
        <v>113.252</v>
      </c>
      <c r="AY455" s="1423">
        <v>474.58</v>
      </c>
      <c r="AZ455" s="1423">
        <v>512.98599999999999</v>
      </c>
      <c r="BA455" s="1423">
        <v>549.71500000000003</v>
      </c>
      <c r="BB455" s="1703">
        <v>586.64599999999996</v>
      </c>
      <c r="BC455" s="1423">
        <v>643.83199999999999</v>
      </c>
      <c r="BD455" s="1423">
        <v>647.97400000000005</v>
      </c>
      <c r="BE455" s="1424">
        <v>374.40499999999997</v>
      </c>
      <c r="BF455" s="1614">
        <v>420.33300000000003</v>
      </c>
      <c r="BG455" s="1404">
        <v>443.75200000000001</v>
      </c>
      <c r="BH455" s="1404">
        <v>479.32</v>
      </c>
      <c r="BI455" s="1404">
        <v>508.6</v>
      </c>
      <c r="BJ455" s="1614">
        <v>552.74599999999998</v>
      </c>
      <c r="BK455" s="1404">
        <v>527.58799999999997</v>
      </c>
      <c r="BL455" s="1404">
        <v>527.58900000000006</v>
      </c>
      <c r="BM455" s="1404">
        <v>733.88</v>
      </c>
      <c r="BN455" s="742">
        <f>BN585</f>
        <v>700</v>
      </c>
      <c r="BO455" s="352">
        <f>BO585</f>
        <v>1100</v>
      </c>
      <c r="BP455" s="352">
        <f>BP585</f>
        <v>1100</v>
      </c>
      <c r="BQ455" s="352">
        <f ca="1">BQ585</f>
        <v>1079.5510693600063</v>
      </c>
      <c r="BR455" s="28"/>
      <c r="BS455" s="28"/>
      <c r="BT455" s="28"/>
      <c r="BU455" s="28"/>
      <c r="BV455" s="28"/>
      <c r="BW455" s="437"/>
      <c r="BX455" s="438"/>
      <c r="BY455" s="438"/>
      <c r="BZ455" s="438"/>
      <c r="CA455" s="438"/>
      <c r="CB455" s="438"/>
      <c r="CC455" s="438"/>
      <c r="CD455" s="437"/>
      <c r="CE455" s="437"/>
      <c r="CF455" s="437"/>
      <c r="CG455" s="437"/>
      <c r="CH455" s="437"/>
      <c r="CI455" s="437"/>
      <c r="CJ455" s="437"/>
      <c r="CK455" s="437"/>
      <c r="CL455" s="437"/>
      <c r="CM455" s="437"/>
      <c r="CN455" s="437"/>
      <c r="CO455" s="437"/>
      <c r="CP455" s="437"/>
      <c r="CQ455" s="437"/>
      <c r="CR455"/>
      <c r="CS455"/>
      <c r="CT455"/>
      <c r="CU455"/>
      <c r="CV455"/>
      <c r="CW455"/>
    </row>
    <row r="456" spans="8:101" s="589" customFormat="1" outlineLevel="1">
      <c r="H456" s="378"/>
      <c r="I456" s="1495"/>
      <c r="J456" s="431" t="s">
        <v>401</v>
      </c>
      <c r="K456" s="13"/>
      <c r="L456" s="13"/>
      <c r="M456" s="13"/>
      <c r="N456" s="451">
        <f t="shared" ref="N456:T456" si="516">N454+N645</f>
        <v>-86</v>
      </c>
      <c r="O456" s="451">
        <f t="shared" si="516"/>
        <v>-404</v>
      </c>
      <c r="P456" s="451">
        <f t="shared" si="516"/>
        <v>-1258.6589999999997</v>
      </c>
      <c r="Q456" s="451">
        <f t="shared" si="516"/>
        <v>-1539.0970000000018</v>
      </c>
      <c r="R456" s="451">
        <f t="shared" si="516"/>
        <v>-12.085999999999956</v>
      </c>
      <c r="S456" s="451">
        <f t="shared" si="516"/>
        <v>1184.7389999999998</v>
      </c>
      <c r="T456" s="451">
        <f t="shared" si="516"/>
        <v>-1832.6569999999997</v>
      </c>
      <c r="U456" s="451">
        <f>U454-U455</f>
        <v>3410.5820000000285</v>
      </c>
      <c r="V456" s="451">
        <f>V454-V455</f>
        <v>5300.7629999999517</v>
      </c>
      <c r="W456" s="451">
        <f t="shared" ref="W456:AD456" ca="1" si="517">W454-W455</f>
        <v>8085.3286497015297</v>
      </c>
      <c r="X456" s="451">
        <f t="shared" ca="1" si="517"/>
        <v>15114.918921376211</v>
      </c>
      <c r="Y456" s="451">
        <f t="shared" ca="1" si="517"/>
        <v>23061.355205442967</v>
      </c>
      <c r="Z456" s="451">
        <f t="shared" ca="1" si="517"/>
        <v>31854.249029750266</v>
      </c>
      <c r="AA456" s="451">
        <f t="shared" ca="1" si="517"/>
        <v>40306.419175081697</v>
      </c>
      <c r="AB456" s="451">
        <f t="shared" ca="1" si="517"/>
        <v>50365.243904088755</v>
      </c>
      <c r="AC456" s="451">
        <f t="shared" ca="1" si="517"/>
        <v>61401.420899303703</v>
      </c>
      <c r="AD456" s="451">
        <f t="shared" ca="1" si="517"/>
        <v>70780.264720856299</v>
      </c>
      <c r="AE456" s="1496"/>
      <c r="AF456" s="920">
        <f t="shared" ca="1" si="511"/>
        <v>0.63248354601438339</v>
      </c>
      <c r="AG456" s="13"/>
      <c r="AH456" s="389"/>
      <c r="AI456" s="389"/>
      <c r="AJ456" s="389"/>
      <c r="AK456" s="389"/>
      <c r="AL456" s="1787"/>
      <c r="AM456" s="336"/>
      <c r="AN456" s="336"/>
      <c r="AO456" s="336"/>
      <c r="AP456" s="741"/>
      <c r="AQ456" s="451"/>
      <c r="AR456" s="451"/>
      <c r="AS456" s="451"/>
      <c r="AT456" s="741"/>
      <c r="AU456" s="451"/>
      <c r="AV456" s="451"/>
      <c r="AW456" s="451"/>
      <c r="AX456" s="741">
        <f t="shared" ref="AX456:BE456" si="518">AX454+AX455</f>
        <v>-23.615000000002468</v>
      </c>
      <c r="AY456" s="451">
        <f t="shared" si="518"/>
        <v>257.32599999999945</v>
      </c>
      <c r="AZ456" s="451">
        <f t="shared" si="518"/>
        <v>641.48599999999976</v>
      </c>
      <c r="BA456" s="451">
        <f t="shared" si="518"/>
        <v>331.73600000000334</v>
      </c>
      <c r="BB456" s="741">
        <f t="shared" si="518"/>
        <v>268.61600000000442</v>
      </c>
      <c r="BC456" s="451">
        <f t="shared" si="518"/>
        <v>397.15199999999726</v>
      </c>
      <c r="BD456" s="451">
        <f t="shared" si="518"/>
        <v>468.4000000000043</v>
      </c>
      <c r="BE456" s="451">
        <f t="shared" si="518"/>
        <v>-3215.8259999999946</v>
      </c>
      <c r="BF456" s="741">
        <f>BF454+BF455</f>
        <v>398.50999999999658</v>
      </c>
      <c r="BG456" s="451">
        <f t="shared" ref="BG456:BM456" si="519">BG454+BG455</f>
        <v>967.34999999999877</v>
      </c>
      <c r="BH456" s="451">
        <f t="shared" si="519"/>
        <v>1021.5830000000017</v>
      </c>
      <c r="BI456" s="451">
        <f t="shared" si="519"/>
        <v>1063.632000000001</v>
      </c>
      <c r="BJ456" s="741">
        <f t="shared" si="519"/>
        <v>1980.2579999999884</v>
      </c>
      <c r="BK456" s="451">
        <f t="shared" si="519"/>
        <v>1109.4480000000026</v>
      </c>
      <c r="BL456" s="451">
        <f t="shared" si="519"/>
        <v>1999.6610000000005</v>
      </c>
      <c r="BM456" s="451">
        <f t="shared" si="519"/>
        <v>138.03199999999651</v>
      </c>
      <c r="BN456" s="741">
        <f>BN454+BN455</f>
        <v>924.17023455387823</v>
      </c>
      <c r="BO456" s="451">
        <f>BO454+BO455</f>
        <v>1589.5967318518665</v>
      </c>
      <c r="BP456" s="451">
        <f>BP454+BP455</f>
        <v>1839.8440657244764</v>
      </c>
      <c r="BQ456" s="451">
        <f ca="1">BQ454+BQ455</f>
        <v>3731.7176175713357</v>
      </c>
      <c r="BR456" s="13"/>
      <c r="BS456" s="13"/>
      <c r="BT456" s="13"/>
      <c r="BU456" s="13"/>
      <c r="BV456" s="13"/>
      <c r="BW456" s="296"/>
      <c r="BX456" s="296"/>
      <c r="BY456" s="296"/>
      <c r="BZ456" s="296"/>
      <c r="CA456" s="296"/>
      <c r="CB456" s="296"/>
      <c r="CC456" s="296"/>
      <c r="CD456" s="296"/>
      <c r="CE456" s="296"/>
      <c r="CF456" s="296"/>
      <c r="CG456" s="296"/>
      <c r="CH456" s="296"/>
      <c r="CI456" s="296"/>
      <c r="CJ456" s="296"/>
      <c r="CK456" s="296"/>
      <c r="CL456" s="296"/>
      <c r="CM456" s="296"/>
      <c r="CN456" s="296"/>
      <c r="CO456" s="296"/>
      <c r="CP456" s="296"/>
      <c r="CQ456" s="296"/>
      <c r="CR456"/>
      <c r="CS456"/>
      <c r="CT456"/>
      <c r="CU456"/>
      <c r="CV456"/>
      <c r="CW456"/>
    </row>
    <row r="457" spans="8:101" s="1906" customFormat="1" outlineLevel="1">
      <c r="H457" s="1897"/>
      <c r="I457" s="1898"/>
      <c r="J457" s="1899" t="s">
        <v>697</v>
      </c>
      <c r="K457" s="1897"/>
      <c r="L457" s="1897"/>
      <c r="M457" s="1897"/>
      <c r="N457" s="1900">
        <f t="shared" ref="N457:T457" si="520">N458-N424</f>
        <v>-270</v>
      </c>
      <c r="O457" s="1900">
        <f t="shared" si="520"/>
        <v>-1149</v>
      </c>
      <c r="P457" s="1900">
        <f t="shared" si="520"/>
        <v>-2873.1259999999993</v>
      </c>
      <c r="Q457" s="1900">
        <f t="shared" si="520"/>
        <v>-3083.8340000000003</v>
      </c>
      <c r="R457" s="1900">
        <f t="shared" si="520"/>
        <v>-2211.5930000000003</v>
      </c>
      <c r="S457" s="1900">
        <f t="shared" si="520"/>
        <v>-7598.4340000000002</v>
      </c>
      <c r="T457" s="1900">
        <f t="shared" si="520"/>
        <v>-1001.6980000000003</v>
      </c>
      <c r="U457" s="1900">
        <f>U458-U424</f>
        <v>2234.7950000000287</v>
      </c>
      <c r="V457" s="1900">
        <f t="shared" ref="V457:AD457" si="521">V458-V424</f>
        <v>5107.9729999999518</v>
      </c>
      <c r="W457" s="1900">
        <f t="shared" si="521"/>
        <v>7193.6752203415226</v>
      </c>
      <c r="X457" s="1900">
        <f t="shared" ca="1" si="521"/>
        <v>14507.401483133883</v>
      </c>
      <c r="Y457" s="1900">
        <f t="shared" ca="1" si="521"/>
        <v>23441.370740646471</v>
      </c>
      <c r="Z457" s="1900">
        <f t="shared" ca="1" si="521"/>
        <v>34308.22252814805</v>
      </c>
      <c r="AA457" s="1900">
        <f t="shared" ca="1" si="521"/>
        <v>44871.745519438038</v>
      </c>
      <c r="AB457" s="1900">
        <f t="shared" ca="1" si="521"/>
        <v>56657.198321948592</v>
      </c>
      <c r="AC457" s="1900">
        <f t="shared" ca="1" si="521"/>
        <v>70021.699753713503</v>
      </c>
      <c r="AD457" s="1900">
        <f t="shared" ca="1" si="521"/>
        <v>82435.074714292743</v>
      </c>
      <c r="AE457" s="1901"/>
      <c r="AF457" s="920">
        <f t="shared" ca="1" si="511"/>
        <v>0.66179763615717202</v>
      </c>
      <c r="AG457" s="1897"/>
      <c r="AH457" s="1902"/>
      <c r="AI457" s="1902"/>
      <c r="AJ457" s="1902"/>
      <c r="AK457" s="1902"/>
      <c r="AL457" s="1903"/>
      <c r="AM457" s="1904"/>
      <c r="AN457" s="1904"/>
      <c r="AO457" s="1904"/>
      <c r="AP457" s="1905"/>
      <c r="AQ457" s="1900"/>
      <c r="AR457" s="1900"/>
      <c r="AS457" s="1900"/>
      <c r="AT457" s="1905"/>
      <c r="AU457" s="1900"/>
      <c r="AV457" s="1900"/>
      <c r="AW457" s="1900"/>
      <c r="AX457" s="1905"/>
      <c r="AY457" s="1900"/>
      <c r="AZ457" s="1900"/>
      <c r="BA457" s="1900"/>
      <c r="BB457" s="1905"/>
      <c r="BC457" s="1900"/>
      <c r="BD457" s="1900"/>
      <c r="BE457" s="1900"/>
      <c r="BF457" s="1905"/>
      <c r="BG457" s="1900"/>
      <c r="BH457" s="1900"/>
      <c r="BI457" s="1900"/>
      <c r="BJ457" s="1900">
        <f t="shared" ref="BJ457:BQ457" si="522">BJ458-BJ424</f>
        <v>1487.2344999999887</v>
      </c>
      <c r="BK457" s="1900">
        <f t="shared" si="522"/>
        <v>884.66150000000243</v>
      </c>
      <c r="BL457" s="1900">
        <f t="shared" si="522"/>
        <v>2273.7790000000009</v>
      </c>
      <c r="BM457" s="1900">
        <f t="shared" si="522"/>
        <v>462.29799999999665</v>
      </c>
      <c r="BN457" s="1900">
        <f t="shared" si="522"/>
        <v>746.14464455387827</v>
      </c>
      <c r="BO457" s="1900">
        <f t="shared" si="522"/>
        <v>1211.5711418518665</v>
      </c>
      <c r="BP457" s="1900">
        <f t="shared" si="522"/>
        <v>1511.8184757244762</v>
      </c>
      <c r="BQ457" s="1900">
        <f t="shared" si="522"/>
        <v>3724.1409582113292</v>
      </c>
      <c r="BR457" s="1897"/>
      <c r="BS457" s="1897"/>
      <c r="BT457" s="1897"/>
      <c r="BU457" s="1897"/>
      <c r="BV457" s="1897"/>
      <c r="CR457"/>
      <c r="CS457"/>
      <c r="CT457"/>
      <c r="CU457"/>
      <c r="CV457"/>
      <c r="CW457"/>
    </row>
    <row r="458" spans="8:101" s="70" customFormat="1" outlineLevel="1">
      <c r="H458" s="378"/>
      <c r="I458" s="590"/>
      <c r="J458" s="431" t="s">
        <v>400</v>
      </c>
      <c r="K458" s="19"/>
      <c r="L458" s="19"/>
      <c r="M458" s="19"/>
      <c r="N458" s="459">
        <f t="shared" ref="N458:AD458" si="523">N470</f>
        <v>-270</v>
      </c>
      <c r="O458" s="459">
        <f t="shared" si="523"/>
        <v>-1149</v>
      </c>
      <c r="P458" s="459">
        <f t="shared" si="523"/>
        <v>-2873.1259999999993</v>
      </c>
      <c r="Q458" s="459">
        <f t="shared" si="523"/>
        <v>-3089.9610000000002</v>
      </c>
      <c r="R458" s="459">
        <f t="shared" si="523"/>
        <v>-2211.5530000000003</v>
      </c>
      <c r="S458" s="459">
        <f t="shared" si="523"/>
        <v>-7617.4340000000002</v>
      </c>
      <c r="T458" s="459">
        <f t="shared" si="523"/>
        <v>-987.69800000000032</v>
      </c>
      <c r="U458" s="459">
        <f t="shared" si="523"/>
        <v>2068.4040000000286</v>
      </c>
      <c r="V458" s="459">
        <f t="shared" si="523"/>
        <v>4968.3799999999519</v>
      </c>
      <c r="W458" s="459">
        <f t="shared" si="523"/>
        <v>6863.2092049367884</v>
      </c>
      <c r="X458" s="459">
        <f t="shared" ca="1" si="523"/>
        <v>12884.448945902537</v>
      </c>
      <c r="Y458" s="459">
        <f t="shared" ca="1" si="523"/>
        <v>20415.114365630379</v>
      </c>
      <c r="Z458" s="459">
        <f t="shared" ca="1" si="523"/>
        <v>29451.962281059936</v>
      </c>
      <c r="AA458" s="459">
        <f t="shared" ca="1" si="523"/>
        <v>38139.397881266712</v>
      </c>
      <c r="AB458" s="459">
        <f t="shared" ca="1" si="523"/>
        <v>47867.801976011746</v>
      </c>
      <c r="AC458" s="459">
        <f t="shared" ca="1" si="523"/>
        <v>58854.897109031226</v>
      </c>
      <c r="AD458" s="459">
        <f t="shared" ca="1" si="523"/>
        <v>69074.939239065628</v>
      </c>
      <c r="AE458" s="1497"/>
      <c r="AF458" s="920">
        <f t="shared" ca="1" si="511"/>
        <v>0.60169199150918806</v>
      </c>
      <c r="AG458" s="13"/>
      <c r="AH458" s="389"/>
      <c r="AI458" s="389"/>
      <c r="AJ458" s="389"/>
      <c r="AK458" s="389"/>
      <c r="AL458" s="1788"/>
      <c r="AM458" s="389"/>
      <c r="AN458" s="389"/>
      <c r="AO458" s="389"/>
      <c r="AP458" s="1625"/>
      <c r="AQ458" s="459"/>
      <c r="AR458" s="459"/>
      <c r="AS458" s="459"/>
      <c r="AT458" s="1625"/>
      <c r="AU458" s="459"/>
      <c r="AV458" s="459"/>
      <c r="AW458" s="459"/>
      <c r="AX458" s="1625">
        <f t="shared" ref="AX458:BQ458" si="524">AX470</f>
        <v>-1574.1670000000026</v>
      </c>
      <c r="AY458" s="459">
        <f t="shared" si="524"/>
        <v>-6475.6049999999996</v>
      </c>
      <c r="AZ458" s="459">
        <f t="shared" si="524"/>
        <v>370.7819999999997</v>
      </c>
      <c r="BA458" s="459">
        <f t="shared" si="524"/>
        <v>83.829000000003305</v>
      </c>
      <c r="BB458" s="1625">
        <f t="shared" si="524"/>
        <v>-205.6329999999956</v>
      </c>
      <c r="BC458" s="459">
        <f t="shared" si="524"/>
        <v>-15.71400000000283</v>
      </c>
      <c r="BD458" s="459">
        <f t="shared" si="524"/>
        <v>27.036000000004407</v>
      </c>
      <c r="BE458" s="459">
        <f t="shared" si="524"/>
        <v>-656.17799999999534</v>
      </c>
      <c r="BF458" s="1625">
        <f t="shared" si="524"/>
        <v>87.874499999996488</v>
      </c>
      <c r="BG458" s="459">
        <f t="shared" si="524"/>
        <v>716.76749999999902</v>
      </c>
      <c r="BH458" s="459">
        <f t="shared" si="524"/>
        <v>484.07300000000174</v>
      </c>
      <c r="BI458" s="459">
        <f t="shared" si="524"/>
        <v>779.68900000000099</v>
      </c>
      <c r="BJ458" s="1625">
        <f t="shared" si="524"/>
        <v>1397.5514999999887</v>
      </c>
      <c r="BK458" s="459">
        <f t="shared" si="524"/>
        <v>900.92850000000249</v>
      </c>
      <c r="BL458" s="459">
        <f t="shared" si="524"/>
        <v>2220.6020000000008</v>
      </c>
      <c r="BM458" s="459">
        <f t="shared" si="524"/>
        <v>449.29799999999665</v>
      </c>
      <c r="BN458" s="1625">
        <f t="shared" si="524"/>
        <v>746.14464455387827</v>
      </c>
      <c r="BO458" s="459">
        <f t="shared" si="524"/>
        <v>1201.1031664788227</v>
      </c>
      <c r="BP458" s="459">
        <f t="shared" si="524"/>
        <v>1462.3248001936606</v>
      </c>
      <c r="BQ458" s="459">
        <f t="shared" si="524"/>
        <v>3453.6365937104547</v>
      </c>
      <c r="BR458" s="13"/>
      <c r="BS458" s="13"/>
      <c r="BT458" s="13"/>
      <c r="BU458" s="13"/>
      <c r="BV458" s="13"/>
      <c r="BW458" s="208"/>
      <c r="BX458" s="1498"/>
      <c r="BY458" s="1498"/>
      <c r="BZ458" s="1498"/>
      <c r="CA458" s="1498"/>
      <c r="CB458" s="1498"/>
      <c r="CC458" s="1498"/>
      <c r="CD458" s="208"/>
      <c r="CE458" s="208"/>
      <c r="CF458" s="208"/>
      <c r="CG458" s="208"/>
      <c r="CH458" s="208"/>
      <c r="CI458" s="208"/>
      <c r="CJ458" s="208"/>
      <c r="CK458" s="208"/>
      <c r="CL458" s="208"/>
      <c r="CM458" s="208"/>
      <c r="CN458" s="208"/>
      <c r="CO458" s="208"/>
      <c r="CP458" s="208"/>
      <c r="CQ458" s="208"/>
      <c r="CR458"/>
      <c r="CS458"/>
      <c r="CT458"/>
      <c r="CU458"/>
      <c r="CV458"/>
      <c r="CW458"/>
    </row>
    <row r="459" spans="8:101" s="1434" customFormat="1" outlineLevel="1">
      <c r="H459" s="1280"/>
      <c r="I459" s="1281"/>
      <c r="J459" s="1435"/>
      <c r="K459" s="1286"/>
      <c r="L459" s="1286"/>
      <c r="M459" s="1286"/>
      <c r="N459" s="1282"/>
      <c r="O459" s="1282"/>
      <c r="P459" s="1282"/>
      <c r="Q459" s="1282"/>
      <c r="R459" s="1282"/>
      <c r="S459" s="1283"/>
      <c r="T459" s="1283"/>
      <c r="U459" s="1909">
        <f>(U458-U454)/U458</f>
        <v>0.22690634904979579</v>
      </c>
      <c r="V459" s="1909">
        <f>(V458-V454)/V458</f>
        <v>0.41920787057351105</v>
      </c>
      <c r="W459" s="1909">
        <f>(W458-W454)/W458</f>
        <v>0.4017700090814384</v>
      </c>
      <c r="X459" s="1283"/>
      <c r="Y459" s="1284"/>
      <c r="Z459" s="1284"/>
      <c r="AA459" s="1284"/>
      <c r="AB459" s="1284"/>
      <c r="AC459" s="1284"/>
      <c r="AD459" s="1284"/>
      <c r="AE459" s="1436"/>
      <c r="AF459" s="1285"/>
      <c r="AG459" s="1286"/>
      <c r="AH459" s="1282"/>
      <c r="AI459" s="1282"/>
      <c r="AJ459" s="1282"/>
      <c r="AK459" s="1282"/>
      <c r="AL459" s="1789"/>
      <c r="AM459" s="1282"/>
      <c r="AN459" s="1282"/>
      <c r="AO459" s="1282"/>
      <c r="AP459" s="1626"/>
      <c r="AQ459" s="1283"/>
      <c r="AR459" s="1283"/>
      <c r="AS459" s="1283"/>
      <c r="AT459" s="1626"/>
      <c r="AU459" s="1283"/>
      <c r="AV459" s="1283"/>
      <c r="AW459" s="1283"/>
      <c r="AX459" s="1626"/>
      <c r="AY459" s="1283"/>
      <c r="AZ459" s="1283"/>
      <c r="BA459" s="1283"/>
      <c r="BB459" s="1626">
        <f t="shared" ref="BB459:BI459" si="525">BB458-BB470</f>
        <v>0</v>
      </c>
      <c r="BC459" s="1283">
        <f t="shared" si="525"/>
        <v>0</v>
      </c>
      <c r="BD459" s="1283">
        <f t="shared" si="525"/>
        <v>0</v>
      </c>
      <c r="BE459" s="1283">
        <f t="shared" si="525"/>
        <v>0</v>
      </c>
      <c r="BF459" s="1626">
        <f t="shared" si="525"/>
        <v>0</v>
      </c>
      <c r="BG459" s="1283">
        <f t="shared" si="525"/>
        <v>0</v>
      </c>
      <c r="BH459" s="1283">
        <f t="shared" si="525"/>
        <v>0</v>
      </c>
      <c r="BI459" s="1283">
        <f t="shared" si="525"/>
        <v>0</v>
      </c>
      <c r="BJ459" s="1626"/>
      <c r="BK459" s="1283"/>
      <c r="BL459" s="1283"/>
      <c r="BM459" s="1283"/>
      <c r="BN459" s="1909">
        <f>(BN458-BN454+BO458-BO454)/(BN458+BO458)</f>
        <v>0.63344831491827103</v>
      </c>
      <c r="BO459" s="1909">
        <f>(BO458-BO454)/BO458</f>
        <v>0.59237745306493717</v>
      </c>
      <c r="BP459" s="1909">
        <f>(BP458-BP454)/BP458</f>
        <v>0.49406310716572938</v>
      </c>
      <c r="BQ459" s="1909">
        <f>(BQ458-BQ454)/BQ458</f>
        <v>0.23206554127863713</v>
      </c>
      <c r="BR459" s="1286"/>
      <c r="BS459" s="1286"/>
      <c r="BT459" s="1286"/>
      <c r="BU459" s="1286"/>
      <c r="BV459" s="1286"/>
      <c r="BW459" s="1437"/>
      <c r="BX459" s="1438"/>
      <c r="BY459" s="1438"/>
      <c r="BZ459" s="1438"/>
      <c r="CA459" s="1438"/>
      <c r="CB459" s="1438"/>
      <c r="CC459" s="1438"/>
      <c r="CD459" s="1437"/>
      <c r="CE459" s="1437"/>
      <c r="CF459" s="1437"/>
      <c r="CG459" s="1437"/>
      <c r="CH459" s="1437"/>
      <c r="CI459" s="1437"/>
      <c r="CJ459" s="1437"/>
      <c r="CK459" s="1437"/>
      <c r="CL459" s="1437"/>
      <c r="CM459" s="1437"/>
      <c r="CN459" s="1437"/>
      <c r="CO459" s="1437"/>
      <c r="CP459" s="1437"/>
      <c r="CQ459" s="1437"/>
      <c r="CR459"/>
      <c r="CS459"/>
      <c r="CT459"/>
      <c r="CU459"/>
      <c r="CV459"/>
      <c r="CW459"/>
    </row>
    <row r="460" spans="8:101" s="70" customFormat="1" outlineLevel="2">
      <c r="H460" s="379"/>
      <c r="I460" s="591"/>
      <c r="J460" s="306" t="s">
        <v>646</v>
      </c>
      <c r="K460" s="13"/>
      <c r="L460" s="13"/>
      <c r="M460" s="13"/>
      <c r="N460" s="1025">
        <f t="shared" ref="N460:V460" si="526">N435</f>
        <v>-287</v>
      </c>
      <c r="O460" s="1025">
        <f t="shared" si="526"/>
        <v>-1161</v>
      </c>
      <c r="P460" s="1025">
        <f t="shared" si="526"/>
        <v>-2944.0899999999992</v>
      </c>
      <c r="Q460" s="1025">
        <f t="shared" si="526"/>
        <v>-3317</v>
      </c>
      <c r="R460" s="1025">
        <f t="shared" si="526"/>
        <v>-2485.326</v>
      </c>
      <c r="S460" s="1025">
        <f t="shared" si="526"/>
        <v>-12953.64</v>
      </c>
      <c r="T460" s="1025">
        <f t="shared" si="526"/>
        <v>-9397.5660000000007</v>
      </c>
      <c r="U460" s="1025">
        <f t="shared" si="526"/>
        <v>-2000.4439999999718</v>
      </c>
      <c r="V460" s="1025">
        <f t="shared" si="526"/>
        <v>116.8189999999509</v>
      </c>
      <c r="W460" s="459">
        <f t="shared" ref="W460:AD460" si="527">W433</f>
        <v>2297.5802569393732</v>
      </c>
      <c r="X460" s="459">
        <f t="shared" ca="1" si="527"/>
        <v>7550.4504473872385</v>
      </c>
      <c r="Y460" s="459">
        <f t="shared" ca="1" si="527"/>
        <v>13836.279041739968</v>
      </c>
      <c r="Z460" s="459">
        <f t="shared" ca="1" si="527"/>
        <v>22172.963347845853</v>
      </c>
      <c r="AA460" s="459">
        <f t="shared" ca="1" si="527"/>
        <v>30719.583685002712</v>
      </c>
      <c r="AB460" s="459">
        <f t="shared" ca="1" si="527"/>
        <v>40090.583353712304</v>
      </c>
      <c r="AC460" s="459">
        <f t="shared" ca="1" si="527"/>
        <v>50920.989825774843</v>
      </c>
      <c r="AD460" s="459">
        <f t="shared" ca="1" si="527"/>
        <v>60912.839387145767</v>
      </c>
      <c r="AE460" s="836"/>
      <c r="AF460" s="19"/>
      <c r="AG460" s="19"/>
      <c r="AH460" s="13"/>
      <c r="AI460" s="13"/>
      <c r="AJ460" s="13"/>
      <c r="AK460" s="13"/>
      <c r="AL460" s="663"/>
      <c r="AM460" s="213"/>
      <c r="AN460" s="213"/>
      <c r="AO460" s="213"/>
      <c r="AP460" s="1627">
        <f t="shared" ref="AP460:BM460" si="528">AP435</f>
        <v>-528</v>
      </c>
      <c r="AQ460" s="1025">
        <f t="shared" si="528"/>
        <v>-409</v>
      </c>
      <c r="AR460" s="1025">
        <f t="shared" si="528"/>
        <v>-487</v>
      </c>
      <c r="AS460" s="1025">
        <f t="shared" si="528"/>
        <v>-305</v>
      </c>
      <c r="AT460" s="1627">
        <f t="shared" si="528"/>
        <v>-952</v>
      </c>
      <c r="AU460" s="1025">
        <f t="shared" si="528"/>
        <v>-484.21300000000332</v>
      </c>
      <c r="AV460" s="1025">
        <f t="shared" si="528"/>
        <v>-663.44199999999921</v>
      </c>
      <c r="AW460" s="1025">
        <f t="shared" si="528"/>
        <v>-219.97499999999999</v>
      </c>
      <c r="AX460" s="1627">
        <f t="shared" si="528"/>
        <v>-5288.9020000000028</v>
      </c>
      <c r="AY460" s="1025">
        <f t="shared" si="528"/>
        <v>-7046.2960000000003</v>
      </c>
      <c r="AZ460" s="1025">
        <f t="shared" si="528"/>
        <v>-164.35800000000029</v>
      </c>
      <c r="BA460" s="1025">
        <f t="shared" si="528"/>
        <v>-454.32199999999671</v>
      </c>
      <c r="BB460" s="1627">
        <f t="shared" si="528"/>
        <v>-710.2099999999956</v>
      </c>
      <c r="BC460" s="1025">
        <f t="shared" si="528"/>
        <v>-510.42200000000292</v>
      </c>
      <c r="BD460" s="1025">
        <f t="shared" si="528"/>
        <v>-530.80199999999559</v>
      </c>
      <c r="BE460" s="1025">
        <f t="shared" si="528"/>
        <v>-7626.5819999999958</v>
      </c>
      <c r="BF460" s="1627">
        <f t="shared" si="528"/>
        <v>-503.42850000000351</v>
      </c>
      <c r="BG460" s="1025">
        <f t="shared" si="528"/>
        <v>231.73749999999887</v>
      </c>
      <c r="BH460" s="1025">
        <f t="shared" si="528"/>
        <v>-467.37299999999823</v>
      </c>
      <c r="BI460" s="1025">
        <f t="shared" si="528"/>
        <v>-1261.379999999999</v>
      </c>
      <c r="BJ460" s="1627">
        <f t="shared" si="528"/>
        <v>374.39049999998866</v>
      </c>
      <c r="BK460" s="1025">
        <f t="shared" si="528"/>
        <v>-362.62849999999747</v>
      </c>
      <c r="BL460" s="1025">
        <f t="shared" si="528"/>
        <v>1014.2900000000004</v>
      </c>
      <c r="BM460" s="1025">
        <f t="shared" si="528"/>
        <v>-909.23300000000336</v>
      </c>
      <c r="BN460" s="1625">
        <f>BN433</f>
        <v>-331.23881612638343</v>
      </c>
      <c r="BO460" s="459">
        <f>BO433</f>
        <v>91.554912111908024</v>
      </c>
      <c r="BP460" s="459">
        <f>BP433</f>
        <v>352.72690547545756</v>
      </c>
      <c r="BQ460" s="459">
        <f>BQ433</f>
        <v>2184.5372554784185</v>
      </c>
      <c r="BR460" s="296"/>
      <c r="BS460" s="208"/>
      <c r="BT460" s="208"/>
      <c r="BU460" s="208"/>
      <c r="BV460" s="208"/>
      <c r="BW460" s="67"/>
      <c r="BX460" s="67"/>
      <c r="BY460" s="67"/>
      <c r="BZ460" s="67"/>
      <c r="CA460" s="67"/>
      <c r="CB460" s="67"/>
      <c r="CC460" s="67"/>
      <c r="CD460" s="67"/>
      <c r="CE460" s="67"/>
      <c r="CF460" s="67"/>
      <c r="CG460" s="67"/>
      <c r="CH460" s="67"/>
      <c r="CI460" s="67"/>
      <c r="CJ460" s="67"/>
      <c r="CK460" s="67"/>
      <c r="CL460" s="67"/>
      <c r="CM460" s="67"/>
      <c r="CN460" s="67"/>
      <c r="CO460" s="67"/>
      <c r="CP460" s="67"/>
      <c r="CQ460" s="67"/>
      <c r="CR460"/>
      <c r="CS460"/>
      <c r="CT460"/>
      <c r="CU460"/>
      <c r="CV460"/>
      <c r="CW460"/>
    </row>
    <row r="461" spans="8:101" s="593" customFormat="1" outlineLevel="2">
      <c r="H461" s="289"/>
      <c r="I461" s="586"/>
      <c r="J461" s="17" t="s">
        <v>482</v>
      </c>
      <c r="K461" s="11"/>
      <c r="L461" s="11"/>
      <c r="M461" s="11"/>
      <c r="N461" s="39">
        <f t="shared" ref="N461:AD461" si="529">N357</f>
        <v>17</v>
      </c>
      <c r="O461" s="39">
        <f t="shared" si="529"/>
        <v>12</v>
      </c>
      <c r="P461" s="39">
        <f t="shared" si="529"/>
        <v>70.963999999999999</v>
      </c>
      <c r="Q461" s="39">
        <f t="shared" si="529"/>
        <v>225.03899999999999</v>
      </c>
      <c r="R461" s="39">
        <f t="shared" si="529"/>
        <v>261.173</v>
      </c>
      <c r="S461" s="39">
        <f t="shared" si="529"/>
        <v>4226.7269999999999</v>
      </c>
      <c r="T461" s="39">
        <f t="shared" si="529"/>
        <v>1076.2860000000001</v>
      </c>
      <c r="U461" s="39">
        <f t="shared" si="529"/>
        <v>2061.4319999999998</v>
      </c>
      <c r="V461" s="39">
        <f t="shared" si="529"/>
        <v>2780.0619999999999</v>
      </c>
      <c r="W461" s="39">
        <f t="shared" si="529"/>
        <v>3016.4388276593472</v>
      </c>
      <c r="X461" s="39">
        <f t="shared" si="529"/>
        <v>3748.8946981772301</v>
      </c>
      <c r="Y461" s="39">
        <f t="shared" si="529"/>
        <v>4426.5165333584828</v>
      </c>
      <c r="Z461" s="39">
        <f t="shared" si="529"/>
        <v>4838.6894435628083</v>
      </c>
      <c r="AA461" s="39">
        <f t="shared" si="529"/>
        <v>4979.5047066127208</v>
      </c>
      <c r="AB461" s="39">
        <f t="shared" si="529"/>
        <v>5293.5962317017256</v>
      </c>
      <c r="AC461" s="39">
        <f t="shared" si="529"/>
        <v>5428.3130569843825</v>
      </c>
      <c r="AD461" s="39">
        <f t="shared" si="529"/>
        <v>5656.5056256478583</v>
      </c>
      <c r="AE461" s="836"/>
      <c r="AF461" s="11"/>
      <c r="AG461" s="11"/>
      <c r="AH461" s="11"/>
      <c r="AI461" s="11"/>
      <c r="AJ461" s="11"/>
      <c r="AK461" s="11"/>
      <c r="AL461" s="662"/>
      <c r="AM461" s="205"/>
      <c r="AN461" s="205"/>
      <c r="AO461" s="205"/>
      <c r="AP461" s="757">
        <f t="shared" ref="AP461:BQ461" si="530">AP357</f>
        <v>10</v>
      </c>
      <c r="AQ461" s="39">
        <f t="shared" si="530"/>
        <v>10</v>
      </c>
      <c r="AR461" s="39">
        <f t="shared" si="530"/>
        <v>99</v>
      </c>
      <c r="AS461" s="39">
        <f t="shared" si="530"/>
        <v>106</v>
      </c>
      <c r="AT461" s="757">
        <f t="shared" si="530"/>
        <v>65</v>
      </c>
      <c r="AU461" s="39">
        <f t="shared" si="530"/>
        <v>62.62</v>
      </c>
      <c r="AV461" s="39">
        <f t="shared" si="530"/>
        <v>63.030999999999999</v>
      </c>
      <c r="AW461" s="39">
        <f t="shared" si="530"/>
        <v>70.391000000000005</v>
      </c>
      <c r="AX461" s="757">
        <f t="shared" si="530"/>
        <v>3699.7350000000001</v>
      </c>
      <c r="AY461" s="39">
        <f t="shared" si="530"/>
        <v>208.93</v>
      </c>
      <c r="AZ461" s="39">
        <f t="shared" si="530"/>
        <v>168.93600000000001</v>
      </c>
      <c r="BA461" s="39">
        <f t="shared" si="530"/>
        <v>171.947</v>
      </c>
      <c r="BB461" s="757">
        <f t="shared" si="530"/>
        <v>146.25399999999999</v>
      </c>
      <c r="BC461" s="39">
        <f t="shared" si="530"/>
        <v>261.35700000000003</v>
      </c>
      <c r="BD461" s="39">
        <f t="shared" si="530"/>
        <v>308.24799999999999</v>
      </c>
      <c r="BE461" s="39">
        <f t="shared" si="530"/>
        <v>478.08600000000001</v>
      </c>
      <c r="BF461" s="757">
        <f t="shared" si="530"/>
        <v>354.90899999999999</v>
      </c>
      <c r="BG461" s="39">
        <f t="shared" si="530"/>
        <v>533.94600000000003</v>
      </c>
      <c r="BH461" s="39">
        <f t="shared" si="530"/>
        <v>556.80899999999997</v>
      </c>
      <c r="BI461" s="39">
        <f t="shared" si="530"/>
        <v>615.76800000000003</v>
      </c>
      <c r="BJ461" s="757">
        <f t="shared" si="530"/>
        <v>536.18799999999999</v>
      </c>
      <c r="BK461" s="39">
        <f t="shared" si="530"/>
        <v>747.22799999999995</v>
      </c>
      <c r="BL461" s="39">
        <f t="shared" si="530"/>
        <v>734.24400000000003</v>
      </c>
      <c r="BM461" s="39">
        <f t="shared" si="530"/>
        <v>762.40200000000004</v>
      </c>
      <c r="BN461" s="757">
        <f t="shared" si="530"/>
        <v>690.08593059574446</v>
      </c>
      <c r="BO461" s="39">
        <f t="shared" si="530"/>
        <v>722.25072428239753</v>
      </c>
      <c r="BP461" s="39">
        <f t="shared" si="530"/>
        <v>722.30036463368606</v>
      </c>
      <c r="BQ461" s="39">
        <f t="shared" si="530"/>
        <v>881.8018081475193</v>
      </c>
      <c r="BR461" s="538"/>
      <c r="BS461" s="3"/>
      <c r="BT461" s="3"/>
      <c r="BU461" s="3"/>
      <c r="BV461" s="3"/>
      <c r="BW461" s="3"/>
      <c r="BX461" s="3"/>
      <c r="BY461" s="3"/>
      <c r="BZ461" s="3"/>
      <c r="CA461" s="3"/>
      <c r="CB461" s="3"/>
      <c r="CC461" s="3"/>
      <c r="CD461" s="3"/>
      <c r="CE461" s="3"/>
      <c r="CF461" s="3"/>
      <c r="CG461" s="3"/>
      <c r="CH461" s="3"/>
      <c r="CI461" s="3"/>
      <c r="CJ461" s="3"/>
      <c r="CK461" s="3"/>
      <c r="CL461" s="3"/>
      <c r="CM461" s="3"/>
      <c r="CN461" s="3"/>
      <c r="CO461" s="3"/>
      <c r="CP461" s="3"/>
      <c r="CQ461" s="3"/>
      <c r="CR461"/>
      <c r="CS461"/>
      <c r="CT461"/>
      <c r="CU461"/>
      <c r="CV461"/>
      <c r="CW461"/>
    </row>
    <row r="462" spans="8:101" s="42" customFormat="1" outlineLevel="2">
      <c r="H462" s="289"/>
      <c r="I462" s="586"/>
      <c r="J462" s="17" t="s">
        <v>39</v>
      </c>
      <c r="K462" s="11"/>
      <c r="L462" s="11"/>
      <c r="M462" s="11"/>
      <c r="N462" s="1026"/>
      <c r="O462" s="1026"/>
      <c r="P462" s="1026"/>
      <c r="Q462" s="39">
        <f t="shared" ref="Q462:AD462" si="531">-Q376</f>
        <v>2</v>
      </c>
      <c r="R462" s="39">
        <f t="shared" si="531"/>
        <v>12.6</v>
      </c>
      <c r="S462" s="528">
        <f t="shared" si="531"/>
        <v>1109.479</v>
      </c>
      <c r="T462" s="528">
        <f t="shared" si="531"/>
        <v>1451.347</v>
      </c>
      <c r="U462" s="528">
        <f t="shared" si="531"/>
        <v>1608.777</v>
      </c>
      <c r="V462" s="528">
        <f t="shared" si="531"/>
        <v>1777.549</v>
      </c>
      <c r="W462" s="39">
        <f t="shared" si="531"/>
        <v>1795.6839999999997</v>
      </c>
      <c r="X462" s="39">
        <f t="shared" si="531"/>
        <v>1831.5976800000001</v>
      </c>
      <c r="Y462" s="39">
        <f t="shared" si="531"/>
        <v>1868.2296335999999</v>
      </c>
      <c r="Z462" s="39">
        <f t="shared" si="531"/>
        <v>1905.594226272</v>
      </c>
      <c r="AA462" s="39">
        <f t="shared" si="531"/>
        <v>1905.594226272</v>
      </c>
      <c r="AB462" s="39">
        <f t="shared" si="531"/>
        <v>1905.594226272</v>
      </c>
      <c r="AC462" s="39">
        <f t="shared" si="531"/>
        <v>1905.594226272</v>
      </c>
      <c r="AD462" s="39">
        <f t="shared" si="531"/>
        <v>1905.594226272</v>
      </c>
      <c r="AE462" s="836"/>
      <c r="AF462" s="11"/>
      <c r="AG462" s="11"/>
      <c r="AH462" s="11"/>
      <c r="AI462" s="11"/>
      <c r="AJ462" s="11"/>
      <c r="AK462" s="11"/>
      <c r="AL462" s="662"/>
      <c r="AM462" s="205"/>
      <c r="AN462" s="205"/>
      <c r="AO462" s="205"/>
      <c r="AP462" s="1629"/>
      <c r="AQ462" s="916"/>
      <c r="AR462" s="916"/>
      <c r="AS462" s="916"/>
      <c r="AT462" s="767">
        <f>-AT376</f>
        <v>3</v>
      </c>
      <c r="AU462" s="836">
        <f>-AU376</f>
        <v>3.15</v>
      </c>
      <c r="AV462" s="1030"/>
      <c r="AW462" s="1030"/>
      <c r="AX462" s="767">
        <f t="shared" ref="AX462:BQ462" si="532">-AX376</f>
        <v>15</v>
      </c>
      <c r="AY462" s="734">
        <f t="shared" si="532"/>
        <v>361.76100000000002</v>
      </c>
      <c r="AZ462" s="734">
        <f t="shared" si="532"/>
        <v>366.20400000000001</v>
      </c>
      <c r="BA462" s="734">
        <f t="shared" si="532"/>
        <v>366.20400000000001</v>
      </c>
      <c r="BB462" s="767">
        <f t="shared" si="532"/>
        <v>358.32299999999998</v>
      </c>
      <c r="BC462" s="734">
        <f t="shared" si="532"/>
        <v>360.82700000000006</v>
      </c>
      <c r="BD462" s="734">
        <f t="shared" si="532"/>
        <v>365.99299999999999</v>
      </c>
      <c r="BE462" s="734">
        <f t="shared" si="532"/>
        <v>366.20400000000001</v>
      </c>
      <c r="BF462" s="767">
        <f t="shared" si="532"/>
        <v>350</v>
      </c>
      <c r="BG462" s="844">
        <f t="shared" si="532"/>
        <v>363.35500000000002</v>
      </c>
      <c r="BH462" s="844">
        <f t="shared" si="532"/>
        <v>447.84199999999998</v>
      </c>
      <c r="BI462" s="844">
        <f t="shared" si="532"/>
        <v>447.58000000000004</v>
      </c>
      <c r="BJ462" s="1450">
        <f t="shared" si="532"/>
        <v>439.63199999999995</v>
      </c>
      <c r="BK462" s="844">
        <f t="shared" si="532"/>
        <v>442.584</v>
      </c>
      <c r="BL462" s="844">
        <f t="shared" si="532"/>
        <v>446.41200000000003</v>
      </c>
      <c r="BM462" s="734">
        <f t="shared" si="532"/>
        <v>448.92099999999994</v>
      </c>
      <c r="BN462" s="767">
        <f t="shared" si="532"/>
        <v>448.92099999999994</v>
      </c>
      <c r="BO462" s="836">
        <f t="shared" si="532"/>
        <v>448.92099999999994</v>
      </c>
      <c r="BP462" s="836">
        <f t="shared" si="532"/>
        <v>448.92099999999994</v>
      </c>
      <c r="BQ462" s="734">
        <f t="shared" si="532"/>
        <v>448.92099999999994</v>
      </c>
      <c r="BR462" s="83"/>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c r="CS462"/>
      <c r="CT462"/>
      <c r="CU462"/>
      <c r="CV462"/>
      <c r="CW462"/>
    </row>
    <row r="463" spans="8:101" s="42" customFormat="1" outlineLevel="2">
      <c r="H463" s="289"/>
      <c r="I463" s="586"/>
      <c r="J463" s="17" t="s">
        <v>636</v>
      </c>
      <c r="K463" s="11"/>
      <c r="L463" s="11"/>
      <c r="M463" s="11"/>
      <c r="N463" s="1026"/>
      <c r="O463" s="1026"/>
      <c r="P463" s="1026"/>
      <c r="Q463" s="39"/>
      <c r="R463" s="39"/>
      <c r="S463" s="528"/>
      <c r="T463" s="528"/>
      <c r="U463" s="1409">
        <v>1959.7460000000001</v>
      </c>
      <c r="V463" s="1409">
        <v>139.82300000000001</v>
      </c>
      <c r="W463" s="39"/>
      <c r="X463" s="39"/>
      <c r="Y463" s="39"/>
      <c r="Z463" s="39"/>
      <c r="AA463" s="39"/>
      <c r="AB463" s="39"/>
      <c r="AC463" s="39"/>
      <c r="AD463" s="39"/>
      <c r="AE463" s="836"/>
      <c r="AF463" s="11"/>
      <c r="AG463" s="11"/>
      <c r="AH463" s="11"/>
      <c r="AI463" s="11"/>
      <c r="AJ463" s="11"/>
      <c r="AK463" s="11"/>
      <c r="AL463" s="662"/>
      <c r="AM463" s="205"/>
      <c r="AN463" s="205"/>
      <c r="AO463" s="205"/>
      <c r="AP463" s="1629"/>
      <c r="AQ463" s="916"/>
      <c r="AR463" s="916"/>
      <c r="AS463" s="916"/>
      <c r="AT463" s="767"/>
      <c r="AU463" s="836"/>
      <c r="AV463" s="1030"/>
      <c r="AW463" s="1030"/>
      <c r="AX463" s="767"/>
      <c r="AY463" s="734"/>
      <c r="AZ463" s="734"/>
      <c r="BA463" s="734"/>
      <c r="BB463" s="767"/>
      <c r="BC463" s="734"/>
      <c r="BD463" s="734"/>
      <c r="BE463" s="734"/>
      <c r="BF463" s="767"/>
      <c r="BG463" s="844"/>
      <c r="BH463" s="844"/>
      <c r="BI463" s="844"/>
      <c r="BJ463" s="1450"/>
      <c r="BK463" s="844"/>
      <c r="BL463" s="844"/>
      <c r="BM463" s="734"/>
      <c r="BN463" s="767"/>
      <c r="BO463" s="836"/>
      <c r="BP463" s="836"/>
      <c r="BQ463" s="734"/>
      <c r="BR463" s="83"/>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c r="CS463"/>
      <c r="CT463"/>
      <c r="CU463"/>
      <c r="CV463"/>
      <c r="CW463"/>
    </row>
    <row r="464" spans="8:101" s="42" customFormat="1" outlineLevel="2">
      <c r="H464" s="289"/>
      <c r="I464" s="586"/>
      <c r="J464" s="630" t="s">
        <v>598</v>
      </c>
      <c r="K464" s="11"/>
      <c r="L464" s="11"/>
      <c r="M464" s="11"/>
      <c r="N464" s="1026"/>
      <c r="O464" s="1026"/>
      <c r="P464" s="1026"/>
      <c r="Q464" s="39"/>
      <c r="R464" s="39"/>
      <c r="S464" s="528"/>
      <c r="T464" s="1412">
        <f>SUM(BB464:BE464)</f>
        <v>-520.351</v>
      </c>
      <c r="U464" s="1412">
        <f>SUM(BF464:BI464)</f>
        <v>-819.48599999999999</v>
      </c>
      <c r="V464" s="1412">
        <f>SUM(BJ464:BM464)</f>
        <v>-836.53899999999999</v>
      </c>
      <c r="W464" s="39">
        <f>-Model!W125</f>
        <v>-846.49387966193092</v>
      </c>
      <c r="X464" s="39">
        <f>-Model!X125</f>
        <v>-846.49387966193092</v>
      </c>
      <c r="Y464" s="39">
        <f>-Model!Y125</f>
        <v>-315.91084306807005</v>
      </c>
      <c r="Z464" s="39">
        <f>-Model!Z125</f>
        <v>-65.284736620722683</v>
      </c>
      <c r="AA464" s="39">
        <f>-Model!AA125</f>
        <v>-65.284736620722683</v>
      </c>
      <c r="AB464" s="39">
        <f>-Model!AB125</f>
        <v>-21.971835674285067</v>
      </c>
      <c r="AC464" s="39">
        <f>-Model!AC125</f>
        <v>0</v>
      </c>
      <c r="AD464" s="39">
        <f>-Model!AD125</f>
        <v>0</v>
      </c>
      <c r="AE464" s="836"/>
      <c r="AF464" s="11"/>
      <c r="AG464" s="11"/>
      <c r="AH464" s="11"/>
      <c r="AI464" s="11"/>
      <c r="AJ464" s="11"/>
      <c r="AK464" s="11"/>
      <c r="AL464" s="662"/>
      <c r="AM464" s="205"/>
      <c r="AN464" s="205"/>
      <c r="AO464" s="205"/>
      <c r="AP464" s="1629"/>
      <c r="AQ464" s="916"/>
      <c r="AR464" s="916"/>
      <c r="AS464" s="916"/>
      <c r="AT464" s="767"/>
      <c r="AU464" s="836"/>
      <c r="AV464" s="1030"/>
      <c r="AW464" s="1030"/>
      <c r="AX464" s="767"/>
      <c r="AY464" s="734"/>
      <c r="AZ464" s="734"/>
      <c r="BA464" s="734"/>
      <c r="BB464" s="767"/>
      <c r="BC464" s="1404">
        <v>-145.72399999999999</v>
      </c>
      <c r="BD464" s="1404">
        <v>-186.577</v>
      </c>
      <c r="BE464" s="1404">
        <v>-188.05</v>
      </c>
      <c r="BF464" s="1614">
        <v>-205.661</v>
      </c>
      <c r="BG464" s="1404">
        <v>-216.02099999999999</v>
      </c>
      <c r="BH464" s="1404">
        <v>-227.96600000000001</v>
      </c>
      <c r="BI464" s="1404">
        <v>-169.83799999999999</v>
      </c>
      <c r="BJ464" s="1614">
        <v>-209.631</v>
      </c>
      <c r="BK464" s="1404">
        <v>-204.96799999999999</v>
      </c>
      <c r="BL464" s="1404">
        <v>-210.97</v>
      </c>
      <c r="BM464" s="1404">
        <v>-210.97</v>
      </c>
      <c r="BN464" s="767">
        <f>-Model!BN125</f>
        <v>-211.62346991548273</v>
      </c>
      <c r="BO464" s="734">
        <f>-Model!BO125</f>
        <v>-211.62346991548273</v>
      </c>
      <c r="BP464" s="734">
        <f>-Model!BP125</f>
        <v>-211.62346991548273</v>
      </c>
      <c r="BQ464" s="734">
        <f>-Model!BQ125</f>
        <v>-211.6234699154827</v>
      </c>
      <c r="BR464" s="83"/>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c r="CS464"/>
      <c r="CT464"/>
      <c r="CU464"/>
      <c r="CV464"/>
      <c r="CW464"/>
    </row>
    <row r="465" spans="1:105" s="42" customFormat="1" outlineLevel="2">
      <c r="H465" s="289"/>
      <c r="I465" s="586"/>
      <c r="J465" s="630" t="s">
        <v>527</v>
      </c>
      <c r="K465" s="11"/>
      <c r="L465" s="11"/>
      <c r="M465" s="11"/>
      <c r="N465" s="1026"/>
      <c r="O465" s="1026"/>
      <c r="P465" s="1026"/>
      <c r="Q465" s="39"/>
      <c r="R465" s="39"/>
      <c r="S465" s="528"/>
      <c r="T465" s="1412">
        <f>SUM(BB465:BE465)</f>
        <v>174.10200000000003</v>
      </c>
      <c r="U465" s="1412">
        <f>SUM(BF465:BI465)</f>
        <v>539.32500000000005</v>
      </c>
      <c r="V465" s="1412">
        <f>SUM(BJ465:BM465)</f>
        <v>1071.115</v>
      </c>
      <c r="W465" s="528">
        <f>SUM(BN465:BQ465)</f>
        <v>600</v>
      </c>
      <c r="X465" s="1009">
        <f t="shared" ref="X465:AD465" si="533">W465</f>
        <v>600</v>
      </c>
      <c r="Y465" s="1009">
        <f t="shared" si="533"/>
        <v>600</v>
      </c>
      <c r="Z465" s="1009">
        <f t="shared" si="533"/>
        <v>600</v>
      </c>
      <c r="AA465" s="1009">
        <f t="shared" si="533"/>
        <v>600</v>
      </c>
      <c r="AB465" s="1009">
        <f t="shared" si="533"/>
        <v>600</v>
      </c>
      <c r="AC465" s="1009">
        <f t="shared" si="533"/>
        <v>600</v>
      </c>
      <c r="AD465" s="1009">
        <f t="shared" si="533"/>
        <v>600</v>
      </c>
      <c r="AE465" s="836"/>
      <c r="AF465" s="11"/>
      <c r="AG465" s="11"/>
      <c r="AH465" s="11"/>
      <c r="AI465" s="11"/>
      <c r="AJ465" s="11"/>
      <c r="AK465" s="11"/>
      <c r="AL465" s="662"/>
      <c r="AM465" s="205"/>
      <c r="AN465" s="205"/>
      <c r="AO465" s="205"/>
      <c r="AP465" s="1629"/>
      <c r="AQ465" s="916"/>
      <c r="AR465" s="916"/>
      <c r="AS465" s="916"/>
      <c r="AT465" s="767"/>
      <c r="AU465" s="836"/>
      <c r="AV465" s="1030"/>
      <c r="AW465" s="1030"/>
      <c r="AX465" s="767"/>
      <c r="AY465" s="734"/>
      <c r="AZ465" s="734"/>
      <c r="BA465" s="734"/>
      <c r="BB465" s="767"/>
      <c r="BC465" s="1404">
        <v>18.248000000000001</v>
      </c>
      <c r="BD465" s="1404">
        <v>70.174000000000007</v>
      </c>
      <c r="BE465" s="1404">
        <v>85.68</v>
      </c>
      <c r="BF465" s="1614">
        <v>92.055000000000007</v>
      </c>
      <c r="BG465" s="1404">
        <v>83.248000000000005</v>
      </c>
      <c r="BH465" s="1404">
        <v>157.048</v>
      </c>
      <c r="BI465" s="1404">
        <v>206.97399999999999</v>
      </c>
      <c r="BJ465" s="1614">
        <v>222.28299999999999</v>
      </c>
      <c r="BK465" s="1404">
        <v>231.15799999999999</v>
      </c>
      <c r="BL465" s="1404">
        <v>239.816</v>
      </c>
      <c r="BM465" s="1404">
        <v>377.858</v>
      </c>
      <c r="BN465" s="1663">
        <v>150</v>
      </c>
      <c r="BO465" s="1029">
        <f>BN465</f>
        <v>150</v>
      </c>
      <c r="BP465" s="1029">
        <f>BO465</f>
        <v>150</v>
      </c>
      <c r="BQ465" s="1029">
        <f>BP465</f>
        <v>150</v>
      </c>
      <c r="BR465" s="83"/>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c r="CS465"/>
      <c r="CT465"/>
      <c r="CU465"/>
      <c r="CV465"/>
      <c r="CW465"/>
    </row>
    <row r="466" spans="1:105" s="42" customFormat="1" outlineLevel="2">
      <c r="H466" s="289"/>
      <c r="I466" s="586"/>
      <c r="J466" s="17" t="s">
        <v>40</v>
      </c>
      <c r="K466" s="11"/>
      <c r="L466" s="11"/>
      <c r="M466" s="11"/>
      <c r="N466" s="1027"/>
      <c r="O466" s="1027"/>
      <c r="P466" s="1027"/>
      <c r="Q466" s="1027"/>
      <c r="R466" s="1027"/>
      <c r="S466" s="528"/>
      <c r="T466" s="1412">
        <f>SUM(BB466:BE466)</f>
        <v>6228.4840000000004</v>
      </c>
      <c r="U466" s="1409">
        <f>-1227.76-53.186</f>
        <v>-1280.9459999999999</v>
      </c>
      <c r="V466" s="1402">
        <v>-80.448999999999998</v>
      </c>
      <c r="W466" s="39"/>
      <c r="X466" s="39"/>
      <c r="Y466" s="39"/>
      <c r="Z466" s="39"/>
      <c r="AA466" s="39"/>
      <c r="AB466" s="39"/>
      <c r="AC466" s="39"/>
      <c r="AD466" s="39"/>
      <c r="AE466" s="836"/>
      <c r="AF466" s="11"/>
      <c r="AG466" s="11"/>
      <c r="AH466" s="11"/>
      <c r="AI466" s="11"/>
      <c r="AJ466" s="11"/>
      <c r="AK466" s="11"/>
      <c r="AL466" s="662"/>
      <c r="AM466" s="205"/>
      <c r="AN466" s="205"/>
      <c r="AO466" s="205"/>
      <c r="AP466" s="1629"/>
      <c r="AQ466" s="916"/>
      <c r="AR466" s="916"/>
      <c r="AS466" s="916"/>
      <c r="AT466" s="1704"/>
      <c r="AU466" s="1030"/>
      <c r="AV466" s="1030"/>
      <c r="AW466" s="1030"/>
      <c r="AX466" s="1704"/>
      <c r="AY466" s="1357"/>
      <c r="AZ466" s="889"/>
      <c r="BA466" s="889"/>
      <c r="BB466" s="1704"/>
      <c r="BC466" s="1404"/>
      <c r="BD466" s="1404"/>
      <c r="BE466" s="1404">
        <v>6228.4840000000004</v>
      </c>
      <c r="BF466" s="1628">
        <v>0</v>
      </c>
      <c r="BG466" s="1420">
        <f>-1227.76+961.228-12.966</f>
        <v>-279.49800000000005</v>
      </c>
      <c r="BH466" s="1420">
        <f>-19.846+37.559</f>
        <v>17.712999999999997</v>
      </c>
      <c r="BI466" s="1420">
        <f>960.959-20.374</f>
        <v>940.58499999999992</v>
      </c>
      <c r="BJ466" s="1628">
        <f>55.194-20.505</f>
        <v>34.689000000000007</v>
      </c>
      <c r="BK466" s="1420">
        <f>67.963-20.408</f>
        <v>47.554999999999993</v>
      </c>
      <c r="BL466" s="1420">
        <f>-19.856+16.666</f>
        <v>-3.1900000000000013</v>
      </c>
      <c r="BM466" s="1420">
        <f>-19.68</f>
        <v>-19.68</v>
      </c>
      <c r="BN466" s="1664"/>
      <c r="BO466" s="916"/>
      <c r="BP466" s="916"/>
      <c r="BQ466" s="889"/>
      <c r="BR466" s="83"/>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c r="CS466"/>
      <c r="CT466"/>
      <c r="CU466"/>
      <c r="CV466"/>
      <c r="CW466"/>
    </row>
    <row r="467" spans="1:105" s="42" customFormat="1" outlineLevel="2">
      <c r="H467" s="289"/>
      <c r="I467" s="586"/>
      <c r="J467" s="17" t="s">
        <v>42</v>
      </c>
      <c r="K467" s="11"/>
      <c r="L467" s="11"/>
      <c r="M467" s="11"/>
      <c r="N467" s="1027"/>
      <c r="O467" s="1027"/>
      <c r="P467" s="1027"/>
      <c r="Q467" s="1027"/>
      <c r="R467" s="1027"/>
      <c r="S467" s="528"/>
      <c r="T467" s="528"/>
      <c r="U467" s="528"/>
      <c r="V467" s="528"/>
      <c r="W467" s="39"/>
      <c r="X467" s="39"/>
      <c r="Y467" s="39"/>
      <c r="Z467" s="39"/>
      <c r="AA467" s="39"/>
      <c r="AB467" s="39"/>
      <c r="AC467" s="39"/>
      <c r="AD467" s="39"/>
      <c r="AE467" s="836"/>
      <c r="AF467" s="11"/>
      <c r="AG467" s="11"/>
      <c r="AH467" s="11"/>
      <c r="AI467" s="11"/>
      <c r="AJ467" s="11"/>
      <c r="AK467" s="11"/>
      <c r="AL467" s="1790"/>
      <c r="AM467" s="218"/>
      <c r="AN467" s="218"/>
      <c r="AO467" s="218"/>
      <c r="AP467" s="1629"/>
      <c r="AQ467" s="916"/>
      <c r="AR467" s="916"/>
      <c r="AS467" s="916"/>
      <c r="AT467" s="1629"/>
      <c r="AU467" s="916"/>
      <c r="AV467" s="916"/>
      <c r="AW467" s="916"/>
      <c r="AX467" s="1629"/>
      <c r="AY467" s="889"/>
      <c r="AZ467" s="889"/>
      <c r="BA467" s="889"/>
      <c r="BB467" s="1629"/>
      <c r="BC467" s="889"/>
      <c r="BD467" s="889"/>
      <c r="BE467" s="889"/>
      <c r="BF467" s="1629"/>
      <c r="BG467" s="1031"/>
      <c r="BH467" s="1031"/>
      <c r="BI467" s="889"/>
      <c r="BJ467" s="1629"/>
      <c r="BK467" s="916"/>
      <c r="BL467" s="916"/>
      <c r="BM467" s="889"/>
      <c r="BN467" s="1629"/>
      <c r="BO467" s="916"/>
      <c r="BP467" s="916"/>
      <c r="BQ467" s="889"/>
      <c r="BR467" s="83"/>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c r="CS467"/>
      <c r="CT467"/>
      <c r="CU467"/>
      <c r="CV467"/>
      <c r="CW467"/>
    </row>
    <row r="468" spans="1:105" s="42" customFormat="1" outlineLevel="2">
      <c r="H468" s="289"/>
      <c r="I468" s="586"/>
      <c r="J468" s="17" t="s">
        <v>41</v>
      </c>
      <c r="K468" s="11"/>
      <c r="L468" s="11"/>
      <c r="M468" s="11"/>
      <c r="N468" s="1027"/>
      <c r="O468" s="1027"/>
      <c r="P468" s="1027"/>
      <c r="Q468" s="1027"/>
      <c r="R468" s="1027"/>
      <c r="S468" s="528"/>
      <c r="T468" s="528"/>
      <c r="U468" s="528"/>
      <c r="V468" s="528"/>
      <c r="W468" s="39"/>
      <c r="X468" s="39"/>
      <c r="Y468" s="39"/>
      <c r="Z468" s="39"/>
      <c r="AA468" s="39"/>
      <c r="AB468" s="39"/>
      <c r="AC468" s="39"/>
      <c r="AD468" s="39"/>
      <c r="AE468" s="836"/>
      <c r="AF468" s="11"/>
      <c r="AG468" s="11"/>
      <c r="AH468" s="11"/>
      <c r="AI468" s="11"/>
      <c r="AJ468" s="11"/>
      <c r="AK468" s="11"/>
      <c r="AL468" s="662"/>
      <c r="AM468" s="205"/>
      <c r="AN468" s="205"/>
      <c r="AO468" s="205"/>
      <c r="AP468" s="1629"/>
      <c r="AQ468" s="916"/>
      <c r="AR468" s="916"/>
      <c r="AS468" s="916"/>
      <c r="AT468" s="1629"/>
      <c r="AU468" s="916"/>
      <c r="AV468" s="916"/>
      <c r="AW468" s="916"/>
      <c r="AX468" s="1629"/>
      <c r="AY468" s="889"/>
      <c r="AZ468" s="889"/>
      <c r="BA468" s="889"/>
      <c r="BB468" s="1629"/>
      <c r="BC468" s="889"/>
      <c r="BD468" s="889"/>
      <c r="BE468" s="889"/>
      <c r="BF468" s="1629"/>
      <c r="BG468" s="1031"/>
      <c r="BH468" s="1031"/>
      <c r="BI468" s="889"/>
      <c r="BJ468" s="1629"/>
      <c r="BK468" s="916"/>
      <c r="BL468" s="916"/>
      <c r="BM468" s="889"/>
      <c r="BN468" s="1629"/>
      <c r="BO468" s="916"/>
      <c r="BP468" s="916"/>
      <c r="BQ468" s="889"/>
      <c r="BR468" s="83"/>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c r="CS468"/>
      <c r="CT468"/>
      <c r="CU468"/>
      <c r="CV468"/>
      <c r="CW468"/>
    </row>
    <row r="469" spans="1:105" s="42" customFormat="1" outlineLevel="2">
      <c r="H469" s="289"/>
      <c r="I469" s="586"/>
      <c r="J469" s="17" t="s">
        <v>37</v>
      </c>
      <c r="K469" s="11"/>
      <c r="L469" s="11"/>
      <c r="M469" s="11"/>
      <c r="N469" s="1027"/>
      <c r="O469" s="1027"/>
      <c r="P469" s="1027"/>
      <c r="Q469" s="1027"/>
      <c r="R469" s="1027"/>
      <c r="S469" s="528"/>
      <c r="T469" s="528"/>
      <c r="U469" s="528"/>
      <c r="V469" s="528"/>
      <c r="W469" s="39"/>
      <c r="X469" s="39"/>
      <c r="Y469" s="39"/>
      <c r="Z469" s="39"/>
      <c r="AA469" s="39"/>
      <c r="AB469" s="39"/>
      <c r="AC469" s="39"/>
      <c r="AD469" s="39"/>
      <c r="AE469" s="836"/>
      <c r="AF469" s="11"/>
      <c r="AG469" s="11"/>
      <c r="AH469" s="11"/>
      <c r="AI469" s="11"/>
      <c r="AJ469" s="11"/>
      <c r="AK469" s="11"/>
      <c r="AL469" s="662"/>
      <c r="AM469" s="205"/>
      <c r="AN469" s="205"/>
      <c r="AO469" s="205"/>
      <c r="AP469" s="1629"/>
      <c r="AQ469" s="916"/>
      <c r="AR469" s="916"/>
      <c r="AS469" s="916"/>
      <c r="AT469" s="1629"/>
      <c r="AU469" s="916"/>
      <c r="AV469" s="916"/>
      <c r="AW469" s="916"/>
      <c r="AX469" s="1629"/>
      <c r="AY469" s="889"/>
      <c r="AZ469" s="889"/>
      <c r="BA469" s="889"/>
      <c r="BB469" s="1629"/>
      <c r="BC469" s="889"/>
      <c r="BD469" s="889"/>
      <c r="BE469" s="889"/>
      <c r="BF469" s="1629"/>
      <c r="BG469" s="1031"/>
      <c r="BH469" s="1031"/>
      <c r="BI469" s="889"/>
      <c r="BJ469" s="1629"/>
      <c r="BK469" s="916"/>
      <c r="BL469" s="916"/>
      <c r="BM469" s="889"/>
      <c r="BN469" s="1629"/>
      <c r="BO469" s="916"/>
      <c r="BP469" s="916"/>
      <c r="BQ469" s="889"/>
      <c r="BR469" s="83"/>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c r="CS469"/>
      <c r="CT469"/>
      <c r="CU469"/>
      <c r="CV469"/>
      <c r="CW469"/>
    </row>
    <row r="470" spans="1:105" s="599" customFormat="1" outlineLevel="2">
      <c r="H470" s="289"/>
      <c r="I470" s="586"/>
      <c r="J470" s="19" t="s">
        <v>604</v>
      </c>
      <c r="K470" s="58"/>
      <c r="L470" s="58"/>
      <c r="M470" s="58"/>
      <c r="N470" s="1022">
        <f t="shared" ref="N470:V470" si="534">SUM(N460:N469)</f>
        <v>-270</v>
      </c>
      <c r="O470" s="1022">
        <f t="shared" si="534"/>
        <v>-1149</v>
      </c>
      <c r="P470" s="1022">
        <f t="shared" si="534"/>
        <v>-2873.1259999999993</v>
      </c>
      <c r="Q470" s="1022">
        <f t="shared" si="534"/>
        <v>-3089.9610000000002</v>
      </c>
      <c r="R470" s="1022">
        <f t="shared" si="534"/>
        <v>-2211.5530000000003</v>
      </c>
      <c r="S470" s="1022">
        <f t="shared" si="534"/>
        <v>-7617.4340000000002</v>
      </c>
      <c r="T470" s="1022">
        <f t="shared" si="534"/>
        <v>-987.69800000000032</v>
      </c>
      <c r="U470" s="1022">
        <f t="shared" si="534"/>
        <v>2068.4040000000286</v>
      </c>
      <c r="V470" s="1022">
        <f t="shared" si="534"/>
        <v>4968.3799999999519</v>
      </c>
      <c r="W470" s="1022">
        <f t="shared" ref="W470:AD470" si="535">SUM(W460:W469)</f>
        <v>6863.2092049367884</v>
      </c>
      <c r="X470" s="1022">
        <f t="shared" ca="1" si="535"/>
        <v>12884.448945902537</v>
      </c>
      <c r="Y470" s="1022">
        <f t="shared" ca="1" si="535"/>
        <v>20415.114365630379</v>
      </c>
      <c r="Z470" s="1022">
        <f t="shared" ca="1" si="535"/>
        <v>29451.962281059936</v>
      </c>
      <c r="AA470" s="1022">
        <f t="shared" ca="1" si="535"/>
        <v>38139.397881266712</v>
      </c>
      <c r="AB470" s="1022">
        <f t="shared" ca="1" si="535"/>
        <v>47867.801976011746</v>
      </c>
      <c r="AC470" s="1022">
        <f t="shared" ca="1" si="535"/>
        <v>58854.897109031226</v>
      </c>
      <c r="AD470" s="1022">
        <f t="shared" ca="1" si="535"/>
        <v>69074.939239065628</v>
      </c>
      <c r="AE470" s="836"/>
      <c r="AF470" s="11"/>
      <c r="AG470" s="11"/>
      <c r="AH470" s="58"/>
      <c r="AI470" s="58"/>
      <c r="AJ470" s="58"/>
      <c r="AK470" s="58"/>
      <c r="AL470" s="1791"/>
      <c r="AM470" s="295"/>
      <c r="AN470" s="295"/>
      <c r="AO470" s="295"/>
      <c r="AP470" s="1630">
        <f t="shared" ref="AP470:BQ470" si="536">SUM(AP460:AP469)</f>
        <v>-518</v>
      </c>
      <c r="AQ470" s="1028">
        <f t="shared" si="536"/>
        <v>-399</v>
      </c>
      <c r="AR470" s="1028">
        <f t="shared" si="536"/>
        <v>-388</v>
      </c>
      <c r="AS470" s="1028">
        <f t="shared" si="536"/>
        <v>-199</v>
      </c>
      <c r="AT470" s="1630">
        <f t="shared" si="536"/>
        <v>-884</v>
      </c>
      <c r="AU470" s="1028">
        <f t="shared" si="536"/>
        <v>-418.44300000000334</v>
      </c>
      <c r="AV470" s="1028">
        <f t="shared" si="536"/>
        <v>-600.41099999999926</v>
      </c>
      <c r="AW470" s="1028">
        <f t="shared" si="536"/>
        <v>-149.584</v>
      </c>
      <c r="AX470" s="1613">
        <f t="shared" si="536"/>
        <v>-1574.1670000000026</v>
      </c>
      <c r="AY470" s="1355">
        <f t="shared" si="536"/>
        <v>-6475.6049999999996</v>
      </c>
      <c r="AZ470" s="1355">
        <f t="shared" si="536"/>
        <v>370.7819999999997</v>
      </c>
      <c r="BA470" s="1355">
        <f t="shared" si="536"/>
        <v>83.829000000003305</v>
      </c>
      <c r="BB470" s="1613">
        <f t="shared" si="536"/>
        <v>-205.6329999999956</v>
      </c>
      <c r="BC470" s="1355">
        <f t="shared" si="536"/>
        <v>-15.71400000000283</v>
      </c>
      <c r="BD470" s="1355">
        <f t="shared" si="536"/>
        <v>27.036000000004407</v>
      </c>
      <c r="BE470" s="1355">
        <f t="shared" si="536"/>
        <v>-656.17799999999534</v>
      </c>
      <c r="BF470" s="1630">
        <f t="shared" si="536"/>
        <v>87.874499999996488</v>
      </c>
      <c r="BG470" s="376">
        <f t="shared" si="536"/>
        <v>716.76749999999902</v>
      </c>
      <c r="BH470" s="376">
        <f t="shared" si="536"/>
        <v>484.07300000000174</v>
      </c>
      <c r="BI470" s="1028">
        <f t="shared" si="536"/>
        <v>779.68900000000099</v>
      </c>
      <c r="BJ470" s="1630">
        <f t="shared" si="536"/>
        <v>1397.5514999999887</v>
      </c>
      <c r="BK470" s="1028">
        <f t="shared" si="536"/>
        <v>900.92850000000249</v>
      </c>
      <c r="BL470" s="1028">
        <f t="shared" si="536"/>
        <v>2220.6020000000008</v>
      </c>
      <c r="BM470" s="1028">
        <f t="shared" si="536"/>
        <v>449.29799999999665</v>
      </c>
      <c r="BN470" s="1630">
        <f t="shared" si="536"/>
        <v>746.14464455387827</v>
      </c>
      <c r="BO470" s="1028">
        <f t="shared" si="536"/>
        <v>1201.1031664788227</v>
      </c>
      <c r="BP470" s="1028">
        <f t="shared" si="536"/>
        <v>1462.3248001936606</v>
      </c>
      <c r="BQ470" s="1028">
        <f t="shared" si="536"/>
        <v>3453.6365937104547</v>
      </c>
      <c r="BR470" s="533"/>
      <c r="BS470" s="53"/>
      <c r="BT470" s="53"/>
      <c r="BU470" s="53"/>
      <c r="BV470" s="53"/>
      <c r="BW470" s="53"/>
      <c r="BX470" s="53"/>
      <c r="BY470" s="53"/>
      <c r="BZ470" s="53"/>
      <c r="CA470" s="53"/>
      <c r="CB470" s="53"/>
      <c r="CC470" s="53"/>
      <c r="CD470" s="53"/>
      <c r="CE470" s="53"/>
      <c r="CF470" s="53"/>
      <c r="CG470" s="53"/>
      <c r="CH470" s="53"/>
      <c r="CI470" s="53"/>
      <c r="CJ470" s="53"/>
      <c r="CK470" s="53"/>
      <c r="CL470" s="53"/>
      <c r="CM470" s="53"/>
      <c r="CN470" s="53"/>
      <c r="CO470" s="53"/>
      <c r="CP470" s="53"/>
      <c r="CQ470" s="53"/>
      <c r="CR470"/>
      <c r="CS470"/>
      <c r="CT470"/>
      <c r="CU470"/>
      <c r="CV470"/>
      <c r="CW470"/>
      <c r="CX470" s="494"/>
      <c r="CY470" s="494"/>
      <c r="CZ470" s="494"/>
      <c r="DA470" s="494"/>
    </row>
    <row r="471" spans="1:105" s="516" customFormat="1" outlineLevel="1">
      <c r="H471" s="563"/>
      <c r="I471" s="598"/>
      <c r="J471" s="409"/>
      <c r="K471" s="28"/>
      <c r="L471" s="28"/>
      <c r="M471" s="28"/>
      <c r="N471" s="87"/>
      <c r="O471" s="87"/>
      <c r="P471" s="87"/>
      <c r="Q471" s="87"/>
      <c r="R471" s="87"/>
      <c r="S471" s="87"/>
      <c r="T471" s="345"/>
      <c r="U471" s="1272"/>
      <c r="V471" s="345"/>
      <c r="W471" s="87"/>
      <c r="X471" s="87"/>
      <c r="Y471" s="87"/>
      <c r="Z471" s="87"/>
      <c r="AA471" s="87"/>
      <c r="AB471" s="87"/>
      <c r="AC471" s="87"/>
      <c r="AD471" s="87"/>
      <c r="AE471" s="28"/>
      <c r="AF471" s="79"/>
      <c r="AG471" s="28"/>
      <c r="AH471" s="89"/>
      <c r="AI471" s="89"/>
      <c r="AJ471" s="89"/>
      <c r="AK471" s="89"/>
      <c r="AL471" s="665"/>
      <c r="AM471" s="87"/>
      <c r="AN471" s="87"/>
      <c r="AO471" s="87"/>
      <c r="AP471" s="665"/>
      <c r="AQ471" s="87"/>
      <c r="AR471" s="87"/>
      <c r="AS471" s="87"/>
      <c r="AT471" s="665"/>
      <c r="AU471" s="87"/>
      <c r="AV471" s="87"/>
      <c r="AW471" s="87"/>
      <c r="AX471" s="665"/>
      <c r="AY471" s="87"/>
      <c r="AZ471" s="345"/>
      <c r="BA471" s="345"/>
      <c r="BB471" s="678"/>
      <c r="BC471" s="352"/>
      <c r="BD471" s="352"/>
      <c r="BE471" s="352"/>
      <c r="BF471" s="665"/>
      <c r="BG471" s="336"/>
      <c r="BH471" s="336"/>
      <c r="BI471" s="87"/>
      <c r="BJ471" s="665"/>
      <c r="BK471" s="87"/>
      <c r="BL471" s="87"/>
      <c r="BM471" s="87"/>
      <c r="BN471" s="665"/>
      <c r="BO471" s="87"/>
      <c r="BP471" s="87"/>
      <c r="BQ471" s="87"/>
      <c r="BR471" s="28"/>
      <c r="BS471" s="28"/>
      <c r="BT471" s="28"/>
      <c r="BU471" s="28"/>
      <c r="BV471" s="28"/>
      <c r="BW471" s="437"/>
      <c r="BX471" s="437"/>
      <c r="BY471" s="437"/>
      <c r="BZ471" s="437"/>
      <c r="CA471" s="437"/>
      <c r="CB471" s="437"/>
      <c r="CC471" s="437"/>
      <c r="CD471" s="437"/>
      <c r="CE471" s="437"/>
      <c r="CF471" s="437"/>
      <c r="CG471" s="437"/>
      <c r="CH471" s="437"/>
      <c r="CI471" s="437"/>
      <c r="CJ471" s="437"/>
      <c r="CK471" s="437"/>
      <c r="CL471" s="437"/>
      <c r="CM471" s="437"/>
      <c r="CN471" s="437"/>
      <c r="CO471" s="437"/>
      <c r="CP471" s="437"/>
      <c r="CQ471" s="437"/>
      <c r="CR471"/>
      <c r="CS471"/>
      <c r="CT471"/>
      <c r="CU471"/>
      <c r="CV471"/>
      <c r="CW471"/>
    </row>
    <row r="472" spans="1:105" s="593" customFormat="1" outlineLevel="1">
      <c r="H472" s="289"/>
      <c r="I472" s="586"/>
      <c r="J472" s="59" t="s">
        <v>390</v>
      </c>
      <c r="K472" s="11"/>
      <c r="L472" s="11"/>
      <c r="M472" s="11"/>
      <c r="N472" s="436">
        <f t="shared" ref="N472:T472" si="537">N458/N397</f>
        <v>-0.70952370278241295</v>
      </c>
      <c r="O472" s="436">
        <f t="shared" si="537"/>
        <v>-1.342532034111297</v>
      </c>
      <c r="P472" s="436">
        <f t="shared" si="537"/>
        <v>-2.1719375934762488</v>
      </c>
      <c r="Q472" s="436">
        <f t="shared" si="537"/>
        <v>-2.0280128114769762</v>
      </c>
      <c r="R472" s="436">
        <f t="shared" si="537"/>
        <v>-1.3051398424623784</v>
      </c>
      <c r="S472" s="436">
        <f t="shared" si="537"/>
        <v>-7.087078678889748</v>
      </c>
      <c r="T472" s="436">
        <f t="shared" si="537"/>
        <v>-0.72225646022801948</v>
      </c>
      <c r="U472" s="436">
        <f t="shared" ref="U472:AC472" si="538">U458/U397</f>
        <v>1.4749198507684262</v>
      </c>
      <c r="V472" s="436">
        <f t="shared" si="538"/>
        <v>3.4929236445392102</v>
      </c>
      <c r="W472" s="436">
        <f t="shared" si="538"/>
        <v>4.6845113955690927</v>
      </c>
      <c r="X472" s="436">
        <f t="shared" ca="1" si="538"/>
        <v>8.5381874799024242</v>
      </c>
      <c r="Y472" s="436">
        <f t="shared" ca="1" si="538"/>
        <v>13.134526776996211</v>
      </c>
      <c r="Z472" s="436">
        <f t="shared" ca="1" si="538"/>
        <v>18.396687194523082</v>
      </c>
      <c r="AA472" s="436">
        <f t="shared" ca="1" si="538"/>
        <v>23.12927373660353</v>
      </c>
      <c r="AB472" s="436">
        <f t="shared" ca="1" si="538"/>
        <v>28.183467499917782</v>
      </c>
      <c r="AC472" s="436">
        <f t="shared" ca="1" si="538"/>
        <v>33.643124212405098</v>
      </c>
      <c r="AD472" s="436">
        <f ca="1">AD458/AD397</f>
        <v>38.335135361524685</v>
      </c>
      <c r="AE472" s="11"/>
      <c r="AF472" s="11"/>
      <c r="AG472" s="11"/>
      <c r="AH472" s="11"/>
      <c r="AI472" s="11"/>
      <c r="AJ472" s="11"/>
      <c r="AK472" s="11"/>
      <c r="AL472" s="666"/>
      <c r="AM472" s="226"/>
      <c r="AN472" s="226"/>
      <c r="AO472" s="226"/>
      <c r="AP472" s="666"/>
      <c r="AQ472" s="226"/>
      <c r="AR472" s="226"/>
      <c r="AS472" s="226"/>
      <c r="AT472" s="666"/>
      <c r="AU472" s="226"/>
      <c r="AV472" s="226"/>
      <c r="AW472" s="226"/>
      <c r="AX472" s="436">
        <f t="shared" ref="AX472:BM472" si="539">AX458/AX397</f>
        <v>-1.308771664358132</v>
      </c>
      <c r="AY472" s="436">
        <f t="shared" si="539"/>
        <v>-5.383855927341779</v>
      </c>
      <c r="AZ472" s="436">
        <f t="shared" si="539"/>
        <v>0.27218571777786399</v>
      </c>
      <c r="BA472" s="436">
        <f t="shared" si="539"/>
        <v>6.152851333433642E-2</v>
      </c>
      <c r="BB472" s="436">
        <f t="shared" si="539"/>
        <v>-0.15049809730233413</v>
      </c>
      <c r="BC472" s="436">
        <f t="shared" si="539"/>
        <v>-1.1490260625787665E-2</v>
      </c>
      <c r="BD472" s="436">
        <f t="shared" si="539"/>
        <v>1.9765057825371669E-2</v>
      </c>
      <c r="BE472" s="436">
        <f t="shared" si="539"/>
        <v>-0.47957201038546865</v>
      </c>
      <c r="BF472" s="1883">
        <f>U472-SUM(BG472:BI472)</f>
        <v>6.9665069589959661E-2</v>
      </c>
      <c r="BG472" s="436">
        <f t="shared" si="539"/>
        <v>0.51881344995101453</v>
      </c>
      <c r="BH472" s="436">
        <f t="shared" si="539"/>
        <v>0.33625509299281414</v>
      </c>
      <c r="BI472" s="436">
        <f t="shared" si="539"/>
        <v>0.55018623823463786</v>
      </c>
      <c r="BJ472" s="1883">
        <f>V472-SUM(BK472:BM472)</f>
        <v>0.98460232666813319</v>
      </c>
      <c r="BK472" s="436">
        <f t="shared" si="539"/>
        <v>0.63325840469478001</v>
      </c>
      <c r="BL472" s="436">
        <f t="shared" si="539"/>
        <v>1.5596793129157365</v>
      </c>
      <c r="BM472" s="436">
        <f t="shared" si="539"/>
        <v>0.31538360026056056</v>
      </c>
      <c r="BN472" s="436">
        <f>BN458/BN397</f>
        <v>0.50928406606653709</v>
      </c>
      <c r="BO472" s="436">
        <f>BO458/BO397</f>
        <v>0.81981785817878006</v>
      </c>
      <c r="BP472" s="436">
        <f>BP458/BP397</f>
        <v>0.99811574818424798</v>
      </c>
      <c r="BQ472" s="436">
        <f>BQ458/BQ397</f>
        <v>2.3572937231395468</v>
      </c>
      <c r="BR472" s="1881"/>
      <c r="BS472" s="1882"/>
      <c r="BT472" s="75"/>
      <c r="BU472" s="11"/>
      <c r="BV472" s="11"/>
      <c r="BW472" s="3"/>
      <c r="BX472" s="3"/>
      <c r="BY472" s="3"/>
      <c r="BZ472" s="3"/>
      <c r="CA472" s="3"/>
      <c r="CB472" s="3"/>
      <c r="CC472" s="3"/>
      <c r="CD472" s="3"/>
      <c r="CE472" s="3"/>
      <c r="CF472" s="3"/>
      <c r="CG472" s="3"/>
      <c r="CH472" s="3"/>
      <c r="CI472" s="3"/>
      <c r="CJ472" s="3"/>
      <c r="CK472" s="3"/>
      <c r="CL472" s="3"/>
      <c r="CM472" s="3"/>
      <c r="CN472" s="3"/>
      <c r="CO472" s="3"/>
      <c r="CP472" s="3"/>
      <c r="CQ472" s="3"/>
      <c r="CR472"/>
      <c r="CS472"/>
      <c r="CT472"/>
      <c r="CU472"/>
      <c r="CV472"/>
      <c r="CW472"/>
    </row>
    <row r="473" spans="1:105" s="593" customFormat="1" outlineLevel="1">
      <c r="H473" s="289"/>
      <c r="I473" s="586"/>
      <c r="J473" s="59" t="s">
        <v>397</v>
      </c>
      <c r="K473" s="11"/>
      <c r="L473" s="11"/>
      <c r="M473" s="11"/>
      <c r="N473" s="436">
        <f t="shared" ref="N473:T473" si="540">N458/N398</f>
        <v>-0.70952370278241295</v>
      </c>
      <c r="O473" s="436">
        <f t="shared" si="540"/>
        <v>-1.342532034111297</v>
      </c>
      <c r="P473" s="436">
        <f t="shared" si="540"/>
        <v>-2.1719375934762488</v>
      </c>
      <c r="Q473" s="436">
        <f t="shared" si="540"/>
        <v>-2.0280128114769762</v>
      </c>
      <c r="R473" s="436">
        <f t="shared" si="540"/>
        <v>-1.3051398424623784</v>
      </c>
      <c r="S473" s="436">
        <f t="shared" si="540"/>
        <v>-6.2962631422257118</v>
      </c>
      <c r="T473" s="436">
        <f t="shared" si="540"/>
        <v>-0.72225646022801948</v>
      </c>
      <c r="U473" s="436">
        <f t="shared" ref="U473:AC473" si="541">U458/U398</f>
        <v>1.4749198507684262</v>
      </c>
      <c r="V473" s="436">
        <f t="shared" si="541"/>
        <v>3.4129794584301303</v>
      </c>
      <c r="W473" s="436">
        <f t="shared" si="541"/>
        <v>4.5772947802208108</v>
      </c>
      <c r="X473" s="436">
        <f t="shared" ca="1" si="541"/>
        <v>8.3427699677003826</v>
      </c>
      <c r="Y473" s="436">
        <f t="shared" ca="1" si="541"/>
        <v>12.833910685729377</v>
      </c>
      <c r="Z473" s="436">
        <f t="shared" ca="1" si="541"/>
        <v>17.975633563084912</v>
      </c>
      <c r="AA473" s="436">
        <f t="shared" ca="1" si="541"/>
        <v>22.599903171330034</v>
      </c>
      <c r="AB473" s="436">
        <f t="shared" ca="1" si="541"/>
        <v>27.538419225090731</v>
      </c>
      <c r="AC473" s="436">
        <f t="shared" ca="1" si="541"/>
        <v>32.873118206825147</v>
      </c>
      <c r="AD473" s="436">
        <f ca="1">AD458/AD398</f>
        <v>37.45774109020995</v>
      </c>
      <c r="AE473" s="11"/>
      <c r="AF473" s="11"/>
      <c r="AG473" s="11"/>
      <c r="AH473" s="11"/>
      <c r="AI473" s="11"/>
      <c r="AJ473" s="11"/>
      <c r="AK473" s="11"/>
      <c r="AL473" s="666"/>
      <c r="AM473" s="226"/>
      <c r="AN473" s="226"/>
      <c r="AO473" s="226"/>
      <c r="AP473" s="666"/>
      <c r="AQ473" s="226"/>
      <c r="AR473" s="226"/>
      <c r="AS473" s="226"/>
      <c r="AT473" s="666"/>
      <c r="AU473" s="226"/>
      <c r="AV473" s="226"/>
      <c r="AW473" s="226"/>
      <c r="AX473" s="436">
        <f t="shared" ref="AX473:BM473" si="542">AX458/AX398</f>
        <v>-1.308771664358132</v>
      </c>
      <c r="AY473" s="436">
        <f t="shared" si="542"/>
        <v>-5.383855927341779</v>
      </c>
      <c r="AZ473" s="436">
        <f t="shared" si="542"/>
        <v>0.27218571777786399</v>
      </c>
      <c r="BA473" s="436">
        <f t="shared" si="542"/>
        <v>6.152851333433642E-2</v>
      </c>
      <c r="BB473" s="436">
        <f t="shared" si="542"/>
        <v>-0.15049809730233413</v>
      </c>
      <c r="BC473" s="436">
        <f t="shared" si="542"/>
        <v>-1.1490260625787665E-2</v>
      </c>
      <c r="BD473" s="436">
        <f t="shared" si="542"/>
        <v>1.9765057825371669E-2</v>
      </c>
      <c r="BE473" s="436">
        <f t="shared" si="542"/>
        <v>-0.47957201038546865</v>
      </c>
      <c r="BF473" s="1883">
        <f>U473-SUM(BG473:BI473)</f>
        <v>8.1428567717839684E-2</v>
      </c>
      <c r="BG473" s="436">
        <f t="shared" si="542"/>
        <v>0.51881344995101453</v>
      </c>
      <c r="BH473" s="436">
        <f t="shared" si="542"/>
        <v>0.33216452839407007</v>
      </c>
      <c r="BI473" s="436">
        <f t="shared" si="542"/>
        <v>0.54251330470550196</v>
      </c>
      <c r="BJ473" s="1883">
        <f>V473-SUM(BK473:BM473)</f>
        <v>0.95973687078001291</v>
      </c>
      <c r="BK473" s="436">
        <f t="shared" si="542"/>
        <v>0.61946178868832302</v>
      </c>
      <c r="BL473" s="436">
        <f t="shared" si="542"/>
        <v>1.5183971987012339</v>
      </c>
      <c r="BM473" s="436">
        <f t="shared" si="542"/>
        <v>0.31538360026056056</v>
      </c>
      <c r="BN473" s="436">
        <f>BN458/BN398</f>
        <v>0.49762784213972316</v>
      </c>
      <c r="BO473" s="436">
        <f>BO458/BO398</f>
        <v>0.80105430131367217</v>
      </c>
      <c r="BP473" s="436">
        <f>BP458/BP398</f>
        <v>0.97527140366042964</v>
      </c>
      <c r="BQ473" s="436">
        <f>BQ458/BQ398</f>
        <v>2.3033412331070044</v>
      </c>
      <c r="BR473" s="1881"/>
      <c r="BS473" s="1882"/>
      <c r="BT473" s="75"/>
      <c r="BU473" s="11"/>
      <c r="BV473" s="11"/>
      <c r="BW473" s="3"/>
      <c r="BX473" s="3"/>
      <c r="BY473" s="3"/>
      <c r="BZ473" s="3"/>
      <c r="CA473" s="3"/>
      <c r="CB473" s="3"/>
      <c r="CC473" s="3"/>
      <c r="CD473" s="3"/>
      <c r="CE473" s="3"/>
      <c r="CF473" s="3"/>
      <c r="CG473" s="3"/>
      <c r="CH473" s="3"/>
      <c r="CI473" s="3"/>
      <c r="CJ473" s="3"/>
      <c r="CK473" s="3"/>
      <c r="CL473" s="3"/>
      <c r="CM473" s="3"/>
      <c r="CN473" s="3"/>
      <c r="CO473" s="3"/>
      <c r="CP473" s="3"/>
      <c r="CQ473" s="3"/>
      <c r="CR473"/>
      <c r="CS473"/>
      <c r="CT473"/>
      <c r="CU473"/>
      <c r="CV473"/>
      <c r="CW473"/>
    </row>
    <row r="474" spans="1:105" s="593" customFormat="1" outlineLevel="1">
      <c r="H474" s="289"/>
      <c r="I474" s="586"/>
      <c r="J474" s="59" t="s">
        <v>391</v>
      </c>
      <c r="K474" s="11"/>
      <c r="L474" s="11"/>
      <c r="M474" s="11"/>
      <c r="N474" s="370">
        <f t="shared" ref="N474:AD474" si="543">N472/2</f>
        <v>-0.35476185139120647</v>
      </c>
      <c r="O474" s="370">
        <f t="shared" si="543"/>
        <v>-0.67126601705564848</v>
      </c>
      <c r="P474" s="370">
        <f t="shared" si="543"/>
        <v>-1.0859687967381244</v>
      </c>
      <c r="Q474" s="370">
        <f t="shared" si="543"/>
        <v>-1.0140064057384881</v>
      </c>
      <c r="R474" s="370">
        <f t="shared" si="543"/>
        <v>-0.65256992123118918</v>
      </c>
      <c r="S474" s="187">
        <f t="shared" si="543"/>
        <v>-3.543539339444874</v>
      </c>
      <c r="T474" s="187">
        <f t="shared" si="543"/>
        <v>-0.36112823011400974</v>
      </c>
      <c r="U474" s="187">
        <f t="shared" si="543"/>
        <v>0.73745992538421312</v>
      </c>
      <c r="V474" s="187">
        <f t="shared" si="543"/>
        <v>1.7464618222696051</v>
      </c>
      <c r="W474" s="370">
        <f t="shared" si="543"/>
        <v>2.3422556977845463</v>
      </c>
      <c r="X474" s="370">
        <f t="shared" ca="1" si="543"/>
        <v>4.2690937399512121</v>
      </c>
      <c r="Y474" s="370">
        <f t="shared" ca="1" si="543"/>
        <v>6.5672633884981053</v>
      </c>
      <c r="Z474" s="370">
        <f t="shared" ca="1" si="543"/>
        <v>9.198343597261541</v>
      </c>
      <c r="AA474" s="370">
        <f t="shared" ca="1" si="543"/>
        <v>11.564636868301765</v>
      </c>
      <c r="AB474" s="370">
        <f t="shared" ca="1" si="543"/>
        <v>14.091733749958891</v>
      </c>
      <c r="AC474" s="370">
        <f t="shared" ca="1" si="543"/>
        <v>16.821562106202549</v>
      </c>
      <c r="AD474" s="370">
        <f t="shared" ca="1" si="543"/>
        <v>19.167567680762343</v>
      </c>
      <c r="AE474" s="11"/>
      <c r="AF474" s="11"/>
      <c r="AG474" s="11"/>
      <c r="AH474" s="11"/>
      <c r="AI474" s="11"/>
      <c r="AJ474" s="11"/>
      <c r="AK474" s="11"/>
      <c r="AL474" s="666"/>
      <c r="AM474" s="226"/>
      <c r="AN474" s="226"/>
      <c r="AO474" s="226"/>
      <c r="AP474" s="666"/>
      <c r="AQ474" s="226"/>
      <c r="AR474" s="226"/>
      <c r="AS474" s="226"/>
      <c r="AT474" s="666"/>
      <c r="AU474" s="226"/>
      <c r="AV474" s="226"/>
      <c r="AW474" s="226"/>
      <c r="AX474" s="666">
        <f>IF(ISERROR(AX472/2),"NA",AX472/2)</f>
        <v>-0.65438583217906598</v>
      </c>
      <c r="AY474" s="436">
        <f t="shared" ref="AY474:BQ474" si="544">AY472/2</f>
        <v>-2.6919279636708895</v>
      </c>
      <c r="AZ474" s="436">
        <f t="shared" si="544"/>
        <v>0.13609285888893199</v>
      </c>
      <c r="BA474" s="436">
        <f t="shared" si="544"/>
        <v>3.076425666716821E-2</v>
      </c>
      <c r="BB474" s="666">
        <f t="shared" si="544"/>
        <v>-7.5249048651167064E-2</v>
      </c>
      <c r="BC474" s="436">
        <f t="shared" si="544"/>
        <v>-5.7451303128938326E-3</v>
      </c>
      <c r="BD474" s="436">
        <f t="shared" si="544"/>
        <v>9.8825289126858347E-3</v>
      </c>
      <c r="BE474" s="436">
        <f t="shared" si="544"/>
        <v>-0.23978600519273433</v>
      </c>
      <c r="BF474" s="666">
        <f t="shared" si="544"/>
        <v>3.483253479497983E-2</v>
      </c>
      <c r="BG474" s="368">
        <f t="shared" si="544"/>
        <v>0.25940672497550726</v>
      </c>
      <c r="BH474" s="368">
        <f t="shared" si="544"/>
        <v>0.16812754649640707</v>
      </c>
      <c r="BI474" s="436">
        <f t="shared" si="544"/>
        <v>0.27509311911731893</v>
      </c>
      <c r="BJ474" s="666">
        <f t="shared" si="544"/>
        <v>0.49230116333406659</v>
      </c>
      <c r="BK474" s="436">
        <f t="shared" si="544"/>
        <v>0.31662920234739</v>
      </c>
      <c r="BL474" s="226">
        <f t="shared" si="544"/>
        <v>0.77983965645786824</v>
      </c>
      <c r="BM474" s="436">
        <f t="shared" si="544"/>
        <v>0.15769180013028028</v>
      </c>
      <c r="BN474" s="666">
        <f t="shared" si="544"/>
        <v>0.25464203303326854</v>
      </c>
      <c r="BO474" s="226">
        <f t="shared" si="544"/>
        <v>0.40990892908939003</v>
      </c>
      <c r="BP474" s="226">
        <f t="shared" si="544"/>
        <v>0.49905787409212399</v>
      </c>
      <c r="BQ474" s="436">
        <f t="shared" si="544"/>
        <v>1.1786468615697734</v>
      </c>
      <c r="BR474" s="1881"/>
      <c r="BS474" s="1882"/>
      <c r="BT474" s="75"/>
      <c r="BU474" s="11"/>
      <c r="BV474" s="11"/>
      <c r="BW474" s="3"/>
      <c r="BX474" s="3"/>
      <c r="BY474" s="3"/>
      <c r="BZ474" s="3"/>
      <c r="CA474" s="3"/>
      <c r="CB474" s="3"/>
      <c r="CC474" s="3"/>
      <c r="CD474" s="3"/>
      <c r="CE474" s="3"/>
      <c r="CF474" s="3"/>
      <c r="CG474" s="3"/>
      <c r="CH474" s="3"/>
      <c r="CI474" s="3"/>
      <c r="CJ474" s="3"/>
      <c r="CK474" s="3"/>
      <c r="CL474" s="3"/>
      <c r="CM474" s="3"/>
      <c r="CN474" s="3"/>
      <c r="CO474" s="3"/>
      <c r="CP474" s="3"/>
      <c r="CQ474" s="3"/>
      <c r="CR474"/>
      <c r="CS474"/>
      <c r="CT474"/>
      <c r="CU474"/>
      <c r="CV474"/>
      <c r="CW474"/>
    </row>
    <row r="475" spans="1:105" s="593" customFormat="1" outlineLevel="1">
      <c r="H475" s="289"/>
      <c r="I475" s="586"/>
      <c r="J475" s="59" t="s">
        <v>392</v>
      </c>
      <c r="K475" s="11"/>
      <c r="L475" s="11"/>
      <c r="M475" s="11"/>
      <c r="N475" s="370">
        <f t="shared" ref="N475:AD475" si="545">N473/2</f>
        <v>-0.35476185139120647</v>
      </c>
      <c r="O475" s="370">
        <f t="shared" si="545"/>
        <v>-0.67126601705564848</v>
      </c>
      <c r="P475" s="370">
        <f t="shared" si="545"/>
        <v>-1.0859687967381244</v>
      </c>
      <c r="Q475" s="370">
        <f t="shared" si="545"/>
        <v>-1.0140064057384881</v>
      </c>
      <c r="R475" s="370">
        <f t="shared" si="545"/>
        <v>-0.65256992123118918</v>
      </c>
      <c r="S475" s="187">
        <f t="shared" si="545"/>
        <v>-3.1481315711128559</v>
      </c>
      <c r="T475" s="187">
        <f t="shared" si="545"/>
        <v>-0.36112823011400974</v>
      </c>
      <c r="U475" s="187">
        <f t="shared" si="545"/>
        <v>0.73745992538421312</v>
      </c>
      <c r="V475" s="187">
        <f t="shared" si="545"/>
        <v>1.7064897292150651</v>
      </c>
      <c r="W475" s="370">
        <f t="shared" si="545"/>
        <v>2.2886473901104054</v>
      </c>
      <c r="X475" s="370">
        <f t="shared" ca="1" si="545"/>
        <v>4.1713849838501913</v>
      </c>
      <c r="Y475" s="370">
        <f t="shared" ca="1" si="545"/>
        <v>6.4169553428646884</v>
      </c>
      <c r="Z475" s="370">
        <f t="shared" ca="1" si="545"/>
        <v>8.9878167815424561</v>
      </c>
      <c r="AA475" s="370">
        <f t="shared" ca="1" si="545"/>
        <v>11.299951585665017</v>
      </c>
      <c r="AB475" s="370">
        <f t="shared" ca="1" si="545"/>
        <v>13.769209612545366</v>
      </c>
      <c r="AC475" s="370">
        <f t="shared" ca="1" si="545"/>
        <v>16.436559103412574</v>
      </c>
      <c r="AD475" s="370">
        <f t="shared" ca="1" si="545"/>
        <v>18.728870545104975</v>
      </c>
      <c r="AE475" s="11"/>
      <c r="AF475" s="11"/>
      <c r="AG475" s="11"/>
      <c r="AH475" s="11"/>
      <c r="AI475" s="11"/>
      <c r="AJ475" s="11"/>
      <c r="AK475" s="11"/>
      <c r="AL475" s="666"/>
      <c r="AM475" s="226"/>
      <c r="AN475" s="226"/>
      <c r="AO475" s="226"/>
      <c r="AP475" s="666"/>
      <c r="AQ475" s="226"/>
      <c r="AR475" s="226"/>
      <c r="AS475" s="226"/>
      <c r="AT475" s="666"/>
      <c r="AU475" s="226"/>
      <c r="AV475" s="226"/>
      <c r="AW475" s="226"/>
      <c r="AX475" s="666">
        <f>IF(ISERROR(AX473/2),"NA",AX473/2)</f>
        <v>-0.65438583217906598</v>
      </c>
      <c r="AY475" s="436">
        <f t="shared" ref="AY475:BQ475" si="546">AY473/2</f>
        <v>-2.6919279636708895</v>
      </c>
      <c r="AZ475" s="436">
        <f t="shared" si="546"/>
        <v>0.13609285888893199</v>
      </c>
      <c r="BA475" s="436">
        <f t="shared" si="546"/>
        <v>3.076425666716821E-2</v>
      </c>
      <c r="BB475" s="666">
        <f t="shared" si="546"/>
        <v>-7.5249048651167064E-2</v>
      </c>
      <c r="BC475" s="436">
        <f t="shared" si="546"/>
        <v>-5.7451303128938326E-3</v>
      </c>
      <c r="BD475" s="436">
        <f t="shared" si="546"/>
        <v>9.8825289126858347E-3</v>
      </c>
      <c r="BE475" s="436">
        <f t="shared" si="546"/>
        <v>-0.23978600519273433</v>
      </c>
      <c r="BF475" s="666">
        <f t="shared" si="546"/>
        <v>4.0714283858919842E-2</v>
      </c>
      <c r="BG475" s="368">
        <f t="shared" si="546"/>
        <v>0.25940672497550726</v>
      </c>
      <c r="BH475" s="368">
        <f t="shared" si="546"/>
        <v>0.16608226419703503</v>
      </c>
      <c r="BI475" s="436">
        <f t="shared" si="546"/>
        <v>0.27125665235275098</v>
      </c>
      <c r="BJ475" s="666">
        <f t="shared" si="546"/>
        <v>0.47986843539000645</v>
      </c>
      <c r="BK475" s="436">
        <f t="shared" si="546"/>
        <v>0.30973089434416151</v>
      </c>
      <c r="BL475" s="226">
        <f t="shared" si="546"/>
        <v>0.75919859935061695</v>
      </c>
      <c r="BM475" s="436">
        <f t="shared" si="546"/>
        <v>0.15769180013028028</v>
      </c>
      <c r="BN475" s="666">
        <f t="shared" si="546"/>
        <v>0.24881392106986158</v>
      </c>
      <c r="BO475" s="226">
        <f t="shared" si="546"/>
        <v>0.40052715065683608</v>
      </c>
      <c r="BP475" s="226">
        <f t="shared" si="546"/>
        <v>0.48763570183021482</v>
      </c>
      <c r="BQ475" s="436">
        <f t="shared" si="546"/>
        <v>1.1516706165535022</v>
      </c>
      <c r="BR475" s="1881"/>
      <c r="BS475" s="1882"/>
      <c r="BT475" s="75"/>
      <c r="BU475" s="11"/>
      <c r="BV475" s="11"/>
      <c r="BW475" s="3"/>
      <c r="BX475" s="3"/>
      <c r="BY475" s="3"/>
      <c r="BZ475" s="3"/>
      <c r="CA475" s="3"/>
      <c r="CB475" s="3"/>
      <c r="CC475" s="3"/>
      <c r="CD475" s="3"/>
      <c r="CE475" s="3"/>
      <c r="CF475" s="3"/>
      <c r="CG475" s="3"/>
      <c r="CH475" s="3"/>
      <c r="CI475" s="3"/>
      <c r="CJ475" s="3"/>
      <c r="CK475" s="3"/>
      <c r="CL475" s="3"/>
      <c r="CM475" s="3"/>
      <c r="CN475" s="3"/>
      <c r="CO475" s="3"/>
      <c r="CP475" s="3"/>
      <c r="CQ475" s="3"/>
      <c r="CR475"/>
      <c r="CS475"/>
      <c r="CT475"/>
      <c r="CU475"/>
      <c r="CV475"/>
      <c r="CW475"/>
    </row>
    <row r="476" spans="1:105" s="503" customFormat="1" outlineLevel="1">
      <c r="A476" s="593"/>
      <c r="B476" s="593"/>
      <c r="C476" s="593"/>
      <c r="D476" s="593"/>
      <c r="E476" s="593"/>
      <c r="F476" s="593"/>
      <c r="G476" s="593"/>
      <c r="H476" s="289"/>
      <c r="I476" s="977"/>
      <c r="J476" s="819"/>
      <c r="K476" s="820"/>
      <c r="L476" s="820"/>
      <c r="M476" s="820"/>
      <c r="N476" s="821"/>
      <c r="O476" s="821"/>
      <c r="P476" s="821"/>
      <c r="Q476" s="821"/>
      <c r="R476" s="821"/>
      <c r="S476" s="821"/>
      <c r="T476" s="821"/>
      <c r="U476" s="821"/>
      <c r="V476" s="821"/>
      <c r="W476" s="821"/>
      <c r="X476" s="821"/>
      <c r="Y476" s="821"/>
      <c r="Z476" s="821"/>
      <c r="AA476" s="821"/>
      <c r="AB476" s="821"/>
      <c r="AC476" s="821"/>
      <c r="AD476" s="821"/>
      <c r="AE476" s="521"/>
      <c r="AF476" s="521"/>
      <c r="AG476" s="521"/>
      <c r="AH476" s="820"/>
      <c r="AI476" s="820"/>
      <c r="AJ476" s="820"/>
      <c r="AK476" s="820"/>
      <c r="AL476" s="1018"/>
      <c r="AM476" s="1016"/>
      <c r="AN476" s="1016"/>
      <c r="AO476" s="1016"/>
      <c r="AP476" s="1018"/>
      <c r="AQ476" s="1016"/>
      <c r="AR476" s="1016"/>
      <c r="AS476" s="1016"/>
      <c r="AT476" s="1018"/>
      <c r="AU476" s="1016"/>
      <c r="AV476" s="1016"/>
      <c r="AW476" s="1016"/>
      <c r="AX476" s="1018"/>
      <c r="AY476" s="1016"/>
      <c r="AZ476" s="1016"/>
      <c r="BA476" s="1016"/>
      <c r="BB476" s="1018"/>
      <c r="BC476" s="1016"/>
      <c r="BD476" s="1016"/>
      <c r="BE476" s="1016"/>
      <c r="BF476" s="1018"/>
      <c r="BG476" s="1017"/>
      <c r="BH476" s="1017"/>
      <c r="BI476" s="1016"/>
      <c r="BJ476" s="1018"/>
      <c r="BK476" s="1016"/>
      <c r="BL476" s="1016"/>
      <c r="BM476" s="1016"/>
      <c r="BN476" s="1018"/>
      <c r="BO476" s="1016"/>
      <c r="BP476" s="1016"/>
      <c r="BQ476" s="1016"/>
      <c r="BR476" s="480"/>
      <c r="BS476" s="521"/>
      <c r="BT476" s="521"/>
      <c r="BU476" s="521"/>
      <c r="BV476" s="521"/>
      <c r="CR476"/>
      <c r="CS476"/>
      <c r="CT476"/>
      <c r="CU476"/>
      <c r="CV476"/>
      <c r="CW476"/>
    </row>
    <row r="477" spans="1:105" s="592" customFormat="1" outlineLevel="1">
      <c r="H477" s="563"/>
      <c r="I477" s="588"/>
      <c r="J477" s="5" t="s">
        <v>666</v>
      </c>
      <c r="K477" s="11"/>
      <c r="L477" s="11"/>
      <c r="M477" s="11"/>
      <c r="N477" s="1300"/>
      <c r="O477" s="1300"/>
      <c r="P477" s="1300"/>
      <c r="Q477" s="1300"/>
      <c r="R477" s="1300"/>
      <c r="S477" s="1300"/>
      <c r="T477" s="1300"/>
      <c r="U477" s="1300"/>
      <c r="V477" s="1300"/>
      <c r="W477" s="1300"/>
      <c r="X477" s="1300"/>
      <c r="Y477" s="1300"/>
      <c r="Z477" s="1300"/>
      <c r="AA477" s="1300"/>
      <c r="AB477" s="1300"/>
      <c r="AC477" s="1300"/>
      <c r="AD477" s="1300"/>
      <c r="AE477" s="836"/>
      <c r="AF477" s="440"/>
      <c r="AG477" s="28"/>
      <c r="AH477" s="28"/>
      <c r="AI477" s="28"/>
      <c r="AJ477" s="28"/>
      <c r="AK477" s="28"/>
      <c r="AL477" s="662"/>
      <c r="AM477" s="215"/>
      <c r="AN477" s="215"/>
      <c r="AO477" s="215"/>
      <c r="AP477" s="1623"/>
      <c r="AQ477" s="1300"/>
      <c r="AR477" s="1300"/>
      <c r="AS477" s="1300"/>
      <c r="AT477" s="1623"/>
      <c r="AU477" s="1300"/>
      <c r="AV477" s="1300"/>
      <c r="AW477" s="1300"/>
      <c r="AX477" s="1623"/>
      <c r="AY477" s="1300"/>
      <c r="AZ477" s="1300"/>
      <c r="BA477" s="1300"/>
      <c r="BB477" s="1623"/>
      <c r="BC477" s="1300"/>
      <c r="BD477" s="1300"/>
      <c r="BE477" s="1300"/>
      <c r="BF477" s="1623"/>
      <c r="BG477" s="1300"/>
      <c r="BH477" s="1300"/>
      <c r="BI477" s="1300"/>
      <c r="BJ477" s="1623"/>
      <c r="BK477" s="1300"/>
      <c r="BL477" s="1300"/>
      <c r="BM477" s="1300"/>
      <c r="BN477" s="1623"/>
      <c r="BO477" s="1300"/>
      <c r="BP477" s="1300"/>
      <c r="BQ477" s="1300"/>
      <c r="BR477" s="85"/>
      <c r="BS477" s="47"/>
      <c r="BT477" s="47"/>
      <c r="BU477" s="47"/>
      <c r="BV477" s="47"/>
      <c r="BW477" s="47"/>
      <c r="BX477" s="47"/>
      <c r="BY477" s="47"/>
      <c r="BZ477" s="47"/>
      <c r="CA477" s="47"/>
      <c r="CB477" s="47"/>
      <c r="CC477" s="47"/>
      <c r="CD477" s="52"/>
      <c r="CE477" s="52"/>
      <c r="CF477" s="52"/>
      <c r="CG477" s="52"/>
      <c r="CH477" s="52"/>
      <c r="CI477" s="52"/>
      <c r="CJ477" s="52"/>
      <c r="CK477" s="52"/>
      <c r="CL477" s="52"/>
      <c r="CM477" s="52"/>
      <c r="CN477" s="52"/>
      <c r="CO477" s="52"/>
      <c r="CP477" s="52"/>
      <c r="CQ477" s="52"/>
      <c r="CR477"/>
      <c r="CS477"/>
      <c r="CT477"/>
      <c r="CU477"/>
      <c r="CV477"/>
      <c r="CW477"/>
    </row>
    <row r="478" spans="1:105" s="583" customFormat="1" outlineLevel="1">
      <c r="I478" s="597"/>
      <c r="J478" s="28" t="s">
        <v>44</v>
      </c>
      <c r="K478" s="28"/>
      <c r="L478" s="28"/>
      <c r="M478" s="28"/>
      <c r="N478" s="77">
        <f>N453/N409</f>
        <v>4.7961630695443645E-2</v>
      </c>
      <c r="O478" s="77">
        <f t="shared" ref="O478:AD478" si="547">O453/O409</f>
        <v>4.8234882908074102E-2</v>
      </c>
      <c r="P478" s="77">
        <f t="shared" si="547"/>
        <v>5.4542724987066353E-2</v>
      </c>
      <c r="Q478" s="77">
        <f t="shared" si="547"/>
        <v>8.4149109674090339E-2</v>
      </c>
      <c r="R478" s="77">
        <f t="shared" si="547"/>
        <v>9.8702047880011537E-2</v>
      </c>
      <c r="S478" s="77">
        <f t="shared" si="547"/>
        <v>0.11629256012938906</v>
      </c>
      <c r="T478" s="77">
        <f t="shared" si="547"/>
        <v>0.13109697882363325</v>
      </c>
      <c r="U478" s="77">
        <f t="shared" si="547"/>
        <v>0.13377721201050086</v>
      </c>
      <c r="V478" s="77">
        <f t="shared" si="547"/>
        <v>0.13801135685170987</v>
      </c>
      <c r="W478" s="77">
        <f t="shared" si="547"/>
        <v>0.14134737128679933</v>
      </c>
      <c r="X478" s="77">
        <f t="shared" si="547"/>
        <v>0.14661434183883362</v>
      </c>
      <c r="Y478" s="77">
        <f t="shared" si="547"/>
        <v>0.15388837124201904</v>
      </c>
      <c r="Z478" s="77">
        <f t="shared" si="547"/>
        <v>0.16123734636006093</v>
      </c>
      <c r="AA478" s="77">
        <f t="shared" si="547"/>
        <v>0.16564760309469734</v>
      </c>
      <c r="AB478" s="77">
        <f t="shared" si="547"/>
        <v>0.17006602078926208</v>
      </c>
      <c r="AC478" s="77">
        <f t="shared" si="547"/>
        <v>0.17314189982872805</v>
      </c>
      <c r="AD478" s="77">
        <f t="shared" si="547"/>
        <v>0.17738609740220362</v>
      </c>
      <c r="AE478" s="83"/>
      <c r="AF478" s="83"/>
      <c r="AG478" s="83"/>
      <c r="AH478" s="28"/>
      <c r="AI478" s="28"/>
      <c r="AJ478" s="28"/>
      <c r="AK478" s="28"/>
      <c r="AL478" s="1617"/>
      <c r="AM478" s="258"/>
      <c r="AN478" s="258"/>
      <c r="AO478" s="258"/>
      <c r="AP478" s="675">
        <f t="shared" ref="AP478:BQ478" si="548">AP453/AP409</f>
        <v>0</v>
      </c>
      <c r="AQ478" s="77">
        <f t="shared" si="548"/>
        <v>0</v>
      </c>
      <c r="AR478" s="77">
        <f t="shared" si="548"/>
        <v>0</v>
      </c>
      <c r="AS478" s="77">
        <f t="shared" si="548"/>
        <v>0</v>
      </c>
      <c r="AT478" s="675">
        <f t="shared" si="548"/>
        <v>0</v>
      </c>
      <c r="AU478" s="77">
        <f t="shared" si="548"/>
        <v>0</v>
      </c>
      <c r="AV478" s="77">
        <f t="shared" si="548"/>
        <v>0</v>
      </c>
      <c r="AW478" s="77">
        <f t="shared" si="548"/>
        <v>0</v>
      </c>
      <c r="AX478" s="675">
        <f t="shared" si="548"/>
        <v>9.9808292348959729E-2</v>
      </c>
      <c r="AY478" s="77">
        <f t="shared" si="548"/>
        <v>0.11027314650585313</v>
      </c>
      <c r="AZ478" s="77">
        <f t="shared" si="548"/>
        <v>0.12215692242965781</v>
      </c>
      <c r="BA478" s="77">
        <f t="shared" si="548"/>
        <v>0.12702257784897081</v>
      </c>
      <c r="BB478" s="675">
        <f t="shared" si="548"/>
        <v>0.1218755982950596</v>
      </c>
      <c r="BC478" s="77">
        <f t="shared" si="548"/>
        <v>0.12549413833667827</v>
      </c>
      <c r="BD478" s="77">
        <f t="shared" si="548"/>
        <v>0.13393536408286991</v>
      </c>
      <c r="BE478" s="77">
        <f t="shared" si="548"/>
        <v>0.13955934622438523</v>
      </c>
      <c r="BF478" s="675">
        <f t="shared" si="548"/>
        <v>0.12694385251128915</v>
      </c>
      <c r="BG478" s="77">
        <f t="shared" si="548"/>
        <v>0.13303145980622963</v>
      </c>
      <c r="BH478" s="77">
        <f t="shared" si="548"/>
        <v>0.13981432926081944</v>
      </c>
      <c r="BI478" s="77">
        <f t="shared" si="548"/>
        <v>0.13444225348366795</v>
      </c>
      <c r="BJ478" s="675">
        <f t="shared" si="548"/>
        <v>0.14117048580285496</v>
      </c>
      <c r="BK478" s="77">
        <f t="shared" si="548"/>
        <v>0.13356378982312342</v>
      </c>
      <c r="BL478" s="77">
        <f t="shared" si="548"/>
        <v>0.15259207163620375</v>
      </c>
      <c r="BM478" s="77">
        <f t="shared" si="548"/>
        <v>0.12853303744352099</v>
      </c>
      <c r="BN478" s="675">
        <f t="shared" si="548"/>
        <v>0.13376063180635203</v>
      </c>
      <c r="BO478" s="77">
        <f t="shared" si="548"/>
        <v>0.1345558792399435</v>
      </c>
      <c r="BP478" s="77">
        <f t="shared" si="548"/>
        <v>0.14815674476015875</v>
      </c>
      <c r="BQ478" s="77">
        <f t="shared" si="548"/>
        <v>0.14742690469616951</v>
      </c>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c r="CS478"/>
      <c r="CT478"/>
      <c r="CU478"/>
      <c r="CV478"/>
      <c r="CW478"/>
    </row>
    <row r="479" spans="1:105" s="589" customFormat="1" outlineLevel="1">
      <c r="I479" s="601"/>
      <c r="J479" s="13" t="s">
        <v>407</v>
      </c>
      <c r="K479" s="13"/>
      <c r="L479" s="13"/>
      <c r="M479" s="13"/>
      <c r="N479" s="418">
        <f>N454/N409</f>
        <v>-2.9462144570058239E-2</v>
      </c>
      <c r="O479" s="418">
        <f t="shared" ref="O479:AD479" si="549">O454/O409</f>
        <v>-4.7069789118024001E-2</v>
      </c>
      <c r="P479" s="418">
        <f t="shared" si="549"/>
        <v>-6.3070073636850715E-2</v>
      </c>
      <c r="Q479" s="418">
        <f t="shared" si="549"/>
        <v>-4.1682099652636126E-2</v>
      </c>
      <c r="R479" s="418">
        <f t="shared" si="549"/>
        <v>-4.4018892414190939E-3</v>
      </c>
      <c r="S479" s="418">
        <f t="shared" si="549"/>
        <v>-4.0503121684840274E-3</v>
      </c>
      <c r="T479" s="418">
        <f t="shared" si="549"/>
        <v>-2.4556189908818613E-2</v>
      </c>
      <c r="U479" s="418">
        <f t="shared" si="549"/>
        <v>6.1909881455820973E-3</v>
      </c>
      <c r="V479" s="418">
        <f t="shared" si="549"/>
        <v>7.9639611161431683E-3</v>
      </c>
      <c r="W479" s="418">
        <f t="shared" si="549"/>
        <v>8.8473712867993166E-3</v>
      </c>
      <c r="X479" s="418">
        <f t="shared" si="549"/>
        <v>1.8439341838833619E-2</v>
      </c>
      <c r="Y479" s="418">
        <f t="shared" si="549"/>
        <v>2.6888371242019003E-2</v>
      </c>
      <c r="Z479" s="418">
        <f t="shared" si="549"/>
        <v>3.5237346360060894E-2</v>
      </c>
      <c r="AA479" s="418">
        <f t="shared" si="549"/>
        <v>4.264760309469736E-2</v>
      </c>
      <c r="AB479" s="418">
        <f t="shared" si="549"/>
        <v>5.0066020789262075E-2</v>
      </c>
      <c r="AC479" s="418">
        <f t="shared" si="549"/>
        <v>5.7141899828728054E-2</v>
      </c>
      <c r="AD479" s="418">
        <f t="shared" si="549"/>
        <v>6.1386097402203646E-2</v>
      </c>
      <c r="AE479" s="296"/>
      <c r="AF479" s="296"/>
      <c r="AG479" s="296"/>
      <c r="AH479" s="13"/>
      <c r="AI479" s="13"/>
      <c r="AJ479" s="13"/>
      <c r="AK479" s="13"/>
      <c r="AL479" s="1907"/>
      <c r="AM479" s="1908"/>
      <c r="AN479" s="1908"/>
      <c r="AO479" s="1908"/>
      <c r="AP479" s="676">
        <f t="shared" ref="AP479:BQ479" si="550">AP454/AP409</f>
        <v>0</v>
      </c>
      <c r="AQ479" s="418">
        <f t="shared" si="550"/>
        <v>0</v>
      </c>
      <c r="AR479" s="418">
        <f t="shared" si="550"/>
        <v>0</v>
      </c>
      <c r="AS479" s="418">
        <f t="shared" si="550"/>
        <v>0</v>
      </c>
      <c r="AT479" s="676">
        <f t="shared" si="550"/>
        <v>0</v>
      </c>
      <c r="AU479" s="418">
        <f t="shared" si="550"/>
        <v>0</v>
      </c>
      <c r="AV479" s="418">
        <f t="shared" si="550"/>
        <v>0</v>
      </c>
      <c r="AW479" s="418">
        <f t="shared" si="550"/>
        <v>0</v>
      </c>
      <c r="AX479" s="676">
        <f t="shared" si="550"/>
        <v>-6.0407153225240902E-3</v>
      </c>
      <c r="AY479" s="418">
        <f t="shared" si="550"/>
        <v>-7.5928822190030193E-3</v>
      </c>
      <c r="AZ479" s="418">
        <f t="shared" si="550"/>
        <v>4.4292012516336686E-3</v>
      </c>
      <c r="BA479" s="418">
        <f t="shared" si="550"/>
        <v>-6.2781883250851694E-3</v>
      </c>
      <c r="BB479" s="676">
        <f t="shared" si="550"/>
        <v>-8.679721865718415E-3</v>
      </c>
      <c r="BC479" s="418">
        <f t="shared" si="550"/>
        <v>-5.3709351630279074E-3</v>
      </c>
      <c r="BD479" s="418">
        <f t="shared" si="550"/>
        <v>-4.0710358046843129E-3</v>
      </c>
      <c r="BE479" s="418">
        <f t="shared" si="550"/>
        <v>-6.5746063689406317E-2</v>
      </c>
      <c r="BF479" s="676">
        <f t="shared" si="550"/>
        <v>-4.0557046376560562E-4</v>
      </c>
      <c r="BG479" s="418">
        <f t="shared" si="550"/>
        <v>8.0681468238831128E-3</v>
      </c>
      <c r="BH479" s="418">
        <f t="shared" si="550"/>
        <v>9.0116242595917363E-3</v>
      </c>
      <c r="BI479" s="418">
        <f t="shared" si="550"/>
        <v>6.9893478908900665E-3</v>
      </c>
      <c r="BJ479" s="676">
        <f t="shared" si="550"/>
        <v>1.8978282473093758E-2</v>
      </c>
      <c r="BK479" s="418">
        <f t="shared" si="550"/>
        <v>6.2430007518617762E-3</v>
      </c>
      <c r="BL479" s="418">
        <f t="shared" si="550"/>
        <v>1.7577764489489195E-2</v>
      </c>
      <c r="BM479" s="418">
        <f t="shared" si="550"/>
        <v>-5.4086705714522093E-3</v>
      </c>
      <c r="BN479" s="676">
        <f t="shared" si="550"/>
        <v>2.2739075994818204E-3</v>
      </c>
      <c r="BO479" s="418">
        <f t="shared" si="550"/>
        <v>4.0672584911976015E-3</v>
      </c>
      <c r="BP479" s="418">
        <f t="shared" si="550"/>
        <v>7.1700205532885374E-3</v>
      </c>
      <c r="BQ479" s="418">
        <f t="shared" si="550"/>
        <v>1.8687372970584051E-2</v>
      </c>
      <c r="BR479" s="296"/>
      <c r="BS479" s="296"/>
      <c r="BT479" s="296"/>
      <c r="BU479" s="296"/>
      <c r="BV479" s="296"/>
      <c r="BW479" s="296"/>
      <c r="BX479" s="296"/>
      <c r="BY479" s="296"/>
      <c r="BZ479" s="296"/>
      <c r="CA479" s="296"/>
      <c r="CB479" s="296"/>
      <c r="CC479" s="296"/>
      <c r="CD479" s="296"/>
      <c r="CE479" s="296"/>
      <c r="CF479" s="296"/>
      <c r="CG479" s="296"/>
      <c r="CH479" s="296"/>
      <c r="CI479" s="296"/>
      <c r="CJ479" s="296"/>
      <c r="CK479" s="296"/>
      <c r="CL479" s="296"/>
      <c r="CM479" s="296"/>
      <c r="CN479" s="296"/>
      <c r="CO479" s="296"/>
      <c r="CP479" s="296"/>
      <c r="CQ479" s="296"/>
      <c r="CR479"/>
      <c r="CS479"/>
      <c r="CT479"/>
      <c r="CU479"/>
      <c r="CV479"/>
      <c r="CW479"/>
    </row>
    <row r="480" spans="1:105" s="503" customFormat="1" outlineLevel="1">
      <c r="A480" s="593"/>
      <c r="B480" s="593"/>
      <c r="C480" s="593"/>
      <c r="D480" s="593"/>
      <c r="E480" s="593"/>
      <c r="F480" s="593"/>
      <c r="G480" s="593"/>
      <c r="H480" s="289"/>
      <c r="I480" s="977"/>
      <c r="J480" s="1400" t="s">
        <v>567</v>
      </c>
      <c r="K480" s="820"/>
      <c r="L480" s="820"/>
      <c r="M480" s="820"/>
      <c r="N480" s="821"/>
      <c r="O480" s="821"/>
      <c r="P480" s="821"/>
      <c r="Q480" s="821"/>
      <c r="S480" s="1399">
        <v>-4.0000000000000001E-3</v>
      </c>
      <c r="T480" s="1399">
        <v>-8.9999999999999993E-3</v>
      </c>
      <c r="U480" s="1399">
        <v>4.0000000000000001E-3</v>
      </c>
      <c r="V480" s="821"/>
      <c r="W480" s="821"/>
      <c r="X480" s="821"/>
      <c r="Y480" s="821"/>
      <c r="Z480" s="821"/>
      <c r="AA480" s="821"/>
      <c r="AB480" s="821"/>
      <c r="AC480" s="821"/>
      <c r="AD480" s="821"/>
      <c r="AE480" s="521"/>
      <c r="AF480" s="521"/>
      <c r="AG480" s="521"/>
      <c r="AH480" s="820"/>
      <c r="AI480" s="820"/>
      <c r="AJ480" s="820"/>
      <c r="AK480" s="820"/>
      <c r="AL480" s="1018"/>
      <c r="AM480" s="1016"/>
      <c r="AN480" s="1016"/>
      <c r="AO480" s="1016"/>
      <c r="AP480" s="1018"/>
      <c r="AQ480" s="1016"/>
      <c r="AR480" s="1016"/>
      <c r="AS480" s="1016"/>
      <c r="AT480" s="1018"/>
      <c r="AU480" s="1016"/>
      <c r="AV480" s="1016"/>
      <c r="AW480" s="1016"/>
      <c r="AX480" s="1018"/>
      <c r="AY480" s="1016"/>
      <c r="AZ480" s="1016"/>
      <c r="BA480" s="1016"/>
      <c r="BB480" s="1018"/>
      <c r="BC480" s="1016"/>
      <c r="BD480" s="1016"/>
      <c r="BE480" s="1016"/>
      <c r="BF480" s="1684"/>
      <c r="BG480" s="944"/>
      <c r="BH480" s="944"/>
      <c r="BI480" s="944"/>
      <c r="BJ480" s="1018"/>
      <c r="BK480" s="1016"/>
      <c r="BL480" s="1016"/>
      <c r="BM480" s="1016"/>
      <c r="BN480" s="1018"/>
      <c r="BO480" s="1016"/>
      <c r="BP480" s="1016"/>
      <c r="BQ480" s="1016"/>
      <c r="BR480" s="480"/>
      <c r="BS480" s="521"/>
      <c r="BT480" s="521"/>
      <c r="BU480" s="521"/>
      <c r="BV480" s="521"/>
      <c r="CR480"/>
      <c r="CS480"/>
      <c r="CT480"/>
      <c r="CU480"/>
      <c r="CV480"/>
      <c r="CW480"/>
    </row>
    <row r="481" spans="1:101" s="503" customFormat="1" outlineLevel="1">
      <c r="A481" s="593"/>
      <c r="B481" s="593"/>
      <c r="C481" s="593"/>
      <c r="D481" s="593"/>
      <c r="E481" s="593"/>
      <c r="F481" s="593"/>
      <c r="G481" s="593"/>
      <c r="H481" s="289"/>
      <c r="I481" s="977"/>
      <c r="J481" s="1400" t="s">
        <v>566</v>
      </c>
      <c r="K481" s="820"/>
      <c r="L481" s="820"/>
      <c r="M481" s="820"/>
      <c r="N481" s="821"/>
      <c r="O481" s="821"/>
      <c r="P481" s="821"/>
      <c r="Q481" s="821"/>
      <c r="R481" s="821"/>
      <c r="S481" s="1399"/>
      <c r="T481" s="1399">
        <v>3.0000000000000001E-3</v>
      </c>
      <c r="U481" s="1399">
        <v>8.9999999999999993E-3</v>
      </c>
      <c r="V481" s="821"/>
      <c r="W481" s="821"/>
      <c r="X481" s="821"/>
      <c r="Y481" s="821"/>
      <c r="Z481" s="821"/>
      <c r="AA481" s="821"/>
      <c r="AB481" s="821"/>
      <c r="AC481" s="821"/>
      <c r="AD481" s="821"/>
      <c r="AE481" s="521"/>
      <c r="AF481" s="521"/>
      <c r="AG481" s="521"/>
      <c r="AH481" s="820"/>
      <c r="AI481" s="820"/>
      <c r="AJ481" s="820"/>
      <c r="AK481" s="820"/>
      <c r="AL481" s="1018"/>
      <c r="AM481" s="1016"/>
      <c r="AN481" s="1016"/>
      <c r="AO481" s="1016"/>
      <c r="AP481" s="1018"/>
      <c r="AQ481" s="1016"/>
      <c r="AR481" s="1016"/>
      <c r="AS481" s="1016"/>
      <c r="AT481" s="1018"/>
      <c r="AU481" s="1016"/>
      <c r="AV481" s="1016"/>
      <c r="AW481" s="1016"/>
      <c r="AX481" s="1018"/>
      <c r="AY481" s="1016"/>
      <c r="AZ481" s="1016"/>
      <c r="BA481" s="1016"/>
      <c r="BB481" s="1018"/>
      <c r="BC481" s="1016"/>
      <c r="BD481" s="1016"/>
      <c r="BE481" s="1016"/>
      <c r="BF481" s="1684">
        <v>5.0000000000000001E-3</v>
      </c>
      <c r="BG481" s="944">
        <v>1.0999999999999999E-2</v>
      </c>
      <c r="BH481" s="944">
        <v>1.0999999999999999E-2</v>
      </c>
      <c r="BI481" s="944">
        <v>8.0000000000000002E-3</v>
      </c>
      <c r="BJ481" s="1018"/>
      <c r="BK481" s="1016"/>
      <c r="BL481" s="1016"/>
      <c r="BM481" s="1016"/>
      <c r="BN481" s="1018"/>
      <c r="BO481" s="1016"/>
      <c r="BP481" s="1016"/>
      <c r="BQ481" s="1016"/>
      <c r="BR481" s="480"/>
      <c r="BS481" s="521"/>
      <c r="BT481" s="521"/>
      <c r="BU481" s="521"/>
      <c r="BV481" s="521"/>
      <c r="CR481"/>
      <c r="CS481"/>
      <c r="CT481"/>
      <c r="CU481"/>
      <c r="CV481"/>
      <c r="CW481"/>
    </row>
    <row r="482" spans="1:101" s="516" customFormat="1" outlineLevel="1">
      <c r="H482" s="563"/>
      <c r="I482" s="588"/>
      <c r="J482" s="28" t="s">
        <v>667</v>
      </c>
      <c r="K482" s="28"/>
      <c r="L482" s="28"/>
      <c r="M482" s="1492"/>
      <c r="N482" s="179">
        <f>N456/N409</f>
        <v>-2.9462144570058239E-2</v>
      </c>
      <c r="O482" s="179">
        <f t="shared" ref="O482:AD482" si="551">O456/O409</f>
        <v>-4.7069789118024001E-2</v>
      </c>
      <c r="P482" s="179">
        <f t="shared" si="551"/>
        <v>-5.9570327151470155E-2</v>
      </c>
      <c r="Q482" s="179">
        <f t="shared" si="551"/>
        <v>-3.7193755970351405E-2</v>
      </c>
      <c r="R482" s="179">
        <f t="shared" si="551"/>
        <v>-1.7430054802422781E-4</v>
      </c>
      <c r="S482" s="179">
        <f t="shared" si="551"/>
        <v>1.0301899097407001E-2</v>
      </c>
      <c r="T482" s="179">
        <f t="shared" si="551"/>
        <v>-1.0109147374053296E-2</v>
      </c>
      <c r="U482" s="179">
        <f t="shared" si="551"/>
        <v>1.320447055572019E-2</v>
      </c>
      <c r="V482" s="179">
        <f t="shared" si="551"/>
        <v>1.4629584466394719E-2</v>
      </c>
      <c r="W482" s="179">
        <f t="shared" ca="1" si="551"/>
        <v>1.7422742255257511E-2</v>
      </c>
      <c r="X482" s="179">
        <f t="shared" ca="1" si="551"/>
        <v>2.6206917211282179E-2</v>
      </c>
      <c r="Y482" s="179">
        <f t="shared" ca="1" si="551"/>
        <v>3.3342849213951455E-2</v>
      </c>
      <c r="Z482" s="179">
        <f t="shared" ca="1" si="551"/>
        <v>4.0816081769246955E-2</v>
      </c>
      <c r="AA482" s="179">
        <f t="shared" ca="1" si="551"/>
        <v>4.7757334743990923E-2</v>
      </c>
      <c r="AB482" s="179">
        <f t="shared" ca="1" si="551"/>
        <v>5.5183357751070451E-2</v>
      </c>
      <c r="AC482" s="179">
        <f t="shared" ca="1" si="551"/>
        <v>6.2212295311829133E-2</v>
      </c>
      <c r="AD482" s="179">
        <f t="shared" ca="1" si="551"/>
        <v>6.6319283997454334E-2</v>
      </c>
      <c r="AE482" s="28"/>
      <c r="AF482" s="28"/>
      <c r="AG482" s="28"/>
      <c r="AH482" s="1493"/>
      <c r="AI482" s="1493"/>
      <c r="AJ482" s="1493"/>
      <c r="AK482" s="1493"/>
      <c r="AL482" s="674"/>
      <c r="AM482" s="93"/>
      <c r="AN482" s="93"/>
      <c r="AO482" s="93"/>
      <c r="AP482" s="690">
        <f t="shared" ref="AP482:BQ482" si="552">AP456/AP409</f>
        <v>0</v>
      </c>
      <c r="AQ482" s="179">
        <f t="shared" si="552"/>
        <v>0</v>
      </c>
      <c r="AR482" s="179">
        <f t="shared" si="552"/>
        <v>0</v>
      </c>
      <c r="AS482" s="179">
        <f t="shared" si="552"/>
        <v>0</v>
      </c>
      <c r="AT482" s="690">
        <f t="shared" si="552"/>
        <v>0</v>
      </c>
      <c r="AU482" s="179">
        <f t="shared" si="552"/>
        <v>0</v>
      </c>
      <c r="AV482" s="179">
        <f t="shared" si="552"/>
        <v>0</v>
      </c>
      <c r="AW482" s="179">
        <f t="shared" si="552"/>
        <v>0</v>
      </c>
      <c r="AX482" s="690">
        <f t="shared" si="552"/>
        <v>-1.0422636014628707E-3</v>
      </c>
      <c r="AY482" s="179">
        <f t="shared" si="552"/>
        <v>8.9933718591471822E-3</v>
      </c>
      <c r="AZ482" s="179">
        <f t="shared" si="552"/>
        <v>2.2111055207046537E-2</v>
      </c>
      <c r="BA482" s="179">
        <f t="shared" si="552"/>
        <v>9.5545950858133416E-3</v>
      </c>
      <c r="BB482" s="690">
        <f t="shared" si="552"/>
        <v>7.3311076586544937E-3</v>
      </c>
      <c r="BC482" s="179">
        <f t="shared" si="552"/>
        <v>8.6471446483980113E-3</v>
      </c>
      <c r="BD482" s="179">
        <f t="shared" si="552"/>
        <v>1.0618871166840382E-2</v>
      </c>
      <c r="BE482" s="179">
        <f t="shared" si="552"/>
        <v>-5.8889776454509116E-2</v>
      </c>
      <c r="BF482" s="690">
        <f t="shared" si="552"/>
        <v>7.4061258999772988E-3</v>
      </c>
      <c r="BG482" s="179">
        <f t="shared" si="552"/>
        <v>1.4905942784508987E-2</v>
      </c>
      <c r="BH482" s="179">
        <f t="shared" si="552"/>
        <v>1.6977227186782965E-2</v>
      </c>
      <c r="BI482" s="179">
        <f t="shared" si="552"/>
        <v>1.3393991834494544E-2</v>
      </c>
      <c r="BJ482" s="690">
        <f t="shared" si="552"/>
        <v>2.6326850978208086E-2</v>
      </c>
      <c r="BK482" s="179">
        <f t="shared" si="552"/>
        <v>1.1903696246780206E-2</v>
      </c>
      <c r="BL482" s="179">
        <f t="shared" si="552"/>
        <v>2.3877616119874878E-2</v>
      </c>
      <c r="BM482" s="179">
        <f t="shared" si="552"/>
        <v>1.2529531295207303E-3</v>
      </c>
      <c r="BN482" s="690">
        <f t="shared" si="552"/>
        <v>9.3744725911052238E-3</v>
      </c>
      <c r="BO482" s="179">
        <f t="shared" si="552"/>
        <v>1.3205359400071765E-2</v>
      </c>
      <c r="BP482" s="179">
        <f t="shared" si="552"/>
        <v>1.7830405591173781E-2</v>
      </c>
      <c r="BQ482" s="179">
        <f t="shared" ca="1" si="552"/>
        <v>2.6293974255683961E-2</v>
      </c>
      <c r="BR482" s="28"/>
      <c r="BS482" s="28"/>
      <c r="BT482" s="28"/>
      <c r="BU482" s="28"/>
      <c r="BV482" s="28"/>
      <c r="BW482" s="437"/>
      <c r="BX482" s="437"/>
      <c r="BY482" s="437"/>
      <c r="BZ482" s="437"/>
      <c r="CA482" s="437"/>
      <c r="CB482" s="437"/>
      <c r="CC482" s="437"/>
      <c r="CD482" s="437"/>
      <c r="CE482" s="437"/>
      <c r="CF482" s="437"/>
      <c r="CG482" s="437"/>
      <c r="CH482" s="437"/>
      <c r="CI482" s="437"/>
      <c r="CJ482" s="437"/>
      <c r="CK482" s="437"/>
      <c r="CL482" s="437"/>
      <c r="CM482" s="437"/>
      <c r="CN482" s="437"/>
      <c r="CO482" s="437"/>
      <c r="CP482" s="437"/>
      <c r="CQ482" s="437"/>
      <c r="CR482"/>
      <c r="CS482"/>
      <c r="CT482"/>
      <c r="CU482"/>
      <c r="CV482"/>
      <c r="CW482"/>
    </row>
    <row r="483" spans="1:101" s="589" customFormat="1" outlineLevel="1">
      <c r="H483" s="378"/>
      <c r="I483" s="590"/>
      <c r="J483" s="13" t="s">
        <v>403</v>
      </c>
      <c r="K483" s="13"/>
      <c r="L483" s="13"/>
      <c r="M483" s="251"/>
      <c r="N483" s="330">
        <f>N458/N409</f>
        <v>-9.249743062692703E-2</v>
      </c>
      <c r="O483" s="330">
        <f t="shared" ref="O483:AD483" si="553">O458/O409</f>
        <v>-0.13386927647675637</v>
      </c>
      <c r="P483" s="330">
        <f t="shared" si="553"/>
        <v>-0.1359804806285061</v>
      </c>
      <c r="Q483" s="330">
        <f t="shared" si="553"/>
        <v>-7.467187278768192E-2</v>
      </c>
      <c r="R483" s="330">
        <f t="shared" si="553"/>
        <v>-3.1894332275742725E-2</v>
      </c>
      <c r="S483" s="330">
        <f t="shared" si="553"/>
        <v>-6.6237404566877101E-2</v>
      </c>
      <c r="T483" s="330">
        <f t="shared" si="553"/>
        <v>-5.4482560801381256E-3</v>
      </c>
      <c r="U483" s="330">
        <f t="shared" si="553"/>
        <v>8.0080700934133855E-3</v>
      </c>
      <c r="V483" s="330">
        <f t="shared" si="553"/>
        <v>1.3712240081502635E-2</v>
      </c>
      <c r="W483" s="330">
        <f t="shared" si="553"/>
        <v>1.478924731475679E-2</v>
      </c>
      <c r="X483" s="330">
        <f t="shared" ca="1" si="553"/>
        <v>2.2339629381717893E-2</v>
      </c>
      <c r="Y483" s="330">
        <f t="shared" ca="1" si="553"/>
        <v>2.9516829081151694E-2</v>
      </c>
      <c r="Z483" s="330">
        <f t="shared" ca="1" si="553"/>
        <v>3.7737938810166446E-2</v>
      </c>
      <c r="AA483" s="330">
        <f t="shared" ca="1" si="553"/>
        <v>4.5189724833605754E-2</v>
      </c>
      <c r="AB483" s="330">
        <f t="shared" ca="1" si="553"/>
        <v>5.2447001869581143E-2</v>
      </c>
      <c r="AC483" s="330">
        <f t="shared" ca="1" si="553"/>
        <v>5.9632141827777978E-2</v>
      </c>
      <c r="AD483" s="330">
        <f t="shared" ca="1" si="553"/>
        <v>6.4721437968183318E-2</v>
      </c>
      <c r="AE483" s="13"/>
      <c r="AF483" s="13"/>
      <c r="AG483" s="13"/>
      <c r="AH483" s="282"/>
      <c r="AI483" s="282"/>
      <c r="AJ483" s="282"/>
      <c r="AK483" s="282"/>
      <c r="AL483" s="671"/>
      <c r="AM483" s="453"/>
      <c r="AN483" s="453"/>
      <c r="AO483" s="453"/>
      <c r="AP483" s="677">
        <f t="shared" ref="AP483:BQ483" si="554">AP458/AP409</f>
        <v>0</v>
      </c>
      <c r="AQ483" s="330">
        <f t="shared" si="554"/>
        <v>0</v>
      </c>
      <c r="AR483" s="330">
        <f t="shared" si="554"/>
        <v>0</v>
      </c>
      <c r="AS483" s="330">
        <f t="shared" si="554"/>
        <v>0</v>
      </c>
      <c r="AT483" s="677">
        <f t="shared" si="554"/>
        <v>0</v>
      </c>
      <c r="AU483" s="330">
        <f t="shared" si="554"/>
        <v>0</v>
      </c>
      <c r="AV483" s="330">
        <f t="shared" si="554"/>
        <v>0</v>
      </c>
      <c r="AW483" s="330">
        <f t="shared" si="554"/>
        <v>0</v>
      </c>
      <c r="AX483" s="677">
        <f t="shared" si="554"/>
        <v>-6.9476898866137379E-2</v>
      </c>
      <c r="AY483" s="330">
        <f t="shared" si="554"/>
        <v>-0.22631807037747026</v>
      </c>
      <c r="AZ483" s="330">
        <f t="shared" si="554"/>
        <v>1.2780296486250869E-2</v>
      </c>
      <c r="BA483" s="330">
        <f t="shared" si="554"/>
        <v>2.4144263855857368E-3</v>
      </c>
      <c r="BB483" s="677">
        <f t="shared" si="554"/>
        <v>-5.6121662937875724E-3</v>
      </c>
      <c r="BC483" s="330">
        <f t="shared" si="554"/>
        <v>-3.4213910796106211E-4</v>
      </c>
      <c r="BD483" s="330">
        <f t="shared" si="554"/>
        <v>6.1292015556520219E-4</v>
      </c>
      <c r="BE483" s="330">
        <f t="shared" si="554"/>
        <v>-1.2016252040491828E-2</v>
      </c>
      <c r="BF483" s="677">
        <f t="shared" si="554"/>
        <v>1.6331073508758494E-3</v>
      </c>
      <c r="BG483" s="330">
        <f t="shared" si="554"/>
        <v>1.1044704961798258E-2</v>
      </c>
      <c r="BH483" s="330">
        <f t="shared" si="554"/>
        <v>8.0445908907916495E-3</v>
      </c>
      <c r="BI483" s="330">
        <f t="shared" si="554"/>
        <v>9.8183846475521797E-3</v>
      </c>
      <c r="BJ483" s="677">
        <f t="shared" si="554"/>
        <v>1.8579967900582195E-2</v>
      </c>
      <c r="BK483" s="330">
        <f t="shared" si="554"/>
        <v>9.6664099660978484E-3</v>
      </c>
      <c r="BL483" s="330">
        <f t="shared" si="554"/>
        <v>2.6515835489628693E-2</v>
      </c>
      <c r="BM483" s="330">
        <f t="shared" si="554"/>
        <v>4.0783972932900711E-3</v>
      </c>
      <c r="BN483" s="677">
        <f t="shared" si="554"/>
        <v>7.568640774009365E-3</v>
      </c>
      <c r="BO483" s="330">
        <f t="shared" si="554"/>
        <v>9.9780017611379689E-3</v>
      </c>
      <c r="BP483" s="330">
        <f t="shared" si="554"/>
        <v>1.4171768564102748E-2</v>
      </c>
      <c r="BQ483" s="330">
        <f t="shared" si="554"/>
        <v>2.433459360802635E-2</v>
      </c>
      <c r="BR483" s="13"/>
      <c r="BS483" s="13"/>
      <c r="BT483" s="13"/>
      <c r="BU483" s="13"/>
      <c r="BV483" s="13"/>
      <c r="BW483" s="296"/>
      <c r="BX483" s="296"/>
      <c r="BY483" s="296"/>
      <c r="BZ483" s="296"/>
      <c r="CA483" s="296"/>
      <c r="CB483" s="296"/>
      <c r="CC483" s="296"/>
      <c r="CD483" s="296"/>
      <c r="CE483" s="296"/>
      <c r="CF483" s="296"/>
      <c r="CG483" s="296"/>
      <c r="CH483" s="296"/>
      <c r="CI483" s="296"/>
      <c r="CJ483" s="296"/>
      <c r="CK483" s="296"/>
      <c r="CL483" s="296"/>
      <c r="CM483" s="296"/>
      <c r="CN483" s="296"/>
      <c r="CO483" s="296"/>
      <c r="CP483" s="296"/>
      <c r="CQ483" s="296"/>
      <c r="CR483"/>
      <c r="CS483"/>
      <c r="CT483"/>
      <c r="CU483"/>
      <c r="CV483"/>
      <c r="CW483"/>
    </row>
    <row r="484" spans="1:101" s="589" customFormat="1" outlineLevel="1">
      <c r="H484" s="378"/>
      <c r="I484" s="590"/>
      <c r="J484" s="13"/>
      <c r="K484" s="13"/>
      <c r="L484" s="13"/>
      <c r="M484" s="251"/>
      <c r="N484" s="330"/>
      <c r="O484" s="330"/>
      <c r="P484" s="330"/>
      <c r="Q484" s="330"/>
      <c r="R484" s="330"/>
      <c r="S484" s="330"/>
      <c r="T484" s="330"/>
      <c r="U484" s="330"/>
      <c r="V484" s="330"/>
      <c r="W484" s="330"/>
      <c r="X484" s="330"/>
      <c r="Y484" s="330"/>
      <c r="Z484" s="330"/>
      <c r="AA484" s="330"/>
      <c r="AB484" s="330"/>
      <c r="AC484" s="330"/>
      <c r="AD484" s="330"/>
      <c r="AE484" s="13"/>
      <c r="AF484" s="13"/>
      <c r="AG484" s="13"/>
      <c r="AH484" s="282"/>
      <c r="AI484" s="282"/>
      <c r="AJ484" s="282"/>
      <c r="AK484" s="282"/>
      <c r="AL484" s="671"/>
      <c r="AM484" s="453"/>
      <c r="AN484" s="453"/>
      <c r="AO484" s="453"/>
      <c r="AP484" s="677"/>
      <c r="AQ484" s="330"/>
      <c r="AR484" s="330"/>
      <c r="AS484" s="330"/>
      <c r="AT484" s="677"/>
      <c r="AU484" s="330"/>
      <c r="AV484" s="330"/>
      <c r="AW484" s="330"/>
      <c r="AX484" s="677"/>
      <c r="AY484" s="330"/>
      <c r="AZ484" s="330"/>
      <c r="BA484" s="330"/>
      <c r="BB484" s="677"/>
      <c r="BC484" s="330"/>
      <c r="BD484" s="330"/>
      <c r="BE484" s="330"/>
      <c r="BF484" s="677"/>
      <c r="BG484" s="330"/>
      <c r="BH484" s="330"/>
      <c r="BI484" s="330"/>
      <c r="BJ484" s="677"/>
      <c r="BK484" s="330"/>
      <c r="BL484" s="330"/>
      <c r="BM484" s="330"/>
      <c r="BN484" s="677"/>
      <c r="BO484" s="330"/>
      <c r="BP484" s="330"/>
      <c r="BQ484" s="330"/>
      <c r="BR484" s="13"/>
      <c r="BS484" s="13"/>
      <c r="BT484" s="13"/>
      <c r="BU484" s="13"/>
      <c r="BV484" s="13"/>
      <c r="BW484" s="296"/>
      <c r="BX484" s="296"/>
      <c r="BY484" s="296"/>
      <c r="BZ484" s="296"/>
      <c r="CA484" s="296"/>
      <c r="CB484" s="296"/>
      <c r="CC484" s="296"/>
      <c r="CD484" s="296"/>
      <c r="CE484" s="296"/>
      <c r="CF484" s="296"/>
      <c r="CG484" s="296"/>
      <c r="CH484" s="296"/>
      <c r="CI484" s="296"/>
      <c r="CJ484" s="296"/>
      <c r="CK484" s="296"/>
      <c r="CL484" s="296"/>
      <c r="CM484" s="296"/>
      <c r="CN484" s="296"/>
      <c r="CO484" s="296"/>
      <c r="CP484" s="296"/>
      <c r="CQ484" s="296"/>
      <c r="CR484"/>
      <c r="CS484"/>
      <c r="CT484"/>
      <c r="CU484"/>
      <c r="CV484"/>
      <c r="CW484"/>
    </row>
    <row r="485" spans="1:101" s="592" customFormat="1" outlineLevel="1">
      <c r="H485" s="563"/>
      <c r="I485" s="588"/>
      <c r="J485" s="5" t="s">
        <v>673</v>
      </c>
      <c r="K485" s="11"/>
      <c r="L485" s="11"/>
      <c r="M485" s="11"/>
      <c r="N485" s="1300"/>
      <c r="O485" s="1300"/>
      <c r="P485" s="1300"/>
      <c r="Q485" s="1300"/>
      <c r="R485" s="1300"/>
      <c r="S485" s="1300"/>
      <c r="T485" s="1300"/>
      <c r="U485" s="1300"/>
      <c r="V485" s="1300"/>
      <c r="W485" s="1300"/>
      <c r="X485" s="1300"/>
      <c r="Y485" s="1300"/>
      <c r="Z485" s="1300"/>
      <c r="AA485" s="1300"/>
      <c r="AB485" s="1300"/>
      <c r="AC485" s="1300"/>
      <c r="AD485" s="1300"/>
      <c r="AE485" s="836"/>
      <c r="AF485" s="440"/>
      <c r="AG485" s="28"/>
      <c r="AH485" s="28"/>
      <c r="AI485" s="28"/>
      <c r="AJ485" s="28"/>
      <c r="AK485" s="28"/>
      <c r="AL485" s="662"/>
      <c r="AM485" s="215"/>
      <c r="AN485" s="215"/>
      <c r="AO485" s="215"/>
      <c r="AP485" s="1623"/>
      <c r="AQ485" s="1300"/>
      <c r="AR485" s="1300"/>
      <c r="AS485" s="1300"/>
      <c r="AT485" s="1623"/>
      <c r="AU485" s="1300"/>
      <c r="AV485" s="1300"/>
      <c r="AW485" s="1300"/>
      <c r="AX485" s="1623"/>
      <c r="AY485" s="1300"/>
      <c r="AZ485" s="1300"/>
      <c r="BA485" s="1300"/>
      <c r="BB485" s="1623"/>
      <c r="BC485" s="1300"/>
      <c r="BD485" s="1300"/>
      <c r="BE485" s="1300"/>
      <c r="BF485" s="1623"/>
      <c r="BG485" s="1300"/>
      <c r="BH485" s="1300"/>
      <c r="BI485" s="1300"/>
      <c r="BJ485" s="1623"/>
      <c r="BK485" s="1300"/>
      <c r="BL485" s="1300"/>
      <c r="BM485" s="1300"/>
      <c r="BN485" s="1623"/>
      <c r="BO485" s="1300"/>
      <c r="BP485" s="1300"/>
      <c r="BQ485" s="1300"/>
      <c r="BR485" s="85"/>
      <c r="BS485" s="47"/>
      <c r="BT485" s="47"/>
      <c r="BU485" s="47"/>
      <c r="BV485" s="47"/>
      <c r="BW485" s="47"/>
      <c r="BX485" s="47"/>
      <c r="BY485" s="47"/>
      <c r="BZ485" s="47"/>
      <c r="CA485" s="47"/>
      <c r="CB485" s="47"/>
      <c r="CC485" s="47"/>
      <c r="CD485" s="52"/>
      <c r="CE485" s="52"/>
      <c r="CF485" s="52"/>
      <c r="CG485" s="52"/>
      <c r="CH485" s="52"/>
      <c r="CI485" s="52"/>
      <c r="CJ485" s="52"/>
      <c r="CK485" s="52"/>
      <c r="CL485" s="52"/>
      <c r="CM485" s="52"/>
      <c r="CN485" s="52"/>
      <c r="CO485" s="52"/>
      <c r="CP485" s="52"/>
      <c r="CQ485" s="52"/>
      <c r="CR485"/>
      <c r="CS485"/>
      <c r="CT485"/>
      <c r="CU485"/>
      <c r="CV485"/>
      <c r="CW485"/>
    </row>
    <row r="486" spans="1:101" s="592" customFormat="1" outlineLevel="1">
      <c r="H486" s="563"/>
      <c r="I486" s="588"/>
      <c r="J486" s="369" t="s">
        <v>207</v>
      </c>
      <c r="K486" s="11"/>
      <c r="L486" s="11"/>
      <c r="M486" s="11"/>
      <c r="N486" s="77"/>
      <c r="O486" s="79">
        <f>IF(ISERROR(+(O453-N453)/ABS(N453)), "--", (O453-N453)/ABS(N453))</f>
        <v>1.9571428571428571</v>
      </c>
      <c r="P486" s="79">
        <f t="shared" ref="P486:AD486" si="555">IF(ISERROR(+(P453-O453)/ABS(O453)), "--", (P453-O453)/ABS(O453))</f>
        <v>1.7836497584541076</v>
      </c>
      <c r="Q486" s="79">
        <f t="shared" si="555"/>
        <v>2.0215553035279306</v>
      </c>
      <c r="R486" s="79">
        <f t="shared" si="555"/>
        <v>0.96546140958389415</v>
      </c>
      <c r="S486" s="79">
        <f t="shared" si="555"/>
        <v>0.95410242548217428</v>
      </c>
      <c r="T486" s="79">
        <f t="shared" si="555"/>
        <v>0.77705971125650397</v>
      </c>
      <c r="U486" s="79">
        <f t="shared" si="555"/>
        <v>0.45388581201403233</v>
      </c>
      <c r="V486" s="79">
        <f t="shared" si="555"/>
        <v>0.44721007762237502</v>
      </c>
      <c r="W486" s="79">
        <f t="shared" si="555"/>
        <v>0.31173975168163709</v>
      </c>
      <c r="X486" s="79">
        <f t="shared" si="555"/>
        <v>0.28913214680868399</v>
      </c>
      <c r="Y486" s="79">
        <f t="shared" si="555"/>
        <v>0.25869810829429374</v>
      </c>
      <c r="Z486" s="79">
        <f t="shared" si="555"/>
        <v>0.18226213877301906</v>
      </c>
      <c r="AA486" s="79">
        <f t="shared" si="555"/>
        <v>0.11100903320365493</v>
      </c>
      <c r="AB486" s="79">
        <f t="shared" si="555"/>
        <v>0.11025075578857708</v>
      </c>
      <c r="AC486" s="79">
        <f t="shared" si="555"/>
        <v>0.10094089964576505</v>
      </c>
      <c r="AD486" s="79">
        <f t="shared" si="555"/>
        <v>0.10786682546702854</v>
      </c>
      <c r="AE486" s="836"/>
      <c r="AF486" s="440"/>
      <c r="AG486" s="28"/>
      <c r="AH486" s="28"/>
      <c r="AI486" s="28"/>
      <c r="AJ486" s="28"/>
      <c r="AK486" s="28"/>
      <c r="AL486" s="662"/>
      <c r="AM486" s="215"/>
      <c r="AN486" s="215"/>
      <c r="AO486" s="215"/>
      <c r="AP486" s="673"/>
      <c r="AQ486" s="77"/>
      <c r="AR486" s="77"/>
      <c r="AS486" s="77"/>
      <c r="AT486" s="673"/>
      <c r="AU486" s="79"/>
      <c r="AV486" s="79"/>
      <c r="AW486" s="79"/>
      <c r="AX486" s="673"/>
      <c r="AY486" s="79"/>
      <c r="AZ486" s="79"/>
      <c r="BA486" s="79"/>
      <c r="BB486" s="673">
        <f>IF(ISERROR(+(BB453-AX453)/ABS(AX453)), "--", (BB453-AX453)/ABS(AX453))</f>
        <v>0.97470414318930565</v>
      </c>
      <c r="BC486" s="79">
        <f t="shared" ref="BC486:BQ486" si="556">IF(ISERROR(+(BC453-AY453)/ABS(AY453)), "--", (BC453-AY453)/ABS(AY453))</f>
        <v>0.82673935869630966</v>
      </c>
      <c r="BD486" s="79">
        <f t="shared" si="556"/>
        <v>0.6670092158135823</v>
      </c>
      <c r="BE486" s="79">
        <f t="shared" si="556"/>
        <v>0.72802620271505103</v>
      </c>
      <c r="BF486" s="673">
        <f t="shared" si="556"/>
        <v>0.52961018382332947</v>
      </c>
      <c r="BG486" s="79">
        <f t="shared" si="556"/>
        <v>0.49785947800584396</v>
      </c>
      <c r="BH486" s="79">
        <f t="shared" si="556"/>
        <v>0.42404850853322135</v>
      </c>
      <c r="BI486" s="79">
        <f t="shared" si="556"/>
        <v>0.4008950014781531</v>
      </c>
      <c r="BJ486" s="673">
        <f t="shared" si="556"/>
        <v>0.55455811811967071</v>
      </c>
      <c r="BK486" s="79">
        <f t="shared" si="556"/>
        <v>0.44190054502698578</v>
      </c>
      <c r="BL486" s="79">
        <f t="shared" si="556"/>
        <v>0.518933635907316</v>
      </c>
      <c r="BM486" s="79">
        <f t="shared" si="556"/>
        <v>0.32630246816965258</v>
      </c>
      <c r="BN486" s="673">
        <f t="shared" si="556"/>
        <v>0.24184294394429937</v>
      </c>
      <c r="BO486" s="79">
        <f t="shared" si="556"/>
        <v>0.30114460460374193</v>
      </c>
      <c r="BP486" s="79">
        <f t="shared" si="556"/>
        <v>0.19631029871129246</v>
      </c>
      <c r="BQ486" s="79">
        <f t="shared" si="556"/>
        <v>0.47764313571820283</v>
      </c>
      <c r="BR486" s="85"/>
      <c r="BS486" s="47"/>
      <c r="BT486" s="47"/>
      <c r="BU486" s="47"/>
      <c r="BV486" s="47"/>
      <c r="BW486" s="47"/>
      <c r="BX486" s="47"/>
      <c r="BY486" s="47"/>
      <c r="BZ486" s="47"/>
      <c r="CA486" s="47"/>
      <c r="CB486" s="47"/>
      <c r="CC486" s="47"/>
      <c r="CD486" s="52"/>
      <c r="CE486" s="52"/>
      <c r="CF486" s="52"/>
      <c r="CG486" s="52"/>
      <c r="CH486" s="52"/>
      <c r="CI486" s="52"/>
      <c r="CJ486" s="52"/>
      <c r="CK486" s="52"/>
      <c r="CL486" s="52"/>
      <c r="CM486" s="52"/>
      <c r="CN486" s="52"/>
      <c r="CO486" s="52"/>
      <c r="CP486" s="52"/>
      <c r="CQ486" s="52"/>
      <c r="CR486"/>
      <c r="CS486"/>
      <c r="CT486"/>
      <c r="CU486"/>
      <c r="CV486"/>
      <c r="CW486"/>
    </row>
    <row r="487" spans="1:101" s="583" customFormat="1" outlineLevel="1">
      <c r="I487" s="597"/>
      <c r="J487" s="28" t="s">
        <v>671</v>
      </c>
      <c r="K487" s="28"/>
      <c r="L487" s="28"/>
      <c r="M487" s="28"/>
      <c r="N487" s="77"/>
      <c r="O487" s="79">
        <f>IF(ISERROR(+(O454-N454)/ABS(N454)), "--", (O454-N454)/ABS(N454))</f>
        <v>-3.6976744186046511</v>
      </c>
      <c r="P487" s="79">
        <f t="shared" ref="P487:AD487" si="557">IF(ISERROR(+(P454-O454)/ABS(O454)), "--", (P454-O454)/ABS(O454))</f>
        <v>-2.2985272277227713</v>
      </c>
      <c r="Q487" s="79">
        <f t="shared" si="557"/>
        <v>-0.29432727627466682</v>
      </c>
      <c r="R487" s="79">
        <f t="shared" si="557"/>
        <v>0.82303906420759898</v>
      </c>
      <c r="S487" s="79">
        <f t="shared" si="557"/>
        <v>-0.5260576554498787</v>
      </c>
      <c r="T487" s="79">
        <f t="shared" si="557"/>
        <v>-8.5572678050812137</v>
      </c>
      <c r="U487" s="79">
        <f t="shared" si="557"/>
        <v>1.3592028964997396</v>
      </c>
      <c r="V487" s="79">
        <f t="shared" si="557"/>
        <v>0.80454639259063088</v>
      </c>
      <c r="W487" s="79">
        <f t="shared" si="557"/>
        <v>0.42285253387570282</v>
      </c>
      <c r="X487" s="79">
        <f t="shared" si="557"/>
        <v>1.5902392610565308</v>
      </c>
      <c r="Y487" s="79">
        <f t="shared" si="557"/>
        <v>0.74868390051801781</v>
      </c>
      <c r="Z487" s="79">
        <f t="shared" si="557"/>
        <v>0.47874279820071619</v>
      </c>
      <c r="AA487" s="79">
        <f t="shared" si="557"/>
        <v>0.30884888793581289</v>
      </c>
      <c r="AB487" s="79">
        <f t="shared" si="557"/>
        <v>0.26951293723509728</v>
      </c>
      <c r="AC487" s="79">
        <f t="shared" si="557"/>
        <v>0.23421544735534622</v>
      </c>
      <c r="AD487" s="79">
        <f t="shared" si="557"/>
        <v>0.16167730783604869</v>
      </c>
      <c r="AE487" s="83"/>
      <c r="AF487" s="83"/>
      <c r="AG487" s="83"/>
      <c r="AH487" s="28"/>
      <c r="AI487" s="28"/>
      <c r="AJ487" s="28"/>
      <c r="AK487" s="28"/>
      <c r="AL487" s="1617"/>
      <c r="AM487" s="258"/>
      <c r="AN487" s="258"/>
      <c r="AO487" s="258"/>
      <c r="AP487" s="673"/>
      <c r="AQ487" s="77"/>
      <c r="AR487" s="77"/>
      <c r="AS487" s="77"/>
      <c r="AT487" s="673"/>
      <c r="AU487" s="79"/>
      <c r="AV487" s="79"/>
      <c r="AW487" s="79"/>
      <c r="AX487" s="673"/>
      <c r="AY487" s="79"/>
      <c r="AZ487" s="79"/>
      <c r="BA487" s="79"/>
      <c r="BB487" s="673">
        <f>IF(ISERROR(+(BB454-AX454)/ABS(AX454)), "--", (BB454-AX454)/ABS(AX454))</f>
        <v>-1.3236426603928617</v>
      </c>
      <c r="BC487" s="79">
        <f t="shared" ref="BC487:BQ487" si="558">IF(ISERROR(+(BC454-AY454)/ABS(AY454)), "--", (BC454-AY454)/ABS(AY454))</f>
        <v>-0.13544514715495287</v>
      </c>
      <c r="BD487" s="79">
        <f t="shared" si="558"/>
        <v>-2.3974630350194253</v>
      </c>
      <c r="BE487" s="79">
        <f t="shared" si="558"/>
        <v>-15.470536152565382</v>
      </c>
      <c r="BF487" s="673">
        <f t="shared" si="558"/>
        <v>0.9313806873565269</v>
      </c>
      <c r="BG487" s="79">
        <f t="shared" si="558"/>
        <v>3.1225798605480506</v>
      </c>
      <c r="BH487" s="79">
        <f t="shared" si="558"/>
        <v>4.0197188902625918</v>
      </c>
      <c r="BI487" s="79">
        <f t="shared" si="558"/>
        <v>1.1545950664455857</v>
      </c>
      <c r="BJ487" s="673">
        <f t="shared" si="558"/>
        <v>66.413187920989927</v>
      </c>
      <c r="BK487" s="79">
        <f t="shared" si="558"/>
        <v>0.11127238835901555</v>
      </c>
      <c r="BL487" s="79">
        <f t="shared" si="558"/>
        <v>1.7146827277538683</v>
      </c>
      <c r="BM487" s="79">
        <f t="shared" si="558"/>
        <v>-2.0735381023076189</v>
      </c>
      <c r="BN487" s="673">
        <f t="shared" si="558"/>
        <v>-0.84296437819515357</v>
      </c>
      <c r="BO487" s="79">
        <f t="shared" si="558"/>
        <v>-0.15856609519151624</v>
      </c>
      <c r="BP487" s="79">
        <f t="shared" si="558"/>
        <v>-0.49741312536039267</v>
      </c>
      <c r="BQ487" s="79">
        <f t="shared" si="558"/>
        <v>5.4510790473599204</v>
      </c>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c r="CS487"/>
      <c r="CT487"/>
      <c r="CU487"/>
      <c r="CV487"/>
      <c r="CW487"/>
    </row>
    <row r="488" spans="1:101" s="583" customFormat="1" outlineLevel="1">
      <c r="I488" s="597"/>
      <c r="J488" s="28" t="s">
        <v>498</v>
      </c>
      <c r="K488" s="28"/>
      <c r="L488" s="28"/>
      <c r="M488" s="28"/>
      <c r="N488" s="77"/>
      <c r="O488" s="79">
        <f>IF(ISERROR(+(O456-N456)/ABS(N456)), "--", (O456-N456)/ABS(N456))</f>
        <v>-3.6976744186046511</v>
      </c>
      <c r="P488" s="79">
        <f t="shared" ref="P488:AD488" si="559">IF(ISERROR(+(P456-O456)/ABS(O456)), "--", (P456-O456)/ABS(O456))</f>
        <v>-2.1154925742574249</v>
      </c>
      <c r="Q488" s="79">
        <f t="shared" si="559"/>
        <v>-0.22280697154670345</v>
      </c>
      <c r="R488" s="79">
        <f t="shared" si="559"/>
        <v>0.99214734353975087</v>
      </c>
      <c r="S488" s="79">
        <f t="shared" si="559"/>
        <v>99.025732252192967</v>
      </c>
      <c r="T488" s="79">
        <f t="shared" si="559"/>
        <v>-2.5468866982516825</v>
      </c>
      <c r="U488" s="79">
        <f t="shared" si="559"/>
        <v>2.8610039958377533</v>
      </c>
      <c r="V488" s="79">
        <f t="shared" si="559"/>
        <v>0.55421068896742764</v>
      </c>
      <c r="W488" s="79">
        <f t="shared" ca="1" si="559"/>
        <v>0.52531411981663834</v>
      </c>
      <c r="X488" s="79">
        <f t="shared" ca="1" si="559"/>
        <v>0.86942542180201654</v>
      </c>
      <c r="Y488" s="79">
        <f t="shared" ca="1" si="559"/>
        <v>0.52573462850856201</v>
      </c>
      <c r="Z488" s="79">
        <f t="shared" ca="1" si="559"/>
        <v>0.38128261526590551</v>
      </c>
      <c r="AA488" s="79">
        <f t="shared" ca="1" si="559"/>
        <v>0.26533886067875995</v>
      </c>
      <c r="AB488" s="79">
        <f t="shared" ca="1" si="559"/>
        <v>0.24955887759004008</v>
      </c>
      <c r="AC488" s="79">
        <f t="shared" ca="1" si="559"/>
        <v>0.21912287402462094</v>
      </c>
      <c r="AD488" s="79">
        <f t="shared" ca="1" si="559"/>
        <v>0.15274636456595345</v>
      </c>
      <c r="AE488" s="83"/>
      <c r="AF488" s="83"/>
      <c r="AG488" s="83"/>
      <c r="AH488" s="28"/>
      <c r="AI488" s="28"/>
      <c r="AJ488" s="28"/>
      <c r="AK488" s="28"/>
      <c r="AL488" s="1617"/>
      <c r="AM488" s="258"/>
      <c r="AN488" s="258"/>
      <c r="AO488" s="258"/>
      <c r="AP488" s="673"/>
      <c r="AQ488" s="77"/>
      <c r="AR488" s="77"/>
      <c r="AS488" s="77"/>
      <c r="AT488" s="673"/>
      <c r="AU488" s="79"/>
      <c r="AV488" s="79"/>
      <c r="AW488" s="79"/>
      <c r="AX488" s="673"/>
      <c r="AY488" s="79"/>
      <c r="AZ488" s="79"/>
      <c r="BA488" s="79"/>
      <c r="BB488" s="673">
        <f>IF(ISERROR(+(BB456-AX456)/ABS(AX456)), "--", (BB456-AX456)/ABS(AX456))</f>
        <v>12.374804149903719</v>
      </c>
      <c r="BC488" s="79">
        <f t="shared" ref="BC488:BQ488" si="560">IF(ISERROR(+(BC456-AY456)/ABS(AY456)), "--", (BC456-AY456)/ABS(AY456))</f>
        <v>0.54338076991830631</v>
      </c>
      <c r="BD488" s="79">
        <f t="shared" si="560"/>
        <v>-0.26982038579173284</v>
      </c>
      <c r="BE488" s="79">
        <f t="shared" si="560"/>
        <v>-10.69393131887996</v>
      </c>
      <c r="BF488" s="673">
        <f t="shared" si="560"/>
        <v>0.48356762069269899</v>
      </c>
      <c r="BG488" s="79">
        <f t="shared" si="560"/>
        <v>1.4357173072274731</v>
      </c>
      <c r="BH488" s="79">
        <f t="shared" si="560"/>
        <v>1.181005550811256</v>
      </c>
      <c r="BI488" s="79">
        <f t="shared" si="560"/>
        <v>1.3307492382983415</v>
      </c>
      <c r="BJ488" s="673">
        <f t="shared" si="560"/>
        <v>3.9691551027577865</v>
      </c>
      <c r="BK488" s="79">
        <f t="shared" si="560"/>
        <v>0.14689409210730758</v>
      </c>
      <c r="BL488" s="79">
        <f t="shared" si="560"/>
        <v>0.95741413081462523</v>
      </c>
      <c r="BM488" s="79">
        <f t="shared" si="560"/>
        <v>-0.87022579237932252</v>
      </c>
      <c r="BN488" s="673">
        <f t="shared" si="560"/>
        <v>-0.53330816764589073</v>
      </c>
      <c r="BO488" s="79">
        <f t="shared" si="560"/>
        <v>0.43278164623476068</v>
      </c>
      <c r="BP488" s="79">
        <f t="shared" si="560"/>
        <v>-7.9922013919121321E-2</v>
      </c>
      <c r="BQ488" s="79">
        <f t="shared" ca="1" si="560"/>
        <v>26.035162988085588</v>
      </c>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c r="CS488"/>
      <c r="CT488"/>
      <c r="CU488"/>
      <c r="CV488"/>
      <c r="CW488"/>
    </row>
    <row r="489" spans="1:101" s="516" customFormat="1" outlineLevel="1">
      <c r="H489" s="563"/>
      <c r="I489" s="588"/>
      <c r="J489" s="28" t="s">
        <v>672</v>
      </c>
      <c r="K489" s="28"/>
      <c r="L489" s="28"/>
      <c r="M489" s="1492"/>
      <c r="N489" s="179"/>
      <c r="O489" s="79">
        <f>IF(ISERROR(+(O458-N458)/ABS(N458)), "--", (O458-N458)/ABS(N458))</f>
        <v>-3.2555555555555555</v>
      </c>
      <c r="P489" s="79">
        <f t="shared" ref="P489:AD489" si="561">IF(ISERROR(+(P458-O458)/ABS(O458)), "--", (P458-O458)/ABS(O458))</f>
        <v>-1.5005448215839854</v>
      </c>
      <c r="Q489" s="79">
        <f t="shared" si="561"/>
        <v>-7.5470062921013908E-2</v>
      </c>
      <c r="R489" s="79">
        <f t="shared" si="561"/>
        <v>0.28427802163198818</v>
      </c>
      <c r="S489" s="79">
        <f t="shared" si="561"/>
        <v>-2.4443822960607315</v>
      </c>
      <c r="T489" s="79">
        <f t="shared" si="561"/>
        <v>0.87033717653477527</v>
      </c>
      <c r="U489" s="79">
        <f t="shared" si="561"/>
        <v>3.0941664354894187</v>
      </c>
      <c r="V489" s="79">
        <f t="shared" si="561"/>
        <v>1.4020355791227841</v>
      </c>
      <c r="W489" s="79">
        <f t="shared" si="561"/>
        <v>0.3813776733939141</v>
      </c>
      <c r="X489" s="79">
        <f t="shared" ca="1" si="561"/>
        <v>0.87732131735611363</v>
      </c>
      <c r="Y489" s="79">
        <f t="shared" ca="1" si="561"/>
        <v>0.58447710502378258</v>
      </c>
      <c r="Z489" s="79">
        <f t="shared" ca="1" si="561"/>
        <v>0.44265477790530694</v>
      </c>
      <c r="AA489" s="79">
        <f t="shared" ca="1" si="561"/>
        <v>0.2949696701802963</v>
      </c>
      <c r="AB489" s="79">
        <f t="shared" ca="1" si="561"/>
        <v>0.25507492606545384</v>
      </c>
      <c r="AC489" s="79">
        <f t="shared" ca="1" si="561"/>
        <v>0.2295299696135098</v>
      </c>
      <c r="AD489" s="79">
        <f t="shared" ca="1" si="561"/>
        <v>0.17364811820333889</v>
      </c>
      <c r="AE489" s="28"/>
      <c r="AF489" s="28"/>
      <c r="AG489" s="28"/>
      <c r="AH489" s="1493"/>
      <c r="AI489" s="1493"/>
      <c r="AJ489" s="1493"/>
      <c r="AK489" s="1493"/>
      <c r="AL489" s="674"/>
      <c r="AM489" s="93"/>
      <c r="AN489" s="93"/>
      <c r="AO489" s="93"/>
      <c r="AP489" s="673"/>
      <c r="AQ489" s="93"/>
      <c r="AR489" s="93"/>
      <c r="AS489" s="93"/>
      <c r="AT489" s="673"/>
      <c r="AU489" s="79"/>
      <c r="AV489" s="79"/>
      <c r="AW489" s="79"/>
      <c r="AX489" s="673"/>
      <c r="AY489" s="79"/>
      <c r="AZ489" s="79"/>
      <c r="BA489" s="79"/>
      <c r="BB489" s="673">
        <f>IF(ISERROR(+(BB458-AX458)/ABS(AX458)), "--", (BB458-AX458)/ABS(AX458))</f>
        <v>0.8693702764700344</v>
      </c>
      <c r="BC489" s="79">
        <f t="shared" ref="BC489:BQ489" si="562">IF(ISERROR(+(BC458-AY458)/ABS(AY458)), "--", (BC458-AY458)/ABS(AY458))</f>
        <v>0.99757335414992077</v>
      </c>
      <c r="BD489" s="79">
        <f t="shared" si="562"/>
        <v>-0.92708383902129987</v>
      </c>
      <c r="BE489" s="79">
        <f t="shared" si="562"/>
        <v>-8.8275775686214732</v>
      </c>
      <c r="BF489" s="673">
        <f t="shared" si="562"/>
        <v>1.4273365656290495</v>
      </c>
      <c r="BG489" s="79">
        <f t="shared" si="562"/>
        <v>46.613306605566365</v>
      </c>
      <c r="BH489" s="79">
        <f t="shared" si="562"/>
        <v>16.904756620799038</v>
      </c>
      <c r="BI489" s="79">
        <f t="shared" si="562"/>
        <v>2.1882278893836831</v>
      </c>
      <c r="BJ489" s="673">
        <f t="shared" si="562"/>
        <v>14.90394824437174</v>
      </c>
      <c r="BK489" s="79">
        <f t="shared" si="562"/>
        <v>0.25693268737771136</v>
      </c>
      <c r="BL489" s="79">
        <f t="shared" si="562"/>
        <v>3.5873287706606085</v>
      </c>
      <c r="BM489" s="79">
        <f t="shared" si="562"/>
        <v>-0.42374716072691027</v>
      </c>
      <c r="BN489" s="673">
        <f t="shared" si="562"/>
        <v>-0.46610579677823372</v>
      </c>
      <c r="BO489" s="79">
        <f t="shared" si="562"/>
        <v>0.33318367270967603</v>
      </c>
      <c r="BP489" s="79">
        <f t="shared" si="562"/>
        <v>-0.34147370839364277</v>
      </c>
      <c r="BQ489" s="79">
        <f t="shared" si="562"/>
        <v>6.6867392993302452</v>
      </c>
      <c r="BR489" s="28"/>
      <c r="BS489" s="28"/>
      <c r="BT489" s="28"/>
      <c r="BU489" s="28"/>
      <c r="BV489" s="28"/>
      <c r="BW489" s="437"/>
      <c r="BX489" s="437"/>
      <c r="BY489" s="437"/>
      <c r="BZ489" s="437"/>
      <c r="CA489" s="437"/>
      <c r="CB489" s="437"/>
      <c r="CC489" s="437"/>
      <c r="CD489" s="437"/>
      <c r="CE489" s="437"/>
      <c r="CF489" s="437"/>
      <c r="CG489" s="437"/>
      <c r="CH489" s="437"/>
      <c r="CI489" s="437"/>
      <c r="CJ489" s="437"/>
      <c r="CK489" s="437"/>
      <c r="CL489" s="437"/>
      <c r="CM489" s="437"/>
      <c r="CN489" s="437"/>
      <c r="CO489" s="437"/>
      <c r="CP489" s="437"/>
      <c r="CQ489" s="437"/>
      <c r="CR489"/>
      <c r="CS489"/>
      <c r="CT489"/>
      <c r="CU489"/>
      <c r="CV489"/>
      <c r="CW489"/>
    </row>
    <row r="490" spans="1:101" s="42" customFormat="1">
      <c r="I490" s="587"/>
      <c r="J490" s="11"/>
      <c r="K490" s="11"/>
      <c r="L490" s="11"/>
      <c r="M490" s="11"/>
      <c r="N490" s="205"/>
      <c r="O490" s="205"/>
      <c r="P490" s="205"/>
      <c r="Q490" s="205"/>
      <c r="R490" s="205"/>
      <c r="S490" s="215"/>
      <c r="T490" s="215"/>
      <c r="U490" s="215"/>
      <c r="V490" s="215"/>
      <c r="W490" s="205"/>
      <c r="X490" s="205"/>
      <c r="Y490" s="205"/>
      <c r="Z490" s="205"/>
      <c r="AA490" s="205"/>
      <c r="AB490" s="205"/>
      <c r="AC490" s="205"/>
      <c r="AD490" s="205"/>
      <c r="AE490" s="2"/>
      <c r="AF490" s="2"/>
      <c r="AG490" s="2"/>
      <c r="AH490" s="11"/>
      <c r="AI490" s="11"/>
      <c r="AJ490" s="11"/>
      <c r="AK490" s="11"/>
      <c r="AL490" s="390"/>
      <c r="AM490" s="11"/>
      <c r="AN490" s="11"/>
      <c r="AO490" s="11"/>
      <c r="AP490" s="390"/>
      <c r="AQ490" s="11"/>
      <c r="AR490" s="11"/>
      <c r="AS490" s="11"/>
      <c r="AT490" s="390"/>
      <c r="AU490" s="11"/>
      <c r="AV490" s="11"/>
      <c r="AW490" s="11"/>
      <c r="AX490" s="390"/>
      <c r="AY490" s="28"/>
      <c r="AZ490" s="28"/>
      <c r="BA490" s="28"/>
      <c r="BB490" s="390"/>
      <c r="BC490" s="28"/>
      <c r="BD490" s="28"/>
      <c r="BE490" s="28"/>
      <c r="BF490" s="390"/>
      <c r="BG490" s="13"/>
      <c r="BH490" s="13"/>
      <c r="BI490" s="28"/>
      <c r="BJ490" s="390"/>
      <c r="BK490" s="11"/>
      <c r="BL490" s="11"/>
      <c r="BM490" s="28"/>
      <c r="BN490" s="390"/>
      <c r="BO490" s="11"/>
      <c r="BP490" s="11"/>
      <c r="BQ490" s="28"/>
      <c r="BR490" s="83"/>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c r="CS490"/>
      <c r="CT490"/>
      <c r="CU490"/>
      <c r="CV490"/>
      <c r="CW490"/>
    </row>
    <row r="491" spans="1:101" s="477" customFormat="1">
      <c r="A491" s="583"/>
      <c r="B491" s="583"/>
      <c r="C491" s="583"/>
      <c r="D491" s="583"/>
      <c r="E491" s="583"/>
      <c r="F491" s="583"/>
      <c r="G491" s="583"/>
      <c r="H491" s="563"/>
      <c r="I491" s="1020"/>
      <c r="J491" s="1392" t="s">
        <v>208</v>
      </c>
      <c r="K491" s="1387"/>
      <c r="L491" s="1387"/>
      <c r="M491" s="1387"/>
      <c r="N491" s="1387"/>
      <c r="O491" s="1387"/>
      <c r="P491" s="1387"/>
      <c r="Q491" s="1387"/>
      <c r="R491" s="1387"/>
      <c r="S491" s="1352"/>
      <c r="T491" s="1352"/>
      <c r="U491" s="1352"/>
      <c r="V491" s="1352"/>
      <c r="W491" s="1352"/>
      <c r="X491" s="1352"/>
      <c r="Y491" s="1352"/>
      <c r="Z491" s="1352"/>
      <c r="AA491" s="1352"/>
      <c r="AB491" s="1352"/>
      <c r="AC491" s="1352"/>
      <c r="AD491" s="1352"/>
      <c r="AE491" s="480"/>
      <c r="AF491" s="1391"/>
      <c r="AG491" s="480"/>
      <c r="AH491" s="1387"/>
      <c r="AI491" s="1387"/>
      <c r="AJ491" s="1387"/>
      <c r="AK491" s="1387"/>
      <c r="AL491" s="1742"/>
      <c r="AM491" s="1387"/>
      <c r="AN491" s="1387"/>
      <c r="AO491" s="1387"/>
      <c r="AP491" s="1742"/>
      <c r="AQ491" s="1387"/>
      <c r="AR491" s="1387"/>
      <c r="AS491" s="1387"/>
      <c r="AT491" s="1742"/>
      <c r="AU491" s="1387"/>
      <c r="AV491" s="1387"/>
      <c r="AW491" s="1387"/>
      <c r="AX491" s="1620"/>
      <c r="AY491" s="1352"/>
      <c r="AZ491" s="1352"/>
      <c r="BA491" s="1352"/>
      <c r="BB491" s="1620"/>
      <c r="BC491" s="1352"/>
      <c r="BD491" s="1352"/>
      <c r="BE491" s="1352"/>
      <c r="BF491" s="1620"/>
      <c r="BG491" s="1387"/>
      <c r="BH491" s="1387"/>
      <c r="BI491" s="1352"/>
      <c r="BJ491" s="1620"/>
      <c r="BK491" s="1352"/>
      <c r="BL491" s="1352"/>
      <c r="BM491" s="1352"/>
      <c r="BN491" s="1620"/>
      <c r="BO491" s="1352"/>
      <c r="BP491" s="1352"/>
      <c r="BQ491" s="1352"/>
      <c r="CR491"/>
      <c r="CS491"/>
      <c r="CT491"/>
      <c r="CU491"/>
      <c r="CV491"/>
      <c r="CW491"/>
    </row>
    <row r="492" spans="1:101" s="42" customFormat="1" outlineLevel="1">
      <c r="H492" s="289"/>
      <c r="I492" s="586"/>
      <c r="J492" s="13" t="s">
        <v>678</v>
      </c>
      <c r="K492" s="13"/>
      <c r="L492" s="13"/>
      <c r="M492" s="251"/>
      <c r="N492" s="282"/>
      <c r="O492" s="282"/>
      <c r="P492" s="282"/>
      <c r="Q492" s="282"/>
      <c r="R492" s="282"/>
      <c r="S492" s="283"/>
      <c r="T492" s="283"/>
      <c r="U492" s="1523"/>
      <c r="V492" s="283"/>
      <c r="W492" s="283"/>
      <c r="X492" s="283"/>
      <c r="Y492" s="283"/>
      <c r="Z492" s="283"/>
      <c r="AA492" s="283"/>
      <c r="AB492" s="283"/>
      <c r="AC492" s="283"/>
      <c r="AD492" s="283"/>
      <c r="AE492" s="11"/>
      <c r="AF492" s="11"/>
      <c r="AG492" s="11"/>
      <c r="AH492" s="282"/>
      <c r="AI492" s="282"/>
      <c r="AJ492" s="282"/>
      <c r="AK492" s="282"/>
      <c r="AL492" s="1524"/>
      <c r="AM492" s="282"/>
      <c r="AN492" s="282"/>
      <c r="AO492" s="282"/>
      <c r="AP492" s="1524"/>
      <c r="AQ492" s="282"/>
      <c r="AR492" s="282"/>
      <c r="AS492" s="282"/>
      <c r="AT492" s="1524"/>
      <c r="AU492" s="282"/>
      <c r="AV492" s="282"/>
      <c r="AW492" s="282"/>
      <c r="AX492" s="130"/>
      <c r="AY492" s="13"/>
      <c r="AZ492" s="13"/>
      <c r="BA492" s="13"/>
      <c r="BB492" s="130"/>
      <c r="BC492" s="282"/>
      <c r="BD492" s="282"/>
      <c r="BE492" s="282"/>
      <c r="BF492" s="1524"/>
      <c r="BG492" s="282"/>
      <c r="BH492" s="282"/>
      <c r="BI492" s="282"/>
      <c r="BJ492" s="1524"/>
      <c r="BK492" s="282"/>
      <c r="BL492" s="282"/>
      <c r="BM492" s="282"/>
      <c r="BN492" s="1524"/>
      <c r="BO492" s="282"/>
      <c r="BP492" s="282"/>
      <c r="BQ492" s="282"/>
      <c r="BR492" s="83"/>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c r="CS492"/>
      <c r="CT492"/>
      <c r="CU492"/>
      <c r="CV492"/>
      <c r="CW492"/>
    </row>
    <row r="493" spans="1:101" s="583" customFormat="1" outlineLevel="1">
      <c r="H493" s="563"/>
      <c r="I493" s="588"/>
      <c r="J493" s="248" t="s">
        <v>178</v>
      </c>
      <c r="K493" s="28"/>
      <c r="L493" s="28"/>
      <c r="M493" s="28"/>
      <c r="N493" s="1525"/>
      <c r="O493" s="1525"/>
      <c r="P493" s="1526">
        <v>6288.777</v>
      </c>
      <c r="Q493" s="1526">
        <v>7177.2939999999999</v>
      </c>
      <c r="R493" s="1526">
        <v>10812.339</v>
      </c>
      <c r="S493" s="1402">
        <v>16914.651000000002</v>
      </c>
      <c r="T493" s="1402">
        <v>17863.867999999999</v>
      </c>
      <c r="U493" s="1402">
        <v>15567.036</v>
      </c>
      <c r="V493" s="1402">
        <v>25688.327000000001</v>
      </c>
      <c r="W493" s="1013">
        <f t="shared" ref="W493:AD493" ca="1" si="563">W746</f>
        <v>31737.817956126404</v>
      </c>
      <c r="X493" s="1013">
        <f t="shared" ca="1" si="563"/>
        <v>49717.087797550907</v>
      </c>
      <c r="Y493" s="1013">
        <f t="shared" ca="1" si="563"/>
        <v>70491.956636894902</v>
      </c>
      <c r="Z493" s="1013">
        <f t="shared" ca="1" si="563"/>
        <v>104992.79428216856</v>
      </c>
      <c r="AA493" s="1013">
        <f t="shared" ca="1" si="563"/>
        <v>139736.69883610297</v>
      </c>
      <c r="AB493" s="1013">
        <f t="shared" ca="1" si="563"/>
        <v>184104.95308862461</v>
      </c>
      <c r="AC493" s="1013">
        <f t="shared" ca="1" si="563"/>
        <v>239025.64604597239</v>
      </c>
      <c r="AD493" s="1013">
        <f t="shared" ca="1" si="563"/>
        <v>305008.23947886284</v>
      </c>
      <c r="AE493" s="1527"/>
      <c r="AF493" s="1528"/>
      <c r="AG493" s="28"/>
      <c r="AH493" s="28"/>
      <c r="AI493" s="28"/>
      <c r="AJ493" s="28"/>
      <c r="AK493" s="28"/>
      <c r="AL493" s="1784"/>
      <c r="AM493" s="217"/>
      <c r="AN493" s="217"/>
      <c r="AO493" s="477"/>
      <c r="AP493" s="1743"/>
      <c r="AQ493" s="477"/>
      <c r="AR493" s="477"/>
      <c r="AS493" s="477"/>
      <c r="AT493" s="1743"/>
      <c r="AU493" s="477"/>
      <c r="AV493" s="477"/>
      <c r="AW493" s="477"/>
      <c r="AX493" s="1725"/>
      <c r="AY493" s="890">
        <v>27535.975999999999</v>
      </c>
      <c r="AZ493" s="890">
        <v>20717.888999999999</v>
      </c>
      <c r="BA493" s="1269">
        <v>16914.651000000002</v>
      </c>
      <c r="BB493" s="1421">
        <v>14680.367</v>
      </c>
      <c r="BC493" s="1269">
        <v>17536.782999999999</v>
      </c>
      <c r="BD493" s="1269">
        <v>21321.580999999998</v>
      </c>
      <c r="BE493" s="1269">
        <v>17863.867999999999</v>
      </c>
      <c r="BF493" s="1421">
        <v>31054.993999999999</v>
      </c>
      <c r="BG493" s="1269">
        <v>36381.637000000002</v>
      </c>
      <c r="BH493" s="1269">
        <v>24834.595000000001</v>
      </c>
      <c r="BI493" s="1269">
        <v>15567.036</v>
      </c>
      <c r="BJ493" s="1421">
        <v>23624.191999999999</v>
      </c>
      <c r="BK493" s="1269">
        <v>27854.974999999999</v>
      </c>
      <c r="BL493" s="1269">
        <v>21610.620999999999</v>
      </c>
      <c r="BM493" s="1269">
        <v>25688.327000000001</v>
      </c>
      <c r="BN493" s="1665">
        <f>BN557-SUM(BN506:BN514)-SUM(BN494:BN501)</f>
        <v>18388.717161002831</v>
      </c>
      <c r="BO493" s="1304">
        <f>BO557-SUM(BO506:BO514)-SUM(BO494:BO501)</f>
        <v>26550.194229176996</v>
      </c>
      <c r="BP493" s="1304">
        <f>BP557-SUM(BP506:BP514)-SUM(BP494:BP501)</f>
        <v>13862.260378129256</v>
      </c>
      <c r="BQ493" s="1056">
        <f ca="1">W493</f>
        <v>31737.817956126404</v>
      </c>
      <c r="BR493" s="734"/>
      <c r="BS493" s="387"/>
      <c r="BT493" s="387"/>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c r="CS493"/>
      <c r="CT493"/>
      <c r="CU493"/>
      <c r="CV493"/>
      <c r="CW493"/>
    </row>
    <row r="494" spans="1:101" s="42" customFormat="1" outlineLevel="1">
      <c r="H494" s="289"/>
      <c r="I494" s="586"/>
      <c r="J494" s="230" t="s">
        <v>211</v>
      </c>
      <c r="K494" s="11"/>
      <c r="L494" s="11"/>
      <c r="M494" s="11"/>
      <c r="N494" s="1039"/>
      <c r="O494" s="1039"/>
      <c r="P494" s="1040">
        <v>289.971</v>
      </c>
      <c r="Q494" s="1040">
        <v>1920.13</v>
      </c>
      <c r="R494" s="1040">
        <v>1887.3869999999999</v>
      </c>
      <c r="S494" s="1402">
        <v>3038.2860000000001</v>
      </c>
      <c r="T494" s="1402">
        <v>2114.913</v>
      </c>
      <c r="U494" s="1402">
        <v>2293.64</v>
      </c>
      <c r="V494" s="1402">
        <v>4110.21</v>
      </c>
      <c r="W494" s="1009">
        <f t="shared" ref="W494:AD494" si="564">V494</f>
        <v>4110.21</v>
      </c>
      <c r="X494" s="1009">
        <f t="shared" si="564"/>
        <v>4110.21</v>
      </c>
      <c r="Y494" s="1009">
        <f t="shared" si="564"/>
        <v>4110.21</v>
      </c>
      <c r="Z494" s="1009">
        <f t="shared" si="564"/>
        <v>4110.21</v>
      </c>
      <c r="AA494" s="1009">
        <f t="shared" si="564"/>
        <v>4110.21</v>
      </c>
      <c r="AB494" s="1009">
        <f t="shared" si="564"/>
        <v>4110.21</v>
      </c>
      <c r="AC494" s="1009">
        <f t="shared" si="564"/>
        <v>4110.21</v>
      </c>
      <c r="AD494" s="1009">
        <f t="shared" si="564"/>
        <v>4110.21</v>
      </c>
      <c r="AE494" s="1521"/>
      <c r="AF494" s="75"/>
      <c r="AG494" s="11"/>
      <c r="AH494" s="11"/>
      <c r="AI494" s="11"/>
      <c r="AJ494" s="11"/>
      <c r="AK494" s="11"/>
      <c r="AL494" s="1784"/>
      <c r="AM494" s="206"/>
      <c r="AN494" s="206"/>
      <c r="AO494" s="474"/>
      <c r="AP494" s="1743"/>
      <c r="AQ494" s="474"/>
      <c r="AR494" s="474"/>
      <c r="AS494" s="474"/>
      <c r="AT494" s="1743"/>
      <c r="AU494" s="474"/>
      <c r="AV494" s="474"/>
      <c r="AW494" s="474"/>
      <c r="AX494" s="1637"/>
      <c r="AY494" s="890">
        <v>3709.2510000000002</v>
      </c>
      <c r="AZ494" s="890">
        <v>4614.34</v>
      </c>
      <c r="BA494" s="1269">
        <v>3038.2860000000001</v>
      </c>
      <c r="BB494" s="1421">
        <v>392.69900000000001</v>
      </c>
      <c r="BC494" s="1269">
        <v>1376.508</v>
      </c>
      <c r="BD494" s="1269">
        <v>1809.527</v>
      </c>
      <c r="BE494" s="1269">
        <v>2114.913</v>
      </c>
      <c r="BF494" s="1421">
        <v>3425.0250000000001</v>
      </c>
      <c r="BG494" s="1269">
        <v>3665.741</v>
      </c>
      <c r="BH494" s="1269">
        <v>3829.2179999999998</v>
      </c>
      <c r="BI494" s="1269">
        <v>2293.64</v>
      </c>
      <c r="BJ494" s="1421">
        <v>6218.7780000000002</v>
      </c>
      <c r="BK494" s="1269">
        <v>5458.1189999999997</v>
      </c>
      <c r="BL494" s="1269">
        <v>4120.3729999999996</v>
      </c>
      <c r="BM494" s="1269">
        <v>4110.21</v>
      </c>
      <c r="BN494" s="1259">
        <f>BM494</f>
        <v>4110.21</v>
      </c>
      <c r="BO494" s="1029">
        <f>BN494</f>
        <v>4110.21</v>
      </c>
      <c r="BP494" s="1029">
        <f>BO494</f>
        <v>4110.21</v>
      </c>
      <c r="BQ494" s="1056">
        <f>W494</f>
        <v>4110.21</v>
      </c>
      <c r="BR494" s="734"/>
      <c r="BS494" s="387"/>
      <c r="BT494" s="387"/>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c r="CS494"/>
      <c r="CT494"/>
      <c r="CU494"/>
      <c r="CV494"/>
      <c r="CW494"/>
    </row>
    <row r="495" spans="1:101" s="42" customFormat="1" outlineLevel="1">
      <c r="H495" s="289"/>
      <c r="I495" s="586"/>
      <c r="J495" s="230" t="s">
        <v>258</v>
      </c>
      <c r="K495" s="11"/>
      <c r="L495" s="11"/>
      <c r="M495" s="11"/>
      <c r="N495" s="1039"/>
      <c r="O495" s="1039"/>
      <c r="P495" s="1040">
        <v>0</v>
      </c>
      <c r="Q495" s="1040">
        <v>1080</v>
      </c>
      <c r="R495" s="1040">
        <v>1903.2239999999999</v>
      </c>
      <c r="S495" s="1402">
        <v>12161.643</v>
      </c>
      <c r="T495" s="1402">
        <v>2780.482</v>
      </c>
      <c r="U495" s="1402">
        <v>6548.0010000000002</v>
      </c>
      <c r="V495" s="1402">
        <v>8587.8520000000008</v>
      </c>
      <c r="W495" s="1009">
        <f t="shared" ref="W495:AD495" si="565">V495-W702-W703</f>
        <v>8587.8520000000008</v>
      </c>
      <c r="X495" s="1009">
        <f t="shared" si="565"/>
        <v>8587.8520000000008</v>
      </c>
      <c r="Y495" s="1009">
        <f t="shared" si="565"/>
        <v>8587.8520000000008</v>
      </c>
      <c r="Z495" s="1009">
        <f t="shared" si="565"/>
        <v>8587.8520000000008</v>
      </c>
      <c r="AA495" s="1009">
        <f t="shared" si="565"/>
        <v>8587.8520000000008</v>
      </c>
      <c r="AB495" s="1009">
        <f t="shared" si="565"/>
        <v>8587.8520000000008</v>
      </c>
      <c r="AC495" s="1009">
        <f t="shared" si="565"/>
        <v>8587.8520000000008</v>
      </c>
      <c r="AD495" s="1009">
        <f t="shared" si="565"/>
        <v>8587.8520000000008</v>
      </c>
      <c r="AE495" s="1521"/>
      <c r="AF495" s="75"/>
      <c r="AG495" s="11"/>
      <c r="AH495" s="11"/>
      <c r="AI495" s="11"/>
      <c r="AJ495" s="11"/>
      <c r="AK495" s="11"/>
      <c r="AL495" s="1784"/>
      <c r="AM495" s="206"/>
      <c r="AN495" s="206"/>
      <c r="AO495" s="474"/>
      <c r="AP495" s="1743"/>
      <c r="AQ495" s="474"/>
      <c r="AR495" s="474"/>
      <c r="AS495" s="474"/>
      <c r="AT495" s="1743"/>
      <c r="AU495" s="474"/>
      <c r="AV495" s="474"/>
      <c r="AW495" s="474"/>
      <c r="AX495" s="1637"/>
      <c r="AY495" s="890">
        <v>3947.134</v>
      </c>
      <c r="AZ495" s="890">
        <v>10936.316000000001</v>
      </c>
      <c r="BA495" s="1269">
        <v>12161.643</v>
      </c>
      <c r="BB495" s="1421">
        <v>11679.556</v>
      </c>
      <c r="BC495" s="1269">
        <v>6272.1080000000002</v>
      </c>
      <c r="BD495" s="1269">
        <v>249.77199999999999</v>
      </c>
      <c r="BE495" s="1269">
        <v>2780.482</v>
      </c>
      <c r="BF495" s="1421">
        <v>52.156999999999996</v>
      </c>
      <c r="BG495" s="1269">
        <v>3350.11</v>
      </c>
      <c r="BH495" s="1269">
        <v>6737.0590000000002</v>
      </c>
      <c r="BI495" s="1269">
        <v>6548.0010000000002</v>
      </c>
      <c r="BJ495" s="1421">
        <v>5193.5439999999999</v>
      </c>
      <c r="BK495" s="1269">
        <v>12739.796</v>
      </c>
      <c r="BL495" s="1269">
        <v>16058.825999999999</v>
      </c>
      <c r="BM495" s="1269">
        <v>8587.8520000000008</v>
      </c>
      <c r="BN495" s="1259">
        <f>BM495-BN702-BN703</f>
        <v>8587.8520000000008</v>
      </c>
      <c r="BO495" s="1029">
        <f>BN495-BO702-BO703</f>
        <v>8587.8520000000008</v>
      </c>
      <c r="BP495" s="1029">
        <f>BO495-BP702-BP703</f>
        <v>8587.8520000000008</v>
      </c>
      <c r="BQ495" s="1056">
        <f>W495</f>
        <v>8587.8520000000008</v>
      </c>
      <c r="BR495" s="734"/>
      <c r="BS495" s="387"/>
      <c r="BT495" s="387"/>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c r="CS495"/>
      <c r="CT495"/>
      <c r="CU495"/>
      <c r="CV495"/>
      <c r="CW495"/>
    </row>
    <row r="496" spans="1:101" s="42" customFormat="1" outlineLevel="1">
      <c r="H496" s="289"/>
      <c r="I496" s="586"/>
      <c r="J496" s="230" t="s">
        <v>518</v>
      </c>
      <c r="K496" s="11"/>
      <c r="L496" s="11"/>
      <c r="M496" s="11"/>
      <c r="N496" s="1039"/>
      <c r="O496" s="1039"/>
      <c r="P496" s="1040"/>
      <c r="Q496" s="1040"/>
      <c r="R496" s="1040"/>
      <c r="S496" s="1038"/>
      <c r="T496" s="1038"/>
      <c r="U496" s="1038"/>
      <c r="V496" s="1038"/>
      <c r="W496" s="1042"/>
      <c r="X496" s="1042"/>
      <c r="Y496" s="1042"/>
      <c r="Z496" s="1042"/>
      <c r="AA496" s="1042"/>
      <c r="AB496" s="1042"/>
      <c r="AC496" s="1042"/>
      <c r="AD496" s="1042"/>
      <c r="AE496" s="1521"/>
      <c r="AF496" s="75"/>
      <c r="AG496" s="11"/>
      <c r="AH496" s="11"/>
      <c r="AI496" s="11"/>
      <c r="AJ496" s="11"/>
      <c r="AK496" s="11"/>
      <c r="AL496" s="1784"/>
      <c r="AM496" s="206"/>
      <c r="AN496" s="206"/>
      <c r="AO496" s="474"/>
      <c r="AP496" s="1743"/>
      <c r="AQ496" s="474"/>
      <c r="AR496" s="474"/>
      <c r="AS496" s="474"/>
      <c r="AT496" s="1743"/>
      <c r="AU496" s="474"/>
      <c r="AV496" s="474"/>
      <c r="AW496" s="474"/>
      <c r="AX496" s="1637"/>
      <c r="AY496" s="890"/>
      <c r="AZ496" s="890"/>
      <c r="BA496" s="1269"/>
      <c r="BB496" s="1421"/>
      <c r="BC496" s="1269"/>
      <c r="BD496" s="1269"/>
      <c r="BE496" s="1269"/>
      <c r="BF496" s="1421"/>
      <c r="BG496" s="1269"/>
      <c r="BH496" s="1269">
        <v>108</v>
      </c>
      <c r="BI496" s="1269">
        <v>22154.493999999999</v>
      </c>
      <c r="BJ496" s="1421">
        <v>0</v>
      </c>
      <c r="BK496" s="1269">
        <v>0</v>
      </c>
      <c r="BL496" s="1269">
        <v>0</v>
      </c>
      <c r="BM496" s="1269">
        <v>0</v>
      </c>
      <c r="BN496" s="1666"/>
      <c r="BO496" s="1053"/>
      <c r="BP496" s="1053"/>
      <c r="BQ496" s="1056"/>
      <c r="BR496" s="734"/>
      <c r="BS496" s="387"/>
      <c r="BT496" s="387"/>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c r="CS496"/>
      <c r="CT496"/>
      <c r="CU496"/>
      <c r="CV496"/>
      <c r="CW496"/>
    </row>
    <row r="497" spans="8:101" s="42" customFormat="1" outlineLevel="1">
      <c r="H497" s="289"/>
      <c r="I497" s="586"/>
      <c r="J497" s="230" t="s">
        <v>212</v>
      </c>
      <c r="K497" s="11"/>
      <c r="L497" s="11"/>
      <c r="M497" s="11"/>
      <c r="N497" s="1039"/>
      <c r="O497" s="1039"/>
      <c r="P497" s="1040">
        <v>245.53399999999999</v>
      </c>
      <c r="Q497" s="1040">
        <v>479.13799999999998</v>
      </c>
      <c r="R497" s="1040">
        <v>502.089</v>
      </c>
      <c r="S497" s="1402">
        <v>2436.2559999999999</v>
      </c>
      <c r="T497" s="1402">
        <v>9508.2839999999997</v>
      </c>
      <c r="U497" s="1402">
        <v>16141.007</v>
      </c>
      <c r="V497" s="1402">
        <v>16359.147000000001</v>
      </c>
      <c r="W497" s="1170">
        <f t="shared" ref="W497:AD497" si="566">W608*W409/365</f>
        <v>20342.685455236904</v>
      </c>
      <c r="X497" s="1170">
        <f t="shared" si="566"/>
        <v>25282.32462416678</v>
      </c>
      <c r="Y497" s="1170">
        <f t="shared" si="566"/>
        <v>30318.606392866317</v>
      </c>
      <c r="Z497" s="1170">
        <f t="shared" si="566"/>
        <v>29934.446402951533</v>
      </c>
      <c r="AA497" s="1170">
        <f t="shared" si="566"/>
        <v>32371.983233145154</v>
      </c>
      <c r="AB497" s="1170">
        <f t="shared" si="566"/>
        <v>35007.249524716186</v>
      </c>
      <c r="AC497" s="1170">
        <f t="shared" si="566"/>
        <v>37856.230534386727</v>
      </c>
      <c r="AD497" s="1170">
        <f t="shared" si="566"/>
        <v>40936.199927149144</v>
      </c>
      <c r="AE497" s="1521"/>
      <c r="AF497" s="75"/>
      <c r="AG497" s="11"/>
      <c r="AH497" s="11"/>
      <c r="AI497" s="11"/>
      <c r="AJ497" s="11"/>
      <c r="AK497" s="11"/>
      <c r="AL497" s="1784"/>
      <c r="AM497" s="206"/>
      <c r="AN497" s="206"/>
      <c r="AO497" s="474"/>
      <c r="AP497" s="1743"/>
      <c r="AQ497" s="474"/>
      <c r="AR497" s="474"/>
      <c r="AS497" s="474"/>
      <c r="AT497" s="1743"/>
      <c r="AU497" s="474"/>
      <c r="AV497" s="474"/>
      <c r="AW497" s="474"/>
      <c r="AX497" s="1726"/>
      <c r="AY497" s="890">
        <v>1511.809</v>
      </c>
      <c r="AZ497" s="890">
        <v>1570.2909999999999</v>
      </c>
      <c r="BA497" s="1269">
        <v>2436.2559999999999</v>
      </c>
      <c r="BB497" s="1421">
        <v>3028.1419999999998</v>
      </c>
      <c r="BC497" s="1269">
        <v>5405.3370000000004</v>
      </c>
      <c r="BD497" s="1269">
        <v>6672.7020000000002</v>
      </c>
      <c r="BE497" s="1269">
        <v>9508.2839999999997</v>
      </c>
      <c r="BF497" s="1421">
        <v>10990.484</v>
      </c>
      <c r="BG497" s="1269">
        <v>14166.681</v>
      </c>
      <c r="BH497" s="1269">
        <v>14763.482</v>
      </c>
      <c r="BI497" s="1269">
        <v>16141.007</v>
      </c>
      <c r="BJ497" s="1421">
        <v>18076.923999999999</v>
      </c>
      <c r="BK497" s="1269">
        <v>19790.932000000001</v>
      </c>
      <c r="BL497" s="1269">
        <v>18307.831999999999</v>
      </c>
      <c r="BM497" s="1269">
        <v>16359.147000000001</v>
      </c>
      <c r="BN497" s="1667">
        <f>BN409/365/Model!BN750*2*BN608-BM497</f>
        <v>27875.263632759055</v>
      </c>
      <c r="BO497" s="1064">
        <f>BO409/365/Model!BO750*2*BO608-BN497</f>
        <v>26136.933957122183</v>
      </c>
      <c r="BP497" s="1064">
        <f>BP409/365/Model!BP750*2*BP608-BO497</f>
        <v>20162.417345135906</v>
      </c>
      <c r="BQ497" s="1056">
        <f>W497</f>
        <v>20342.685455236904</v>
      </c>
      <c r="BR497" s="734"/>
      <c r="BS497" s="387"/>
      <c r="BT497" s="387"/>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c r="CS497"/>
      <c r="CT497"/>
      <c r="CU497"/>
      <c r="CV497"/>
      <c r="CW497"/>
    </row>
    <row r="498" spans="8:101" s="42" customFormat="1" outlineLevel="1">
      <c r="H498" s="289"/>
      <c r="I498" s="586"/>
      <c r="J498" s="230" t="s">
        <v>523</v>
      </c>
      <c r="K498" s="11"/>
      <c r="L498" s="11"/>
      <c r="M498" s="11"/>
      <c r="N498" s="1039"/>
      <c r="O498" s="1039"/>
      <c r="P498" s="1043">
        <v>0</v>
      </c>
      <c r="Q498" s="1043">
        <v>0</v>
      </c>
      <c r="R498" s="1043">
        <v>0</v>
      </c>
      <c r="S498" s="1469">
        <v>123.34399999999999</v>
      </c>
      <c r="T498" s="1469">
        <v>2383.8690000000001</v>
      </c>
      <c r="U498" s="1469">
        <v>0</v>
      </c>
      <c r="V498" s="1469">
        <v>0</v>
      </c>
      <c r="W498" s="1050"/>
      <c r="X498" s="1050"/>
      <c r="Y498" s="1050"/>
      <c r="Z498" s="1050"/>
      <c r="AA498" s="1050"/>
      <c r="AB498" s="1050"/>
      <c r="AC498" s="1050"/>
      <c r="AD498" s="1050"/>
      <c r="AE498" s="1521"/>
      <c r="AF498" s="75"/>
      <c r="AG498" s="11"/>
      <c r="AH498" s="11"/>
      <c r="AI498" s="11"/>
      <c r="AJ498" s="11"/>
      <c r="AK498" s="11"/>
      <c r="AL498" s="1784"/>
      <c r="AM498" s="206"/>
      <c r="AN498" s="206"/>
      <c r="AO498" s="474"/>
      <c r="AP498" s="1743"/>
      <c r="AQ498" s="474"/>
      <c r="AR498" s="474"/>
      <c r="AS498" s="474"/>
      <c r="AT498" s="1743"/>
      <c r="AU498" s="474"/>
      <c r="AV498" s="474"/>
      <c r="AW498" s="474"/>
      <c r="AX498" s="1637"/>
      <c r="AY498" s="890">
        <v>0</v>
      </c>
      <c r="AZ498" s="890">
        <v>0</v>
      </c>
      <c r="BA498" s="1269">
        <v>123.34399999999999</v>
      </c>
      <c r="BB498" s="1421">
        <v>291.26900000000001</v>
      </c>
      <c r="BC498" s="1269">
        <v>796.83900000000006</v>
      </c>
      <c r="BD498" s="1269">
        <v>1596.962</v>
      </c>
      <c r="BE498" s="1269">
        <v>2383.8690000000001</v>
      </c>
      <c r="BF498" s="1421">
        <v>2745.54</v>
      </c>
      <c r="BG498" s="1269">
        <v>6812.6390000000001</v>
      </c>
      <c r="BH498" s="1269">
        <v>9791.3860000000004</v>
      </c>
      <c r="BI498" s="1269">
        <v>0</v>
      </c>
      <c r="BJ498" s="1421">
        <v>16338.463</v>
      </c>
      <c r="BK498" s="1269">
        <v>0</v>
      </c>
      <c r="BL498" s="1269">
        <v>0</v>
      </c>
      <c r="BM498" s="1269">
        <v>0</v>
      </c>
      <c r="BN498" s="1668">
        <f>+BM498</f>
        <v>0</v>
      </c>
      <c r="BO498" s="1065">
        <f>+BN498</f>
        <v>0</v>
      </c>
      <c r="BP498" s="1065">
        <f>+BO498</f>
        <v>0</v>
      </c>
      <c r="BQ498" s="1056">
        <f>W498</f>
        <v>0</v>
      </c>
      <c r="BR498" s="734"/>
      <c r="BS498" s="387"/>
      <c r="BT498" s="387"/>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c r="CS498"/>
      <c r="CT498"/>
      <c r="CU498"/>
      <c r="CV498"/>
      <c r="CW498"/>
    </row>
    <row r="499" spans="8:101" s="42" customFormat="1" outlineLevel="1">
      <c r="H499" s="289"/>
      <c r="I499" s="586"/>
      <c r="J499" s="230" t="s">
        <v>559</v>
      </c>
      <c r="K499" s="11"/>
      <c r="L499" s="11"/>
      <c r="M499" s="11"/>
      <c r="N499" s="1039"/>
      <c r="O499" s="1039"/>
      <c r="P499" s="1043"/>
      <c r="Q499" s="1043"/>
      <c r="R499" s="1043"/>
      <c r="S499" s="1469"/>
      <c r="T499" s="1469"/>
      <c r="U499" s="1469">
        <v>22154.493999999999</v>
      </c>
      <c r="V499" s="1469">
        <v>0</v>
      </c>
      <c r="W499" s="1050"/>
      <c r="X499" s="1050"/>
      <c r="Y499" s="1050"/>
      <c r="Z499" s="1050"/>
      <c r="AA499" s="1050"/>
      <c r="AB499" s="1050"/>
      <c r="AC499" s="1050"/>
      <c r="AD499" s="1050"/>
      <c r="AE499" s="1521"/>
      <c r="AF499" s="75"/>
      <c r="AG499" s="11"/>
      <c r="AH499" s="11"/>
      <c r="AI499" s="11"/>
      <c r="AJ499" s="11"/>
      <c r="AK499" s="11"/>
      <c r="AL499" s="1784"/>
      <c r="AM499" s="206"/>
      <c r="AN499" s="206"/>
      <c r="AO499" s="474"/>
      <c r="AP499" s="1743"/>
      <c r="AQ499" s="474"/>
      <c r="AR499" s="474"/>
      <c r="AS499" s="474"/>
      <c r="AT499" s="1743"/>
      <c r="AU499" s="474"/>
      <c r="AV499" s="474"/>
      <c r="AW499" s="474"/>
      <c r="AX499" s="1637"/>
      <c r="AY499" s="890"/>
      <c r="AZ499" s="890"/>
      <c r="BA499" s="1269"/>
      <c r="BB499" s="1421"/>
      <c r="BC499" s="1269"/>
      <c r="BD499" s="1269"/>
      <c r="BE499" s="1269"/>
      <c r="BF499" s="1421"/>
      <c r="BG499" s="1269"/>
      <c r="BH499" s="1269">
        <v>5485.0339999999997</v>
      </c>
      <c r="BI499" s="1269">
        <v>0</v>
      </c>
      <c r="BJ499" s="1421">
        <v>16052.384</v>
      </c>
      <c r="BK499" s="1269">
        <v>0</v>
      </c>
      <c r="BL499" s="1269">
        <v>0</v>
      </c>
      <c r="BM499" s="1269">
        <v>0</v>
      </c>
      <c r="BN499" s="1668">
        <f>BM499</f>
        <v>0</v>
      </c>
      <c r="BO499" s="1065">
        <f>BN499</f>
        <v>0</v>
      </c>
      <c r="BP499" s="1065">
        <f>BO499</f>
        <v>0</v>
      </c>
      <c r="BQ499" s="950">
        <f>BP499</f>
        <v>0</v>
      </c>
      <c r="BR499" s="734"/>
      <c r="BS499" s="387"/>
      <c r="BT499" s="387"/>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c r="CS499"/>
      <c r="CT499"/>
      <c r="CU499"/>
      <c r="CV499"/>
      <c r="CW499"/>
    </row>
    <row r="500" spans="8:101" s="42" customFormat="1" outlineLevel="1">
      <c r="H500" s="289"/>
      <c r="I500" s="586"/>
      <c r="J500" s="248" t="s">
        <v>209</v>
      </c>
      <c r="K500" s="28"/>
      <c r="L500" s="28"/>
      <c r="M500" s="28"/>
      <c r="N500" s="1039"/>
      <c r="O500" s="1039"/>
      <c r="P500" s="1040">
        <v>2763.587</v>
      </c>
      <c r="Q500" s="1040">
        <v>4753.8289999999997</v>
      </c>
      <c r="R500" s="1040">
        <v>6386.1549999999997</v>
      </c>
      <c r="S500" s="1402">
        <v>12190.843000000001</v>
      </c>
      <c r="T500" s="1402">
        <v>20539.543000000001</v>
      </c>
      <c r="U500" s="1402">
        <v>28909.424999999999</v>
      </c>
      <c r="V500" s="1402">
        <v>41700.379000000001</v>
      </c>
      <c r="W500" s="1170">
        <f t="shared" ref="W500:AD500" si="567">(W610*-W410)/365</f>
        <v>43578.755886871877</v>
      </c>
      <c r="X500" s="1170">
        <f t="shared" si="567"/>
        <v>53850.2325187772</v>
      </c>
      <c r="Y500" s="1170">
        <f t="shared" si="567"/>
        <v>64102.49401521148</v>
      </c>
      <c r="Z500" s="1170">
        <f t="shared" si="567"/>
        <v>71734.938178877652</v>
      </c>
      <c r="AA500" s="1170">
        <f t="shared" si="567"/>
        <v>77168.651194630263</v>
      </c>
      <c r="AB500" s="1170">
        <f t="shared" si="567"/>
        <v>83013.921594437299</v>
      </c>
      <c r="AC500" s="1170">
        <f t="shared" si="567"/>
        <v>89439.404031565049</v>
      </c>
      <c r="AD500" s="1170">
        <f t="shared" si="567"/>
        <v>96219.526719213944</v>
      </c>
      <c r="AE500" s="1521"/>
      <c r="AF500" s="75"/>
      <c r="AG500" s="11"/>
      <c r="AH500" s="11"/>
      <c r="AI500" s="11"/>
      <c r="AJ500" s="11"/>
      <c r="AK500" s="11"/>
      <c r="AL500" s="1784"/>
      <c r="AM500" s="206"/>
      <c r="AN500" s="206"/>
      <c r="AO500" s="474"/>
      <c r="AP500" s="1743"/>
      <c r="AQ500" s="474"/>
      <c r="AR500" s="474"/>
      <c r="AS500" s="474"/>
      <c r="AT500" s="1743"/>
      <c r="AU500" s="474"/>
      <c r="AV500" s="474"/>
      <c r="AW500" s="474"/>
      <c r="AX500" s="1637"/>
      <c r="AY500" s="890">
        <v>10781.375</v>
      </c>
      <c r="AZ500" s="890">
        <v>11094.891</v>
      </c>
      <c r="BA500" s="1269">
        <v>12190.843000000001</v>
      </c>
      <c r="BB500" s="1421">
        <v>12960.75</v>
      </c>
      <c r="BC500" s="1269">
        <v>17701.651000000002</v>
      </c>
      <c r="BD500" s="1269">
        <v>17039.916000000001</v>
      </c>
      <c r="BE500" s="1269">
        <v>20539.543000000001</v>
      </c>
      <c r="BF500" s="1421">
        <v>20393.161</v>
      </c>
      <c r="BG500" s="1269">
        <v>23989.776999999998</v>
      </c>
      <c r="BH500" s="1269">
        <v>22602.657999999999</v>
      </c>
      <c r="BI500" s="1269">
        <v>28909.424999999999</v>
      </c>
      <c r="BJ500" s="1421">
        <v>26860.55</v>
      </c>
      <c r="BK500" s="1269">
        <v>31149.391</v>
      </c>
      <c r="BL500" s="1269">
        <v>36310.131999999998</v>
      </c>
      <c r="BM500" s="1269">
        <v>41700.379000000001</v>
      </c>
      <c r="BN500" s="1259">
        <f>-BN410/365/Model!BN750*2*BN610-BM500</f>
        <v>38400.480751643569</v>
      </c>
      <c r="BO500" s="950">
        <f>-BO410/365/Model!BO750*2*BO610-BN500</f>
        <v>59359.327966330718</v>
      </c>
      <c r="BP500" s="950">
        <f>-BP410/365/Model!BP750*2*BP610-BO500</f>
        <v>23093.35300657773</v>
      </c>
      <c r="BQ500" s="1056">
        <f>W500</f>
        <v>43578.755886871877</v>
      </c>
      <c r="BR500" s="734"/>
      <c r="BS500" s="387"/>
      <c r="BT500" s="387"/>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c r="CS500"/>
      <c r="CT500"/>
      <c r="CU500"/>
      <c r="CV500"/>
      <c r="CW500"/>
    </row>
    <row r="501" spans="8:101" s="42" customFormat="1" outlineLevel="1">
      <c r="H501" s="289"/>
      <c r="I501" s="586"/>
      <c r="J501" s="248" t="s">
        <v>179</v>
      </c>
      <c r="K501" s="28"/>
      <c r="L501" s="28"/>
      <c r="M501" s="28"/>
      <c r="N501" s="1014">
        <f t="shared" ref="N501:AD501" si="568">SUM(N502:N504)</f>
        <v>0</v>
      </c>
      <c r="O501" s="1014">
        <f t="shared" si="568"/>
        <v>0</v>
      </c>
      <c r="P501" s="1014">
        <f t="shared" si="568"/>
        <v>294.49099999999999</v>
      </c>
      <c r="Q501" s="1014">
        <f t="shared" si="568"/>
        <v>269.18299999999999</v>
      </c>
      <c r="R501" s="1014">
        <f t="shared" si="568"/>
        <v>988.86699999999996</v>
      </c>
      <c r="S501" s="1013">
        <f t="shared" si="568"/>
        <v>3076.674</v>
      </c>
      <c r="T501" s="1013">
        <f t="shared" si="568"/>
        <v>3277.134</v>
      </c>
      <c r="U501" s="1013">
        <f t="shared" si="568"/>
        <v>15318.494999999999</v>
      </c>
      <c r="V501" s="1013">
        <f t="shared" si="568"/>
        <v>18582.737000000001</v>
      </c>
      <c r="W501" s="1014">
        <f t="shared" si="568"/>
        <v>18608.108668111199</v>
      </c>
      <c r="X501" s="1014">
        <f t="shared" si="568"/>
        <v>18707.31447776144</v>
      </c>
      <c r="Y501" s="1014">
        <f t="shared" si="568"/>
        <v>18805.940394605692</v>
      </c>
      <c r="Z501" s="1014">
        <f t="shared" si="568"/>
        <v>18878.94292869146</v>
      </c>
      <c r="AA501" s="1014">
        <f t="shared" si="568"/>
        <v>18931.71851524349</v>
      </c>
      <c r="AB501" s="1014">
        <f t="shared" si="568"/>
        <v>18988.526156608092</v>
      </c>
      <c r="AC501" s="1014">
        <f t="shared" si="568"/>
        <v>19049.673901772949</v>
      </c>
      <c r="AD501" s="1014">
        <f t="shared" si="568"/>
        <v>19115.493334668405</v>
      </c>
      <c r="AE501" s="1521"/>
      <c r="AF501" s="75"/>
      <c r="AG501" s="11"/>
      <c r="AH501" s="28"/>
      <c r="AI501" s="28"/>
      <c r="AJ501" s="28"/>
      <c r="AK501" s="28"/>
      <c r="AL501" s="1784"/>
      <c r="AM501" s="217"/>
      <c r="AN501" s="217"/>
      <c r="AO501" s="474"/>
      <c r="AP501" s="1743"/>
      <c r="AQ501" s="474"/>
      <c r="AR501" s="474"/>
      <c r="AS501" s="474"/>
      <c r="AT501" s="1743"/>
      <c r="AU501" s="474"/>
      <c r="AV501" s="474"/>
      <c r="AW501" s="474"/>
      <c r="AX501" s="1727">
        <f t="shared" ref="AX501:BP501" si="569">SUM(AX502:AX504)</f>
        <v>0</v>
      </c>
      <c r="AY501" s="1054">
        <f t="shared" si="569"/>
        <v>1457.7360000000001</v>
      </c>
      <c r="AZ501" s="1055">
        <f t="shared" si="569"/>
        <v>1666.808</v>
      </c>
      <c r="BA501" s="734">
        <f t="shared" si="569"/>
        <v>3076.674</v>
      </c>
      <c r="BB501" s="767">
        <f t="shared" si="569"/>
        <v>3367.4279999999999</v>
      </c>
      <c r="BC501" s="734">
        <f t="shared" si="569"/>
        <v>3338.759</v>
      </c>
      <c r="BD501" s="734">
        <f t="shared" si="569"/>
        <v>3540.0940000000001</v>
      </c>
      <c r="BE501" s="734">
        <f t="shared" si="569"/>
        <v>3277.134</v>
      </c>
      <c r="BF501" s="767">
        <f t="shared" si="569"/>
        <v>3006.3620000000001</v>
      </c>
      <c r="BG501" s="844">
        <f t="shared" si="569"/>
        <v>3810.0739999999996</v>
      </c>
      <c r="BH501" s="844">
        <f t="shared" si="569"/>
        <v>5070.2870000000003</v>
      </c>
      <c r="BI501" s="844">
        <f t="shared" si="569"/>
        <v>15318.494999999999</v>
      </c>
      <c r="BJ501" s="767">
        <f t="shared" si="569"/>
        <v>5397.8530000000001</v>
      </c>
      <c r="BK501" s="734">
        <f t="shared" si="569"/>
        <v>33949.277000000002</v>
      </c>
      <c r="BL501" s="734">
        <f t="shared" si="569"/>
        <v>27240.755000000001</v>
      </c>
      <c r="BM501" s="734">
        <f t="shared" si="569"/>
        <v>18582.737000000001</v>
      </c>
      <c r="BN501" s="767">
        <f t="shared" si="569"/>
        <v>24105.332930031356</v>
      </c>
      <c r="BO501" s="836">
        <f t="shared" si="569"/>
        <v>25285.244791079276</v>
      </c>
      <c r="BP501" s="836">
        <f t="shared" si="569"/>
        <v>24241.8152721675</v>
      </c>
      <c r="BQ501" s="1056">
        <f>W501</f>
        <v>18608.108668111199</v>
      </c>
      <c r="BR501" s="734"/>
      <c r="BS501" s="387"/>
      <c r="BT501" s="387"/>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c r="CS501"/>
      <c r="CT501"/>
      <c r="CU501"/>
      <c r="CV501"/>
      <c r="CW501"/>
    </row>
    <row r="502" spans="8:101" s="42" customFormat="1" outlineLevel="1">
      <c r="H502" s="289"/>
      <c r="I502" s="586"/>
      <c r="J502" s="249" t="s">
        <v>210</v>
      </c>
      <c r="K502" s="28"/>
      <c r="L502" s="28"/>
      <c r="M502" s="28"/>
      <c r="N502" s="1044"/>
      <c r="O502" s="1044"/>
      <c r="P502" s="1040">
        <v>168.39699999999999</v>
      </c>
      <c r="Q502" s="1040">
        <v>109.765</v>
      </c>
      <c r="R502" s="1040">
        <v>769.76499999999999</v>
      </c>
      <c r="S502" s="1402">
        <v>930.02599999999995</v>
      </c>
      <c r="T502" s="1402">
        <v>927.17700000000002</v>
      </c>
      <c r="U502" s="1402">
        <v>257.11700000000002</v>
      </c>
      <c r="V502" s="1402">
        <v>394.57400000000001</v>
      </c>
      <c r="W502" s="1170">
        <f t="shared" ref="W502:AD502" si="570">W407*W620</f>
        <v>419.94566811119995</v>
      </c>
      <c r="X502" s="1170">
        <f t="shared" si="570"/>
        <v>519.15147776144022</v>
      </c>
      <c r="Y502" s="1170">
        <f t="shared" si="570"/>
        <v>617.77739460569148</v>
      </c>
      <c r="Z502" s="1170">
        <f t="shared" si="570"/>
        <v>690.77992869146226</v>
      </c>
      <c r="AA502" s="1170">
        <f t="shared" si="570"/>
        <v>743.55551524349005</v>
      </c>
      <c r="AB502" s="1170">
        <f t="shared" si="570"/>
        <v>800.36315660809259</v>
      </c>
      <c r="AC502" s="1170">
        <f t="shared" si="570"/>
        <v>861.51090177295077</v>
      </c>
      <c r="AD502" s="1170">
        <f t="shared" si="570"/>
        <v>927.33033466840425</v>
      </c>
      <c r="AE502" s="1521"/>
      <c r="AF502" s="75"/>
      <c r="AG502" s="11"/>
      <c r="AH502" s="28"/>
      <c r="AI502" s="28"/>
      <c r="AJ502" s="28"/>
      <c r="AK502" s="28"/>
      <c r="AL502" s="1784"/>
      <c r="AM502" s="217"/>
      <c r="AN502" s="217"/>
      <c r="AO502" s="474"/>
      <c r="AP502" s="1743"/>
      <c r="AQ502" s="474"/>
      <c r="AR502" s="474"/>
      <c r="AS502" s="474"/>
      <c r="AT502" s="1743"/>
      <c r="AU502" s="474"/>
      <c r="AV502" s="474"/>
      <c r="AW502" s="474"/>
      <c r="AX502" s="767"/>
      <c r="AY502" s="890">
        <v>709.11800000000005</v>
      </c>
      <c r="AZ502" s="890">
        <v>591.39099999999996</v>
      </c>
      <c r="BA502" s="1269">
        <v>930.02599999999995</v>
      </c>
      <c r="BB502" s="1421">
        <v>976.67399999999998</v>
      </c>
      <c r="BC502" s="1269">
        <v>1366.6949999999999</v>
      </c>
      <c r="BD502" s="1269">
        <v>2067.5430000000001</v>
      </c>
      <c r="BE502" s="1269">
        <v>927.17700000000002</v>
      </c>
      <c r="BF502" s="1421">
        <v>906.96900000000005</v>
      </c>
      <c r="BG502" s="1269">
        <v>1342.337</v>
      </c>
      <c r="BH502" s="1269">
        <v>1718.4110000000001</v>
      </c>
      <c r="BI502" s="1269">
        <v>257.11700000000002</v>
      </c>
      <c r="BJ502" s="1421">
        <v>1559.075</v>
      </c>
      <c r="BK502" s="1269">
        <v>613.41300000000001</v>
      </c>
      <c r="BL502" s="1269">
        <v>675.94899999999996</v>
      </c>
      <c r="BM502" s="1269">
        <v>394.57400000000001</v>
      </c>
      <c r="BN502" s="1669">
        <f>BN407*BN620</f>
        <v>5917.1699300313585</v>
      </c>
      <c r="BO502" s="1165">
        <f>BO407*BO620</f>
        <v>7097.0817910792794</v>
      </c>
      <c r="BP502" s="1165">
        <f>BP407*BP620</f>
        <v>6053.6522721675001</v>
      </c>
      <c r="BQ502" s="1056">
        <f>W502</f>
        <v>419.94566811119995</v>
      </c>
      <c r="BR502" s="734"/>
      <c r="BS502" s="387"/>
      <c r="BT502" s="387"/>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c r="CS502"/>
      <c r="CT502"/>
      <c r="CU502"/>
      <c r="CV502"/>
      <c r="CW502"/>
    </row>
    <row r="503" spans="8:101" s="42" customFormat="1" outlineLevel="1">
      <c r="H503" s="289"/>
      <c r="I503" s="586"/>
      <c r="J503" s="249" t="s">
        <v>213</v>
      </c>
      <c r="K503" s="28"/>
      <c r="L503" s="28"/>
      <c r="M503" s="28"/>
      <c r="N503" s="1044"/>
      <c r="O503" s="1044"/>
      <c r="P503" s="1040">
        <v>1.5</v>
      </c>
      <c r="Q503" s="1040">
        <v>0</v>
      </c>
      <c r="R503" s="1040">
        <v>0</v>
      </c>
      <c r="S503" s="1402">
        <v>412.31400000000002</v>
      </c>
      <c r="T503" s="1402">
        <v>863.51599999999996</v>
      </c>
      <c r="U503" s="1402">
        <v>9074.2749999999996</v>
      </c>
      <c r="V503" s="1402">
        <v>10796.561</v>
      </c>
      <c r="W503" s="1010">
        <f t="shared" ref="W503:AD504" si="571">+V503</f>
        <v>10796.561</v>
      </c>
      <c r="X503" s="1010">
        <f t="shared" si="571"/>
        <v>10796.561</v>
      </c>
      <c r="Y503" s="1010">
        <f t="shared" si="571"/>
        <v>10796.561</v>
      </c>
      <c r="Z503" s="1010">
        <f t="shared" si="571"/>
        <v>10796.561</v>
      </c>
      <c r="AA503" s="1010">
        <f t="shared" si="571"/>
        <v>10796.561</v>
      </c>
      <c r="AB503" s="1010">
        <f t="shared" si="571"/>
        <v>10796.561</v>
      </c>
      <c r="AC503" s="1010">
        <f t="shared" si="571"/>
        <v>10796.561</v>
      </c>
      <c r="AD503" s="1010">
        <f t="shared" si="571"/>
        <v>10796.561</v>
      </c>
      <c r="AE503" s="1521"/>
      <c r="AF503" s="75"/>
      <c r="AG503" s="11"/>
      <c r="AH503" s="28"/>
      <c r="AI503" s="28"/>
      <c r="AJ503" s="28"/>
      <c r="AK503" s="28"/>
      <c r="AL503" s="1784"/>
      <c r="AM503" s="217"/>
      <c r="AN503" s="217"/>
      <c r="AO503" s="474"/>
      <c r="AP503" s="1743"/>
      <c r="AQ503" s="474"/>
      <c r="AR503" s="474"/>
      <c r="AS503" s="474"/>
      <c r="AT503" s="1743"/>
      <c r="AU503" s="474"/>
      <c r="AV503" s="474"/>
      <c r="AW503" s="474"/>
      <c r="AX503" s="767"/>
      <c r="AY503" s="890">
        <v>202.93100000000001</v>
      </c>
      <c r="AZ503" s="890">
        <v>403.036</v>
      </c>
      <c r="BA503" s="1269">
        <v>412.31400000000002</v>
      </c>
      <c r="BB503" s="1421">
        <v>447.40100000000001</v>
      </c>
      <c r="BC503" s="1269">
        <v>829.995</v>
      </c>
      <c r="BD503" s="1269">
        <v>771.92100000000005</v>
      </c>
      <c r="BE503" s="1269">
        <v>863.51599999999996</v>
      </c>
      <c r="BF503" s="1421">
        <v>1174.5360000000001</v>
      </c>
      <c r="BG503" s="1269">
        <v>1267.54</v>
      </c>
      <c r="BH503" s="1269">
        <v>1403.029</v>
      </c>
      <c r="BI503" s="1269">
        <v>9074.2749999999996</v>
      </c>
      <c r="BJ503" s="1421">
        <v>1220.32</v>
      </c>
      <c r="BK503" s="1269">
        <v>25211.368999999999</v>
      </c>
      <c r="BL503" s="1269">
        <v>18731.802</v>
      </c>
      <c r="BM503" s="1269">
        <v>10796.561</v>
      </c>
      <c r="BN503" s="1259">
        <f t="shared" ref="BN503:BP504" si="572">+BM503</f>
        <v>10796.561</v>
      </c>
      <c r="BO503" s="1029">
        <f t="shared" si="572"/>
        <v>10796.561</v>
      </c>
      <c r="BP503" s="1029">
        <f t="shared" si="572"/>
        <v>10796.561</v>
      </c>
      <c r="BQ503" s="1056">
        <f>W503</f>
        <v>10796.561</v>
      </c>
      <c r="BR503" s="734"/>
      <c r="BS503" s="387"/>
      <c r="BT503" s="387"/>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c r="CS503"/>
      <c r="CT503"/>
      <c r="CU503"/>
      <c r="CV503"/>
      <c r="CW503"/>
    </row>
    <row r="504" spans="8:101" s="42" customFormat="1" outlineLevel="1">
      <c r="H504" s="289"/>
      <c r="I504" s="586"/>
      <c r="J504" s="8" t="s">
        <v>259</v>
      </c>
      <c r="K504" s="28"/>
      <c r="L504" s="28"/>
      <c r="M504" s="28"/>
      <c r="N504" s="1044"/>
      <c r="O504" s="1044"/>
      <c r="P504" s="1040">
        <v>124.59399999999999</v>
      </c>
      <c r="Q504" s="1040">
        <v>159.41800000000001</v>
      </c>
      <c r="R504" s="1040">
        <v>219.102</v>
      </c>
      <c r="S504" s="1402">
        <v>1734.3340000000001</v>
      </c>
      <c r="T504" s="1402">
        <v>1486.441</v>
      </c>
      <c r="U504" s="1402">
        <v>5987.1030000000001</v>
      </c>
      <c r="V504" s="1402">
        <v>7391.6019999999999</v>
      </c>
      <c r="W504" s="1010">
        <f t="shared" si="571"/>
        <v>7391.6019999999999</v>
      </c>
      <c r="X504" s="1010">
        <f t="shared" si="571"/>
        <v>7391.6019999999999</v>
      </c>
      <c r="Y504" s="1010">
        <f t="shared" si="571"/>
        <v>7391.6019999999999</v>
      </c>
      <c r="Z504" s="1010">
        <f t="shared" si="571"/>
        <v>7391.6019999999999</v>
      </c>
      <c r="AA504" s="1010">
        <f t="shared" si="571"/>
        <v>7391.6019999999999</v>
      </c>
      <c r="AB504" s="1010">
        <f t="shared" si="571"/>
        <v>7391.6019999999999</v>
      </c>
      <c r="AC504" s="1010">
        <f t="shared" si="571"/>
        <v>7391.6019999999999</v>
      </c>
      <c r="AD504" s="1010">
        <f t="shared" si="571"/>
        <v>7391.6019999999999</v>
      </c>
      <c r="AE504" s="1521"/>
      <c r="AF504" s="75"/>
      <c r="AG504" s="11"/>
      <c r="AH504" s="28"/>
      <c r="AI504" s="28"/>
      <c r="AJ504" s="28"/>
      <c r="AK504" s="28"/>
      <c r="AL504" s="1784"/>
      <c r="AM504" s="217"/>
      <c r="AN504" s="217"/>
      <c r="AO504" s="474"/>
      <c r="AP504" s="1743"/>
      <c r="AQ504" s="474"/>
      <c r="AR504" s="474"/>
      <c r="AS504" s="474"/>
      <c r="AT504" s="1743"/>
      <c r="AU504" s="474"/>
      <c r="AV504" s="474"/>
      <c r="AW504" s="474"/>
      <c r="AX504" s="767"/>
      <c r="AY504" s="890">
        <v>545.68700000000001</v>
      </c>
      <c r="AZ504" s="890">
        <v>672.38099999999997</v>
      </c>
      <c r="BA504" s="1269">
        <v>1734.3340000000001</v>
      </c>
      <c r="BB504" s="1421">
        <v>1943.3530000000001</v>
      </c>
      <c r="BC504" s="1269">
        <v>1142.069</v>
      </c>
      <c r="BD504" s="1269">
        <v>700.63</v>
      </c>
      <c r="BE504" s="1269">
        <v>1486.441</v>
      </c>
      <c r="BF504" s="1421">
        <v>924.85699999999997</v>
      </c>
      <c r="BG504" s="1269">
        <v>1200.1969999999999</v>
      </c>
      <c r="BH504" s="1269">
        <v>1948.847</v>
      </c>
      <c r="BI504" s="1269">
        <v>5987.1030000000001</v>
      </c>
      <c r="BJ504" s="1421">
        <v>2618.4580000000001</v>
      </c>
      <c r="BK504" s="1269">
        <v>8124.4949999999999</v>
      </c>
      <c r="BL504" s="1269">
        <v>7833.0039999999999</v>
      </c>
      <c r="BM504" s="1269">
        <v>7391.6019999999999</v>
      </c>
      <c r="BN504" s="1259">
        <f t="shared" si="572"/>
        <v>7391.6019999999999</v>
      </c>
      <c r="BO504" s="1029">
        <f t="shared" si="572"/>
        <v>7391.6019999999999</v>
      </c>
      <c r="BP504" s="1029">
        <f t="shared" si="572"/>
        <v>7391.6019999999999</v>
      </c>
      <c r="BQ504" s="1056">
        <f>W504</f>
        <v>7391.6019999999999</v>
      </c>
      <c r="BR504" s="734"/>
      <c r="BS504" s="387"/>
      <c r="BT504" s="387"/>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c r="CS504"/>
      <c r="CT504"/>
      <c r="CU504"/>
      <c r="CV504"/>
      <c r="CW504"/>
    </row>
    <row r="505" spans="8:101" s="643" customFormat="1" outlineLevel="1">
      <c r="H505" s="563"/>
      <c r="I505" s="588"/>
      <c r="J505" s="13" t="s">
        <v>483</v>
      </c>
      <c r="K505" s="13"/>
      <c r="L505" s="13"/>
      <c r="M505" s="13"/>
      <c r="N505" s="1529">
        <f t="shared" ref="N505:AD505" si="573">SUM(N493:N501)</f>
        <v>0</v>
      </c>
      <c r="O505" s="1529">
        <f t="shared" si="573"/>
        <v>0</v>
      </c>
      <c r="P505" s="1529">
        <f t="shared" si="573"/>
        <v>9882.3599999999988</v>
      </c>
      <c r="Q505" s="1529">
        <f t="shared" si="573"/>
        <v>15679.574000000001</v>
      </c>
      <c r="R505" s="1529">
        <f t="shared" si="573"/>
        <v>22480.060999999998</v>
      </c>
      <c r="S505" s="1529">
        <f t="shared" si="573"/>
        <v>49941.697</v>
      </c>
      <c r="T505" s="1529">
        <f t="shared" si="573"/>
        <v>58468.093000000001</v>
      </c>
      <c r="U505" s="1529">
        <f t="shared" si="573"/>
        <v>106932.098</v>
      </c>
      <c r="V505" s="1529">
        <f t="shared" si="573"/>
        <v>115028.652</v>
      </c>
      <c r="W505" s="1529">
        <f t="shared" ca="1" si="573"/>
        <v>126965.42996634639</v>
      </c>
      <c r="X505" s="1529">
        <f t="shared" ca="1" si="573"/>
        <v>160255.02141825634</v>
      </c>
      <c r="Y505" s="1529">
        <f t="shared" ca="1" si="573"/>
        <v>196417.05943957838</v>
      </c>
      <c r="Z505" s="1529">
        <f t="shared" ca="1" si="573"/>
        <v>238239.18379268917</v>
      </c>
      <c r="AA505" s="1529">
        <f t="shared" ca="1" si="573"/>
        <v>280907.11377912189</v>
      </c>
      <c r="AB505" s="1529">
        <f t="shared" ca="1" si="573"/>
        <v>333812.71236438613</v>
      </c>
      <c r="AC505" s="1529">
        <f t="shared" ca="1" si="573"/>
        <v>398069.0165136971</v>
      </c>
      <c r="AD505" s="1529">
        <f t="shared" ca="1" si="573"/>
        <v>473977.52145989437</v>
      </c>
      <c r="AE505" s="1527"/>
      <c r="AF505" s="1528"/>
      <c r="AG505" s="28"/>
      <c r="AH505" s="172"/>
      <c r="AI505" s="172"/>
      <c r="AJ505" s="172"/>
      <c r="AK505" s="172"/>
      <c r="AL505" s="1761"/>
      <c r="AM505" s="207"/>
      <c r="AN505" s="207"/>
      <c r="AO505" s="477"/>
      <c r="AP505" s="1743"/>
      <c r="AQ505" s="477"/>
      <c r="AR505" s="477"/>
      <c r="AS505" s="477"/>
      <c r="AT505" s="1743"/>
      <c r="AU505" s="477"/>
      <c r="AV505" s="477"/>
      <c r="AW505" s="477"/>
      <c r="AX505" s="1631">
        <f t="shared" ref="AX505:BH505" si="574">SUM(AX493:AX501)</f>
        <v>0</v>
      </c>
      <c r="AY505" s="1358">
        <f t="shared" si="574"/>
        <v>48943.280999999995</v>
      </c>
      <c r="AZ505" s="1358">
        <f t="shared" si="574"/>
        <v>50600.534999999996</v>
      </c>
      <c r="BA505" s="1358">
        <f t="shared" si="574"/>
        <v>49941.697</v>
      </c>
      <c r="BB505" s="1631">
        <f t="shared" si="574"/>
        <v>46400.211000000003</v>
      </c>
      <c r="BC505" s="1358">
        <f t="shared" si="574"/>
        <v>52427.985000000001</v>
      </c>
      <c r="BD505" s="1358">
        <f t="shared" si="574"/>
        <v>52230.554000000004</v>
      </c>
      <c r="BE505" s="1358">
        <f t="shared" si="574"/>
        <v>58468.093000000001</v>
      </c>
      <c r="BF505" s="1631">
        <f t="shared" si="574"/>
        <v>71667.722999999998</v>
      </c>
      <c r="BG505" s="1358">
        <f t="shared" si="574"/>
        <v>92176.659</v>
      </c>
      <c r="BH505" s="1358">
        <f t="shared" si="574"/>
        <v>93221.718999999997</v>
      </c>
      <c r="BI505" s="1358">
        <f>SUM(BI493:BI501)-BI499</f>
        <v>106932.098</v>
      </c>
      <c r="BJ505" s="1631">
        <f t="shared" ref="BJ505:BQ505" si="575">SUM(BJ493:BJ501)</f>
        <v>117762.68800000001</v>
      </c>
      <c r="BK505" s="1358">
        <f t="shared" si="575"/>
        <v>130942.49</v>
      </c>
      <c r="BL505" s="1358">
        <f t="shared" si="575"/>
        <v>123648.539</v>
      </c>
      <c r="BM505" s="1358">
        <f t="shared" si="575"/>
        <v>115028.652</v>
      </c>
      <c r="BN505" s="1631">
        <f t="shared" si="575"/>
        <v>121467.8564754368</v>
      </c>
      <c r="BO505" s="1358">
        <f t="shared" si="575"/>
        <v>150029.76294370918</v>
      </c>
      <c r="BP505" s="1358">
        <f t="shared" si="575"/>
        <v>94057.908002010387</v>
      </c>
      <c r="BQ505" s="1358">
        <f t="shared" ca="1" si="575"/>
        <v>126965.42996634639</v>
      </c>
      <c r="BR505" s="734"/>
      <c r="BS505" s="533"/>
      <c r="BT505" s="1530"/>
      <c r="BU505" s="533"/>
      <c r="BV505" s="533"/>
      <c r="BW505" s="533"/>
      <c r="BX505" s="533"/>
      <c r="BY505" s="533"/>
      <c r="BZ505" s="533"/>
      <c r="CA505" s="533"/>
      <c r="CB505" s="533"/>
      <c r="CC505" s="533"/>
      <c r="CD505" s="533"/>
      <c r="CE505" s="533"/>
      <c r="CF505" s="533"/>
      <c r="CG505" s="533"/>
      <c r="CH505" s="533"/>
      <c r="CI505" s="533"/>
      <c r="CJ505" s="533"/>
      <c r="CK505" s="533"/>
      <c r="CL505" s="533"/>
      <c r="CM505" s="533"/>
      <c r="CN505" s="533"/>
      <c r="CO505" s="533"/>
      <c r="CP505" s="533"/>
      <c r="CQ505" s="533"/>
      <c r="CR505"/>
      <c r="CS505"/>
      <c r="CT505"/>
      <c r="CU505"/>
      <c r="CV505"/>
      <c r="CW505"/>
    </row>
    <row r="506" spans="8:101" s="42" customFormat="1" outlineLevel="1">
      <c r="H506" s="289"/>
      <c r="I506" s="586"/>
      <c r="J506" s="248" t="s">
        <v>214</v>
      </c>
      <c r="K506" s="28"/>
      <c r="L506" s="28"/>
      <c r="M506" s="28"/>
      <c r="N506" s="1039"/>
      <c r="O506" s="1039"/>
      <c r="P506" s="1040">
        <v>320.476</v>
      </c>
      <c r="Q506" s="1040">
        <v>639.33399999999995</v>
      </c>
      <c r="R506" s="1040">
        <v>1024.4280000000001</v>
      </c>
      <c r="S506" s="1402">
        <v>2408.4380000000001</v>
      </c>
      <c r="T506" s="1402">
        <v>6233.1059999999998</v>
      </c>
      <c r="U506" s="1402">
        <v>7023.4089999999997</v>
      </c>
      <c r="V506" s="1402">
        <v>12574.178</v>
      </c>
      <c r="W506" s="1014">
        <f t="shared" ref="W506:AD506" ca="1" si="576">W572</f>
        <v>20165.015172639985</v>
      </c>
      <c r="X506" s="1014">
        <f t="shared" ca="1" si="576"/>
        <v>24577.160340537466</v>
      </c>
      <c r="Y506" s="1014">
        <f t="shared" ca="1" si="576"/>
        <v>34300.285758388811</v>
      </c>
      <c r="Z506" s="1014">
        <f t="shared" ca="1" si="576"/>
        <v>43525.100998575275</v>
      </c>
      <c r="AA506" s="1014">
        <f t="shared" ca="1" si="576"/>
        <v>53454.692123111985</v>
      </c>
      <c r="AB506" s="1014">
        <f t="shared" ca="1" si="576"/>
        <v>64142.904009563295</v>
      </c>
      <c r="AC506" s="1014">
        <f t="shared" ca="1" si="576"/>
        <v>75647.695284139481</v>
      </c>
      <c r="AD506" s="1014">
        <f t="shared" ca="1" si="576"/>
        <v>88031.452612093301</v>
      </c>
      <c r="AE506" s="1521"/>
      <c r="AF506" s="75"/>
      <c r="AG506" s="11"/>
      <c r="AH506" s="28"/>
      <c r="AI506" s="28"/>
      <c r="AJ506" s="28"/>
      <c r="AK506" s="28"/>
      <c r="AL506" s="1784"/>
      <c r="AM506" s="217"/>
      <c r="AN506" s="217"/>
      <c r="AO506" s="474"/>
      <c r="AP506" s="1743"/>
      <c r="AQ506" s="474"/>
      <c r="AR506" s="474"/>
      <c r="AS506" s="474"/>
      <c r="AT506" s="1743"/>
      <c r="AU506" s="474"/>
      <c r="AV506" s="474"/>
      <c r="AW506" s="474"/>
      <c r="AX506" s="1637"/>
      <c r="AY506" s="842">
        <v>1882.252</v>
      </c>
      <c r="AZ506" s="842">
        <v>2158.7629999999999</v>
      </c>
      <c r="BA506" s="1269">
        <v>2408.4380000000001</v>
      </c>
      <c r="BB506" s="1421">
        <v>2507.0859999999998</v>
      </c>
      <c r="BC506" s="1269">
        <v>3184.1320000000001</v>
      </c>
      <c r="BD506" s="1269">
        <v>5425.7889999999998</v>
      </c>
      <c r="BE506" s="1269">
        <v>6233.1059999999998</v>
      </c>
      <c r="BF506" s="1421">
        <v>6742.66</v>
      </c>
      <c r="BG506" s="1269">
        <v>7215.8440000000001</v>
      </c>
      <c r="BH506" s="1269">
        <v>7075.5519999999997</v>
      </c>
      <c r="BI506" s="1269">
        <v>7023.4089999999997</v>
      </c>
      <c r="BJ506" s="1421">
        <v>7319.1989999999996</v>
      </c>
      <c r="BK506" s="1269">
        <v>8609</v>
      </c>
      <c r="BL506" s="1269">
        <v>9972.6299999999992</v>
      </c>
      <c r="BM506" s="1269">
        <v>12574.178</v>
      </c>
      <c r="BN506" s="1259">
        <f>BM506-(BN692+BN655)-BN578-BN586</f>
        <v>14215.009121114732</v>
      </c>
      <c r="BO506" s="1029">
        <f>BN506-(BO692+BO655)-BO578-BO586</f>
        <v>16218.537447987963</v>
      </c>
      <c r="BP506" s="1029">
        <f>BO506-(BP692+BP655)-BP578-BP586</f>
        <v>17935.965473306958</v>
      </c>
      <c r="BQ506" s="1056">
        <f ca="1">W506</f>
        <v>20165.015172639985</v>
      </c>
      <c r="BR506" s="734"/>
      <c r="BS506" s="2"/>
      <c r="BT506" s="204"/>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c r="CS506"/>
      <c r="CT506"/>
      <c r="CU506"/>
      <c r="CV506"/>
      <c r="CW506"/>
    </row>
    <row r="507" spans="8:101" s="42" customFormat="1" outlineLevel="1">
      <c r="H507" s="289"/>
      <c r="I507" s="586"/>
      <c r="J507" s="230" t="s">
        <v>471</v>
      </c>
      <c r="K507" s="28"/>
      <c r="L507" s="28"/>
      <c r="M507" s="28"/>
      <c r="N507" s="1039"/>
      <c r="O507" s="1039"/>
      <c r="P507" s="1040">
        <v>0</v>
      </c>
      <c r="Q507" s="1040">
        <v>361.91300000000001</v>
      </c>
      <c r="R507" s="1040">
        <v>1237.644</v>
      </c>
      <c r="S507" s="1402">
        <v>1928.8989999999999</v>
      </c>
      <c r="T507" s="1402">
        <v>1266.992</v>
      </c>
      <c r="U507" s="1402">
        <v>1992.123</v>
      </c>
      <c r="V507" s="1402">
        <v>3196.5160000000001</v>
      </c>
      <c r="W507" s="1023">
        <f t="shared" ref="W507:AD507" si="577">V507</f>
        <v>3196.5160000000001</v>
      </c>
      <c r="X507" s="1023">
        <f t="shared" si="577"/>
        <v>3196.5160000000001</v>
      </c>
      <c r="Y507" s="1023">
        <f t="shared" si="577"/>
        <v>3196.5160000000001</v>
      </c>
      <c r="Z507" s="1023">
        <f t="shared" si="577"/>
        <v>3196.5160000000001</v>
      </c>
      <c r="AA507" s="1023">
        <f t="shared" si="577"/>
        <v>3196.5160000000001</v>
      </c>
      <c r="AB507" s="1023">
        <f t="shared" si="577"/>
        <v>3196.5160000000001</v>
      </c>
      <c r="AC507" s="1023">
        <f t="shared" si="577"/>
        <v>3196.5160000000001</v>
      </c>
      <c r="AD507" s="1023">
        <f t="shared" si="577"/>
        <v>3196.5160000000001</v>
      </c>
      <c r="AE507" s="1521"/>
      <c r="AF507" s="75"/>
      <c r="AG507" s="11"/>
      <c r="AH507" s="28"/>
      <c r="AI507" s="28"/>
      <c r="AJ507" s="28"/>
      <c r="AK507" s="28"/>
      <c r="AL507" s="1784"/>
      <c r="AM507" s="217"/>
      <c r="AN507" s="217"/>
      <c r="AO507" s="474"/>
      <c r="AP507" s="1743"/>
      <c r="AQ507" s="474"/>
      <c r="AR507" s="474"/>
      <c r="AS507" s="474"/>
      <c r="AT507" s="1743"/>
      <c r="AU507" s="474"/>
      <c r="AV507" s="474"/>
      <c r="AW507" s="474"/>
      <c r="AX507" s="1708"/>
      <c r="AY507" s="842">
        <v>1119.53</v>
      </c>
      <c r="AZ507" s="842">
        <v>1336.921</v>
      </c>
      <c r="BA507" s="1269">
        <v>1928.8989999999999</v>
      </c>
      <c r="BB507" s="1421">
        <v>2419.5940000000001</v>
      </c>
      <c r="BC507" s="1269">
        <v>2377.1329999999998</v>
      </c>
      <c r="BD507" s="1269">
        <v>1091.154</v>
      </c>
      <c r="BE507" s="1269">
        <v>1266.992</v>
      </c>
      <c r="BF507" s="1421">
        <v>1255.31</v>
      </c>
      <c r="BG507" s="1269">
        <v>1314.963</v>
      </c>
      <c r="BH507" s="1269">
        <v>1732.3409999999999</v>
      </c>
      <c r="BI507" s="1269">
        <v>1992.123</v>
      </c>
      <c r="BJ507" s="1421">
        <v>2187.9319999999998</v>
      </c>
      <c r="BK507" s="1269">
        <v>2170.19</v>
      </c>
      <c r="BL507" s="1269">
        <v>2856.806</v>
      </c>
      <c r="BM507" s="1269">
        <v>3196.5160000000001</v>
      </c>
      <c r="BN507" s="1668">
        <f>+BM507</f>
        <v>3196.5160000000001</v>
      </c>
      <c r="BO507" s="1065">
        <f>+BN507</f>
        <v>3196.5160000000001</v>
      </c>
      <c r="BP507" s="1065">
        <f>+BO507</f>
        <v>3196.5160000000001</v>
      </c>
      <c r="BQ507" s="1056">
        <f>W507</f>
        <v>3196.5160000000001</v>
      </c>
      <c r="BR507" s="734"/>
      <c r="BS507" s="2"/>
      <c r="BT507" s="204"/>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c r="CS507"/>
      <c r="CT507"/>
      <c r="CU507"/>
      <c r="CV507"/>
      <c r="CW507"/>
    </row>
    <row r="508" spans="8:101" s="42" customFormat="1" outlineLevel="1">
      <c r="H508" s="289"/>
      <c r="I508" s="586"/>
      <c r="J508" s="248" t="s">
        <v>473</v>
      </c>
      <c r="K508" s="28"/>
      <c r="L508" s="28"/>
      <c r="M508" s="28"/>
      <c r="N508" s="1039"/>
      <c r="O508" s="1039"/>
      <c r="P508" s="1040">
        <v>2.3809999999999998</v>
      </c>
      <c r="Q508" s="1040">
        <v>229.79300000000001</v>
      </c>
      <c r="R508" s="1040">
        <v>215.80199999999999</v>
      </c>
      <c r="S508" s="1416">
        <v>6877.9470000000001</v>
      </c>
      <c r="T508" s="1416">
        <v>5263.9830000000002</v>
      </c>
      <c r="U508" s="1416">
        <v>8310.6569999999992</v>
      </c>
      <c r="V508" s="1416">
        <v>6692.7169999999996</v>
      </c>
      <c r="W508" s="1023">
        <f t="shared" ref="W508:AD508" si="578">V508-W707-W647</f>
        <v>6692.7169999999996</v>
      </c>
      <c r="X508" s="1023">
        <f t="shared" si="578"/>
        <v>6692.7169999999996</v>
      </c>
      <c r="Y508" s="1023">
        <f t="shared" si="578"/>
        <v>6692.7169999999996</v>
      </c>
      <c r="Z508" s="1023">
        <f t="shared" si="578"/>
        <v>6692.7169999999996</v>
      </c>
      <c r="AA508" s="1023">
        <f t="shared" si="578"/>
        <v>6692.7169999999996</v>
      </c>
      <c r="AB508" s="1023">
        <f t="shared" si="578"/>
        <v>6692.7169999999996</v>
      </c>
      <c r="AC508" s="1023">
        <f t="shared" si="578"/>
        <v>6692.7169999999996</v>
      </c>
      <c r="AD508" s="1023">
        <f t="shared" si="578"/>
        <v>6692.7169999999996</v>
      </c>
      <c r="AE508" s="1521"/>
      <c r="AF508" s="75"/>
      <c r="AG508" s="11"/>
      <c r="AH508" s="28"/>
      <c r="AI508" s="28"/>
      <c r="AJ508" s="28"/>
      <c r="AK508" s="28"/>
      <c r="AL508" s="1784"/>
      <c r="AM508" s="217"/>
      <c r="AN508" s="217"/>
      <c r="AO508" s="474"/>
      <c r="AP508" s="1743"/>
      <c r="AQ508" s="474"/>
      <c r="AR508" s="474"/>
      <c r="AS508" s="474"/>
      <c r="AT508" s="1743"/>
      <c r="AU508" s="474"/>
      <c r="AV508" s="474"/>
      <c r="AW508" s="474"/>
      <c r="AX508" s="1728"/>
      <c r="AY508" s="842">
        <v>7596.23</v>
      </c>
      <c r="AZ508" s="842">
        <v>7229.2879999999996</v>
      </c>
      <c r="BA508" s="1269">
        <v>6877.9470000000001</v>
      </c>
      <c r="BB508" s="1421">
        <v>6518.65</v>
      </c>
      <c r="BC508" s="1269">
        <v>6151.768</v>
      </c>
      <c r="BD508" s="1269">
        <v>5787.2349999999997</v>
      </c>
      <c r="BE508" s="1269">
        <v>5263.9830000000002</v>
      </c>
      <c r="BF508" s="1421">
        <v>2039.942</v>
      </c>
      <c r="BG508" s="1269">
        <v>2206.8739999999998</v>
      </c>
      <c r="BH508" s="1269">
        <v>8912.3220000000001</v>
      </c>
      <c r="BI508" s="1269">
        <v>8310.6569999999992</v>
      </c>
      <c r="BJ508" s="1421">
        <v>8007.6229999999996</v>
      </c>
      <c r="BK508" s="1269">
        <v>7437.8370000000004</v>
      </c>
      <c r="BL508" s="1269">
        <v>6993.8450000000003</v>
      </c>
      <c r="BM508" s="1269">
        <v>6692.7169999999996</v>
      </c>
      <c r="BN508" s="1668">
        <f>BM508-BN706</f>
        <v>6692.7169999999996</v>
      </c>
      <c r="BO508" s="1065">
        <f>BN508-BO706</f>
        <v>6692.7169999999996</v>
      </c>
      <c r="BP508" s="1065">
        <f>BO508-BP706</f>
        <v>6692.7169999999996</v>
      </c>
      <c r="BQ508" s="1056">
        <f>W508</f>
        <v>6692.7169999999996</v>
      </c>
      <c r="BR508" s="734"/>
      <c r="BS508" s="2"/>
      <c r="BT508" s="204"/>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c r="CS508"/>
      <c r="CT508"/>
      <c r="CU508"/>
      <c r="CV508"/>
      <c r="CW508"/>
    </row>
    <row r="509" spans="8:101" s="42" customFormat="1" outlineLevel="1">
      <c r="H509" s="289"/>
      <c r="I509" s="586"/>
      <c r="J509" s="1305" t="s">
        <v>251</v>
      </c>
      <c r="K509" s="28"/>
      <c r="L509" s="28"/>
      <c r="M509" s="28"/>
      <c r="N509" s="1039"/>
      <c r="O509" s="1039"/>
      <c r="P509" s="1040"/>
      <c r="Q509" s="1040"/>
      <c r="R509" s="1040"/>
      <c r="S509" s="1416"/>
      <c r="T509" s="1416"/>
      <c r="U509" s="1416">
        <v>0</v>
      </c>
      <c r="V509" s="1416">
        <v>158.25</v>
      </c>
      <c r="W509" s="1023"/>
      <c r="X509" s="1023"/>
      <c r="Y509" s="1023"/>
      <c r="Z509" s="1023"/>
      <c r="AA509" s="1023"/>
      <c r="AB509" s="1023"/>
      <c r="AC509" s="1023"/>
      <c r="AD509" s="1023"/>
      <c r="AE509" s="1521"/>
      <c r="AF509" s="75"/>
      <c r="AG509" s="11"/>
      <c r="AH509" s="28"/>
      <c r="AI509" s="28"/>
      <c r="AJ509" s="28"/>
      <c r="AK509" s="28"/>
      <c r="AL509" s="1784"/>
      <c r="AM509" s="217"/>
      <c r="AN509" s="217"/>
      <c r="AO509" s="474"/>
      <c r="AP509" s="1743"/>
      <c r="AQ509" s="474"/>
      <c r="AR509" s="474"/>
      <c r="AS509" s="474"/>
      <c r="AT509" s="1743"/>
      <c r="AU509" s="474"/>
      <c r="AV509" s="474"/>
      <c r="AW509" s="474"/>
      <c r="AX509" s="1728"/>
      <c r="AY509" s="842"/>
      <c r="AZ509" s="842"/>
      <c r="BA509" s="1269"/>
      <c r="BB509" s="1421"/>
      <c r="BC509" s="1269"/>
      <c r="BD509" s="1269"/>
      <c r="BE509" s="1269"/>
      <c r="BF509" s="1421"/>
      <c r="BG509" s="1269"/>
      <c r="BH509" s="1269"/>
      <c r="BI509" s="1269"/>
      <c r="BJ509" s="1421"/>
      <c r="BK509" s="1269"/>
      <c r="BL509" s="1269"/>
      <c r="BM509" s="1269">
        <v>158.25</v>
      </c>
      <c r="BN509" s="1668"/>
      <c r="BO509" s="1065"/>
      <c r="BP509" s="1065"/>
      <c r="BQ509" s="1056"/>
      <c r="BR509" s="734"/>
      <c r="BS509" s="2"/>
      <c r="BT509" s="204"/>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c r="CS509"/>
      <c r="CT509"/>
      <c r="CU509"/>
      <c r="CV509"/>
      <c r="CW509"/>
    </row>
    <row r="510" spans="8:101" s="42" customFormat="1" outlineLevel="1">
      <c r="H510" s="289"/>
      <c r="I510" s="586"/>
      <c r="J510" s="230" t="s">
        <v>260</v>
      </c>
      <c r="K510" s="28"/>
      <c r="L510" s="28"/>
      <c r="M510" s="28"/>
      <c r="N510" s="1039"/>
      <c r="O510" s="1039"/>
      <c r="P510" s="1040">
        <v>96.564999999999998</v>
      </c>
      <c r="Q510" s="1040">
        <v>528.00099999999998</v>
      </c>
      <c r="R510" s="1040">
        <v>598.85299999999995</v>
      </c>
      <c r="S510" s="1416">
        <v>1067.2529999999999</v>
      </c>
      <c r="T510" s="1416">
        <v>1928.192</v>
      </c>
      <c r="U510" s="1416">
        <v>2447.511</v>
      </c>
      <c r="V510" s="1416">
        <v>7050.8090000000002</v>
      </c>
      <c r="W510" s="1023">
        <f t="shared" ref="W510:AD510" si="579">V510-W708</f>
        <v>7050.8090000000002</v>
      </c>
      <c r="X510" s="1023">
        <f t="shared" si="579"/>
        <v>7050.8090000000002</v>
      </c>
      <c r="Y510" s="1023">
        <f t="shared" si="579"/>
        <v>7050.8090000000002</v>
      </c>
      <c r="Z510" s="1023">
        <f t="shared" si="579"/>
        <v>7050.8090000000002</v>
      </c>
      <c r="AA510" s="1023">
        <f t="shared" si="579"/>
        <v>7050.8090000000002</v>
      </c>
      <c r="AB510" s="1023">
        <f t="shared" si="579"/>
        <v>7050.8090000000002</v>
      </c>
      <c r="AC510" s="1023">
        <f t="shared" si="579"/>
        <v>7050.8090000000002</v>
      </c>
      <c r="AD510" s="1023">
        <f t="shared" si="579"/>
        <v>7050.8090000000002</v>
      </c>
      <c r="AE510" s="1521"/>
      <c r="AF510" s="75"/>
      <c r="AG510" s="11"/>
      <c r="AH510" s="28"/>
      <c r="AI510" s="28"/>
      <c r="AJ510" s="28"/>
      <c r="AK510" s="28"/>
      <c r="AL510" s="1784"/>
      <c r="AM510" s="217"/>
      <c r="AN510" s="217"/>
      <c r="AO510" s="474"/>
      <c r="AP510" s="1743"/>
      <c r="AQ510" s="474"/>
      <c r="AR510" s="474"/>
      <c r="AS510" s="474"/>
      <c r="AT510" s="1743"/>
      <c r="AU510" s="474"/>
      <c r="AV510" s="474"/>
      <c r="AW510" s="474"/>
      <c r="AX510" s="1728"/>
      <c r="AY510" s="842">
        <v>931.27700000000004</v>
      </c>
      <c r="AZ510" s="842">
        <v>926.28899999999999</v>
      </c>
      <c r="BA510" s="1269">
        <v>1067.2529999999999</v>
      </c>
      <c r="BB510" s="1421">
        <v>1346.2529999999999</v>
      </c>
      <c r="BC510" s="1269">
        <v>1803.761</v>
      </c>
      <c r="BD510" s="1269">
        <v>1907.7449999999999</v>
      </c>
      <c r="BE510" s="1269">
        <v>1928.192</v>
      </c>
      <c r="BF510" s="1421">
        <v>4917.8810000000003</v>
      </c>
      <c r="BG510" s="1269">
        <v>9367.9120000000003</v>
      </c>
      <c r="BH510" s="1269">
        <v>2194.913</v>
      </c>
      <c r="BI510" s="1269">
        <v>2447.511</v>
      </c>
      <c r="BJ510" s="1421">
        <v>2473.9</v>
      </c>
      <c r="BK510" s="1269">
        <v>2470.4969999999998</v>
      </c>
      <c r="BL510" s="1269">
        <v>6829.7929999999997</v>
      </c>
      <c r="BM510" s="1269">
        <v>7050.8090000000002</v>
      </c>
      <c r="BN510" s="1668">
        <f>BM510-BN707</f>
        <v>7050.8090000000002</v>
      </c>
      <c r="BO510" s="1065">
        <f>BN510-BO707</f>
        <v>7050.8090000000002</v>
      </c>
      <c r="BP510" s="1065">
        <f>BO510-BP707</f>
        <v>7050.8090000000002</v>
      </c>
      <c r="BQ510" s="1056">
        <f>W510</f>
        <v>7050.8090000000002</v>
      </c>
      <c r="BR510" s="734"/>
      <c r="BS510" s="2"/>
      <c r="BT510" s="204"/>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c r="CS510"/>
      <c r="CT510"/>
      <c r="CU510"/>
      <c r="CV510"/>
      <c r="CW510"/>
    </row>
    <row r="511" spans="8:101" s="42" customFormat="1" outlineLevel="1">
      <c r="H511" s="289"/>
      <c r="I511" s="586"/>
      <c r="J511" s="248" t="s">
        <v>88</v>
      </c>
      <c r="K511" s="28"/>
      <c r="L511" s="28"/>
      <c r="M511" s="28"/>
      <c r="N511" s="1044"/>
      <c r="O511" s="1044"/>
      <c r="P511" s="1040">
        <v>0</v>
      </c>
      <c r="Q511" s="1040">
        <v>14.648999999999999</v>
      </c>
      <c r="R511" s="1040">
        <v>14.648999999999999</v>
      </c>
      <c r="S511" s="1416">
        <v>2622.47</v>
      </c>
      <c r="T511" s="1416">
        <v>29.05</v>
      </c>
      <c r="U511" s="1416">
        <v>6527.0190000000002</v>
      </c>
      <c r="V511" s="1416">
        <v>6650.57</v>
      </c>
      <c r="W511" s="1024">
        <f t="shared" ref="W511:AD511" si="580">V511</f>
        <v>6650.57</v>
      </c>
      <c r="X511" s="1024">
        <f t="shared" si="580"/>
        <v>6650.57</v>
      </c>
      <c r="Y511" s="1024">
        <f t="shared" si="580"/>
        <v>6650.57</v>
      </c>
      <c r="Z511" s="1024">
        <f t="shared" si="580"/>
        <v>6650.57</v>
      </c>
      <c r="AA511" s="1024">
        <f t="shared" si="580"/>
        <v>6650.57</v>
      </c>
      <c r="AB511" s="1024">
        <f t="shared" si="580"/>
        <v>6650.57</v>
      </c>
      <c r="AC511" s="1024">
        <f t="shared" si="580"/>
        <v>6650.57</v>
      </c>
      <c r="AD511" s="1024">
        <f t="shared" si="580"/>
        <v>6650.57</v>
      </c>
      <c r="AE511" s="1521"/>
      <c r="AF511" s="205"/>
      <c r="AG511" s="11"/>
      <c r="AH511" s="28"/>
      <c r="AI511" s="28"/>
      <c r="AJ511" s="28"/>
      <c r="AK511" s="28"/>
      <c r="AL511" s="1784"/>
      <c r="AM511" s="217"/>
      <c r="AN511" s="217"/>
      <c r="AO511" s="474"/>
      <c r="AP511" s="1743"/>
      <c r="AQ511" s="474"/>
      <c r="AR511" s="474"/>
      <c r="AS511" s="474"/>
      <c r="AT511" s="1743"/>
      <c r="AU511" s="474"/>
      <c r="AV511" s="474"/>
      <c r="AW511" s="474"/>
      <c r="AX511" s="1000"/>
      <c r="AY511" s="842">
        <v>2622.47</v>
      </c>
      <c r="AZ511" s="842">
        <v>2622.47</v>
      </c>
      <c r="BA511" s="1269">
        <v>2622.47</v>
      </c>
      <c r="BB511" s="1421">
        <v>2622.47</v>
      </c>
      <c r="BC511" s="1269">
        <v>2622.47</v>
      </c>
      <c r="BD511" s="1269">
        <v>2622.47</v>
      </c>
      <c r="BE511" s="1269">
        <v>29.05</v>
      </c>
      <c r="BF511" s="1421">
        <v>29.05</v>
      </c>
      <c r="BG511" s="1269">
        <v>6541.6679999999997</v>
      </c>
      <c r="BH511" s="1269">
        <v>6541.6679999999997</v>
      </c>
      <c r="BI511" s="1269">
        <v>6527.0190000000002</v>
      </c>
      <c r="BJ511" s="1421">
        <v>6541.6679999999997</v>
      </c>
      <c r="BK511" s="1269">
        <v>6533.92</v>
      </c>
      <c r="BL511" s="1269">
        <v>6533.92</v>
      </c>
      <c r="BM511" s="1269">
        <v>6650.57</v>
      </c>
      <c r="BN511" s="1259">
        <f>BM511</f>
        <v>6650.57</v>
      </c>
      <c r="BO511" s="950">
        <f>BN511</f>
        <v>6650.57</v>
      </c>
      <c r="BP511" s="950">
        <f>BO511</f>
        <v>6650.57</v>
      </c>
      <c r="BQ511" s="1056">
        <f>W511</f>
        <v>6650.57</v>
      </c>
      <c r="BR511" s="734"/>
      <c r="BS511" s="2"/>
      <c r="BT511" s="204"/>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c r="CS511"/>
      <c r="CT511"/>
      <c r="CU511"/>
      <c r="CV511"/>
      <c r="CW511"/>
    </row>
    <row r="512" spans="8:101" s="42" customFormat="1" outlineLevel="1">
      <c r="H512" s="289"/>
      <c r="I512" s="586"/>
      <c r="J512" s="1305" t="s">
        <v>213</v>
      </c>
      <c r="K512" s="28"/>
      <c r="L512" s="28"/>
      <c r="M512" s="28"/>
      <c r="N512" s="1044"/>
      <c r="O512" s="1044"/>
      <c r="P512" s="1040"/>
      <c r="Q512" s="1040"/>
      <c r="R512" s="1040"/>
      <c r="S512" s="1416"/>
      <c r="T512" s="1416"/>
      <c r="U512" s="1416">
        <v>1896.2</v>
      </c>
      <c r="V512" s="1416">
        <v>1896.2</v>
      </c>
      <c r="W512" s="1024"/>
      <c r="X512" s="1024"/>
      <c r="Y512" s="1024"/>
      <c r="Z512" s="1024"/>
      <c r="AA512" s="1024"/>
      <c r="AB512" s="1024"/>
      <c r="AC512" s="1024"/>
      <c r="AD512" s="1024"/>
      <c r="AE512" s="1521"/>
      <c r="AF512" s="205"/>
      <c r="AG512" s="11"/>
      <c r="AH512" s="28"/>
      <c r="AI512" s="28"/>
      <c r="AJ512" s="28"/>
      <c r="AK512" s="28"/>
      <c r="AL512" s="1784"/>
      <c r="AM512" s="217"/>
      <c r="AN512" s="217"/>
      <c r="AO512" s="474"/>
      <c r="AP512" s="1743"/>
      <c r="AQ512" s="474"/>
      <c r="AR512" s="474"/>
      <c r="AS512" s="474"/>
      <c r="AT512" s="1743"/>
      <c r="AU512" s="474"/>
      <c r="AV512" s="474"/>
      <c r="AW512" s="474"/>
      <c r="AX512" s="1000"/>
      <c r="AY512" s="842"/>
      <c r="AZ512" s="842"/>
      <c r="BA512" s="1269"/>
      <c r="BB512" s="1421"/>
      <c r="BC512" s="1269"/>
      <c r="BD512" s="1269"/>
      <c r="BE512" s="1269"/>
      <c r="BF512" s="1421"/>
      <c r="BG512" s="1269"/>
      <c r="BH512" s="1269">
        <v>4907.817</v>
      </c>
      <c r="BI512" s="1269">
        <v>1896.2</v>
      </c>
      <c r="BJ512" s="1421"/>
      <c r="BK512" s="1269">
        <v>1896.2</v>
      </c>
      <c r="BL512" s="1269">
        <v>1896.2</v>
      </c>
      <c r="BM512" s="1269">
        <v>1896.2</v>
      </c>
      <c r="BN512" s="1259"/>
      <c r="BO512" s="950"/>
      <c r="BP512" s="950"/>
      <c r="BQ512" s="1056"/>
      <c r="BR512" s="734"/>
      <c r="BS512" s="2"/>
      <c r="BT512" s="204"/>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c r="CS512"/>
      <c r="CT512"/>
      <c r="CU512"/>
      <c r="CV512"/>
      <c r="CW512"/>
    </row>
    <row r="513" spans="8:101" s="42" customFormat="1" outlineLevel="1">
      <c r="H513" s="289"/>
      <c r="I513" s="586"/>
      <c r="J513" s="230" t="s">
        <v>261</v>
      </c>
      <c r="K513" s="28"/>
      <c r="L513" s="28"/>
      <c r="M513" s="28"/>
      <c r="N513" s="1039"/>
      <c r="O513" s="1039"/>
      <c r="P513" s="1040">
        <v>276.34699999999998</v>
      </c>
      <c r="Q513" s="1040">
        <v>429.95</v>
      </c>
      <c r="R513" s="1040">
        <v>401.87299999999999</v>
      </c>
      <c r="S513" s="1416">
        <v>625.39099999999996</v>
      </c>
      <c r="T513" s="1416">
        <v>2106.6729999999998</v>
      </c>
      <c r="U513" s="1416">
        <v>2223.672</v>
      </c>
      <c r="V513" s="1416">
        <v>2227.942</v>
      </c>
      <c r="W513" s="1023">
        <f t="shared" ref="W513:AD513" si="581">V513</f>
        <v>2227.942</v>
      </c>
      <c r="X513" s="1023">
        <f t="shared" si="581"/>
        <v>2227.942</v>
      </c>
      <c r="Y513" s="1023">
        <f t="shared" si="581"/>
        <v>2227.942</v>
      </c>
      <c r="Z513" s="1023">
        <f t="shared" si="581"/>
        <v>2227.942</v>
      </c>
      <c r="AA513" s="1023">
        <f t="shared" si="581"/>
        <v>2227.942</v>
      </c>
      <c r="AB513" s="1023">
        <f t="shared" si="581"/>
        <v>2227.942</v>
      </c>
      <c r="AC513" s="1023">
        <f t="shared" si="581"/>
        <v>2227.942</v>
      </c>
      <c r="AD513" s="1023">
        <f t="shared" si="581"/>
        <v>2227.942</v>
      </c>
      <c r="AE513" s="1521"/>
      <c r="AF513" s="75"/>
      <c r="AG513" s="11"/>
      <c r="AH513" s="28"/>
      <c r="AI513" s="28"/>
      <c r="AJ513" s="28"/>
      <c r="AK513" s="28"/>
      <c r="AL513" s="1784"/>
      <c r="AM513" s="217"/>
      <c r="AN513" s="217"/>
      <c r="AO513" s="474"/>
      <c r="AP513" s="1743"/>
      <c r="AQ513" s="474"/>
      <c r="AR513" s="474"/>
      <c r="AS513" s="474"/>
      <c r="AT513" s="1743"/>
      <c r="AU513" s="474"/>
      <c r="AV513" s="474"/>
      <c r="AW513" s="474"/>
      <c r="AX513" s="1728"/>
      <c r="AY513" s="842">
        <v>459.01600000000002</v>
      </c>
      <c r="AZ513" s="842">
        <v>565.74699999999996</v>
      </c>
      <c r="BA513" s="1269">
        <v>625.39099999999996</v>
      </c>
      <c r="BB513" s="1421">
        <v>650.69299999999998</v>
      </c>
      <c r="BC513" s="1269">
        <v>769.90099999999995</v>
      </c>
      <c r="BD513" s="1269">
        <v>1525.673</v>
      </c>
      <c r="BE513" s="1269">
        <v>2106.6729999999998</v>
      </c>
      <c r="BF513" s="1421">
        <v>2296.8539999999998</v>
      </c>
      <c r="BG513" s="1269">
        <v>4729.223</v>
      </c>
      <c r="BH513" s="1269">
        <v>2122.962</v>
      </c>
      <c r="BI513" s="1269">
        <v>9556.0830000000005</v>
      </c>
      <c r="BJ513" s="1421">
        <v>3991.4920000000002</v>
      </c>
      <c r="BK513" s="1269">
        <v>2739.002</v>
      </c>
      <c r="BL513" s="1269">
        <v>2281.3429999999998</v>
      </c>
      <c r="BM513" s="1269">
        <v>2227.942</v>
      </c>
      <c r="BN513" s="1668">
        <f>BM513-BN708</f>
        <v>2227.942</v>
      </c>
      <c r="BO513" s="1065">
        <f>BN513-BO708</f>
        <v>2227.942</v>
      </c>
      <c r="BP513" s="1065">
        <f>BO513-BP708</f>
        <v>2227.942</v>
      </c>
      <c r="BQ513" s="1056">
        <f>W513</f>
        <v>2227.942</v>
      </c>
      <c r="BR513" s="734"/>
      <c r="BS513" s="2"/>
      <c r="BT513" s="204"/>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c r="CS513"/>
      <c r="CT513"/>
      <c r="CU513"/>
      <c r="CV513"/>
      <c r="CW513"/>
    </row>
    <row r="514" spans="8:101" s="42" customFormat="1" outlineLevel="1">
      <c r="H514" s="289"/>
      <c r="I514" s="586"/>
      <c r="J514" s="248" t="s">
        <v>180</v>
      </c>
      <c r="K514" s="28"/>
      <c r="L514" s="28"/>
      <c r="M514" s="28"/>
      <c r="N514" s="1014">
        <f t="shared" ref="N514:AD514" si="582">SUM(N515:N517)</f>
        <v>0</v>
      </c>
      <c r="O514" s="1014">
        <f t="shared" si="582"/>
        <v>0</v>
      </c>
      <c r="P514" s="1014">
        <f t="shared" si="582"/>
        <v>0.84</v>
      </c>
      <c r="Q514" s="1014">
        <f t="shared" si="582"/>
        <v>2.84</v>
      </c>
      <c r="R514" s="1014">
        <f t="shared" si="582"/>
        <v>36.502000000000002</v>
      </c>
      <c r="S514" s="1013">
        <f t="shared" si="582"/>
        <v>1021.077</v>
      </c>
      <c r="T514" s="1013">
        <f t="shared" si="582"/>
        <v>9870.08</v>
      </c>
      <c r="U514" s="1013">
        <f t="shared" si="582"/>
        <v>23020.828999999998</v>
      </c>
      <c r="V514" s="1013">
        <f t="shared" si="582"/>
        <v>28579.131999999998</v>
      </c>
      <c r="W514" s="1013">
        <f t="shared" si="582"/>
        <v>28579.131999999998</v>
      </c>
      <c r="X514" s="1013">
        <f t="shared" si="582"/>
        <v>28579.131999999998</v>
      </c>
      <c r="Y514" s="1013">
        <f t="shared" si="582"/>
        <v>28579.131999999998</v>
      </c>
      <c r="Z514" s="1013">
        <f t="shared" si="582"/>
        <v>28579.131999999998</v>
      </c>
      <c r="AA514" s="1013">
        <f t="shared" si="582"/>
        <v>28579.131999999998</v>
      </c>
      <c r="AB514" s="1013">
        <f t="shared" si="582"/>
        <v>28579.131999999998</v>
      </c>
      <c r="AC514" s="1013">
        <f t="shared" si="582"/>
        <v>28579.131999999998</v>
      </c>
      <c r="AD514" s="1013">
        <f t="shared" si="582"/>
        <v>28579.131999999998</v>
      </c>
      <c r="AE514" s="1521"/>
      <c r="AF514" s="75"/>
      <c r="AG514" s="11"/>
      <c r="AH514" s="28"/>
      <c r="AI514" s="28"/>
      <c r="AJ514" s="28"/>
      <c r="AK514" s="28"/>
      <c r="AL514" s="1784"/>
      <c r="AM514" s="217"/>
      <c r="AN514" s="217"/>
      <c r="AO514" s="474"/>
      <c r="AP514" s="1743"/>
      <c r="AQ514" s="474"/>
      <c r="AR514" s="474"/>
      <c r="AS514" s="474"/>
      <c r="AT514" s="1743"/>
      <c r="AU514" s="474"/>
      <c r="AV514" s="474"/>
      <c r="AW514" s="474"/>
      <c r="AX514" s="767">
        <f t="shared" ref="AX514:BP514" si="583">SUM(AX515:AX517)</f>
        <v>0</v>
      </c>
      <c r="AY514" s="734">
        <f t="shared" si="583"/>
        <v>322.39</v>
      </c>
      <c r="AZ514" s="734">
        <f t="shared" si="583"/>
        <v>508.84399999999999</v>
      </c>
      <c r="BA514" s="1057">
        <f t="shared" si="583"/>
        <v>1021.077</v>
      </c>
      <c r="BB514" s="1705">
        <f t="shared" si="583"/>
        <v>8070.8710000000001</v>
      </c>
      <c r="BC514" s="1057">
        <f t="shared" si="583"/>
        <v>11906.973</v>
      </c>
      <c r="BD514" s="734">
        <f t="shared" si="583"/>
        <v>12482.34</v>
      </c>
      <c r="BE514" s="734">
        <f t="shared" si="583"/>
        <v>9870.08</v>
      </c>
      <c r="BF514" s="767">
        <f t="shared" si="583"/>
        <v>9537.5650000000005</v>
      </c>
      <c r="BG514" s="844">
        <f t="shared" si="583"/>
        <v>12685.766000000001</v>
      </c>
      <c r="BH514" s="844">
        <f t="shared" si="583"/>
        <v>17500.683000000001</v>
      </c>
      <c r="BI514" s="844">
        <f t="shared" si="583"/>
        <v>15688.418</v>
      </c>
      <c r="BJ514" s="767">
        <f t="shared" si="583"/>
        <v>22453.881999999998</v>
      </c>
      <c r="BK514" s="734">
        <f t="shared" si="583"/>
        <v>17871.867999999999</v>
      </c>
      <c r="BL514" s="734">
        <f t="shared" si="583"/>
        <v>19416.485000000001</v>
      </c>
      <c r="BM514" s="734">
        <f t="shared" si="583"/>
        <v>28579.131999999998</v>
      </c>
      <c r="BN514" s="767">
        <f t="shared" si="583"/>
        <v>28579.131999999998</v>
      </c>
      <c r="BO514" s="836">
        <f t="shared" si="583"/>
        <v>28579.131999999998</v>
      </c>
      <c r="BP514" s="836">
        <f t="shared" si="583"/>
        <v>28579.131999999998</v>
      </c>
      <c r="BQ514" s="1056">
        <f>W514</f>
        <v>28579.131999999998</v>
      </c>
      <c r="BR514" s="734"/>
      <c r="BS514" s="2"/>
      <c r="BT514" s="204"/>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c r="CS514"/>
      <c r="CT514"/>
      <c r="CU514"/>
      <c r="CV514"/>
      <c r="CW514"/>
    </row>
    <row r="515" spans="8:101" s="42" customFormat="1" outlineLevel="1">
      <c r="H515" s="289"/>
      <c r="I515" s="586"/>
      <c r="J515" s="373" t="s">
        <v>461</v>
      </c>
      <c r="K515" s="28"/>
      <c r="L515" s="28"/>
      <c r="M515" s="28"/>
      <c r="N515" s="1044"/>
      <c r="O515" s="1044"/>
      <c r="P515" s="1040">
        <v>0.84</v>
      </c>
      <c r="Q515" s="1040">
        <v>2.84</v>
      </c>
      <c r="R515" s="1040">
        <v>36.502000000000002</v>
      </c>
      <c r="S515" s="1416">
        <v>586.95899999999995</v>
      </c>
      <c r="T515" s="1416">
        <v>8864.2489999999998</v>
      </c>
      <c r="U515" s="1416">
        <v>14628.786</v>
      </c>
      <c r="V515" s="1416">
        <v>18551.319</v>
      </c>
      <c r="W515" s="1009">
        <f>V515</f>
        <v>18551.319</v>
      </c>
      <c r="X515" s="1009">
        <f t="shared" ref="X515:AD515" si="584">W515</f>
        <v>18551.319</v>
      </c>
      <c r="Y515" s="1009">
        <f t="shared" si="584"/>
        <v>18551.319</v>
      </c>
      <c r="Z515" s="1009">
        <f t="shared" si="584"/>
        <v>18551.319</v>
      </c>
      <c r="AA515" s="1009">
        <f t="shared" si="584"/>
        <v>18551.319</v>
      </c>
      <c r="AB515" s="1009">
        <f t="shared" si="584"/>
        <v>18551.319</v>
      </c>
      <c r="AC515" s="1009">
        <f t="shared" si="584"/>
        <v>18551.319</v>
      </c>
      <c r="AD515" s="1009">
        <f t="shared" si="584"/>
        <v>18551.319</v>
      </c>
      <c r="AE515" s="1521"/>
      <c r="AF515" s="205"/>
      <c r="AG515" s="11"/>
      <c r="AH515" s="28"/>
      <c r="AI515" s="28"/>
      <c r="AJ515" s="28"/>
      <c r="AK515" s="28"/>
      <c r="AL515" s="1784"/>
      <c r="AM515" s="217"/>
      <c r="AN515" s="217"/>
      <c r="AO515" s="474"/>
      <c r="AP515" s="1743"/>
      <c r="AQ515" s="474"/>
      <c r="AR515" s="474"/>
      <c r="AS515" s="474"/>
      <c r="AT515" s="1743"/>
      <c r="AU515" s="474"/>
      <c r="AV515" s="474"/>
      <c r="AW515" s="474"/>
      <c r="AX515" s="1000"/>
      <c r="AY515" s="842">
        <v>322.39</v>
      </c>
      <c r="AZ515" s="842">
        <v>508.84399999999999</v>
      </c>
      <c r="BA515" s="1269">
        <v>586.95899999999995</v>
      </c>
      <c r="BB515" s="1421">
        <v>7647.0050000000001</v>
      </c>
      <c r="BC515" s="1269">
        <v>10765.157999999999</v>
      </c>
      <c r="BD515" s="1269">
        <v>11647.66</v>
      </c>
      <c r="BE515" s="1269">
        <v>8864.2489999999998</v>
      </c>
      <c r="BF515" s="1421">
        <v>8794.4030000000002</v>
      </c>
      <c r="BG515" s="1269">
        <v>11725.861000000001</v>
      </c>
      <c r="BH515" s="1269">
        <v>15925.428</v>
      </c>
      <c r="BI515" s="1269">
        <v>14628.786</v>
      </c>
      <c r="BJ515" s="1421">
        <v>15499.684999999999</v>
      </c>
      <c r="BK515" s="1269">
        <v>16798.46</v>
      </c>
      <c r="BL515" s="1269">
        <v>17554.471000000001</v>
      </c>
      <c r="BM515" s="1269">
        <v>18551.319</v>
      </c>
      <c r="BN515" s="1259">
        <f t="shared" ref="BN515:BP516" si="585">BM515</f>
        <v>18551.319</v>
      </c>
      <c r="BO515" s="950">
        <f t="shared" si="585"/>
        <v>18551.319</v>
      </c>
      <c r="BP515" s="950">
        <f t="shared" si="585"/>
        <v>18551.319</v>
      </c>
      <c r="BQ515" s="1056">
        <f>W515</f>
        <v>18551.319</v>
      </c>
      <c r="BR515" s="734"/>
      <c r="BS515" s="2"/>
      <c r="BT515" s="204"/>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c r="CS515"/>
      <c r="CT515"/>
      <c r="CU515"/>
      <c r="CV515"/>
      <c r="CW515"/>
    </row>
    <row r="516" spans="8:101" s="42" customFormat="1" outlineLevel="1">
      <c r="H516" s="289"/>
      <c r="I516" s="586"/>
      <c r="J516" s="1516" t="s">
        <v>648</v>
      </c>
      <c r="K516" s="28"/>
      <c r="L516" s="28"/>
      <c r="M516" s="28"/>
      <c r="N516" s="1044"/>
      <c r="O516" s="1044"/>
      <c r="P516" s="1048"/>
      <c r="Q516" s="1048"/>
      <c r="R516" s="1048"/>
      <c r="S516" s="1416">
        <v>434.11799999999999</v>
      </c>
      <c r="T516" s="1416">
        <v>1005.831</v>
      </c>
      <c r="U516" s="1416">
        <v>1059.6320000000001</v>
      </c>
      <c r="V516" s="1416">
        <v>10027.813</v>
      </c>
      <c r="W516" s="1009">
        <f t="shared" ref="W516:AD516" si="586">V516</f>
        <v>10027.813</v>
      </c>
      <c r="X516" s="1009">
        <f t="shared" si="586"/>
        <v>10027.813</v>
      </c>
      <c r="Y516" s="1009">
        <f t="shared" si="586"/>
        <v>10027.813</v>
      </c>
      <c r="Z516" s="1009">
        <f t="shared" si="586"/>
        <v>10027.813</v>
      </c>
      <c r="AA516" s="1009">
        <f t="shared" si="586"/>
        <v>10027.813</v>
      </c>
      <c r="AB516" s="1009">
        <f t="shared" si="586"/>
        <v>10027.813</v>
      </c>
      <c r="AC516" s="1009">
        <f t="shared" si="586"/>
        <v>10027.813</v>
      </c>
      <c r="AD516" s="1009">
        <f t="shared" si="586"/>
        <v>10027.813</v>
      </c>
      <c r="AE516" s="1521"/>
      <c r="AF516" s="205"/>
      <c r="AG516" s="11"/>
      <c r="AH516" s="28"/>
      <c r="AI516" s="28"/>
      <c r="AJ516" s="28"/>
      <c r="AK516" s="28"/>
      <c r="AL516" s="1784"/>
      <c r="AM516" s="217"/>
      <c r="AN516" s="217"/>
      <c r="AO516" s="474"/>
      <c r="AP516" s="1743"/>
      <c r="AQ516" s="474"/>
      <c r="AR516" s="474"/>
      <c r="AS516" s="474"/>
      <c r="AT516" s="1743"/>
      <c r="AU516" s="474"/>
      <c r="AV516" s="474"/>
      <c r="AW516" s="474"/>
      <c r="AX516" s="1000"/>
      <c r="AY516" s="842">
        <v>0</v>
      </c>
      <c r="AZ516" s="842">
        <v>0</v>
      </c>
      <c r="BA516" s="1269">
        <v>434.11799999999999</v>
      </c>
      <c r="BB516" s="1421">
        <v>423.86599999999999</v>
      </c>
      <c r="BC516" s="1269">
        <v>1141.8150000000001</v>
      </c>
      <c r="BD516" s="1269">
        <v>834.68</v>
      </c>
      <c r="BE516" s="1269">
        <v>1005.831</v>
      </c>
      <c r="BF516" s="1421">
        <v>743.16200000000003</v>
      </c>
      <c r="BG516" s="1269">
        <v>959.90499999999997</v>
      </c>
      <c r="BH516" s="1269">
        <v>1575.2550000000001</v>
      </c>
      <c r="BI516" s="1269">
        <v>1059.6320000000001</v>
      </c>
      <c r="BJ516" s="1421">
        <v>6954.1970000000001</v>
      </c>
      <c r="BK516" s="1269">
        <v>1073.4079999999999</v>
      </c>
      <c r="BL516" s="1269">
        <v>1862.0139999999999</v>
      </c>
      <c r="BM516" s="1269">
        <v>10027.813</v>
      </c>
      <c r="BN516" s="1259">
        <f t="shared" si="585"/>
        <v>10027.813</v>
      </c>
      <c r="BO516" s="950">
        <f t="shared" si="585"/>
        <v>10027.813</v>
      </c>
      <c r="BP516" s="950">
        <f t="shared" si="585"/>
        <v>10027.813</v>
      </c>
      <c r="BQ516" s="1056">
        <f>W516</f>
        <v>10027.813</v>
      </c>
      <c r="BR516" s="734"/>
      <c r="BS516" s="2"/>
      <c r="BT516" s="204"/>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c r="CS516"/>
      <c r="CT516"/>
      <c r="CU516"/>
      <c r="CV516"/>
      <c r="CW516"/>
    </row>
    <row r="517" spans="8:101" s="42" customFormat="1" outlineLevel="1">
      <c r="H517" s="289"/>
      <c r="I517" s="586"/>
      <c r="J517" s="1516" t="s">
        <v>649</v>
      </c>
      <c r="K517" s="28"/>
      <c r="L517" s="28"/>
      <c r="M517" s="28"/>
      <c r="N517" s="1044"/>
      <c r="O517" s="1044"/>
      <c r="P517" s="1048"/>
      <c r="Q517" s="1048"/>
      <c r="R517" s="1048"/>
      <c r="S517" s="653"/>
      <c r="T517" s="653"/>
      <c r="U517" s="1416">
        <v>7332.4110000000001</v>
      </c>
      <c r="V517" s="1416">
        <v>0</v>
      </c>
      <c r="W517" s="1047"/>
      <c r="X517" s="1047"/>
      <c r="Y517" s="1047"/>
      <c r="Z517" s="1047"/>
      <c r="AA517" s="1047"/>
      <c r="AB517" s="1047"/>
      <c r="AC517" s="1047"/>
      <c r="AD517" s="1047"/>
      <c r="AE517" s="1521"/>
      <c r="AF517" s="205"/>
      <c r="AG517" s="11"/>
      <c r="AH517" s="28"/>
      <c r="AI517" s="28"/>
      <c r="AJ517" s="28"/>
      <c r="AK517" s="28"/>
      <c r="AL517" s="1784"/>
      <c r="AM517" s="217"/>
      <c r="AN517" s="217"/>
      <c r="AO517" s="474"/>
      <c r="AP517" s="1743"/>
      <c r="AQ517" s="474"/>
      <c r="AR517" s="474"/>
      <c r="AS517" s="474"/>
      <c r="AT517" s="1743"/>
      <c r="AU517" s="474"/>
      <c r="AV517" s="474"/>
      <c r="AW517" s="474"/>
      <c r="AX517" s="1000"/>
      <c r="AY517" s="842"/>
      <c r="AZ517" s="842"/>
      <c r="BA517" s="833"/>
      <c r="BB517" s="1635"/>
      <c r="BC517" s="833"/>
      <c r="BD517" s="833"/>
      <c r="BE517" s="833"/>
      <c r="BF517" s="1635"/>
      <c r="BG517" s="997"/>
      <c r="BH517" s="1278"/>
      <c r="BI517" s="1278"/>
      <c r="BJ517" s="1421"/>
      <c r="BK517" s="1269"/>
      <c r="BL517" s="1269"/>
      <c r="BM517" s="1269"/>
      <c r="BN517" s="1635"/>
      <c r="BO517" s="837"/>
      <c r="BP517" s="837"/>
      <c r="BQ517" s="1056"/>
      <c r="BR517" s="734"/>
      <c r="BS517" s="2"/>
      <c r="BT517" s="204"/>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c r="CS517"/>
      <c r="CT517"/>
      <c r="CU517"/>
      <c r="CV517"/>
      <c r="CW517"/>
    </row>
    <row r="518" spans="8:101" s="643" customFormat="1" outlineLevel="1">
      <c r="H518" s="563"/>
      <c r="I518" s="588"/>
      <c r="J518" s="13" t="s">
        <v>485</v>
      </c>
      <c r="K518" s="13"/>
      <c r="L518" s="13"/>
      <c r="M518" s="13"/>
      <c r="N518" s="1531">
        <f t="shared" ref="N518:AD518" si="587">SUM(N505:N514)</f>
        <v>0</v>
      </c>
      <c r="O518" s="1531">
        <f t="shared" si="587"/>
        <v>0</v>
      </c>
      <c r="P518" s="1531">
        <f t="shared" si="587"/>
        <v>10578.968999999999</v>
      </c>
      <c r="Q518" s="1531">
        <f t="shared" si="587"/>
        <v>17886.054000000004</v>
      </c>
      <c r="R518" s="1531">
        <f t="shared" si="587"/>
        <v>26009.811999999998</v>
      </c>
      <c r="S518" s="1531">
        <f t="shared" si="587"/>
        <v>66493.172000000006</v>
      </c>
      <c r="T518" s="1531">
        <f t="shared" si="587"/>
        <v>85166.168999999994</v>
      </c>
      <c r="U518" s="1531">
        <f t="shared" si="587"/>
        <v>160373.51800000001</v>
      </c>
      <c r="V518" s="1531">
        <f t="shared" si="587"/>
        <v>184054.96600000001</v>
      </c>
      <c r="W518" s="1531">
        <f t="shared" ca="1" si="587"/>
        <v>201528.13113898638</v>
      </c>
      <c r="X518" s="1531">
        <f t="shared" ca="1" si="587"/>
        <v>239229.86775879381</v>
      </c>
      <c r="Y518" s="1531">
        <f t="shared" ca="1" si="587"/>
        <v>285115.03119796724</v>
      </c>
      <c r="Z518" s="1531">
        <f t="shared" ca="1" si="587"/>
        <v>336161.97079126444</v>
      </c>
      <c r="AA518" s="1531">
        <f t="shared" ca="1" si="587"/>
        <v>388759.49190223386</v>
      </c>
      <c r="AB518" s="1531">
        <f t="shared" ca="1" si="587"/>
        <v>452353.30237394944</v>
      </c>
      <c r="AC518" s="1531">
        <f t="shared" ca="1" si="587"/>
        <v>528114.39779783657</v>
      </c>
      <c r="AD518" s="1531">
        <f t="shared" ca="1" si="587"/>
        <v>616406.66007198754</v>
      </c>
      <c r="AE518" s="1527"/>
      <c r="AF518" s="215"/>
      <c r="AG518" s="28"/>
      <c r="AH518" s="172"/>
      <c r="AI518" s="172"/>
      <c r="AJ518" s="172"/>
      <c r="AK518" s="172"/>
      <c r="AL518" s="1761"/>
      <c r="AM518" s="207"/>
      <c r="AN518" s="207"/>
      <c r="AO518" s="477"/>
      <c r="AP518" s="1743"/>
      <c r="AQ518" s="477"/>
      <c r="AR518" s="477"/>
      <c r="AS518" s="477"/>
      <c r="AT518" s="1743"/>
      <c r="AU518" s="477"/>
      <c r="AV518" s="477"/>
      <c r="AW518" s="477"/>
      <c r="AX518" s="1632">
        <f t="shared" ref="AX518:BQ518" si="588">SUM(AX505:AX514)</f>
        <v>0</v>
      </c>
      <c r="AY518" s="1058">
        <f t="shared" si="588"/>
        <v>63876.445999999996</v>
      </c>
      <c r="AZ518" s="1058">
        <f t="shared" si="588"/>
        <v>65948.857000000004</v>
      </c>
      <c r="BA518" s="1058">
        <f t="shared" si="588"/>
        <v>66493.172000000006</v>
      </c>
      <c r="BB518" s="1632">
        <f t="shared" si="588"/>
        <v>70535.828000000009</v>
      </c>
      <c r="BC518" s="1058">
        <f t="shared" si="588"/>
        <v>81244.122999999992</v>
      </c>
      <c r="BD518" s="1058">
        <f t="shared" si="588"/>
        <v>83072.959999999992</v>
      </c>
      <c r="BE518" s="1058">
        <f t="shared" si="588"/>
        <v>85166.168999999994</v>
      </c>
      <c r="BF518" s="1632">
        <f t="shared" si="588"/>
        <v>98486.985000000001</v>
      </c>
      <c r="BG518" s="1058">
        <f t="shared" si="588"/>
        <v>136238.90899999999</v>
      </c>
      <c r="BH518" s="1058">
        <f t="shared" si="588"/>
        <v>144209.97699999998</v>
      </c>
      <c r="BI518" s="1058">
        <f t="shared" si="588"/>
        <v>160373.51800000004</v>
      </c>
      <c r="BJ518" s="1632">
        <f t="shared" si="588"/>
        <v>170738.38400000002</v>
      </c>
      <c r="BK518" s="1058">
        <f t="shared" si="588"/>
        <v>180671.00400000002</v>
      </c>
      <c r="BL518" s="1058">
        <f t="shared" si="588"/>
        <v>180429.56100000005</v>
      </c>
      <c r="BM518" s="1058">
        <f t="shared" si="588"/>
        <v>184054.96600000001</v>
      </c>
      <c r="BN518" s="1632">
        <f t="shared" si="588"/>
        <v>190080.55159655155</v>
      </c>
      <c r="BO518" s="1058">
        <f t="shared" si="588"/>
        <v>220645.9863916972</v>
      </c>
      <c r="BP518" s="1058">
        <f t="shared" si="588"/>
        <v>166391.55947531736</v>
      </c>
      <c r="BQ518" s="1058">
        <f t="shared" ca="1" si="588"/>
        <v>201528.13113898638</v>
      </c>
      <c r="BR518" s="734"/>
      <c r="BS518" s="533"/>
      <c r="BT518" s="1530"/>
      <c r="BU518" s="533"/>
      <c r="BV518" s="533"/>
      <c r="BW518" s="533"/>
      <c r="BX518" s="533"/>
      <c r="BY518" s="533"/>
      <c r="BZ518" s="533"/>
      <c r="CA518" s="533"/>
      <c r="CB518" s="533"/>
      <c r="CC518" s="533"/>
      <c r="CD518" s="533"/>
      <c r="CE518" s="533"/>
      <c r="CF518" s="533"/>
      <c r="CG518" s="533"/>
      <c r="CH518" s="533"/>
      <c r="CI518" s="533"/>
      <c r="CJ518" s="533"/>
      <c r="CK518" s="533"/>
      <c r="CL518" s="533"/>
      <c r="CM518" s="533"/>
      <c r="CN518" s="533"/>
      <c r="CO518" s="533"/>
      <c r="CP518" s="533"/>
      <c r="CQ518" s="533"/>
      <c r="CR518"/>
      <c r="CS518"/>
      <c r="CT518"/>
      <c r="CU518"/>
      <c r="CV518"/>
      <c r="CW518"/>
    </row>
    <row r="519" spans="8:101" s="594" customFormat="1" outlineLevel="1">
      <c r="H519" s="595"/>
      <c r="I519" s="596"/>
      <c r="J519" s="250"/>
      <c r="K519" s="209"/>
      <c r="L519" s="209"/>
      <c r="M519" s="209"/>
      <c r="N519" s="1049"/>
      <c r="O519" s="1049"/>
      <c r="P519" s="1049"/>
      <c r="Q519" s="1049"/>
      <c r="R519" s="1049"/>
      <c r="S519" s="1049"/>
      <c r="T519" s="1049"/>
      <c r="U519" s="1049"/>
      <c r="V519" s="1049"/>
      <c r="W519" s="1049"/>
      <c r="X519" s="1049"/>
      <c r="Y519" s="1049"/>
      <c r="Z519" s="1049"/>
      <c r="AA519" s="1049"/>
      <c r="AB519" s="1049"/>
      <c r="AC519" s="1049"/>
      <c r="AD519" s="1049"/>
      <c r="AE519" s="1521"/>
      <c r="AF519" s="205"/>
      <c r="AG519" s="235"/>
      <c r="AH519" s="235"/>
      <c r="AI519" s="235"/>
      <c r="AJ519" s="235"/>
      <c r="AK519" s="235"/>
      <c r="AL519" s="1792"/>
      <c r="AM519" s="235"/>
      <c r="AN519" s="235"/>
      <c r="AO519" s="474"/>
      <c r="AP519" s="1743"/>
      <c r="AQ519" s="474"/>
      <c r="AR519" s="474"/>
      <c r="AS519" s="474"/>
      <c r="AT519" s="1743"/>
      <c r="AU519" s="474"/>
      <c r="AV519" s="474"/>
      <c r="AW519" s="474"/>
      <c r="AX519" s="692"/>
      <c r="AY519" s="212"/>
      <c r="AZ519" s="212"/>
      <c r="BA519" s="212"/>
      <c r="BB519" s="692"/>
      <c r="BC519" s="212"/>
      <c r="BD519" s="212"/>
      <c r="BE519" s="212"/>
      <c r="BF519" s="692"/>
      <c r="BG519" s="806"/>
      <c r="BH519" s="806"/>
      <c r="BI519" s="212"/>
      <c r="BJ519" s="692"/>
      <c r="BK519" s="212"/>
      <c r="BL519" s="212"/>
      <c r="BM519" s="212"/>
      <c r="BN519" s="692"/>
      <c r="BO519" s="212"/>
      <c r="BP519" s="212"/>
      <c r="BQ519" s="212"/>
      <c r="BR519" s="734"/>
      <c r="BS519" s="209"/>
      <c r="BT519" s="204"/>
      <c r="BU519" s="209"/>
      <c r="BV519" s="209"/>
      <c r="BW519" s="211"/>
      <c r="BX519" s="211"/>
      <c r="BY519" s="211"/>
      <c r="BZ519" s="211"/>
      <c r="CA519" s="211"/>
      <c r="CB519" s="211"/>
      <c r="CC519" s="211"/>
      <c r="CD519" s="211"/>
      <c r="CE519" s="211"/>
      <c r="CF519" s="211"/>
      <c r="CG519" s="211"/>
      <c r="CH519" s="211"/>
      <c r="CI519" s="211"/>
      <c r="CJ519" s="211"/>
      <c r="CK519" s="211"/>
      <c r="CL519" s="211"/>
      <c r="CM519" s="211"/>
      <c r="CN519" s="211"/>
      <c r="CO519" s="211"/>
      <c r="CP519" s="211"/>
      <c r="CQ519" s="211"/>
      <c r="CR519"/>
      <c r="CS519"/>
      <c r="CT519"/>
      <c r="CU519"/>
      <c r="CV519"/>
      <c r="CW519"/>
    </row>
    <row r="520" spans="8:101" s="583" customFormat="1" outlineLevel="1">
      <c r="H520" s="563"/>
      <c r="I520" s="588"/>
      <c r="J520" s="13" t="s">
        <v>679</v>
      </c>
      <c r="K520" s="13"/>
      <c r="L520" s="13"/>
      <c r="M520" s="251"/>
      <c r="N520" s="1537"/>
      <c r="O520" s="1537"/>
      <c r="P520" s="1537"/>
      <c r="Q520" s="1537"/>
      <c r="R520" s="1537"/>
      <c r="S520" s="1538"/>
      <c r="T520" s="1538"/>
      <c r="U520" s="1538"/>
      <c r="V520" s="1538"/>
      <c r="W520" s="1538"/>
      <c r="X520" s="1538"/>
      <c r="Y520" s="1538"/>
      <c r="Z520" s="1538"/>
      <c r="AA520" s="1538"/>
      <c r="AB520" s="1538"/>
      <c r="AC520" s="1538"/>
      <c r="AD520" s="1538"/>
      <c r="AE520" s="1527"/>
      <c r="AF520" s="215"/>
      <c r="AG520" s="28"/>
      <c r="AH520" s="282"/>
      <c r="AI520" s="282"/>
      <c r="AJ520" s="282"/>
      <c r="AK520" s="282"/>
      <c r="AL520" s="1524"/>
      <c r="AM520" s="282"/>
      <c r="AN520" s="282"/>
      <c r="AO520" s="477"/>
      <c r="AP520" s="1743"/>
      <c r="AQ520" s="477"/>
      <c r="AR520" s="477"/>
      <c r="AS520" s="477"/>
      <c r="AT520" s="1743"/>
      <c r="AU520" s="477"/>
      <c r="AV520" s="477"/>
      <c r="AW520" s="477"/>
      <c r="AX520" s="1450"/>
      <c r="AY520" s="844"/>
      <c r="AZ520" s="844"/>
      <c r="BA520" s="844"/>
      <c r="BB520" s="1450"/>
      <c r="BC520" s="1356"/>
      <c r="BD520" s="1356"/>
      <c r="BE520" s="1356"/>
      <c r="BF520" s="1633"/>
      <c r="BG520" s="1356"/>
      <c r="BH520" s="1356"/>
      <c r="BI520" s="1356"/>
      <c r="BJ520" s="1633"/>
      <c r="BK520" s="1356"/>
      <c r="BL520" s="1356"/>
      <c r="BM520" s="1356"/>
      <c r="BN520" s="1633"/>
      <c r="BO520" s="1356"/>
      <c r="BP520" s="1356"/>
      <c r="BQ520" s="1356"/>
      <c r="BR520" s="734"/>
      <c r="BS520" s="83"/>
      <c r="BT520" s="1530"/>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c r="CS520"/>
      <c r="CT520"/>
      <c r="CU520"/>
      <c r="CV520"/>
      <c r="CW520"/>
    </row>
    <row r="521" spans="8:101" s="583" customFormat="1" outlineLevel="1">
      <c r="H521" s="563"/>
      <c r="I521" s="588"/>
      <c r="J521" s="248" t="s">
        <v>215</v>
      </c>
      <c r="K521" s="28"/>
      <c r="L521" s="28"/>
      <c r="M521" s="28"/>
      <c r="N521" s="1525"/>
      <c r="O521" s="1525"/>
      <c r="P521" s="1526">
        <v>3636.1010000000001</v>
      </c>
      <c r="Q521" s="1526">
        <v>8096.7529999999997</v>
      </c>
      <c r="R521" s="1526">
        <v>11018.865</v>
      </c>
      <c r="S521" s="1402">
        <v>16363.671</v>
      </c>
      <c r="T521" s="1402">
        <v>29819.341</v>
      </c>
      <c r="U521" s="1913">
        <v>46035.883999999998</v>
      </c>
      <c r="V521" s="1402">
        <v>74337.707999999999</v>
      </c>
      <c r="W521" s="1165">
        <f t="shared" ref="W521:AD521" si="589">W612*-W410/365</f>
        <v>76829.394254414248</v>
      </c>
      <c r="X521" s="1165">
        <f t="shared" si="589"/>
        <v>94938.018781838837</v>
      </c>
      <c r="Y521" s="1165">
        <f t="shared" si="589"/>
        <v>113012.76700442837</v>
      </c>
      <c r="Z521" s="1165">
        <f t="shared" si="589"/>
        <v>126468.77440623131</v>
      </c>
      <c r="AA521" s="1165">
        <f t="shared" si="589"/>
        <v>136048.41639133813</v>
      </c>
      <c r="AB521" s="1165">
        <f t="shared" si="589"/>
        <v>146353.63449431112</v>
      </c>
      <c r="AC521" s="1165">
        <f t="shared" si="589"/>
        <v>157681.76705317613</v>
      </c>
      <c r="AD521" s="1165">
        <f t="shared" si="589"/>
        <v>169635.13076128508</v>
      </c>
      <c r="AE521" s="1527"/>
      <c r="AF521" s="215"/>
      <c r="AG521" s="28"/>
      <c r="AH521" s="28"/>
      <c r="AI521" s="28"/>
      <c r="AJ521" s="28"/>
      <c r="AK521" s="28"/>
      <c r="AL521" s="1784"/>
      <c r="AM521" s="217"/>
      <c r="AN521" s="217"/>
      <c r="AO521" s="477"/>
      <c r="AP521" s="1743"/>
      <c r="AQ521" s="477"/>
      <c r="AR521" s="477"/>
      <c r="AS521" s="477"/>
      <c r="AT521" s="1743"/>
      <c r="AU521" s="477"/>
      <c r="AV521" s="477"/>
      <c r="AW521" s="477"/>
      <c r="AX521" s="1637"/>
      <c r="AY521" s="890">
        <v>15521.155000000001</v>
      </c>
      <c r="AZ521" s="890">
        <v>17036.144</v>
      </c>
      <c r="BA521" s="1269">
        <v>16363.671</v>
      </c>
      <c r="BB521" s="1421">
        <v>19074.817999999999</v>
      </c>
      <c r="BC521" s="1269">
        <v>25525.155999999999</v>
      </c>
      <c r="BD521" s="1269">
        <v>25261.629000000001</v>
      </c>
      <c r="BE521" s="1269">
        <v>29819.341</v>
      </c>
      <c r="BF521" s="1421">
        <v>30837.464</v>
      </c>
      <c r="BG521" s="1269">
        <v>38912.974000000002</v>
      </c>
      <c r="BH521" s="1269">
        <v>41475.284</v>
      </c>
      <c r="BI521" s="1269">
        <v>46035.883999999998</v>
      </c>
      <c r="BJ521" s="1421">
        <v>43747.396999999997</v>
      </c>
      <c r="BK521" s="1269">
        <v>67477.573000000004</v>
      </c>
      <c r="BL521" s="1269">
        <v>67596.441999999995</v>
      </c>
      <c r="BM521" s="1269">
        <v>74337.707999999999</v>
      </c>
      <c r="BN521" s="1667">
        <f>-BN410/365/Model!BN750*2*BN612-BM521</f>
        <v>86048.020366422061</v>
      </c>
      <c r="BO521" s="1539">
        <f>-BO410/365/Model!BO750*2*BO612-BN521</f>
        <v>109696.1723277479</v>
      </c>
      <c r="BP521" s="1539">
        <f>-BP410/365/Model!BP750*2*BP612-BO521</f>
        <v>55398.601119210085</v>
      </c>
      <c r="BQ521" s="1056">
        <f t="shared" ref="BQ521:BQ531" si="590">W521</f>
        <v>76829.394254414248</v>
      </c>
      <c r="BR521" s="734"/>
      <c r="BS521" s="83"/>
      <c r="BT521" s="1530"/>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c r="CS521"/>
      <c r="CT521"/>
      <c r="CU521"/>
      <c r="CV521"/>
      <c r="CW521"/>
    </row>
    <row r="522" spans="8:101" s="583" customFormat="1" outlineLevel="1">
      <c r="H522" s="563"/>
      <c r="I522" s="588"/>
      <c r="J522" s="248" t="s">
        <v>216</v>
      </c>
      <c r="K522" s="28"/>
      <c r="L522" s="28"/>
      <c r="M522" s="28"/>
      <c r="N522" s="1525"/>
      <c r="O522" s="1525"/>
      <c r="P522" s="1526">
        <v>286.27499999999998</v>
      </c>
      <c r="Q522" s="1526">
        <v>896.88</v>
      </c>
      <c r="R522" s="1526">
        <v>2055.625</v>
      </c>
      <c r="S522" s="1402">
        <v>4666.66</v>
      </c>
      <c r="T522" s="1402">
        <v>7173.8850000000002</v>
      </c>
      <c r="U522" s="1913">
        <v>11466.334000000001</v>
      </c>
      <c r="V522" s="1402">
        <v>13605.298000000001</v>
      </c>
      <c r="W522" s="1165">
        <f t="shared" ref="W522:AD522" si="591">W405*W621</f>
        <v>17961.838321349995</v>
      </c>
      <c r="X522" s="1165">
        <f t="shared" si="591"/>
        <v>22549.75767182147</v>
      </c>
      <c r="Y522" s="1165">
        <f t="shared" si="591"/>
        <v>27251.170338037038</v>
      </c>
      <c r="Z522" s="1165">
        <f t="shared" si="591"/>
        <v>31228.032189002224</v>
      </c>
      <c r="AA522" s="1165">
        <f t="shared" si="591"/>
        <v>33613.853848241997</v>
      </c>
      <c r="AB522" s="1165">
        <f t="shared" si="591"/>
        <v>36181.952282247687</v>
      </c>
      <c r="AC522" s="1165">
        <f t="shared" si="591"/>
        <v>38946.253436611405</v>
      </c>
      <c r="AD522" s="1165">
        <f t="shared" si="591"/>
        <v>41921.747199168509</v>
      </c>
      <c r="AE522" s="1527"/>
      <c r="AF522" s="215"/>
      <c r="AG522" s="28"/>
      <c r="AH522" s="28"/>
      <c r="AI522" s="28"/>
      <c r="AJ522" s="28"/>
      <c r="AK522" s="28"/>
      <c r="AL522" s="1784"/>
      <c r="AM522" s="217"/>
      <c r="AN522" s="217"/>
      <c r="AO522" s="477"/>
      <c r="AP522" s="1743"/>
      <c r="AQ522" s="477"/>
      <c r="AR522" s="477"/>
      <c r="AS522" s="477"/>
      <c r="AT522" s="1743"/>
      <c r="AU522" s="477"/>
      <c r="AV522" s="477"/>
      <c r="AW522" s="477"/>
      <c r="AX522" s="1637"/>
      <c r="AY522" s="890">
        <v>3299.3069999999998</v>
      </c>
      <c r="AZ522" s="890">
        <v>3754.1179999999999</v>
      </c>
      <c r="BA522" s="1269">
        <v>4666.66</v>
      </c>
      <c r="BB522" s="1421">
        <v>5286.4040000000005</v>
      </c>
      <c r="BC522" s="1269">
        <v>6985.8869999999997</v>
      </c>
      <c r="BD522" s="1269">
        <v>7164.6459999999997</v>
      </c>
      <c r="BE522" s="1269">
        <v>7173.8850000000002</v>
      </c>
      <c r="BF522" s="1421">
        <v>7862.1120000000001</v>
      </c>
      <c r="BG522" s="1269">
        <v>9574.18</v>
      </c>
      <c r="BH522" s="1269">
        <v>9981.3790000000008</v>
      </c>
      <c r="BI522" s="1269">
        <v>11466.334000000001</v>
      </c>
      <c r="BJ522" s="1421">
        <v>12364.852000000001</v>
      </c>
      <c r="BK522" s="1269">
        <v>14826.075999999999</v>
      </c>
      <c r="BL522" s="1269">
        <v>15255.656999999999</v>
      </c>
      <c r="BM522" s="1269">
        <v>13605.298000000001</v>
      </c>
      <c r="BN522" s="1669">
        <f>BN405*BN621</f>
        <v>7389.0590732345463</v>
      </c>
      <c r="BO522" s="1165">
        <f>BO405*BO621</f>
        <v>9381.2433218772276</v>
      </c>
      <c r="BP522" s="1165">
        <f>BP405*BP621</f>
        <v>8229.225174411662</v>
      </c>
      <c r="BQ522" s="1056">
        <f t="shared" si="590"/>
        <v>17961.838321349995</v>
      </c>
      <c r="BR522" s="734"/>
      <c r="BS522" s="83"/>
      <c r="BT522" s="1530"/>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c r="CS522"/>
      <c r="CT522"/>
      <c r="CU522"/>
      <c r="CV522"/>
      <c r="CW522"/>
    </row>
    <row r="523" spans="8:101" s="583" customFormat="1" outlineLevel="1">
      <c r="H523" s="563"/>
      <c r="I523" s="588"/>
      <c r="J523" s="248" t="s">
        <v>217</v>
      </c>
      <c r="K523" s="28"/>
      <c r="L523" s="28"/>
      <c r="M523" s="28"/>
      <c r="N523" s="1540"/>
      <c r="O523" s="1540"/>
      <c r="P523" s="1526">
        <v>571.44000000000005</v>
      </c>
      <c r="Q523" s="1526">
        <v>1340.8779999999999</v>
      </c>
      <c r="R523" s="1526">
        <v>2269.7979999999998</v>
      </c>
      <c r="S523" s="1402">
        <v>5311.8320000000003</v>
      </c>
      <c r="T523" s="1402">
        <v>7178.0649999999996</v>
      </c>
      <c r="U523" s="1913">
        <v>10512.59</v>
      </c>
      <c r="V523" s="1402">
        <v>15117.84</v>
      </c>
      <c r="W523" s="1168">
        <f>(-SUM(W412:W415)/Model!W750)*W622</f>
        <v>19397.28747862341</v>
      </c>
      <c r="X523" s="1168">
        <f>(-SUM(X412:X415)/Model!X750)*X622</f>
        <v>23260.135074970309</v>
      </c>
      <c r="Y523" s="1168">
        <f>(-SUM(Y412:Y415)/Model!Y750)*Y622</f>
        <v>27539.61141463025</v>
      </c>
      <c r="Z523" s="1168">
        <f>(-SUM(Z412:Z415)/Model!Z750)*Z622</f>
        <v>30742.118111101179</v>
      </c>
      <c r="AA523" s="1168">
        <f>(-SUM(AA412:AA415)/Model!AA750)*AA622</f>
        <v>32385.538616292626</v>
      </c>
      <c r="AB523" s="1168">
        <f>(-SUM(AB412:AB415)/Model!AB750)*AB622</f>
        <v>34148.63405240178</v>
      </c>
      <c r="AC523" s="1168">
        <f>(-SUM(AC412:AC415)/Model!AC750)*AC622</f>
        <v>35641.018264244529</v>
      </c>
      <c r="AD523" s="1168">
        <f>(-SUM(AD412:AD415)/Model!AD750)*AD622</f>
        <v>38433.521271067861</v>
      </c>
      <c r="AE523" s="1527"/>
      <c r="AF523" s="215"/>
      <c r="AG523" s="28"/>
      <c r="AH523" s="28"/>
      <c r="AI523" s="28"/>
      <c r="AJ523" s="28"/>
      <c r="AK523" s="28"/>
      <c r="AL523" s="1793"/>
      <c r="AM523" s="252"/>
      <c r="AN523" s="252"/>
      <c r="AO523" s="477"/>
      <c r="AP523" s="1743"/>
      <c r="AQ523" s="477"/>
      <c r="AR523" s="477"/>
      <c r="AS523" s="477"/>
      <c r="AT523" s="1743"/>
      <c r="AU523" s="477"/>
      <c r="AV523" s="477"/>
      <c r="AW523" s="477"/>
      <c r="AX523" s="1729"/>
      <c r="AY523" s="890">
        <v>3144.6779999999999</v>
      </c>
      <c r="AZ523" s="890">
        <v>3454.3330000000001</v>
      </c>
      <c r="BA523" s="1269">
        <v>5311.8320000000003</v>
      </c>
      <c r="BB523" s="1421">
        <v>5488.74</v>
      </c>
      <c r="BC523" s="1269">
        <v>5696.8540000000003</v>
      </c>
      <c r="BD523" s="1269">
        <v>5803.7520000000004</v>
      </c>
      <c r="BE523" s="1269">
        <v>7178.0649999999996</v>
      </c>
      <c r="BF523" s="1421">
        <v>7969.15</v>
      </c>
      <c r="BG523" s="1269">
        <v>12435.879000000001</v>
      </c>
      <c r="BH523" s="1269">
        <v>20848.167000000001</v>
      </c>
      <c r="BI523" s="1269">
        <v>10512.59</v>
      </c>
      <c r="BJ523" s="1421">
        <v>32561.050999999999</v>
      </c>
      <c r="BK523" s="1269">
        <v>12296.829</v>
      </c>
      <c r="BL523" s="1269">
        <v>13236.737999999999</v>
      </c>
      <c r="BM523" s="1269">
        <v>15117.84</v>
      </c>
      <c r="BN523" s="1670">
        <f>(-SUM(BN412:BN415)/Model!BN750)*BN622</f>
        <v>13355.40413574523</v>
      </c>
      <c r="BO523" s="1168">
        <f>(-SUM(BO412:BO415)/Model!BO750)*BO622</f>
        <v>15986.554699772632</v>
      </c>
      <c r="BP523" s="1168">
        <f>(-SUM(BP412:BP415)/Model!BP750)*BP622</f>
        <v>14887.769118246571</v>
      </c>
      <c r="BQ523" s="1056">
        <f t="shared" si="590"/>
        <v>19397.28747862341</v>
      </c>
      <c r="BR523" s="734"/>
      <c r="BS523" s="83"/>
      <c r="BT523" s="1530"/>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c r="CS523"/>
      <c r="CT523"/>
      <c r="CU523"/>
      <c r="CV523"/>
      <c r="CW523"/>
    </row>
    <row r="524" spans="8:101" s="583" customFormat="1" outlineLevel="1">
      <c r="H524" s="563"/>
      <c r="I524" s="588"/>
      <c r="J524" s="248" t="s">
        <v>185</v>
      </c>
      <c r="K524" s="28"/>
      <c r="L524" s="28"/>
      <c r="M524" s="28"/>
      <c r="N524" s="1540"/>
      <c r="O524" s="1540"/>
      <c r="P524" s="1526">
        <v>0</v>
      </c>
      <c r="Q524" s="1526">
        <v>867.399</v>
      </c>
      <c r="R524" s="1526">
        <v>932.82600000000002</v>
      </c>
      <c r="S524" s="1469">
        <v>1890.771</v>
      </c>
      <c r="T524" s="1469">
        <v>3620.0520000000001</v>
      </c>
      <c r="U524" s="1914">
        <v>1878.2860000000001</v>
      </c>
      <c r="V524" s="1469">
        <v>200</v>
      </c>
      <c r="W524" s="1035">
        <f>V524</f>
        <v>200</v>
      </c>
      <c r="X524" s="1035">
        <f t="shared" ref="X524:AD524" si="592">W524</f>
        <v>200</v>
      </c>
      <c r="Y524" s="1035">
        <f t="shared" si="592"/>
        <v>200</v>
      </c>
      <c r="Z524" s="1035">
        <f t="shared" si="592"/>
        <v>200</v>
      </c>
      <c r="AA524" s="1035">
        <f t="shared" si="592"/>
        <v>200</v>
      </c>
      <c r="AB524" s="1035">
        <f t="shared" si="592"/>
        <v>200</v>
      </c>
      <c r="AC524" s="1035">
        <f t="shared" si="592"/>
        <v>200</v>
      </c>
      <c r="AD524" s="1035">
        <f t="shared" si="592"/>
        <v>200</v>
      </c>
      <c r="AE524" s="1527"/>
      <c r="AF524" s="215"/>
      <c r="AG524" s="28"/>
      <c r="AH524" s="28"/>
      <c r="AI524" s="28"/>
      <c r="AJ524" s="28"/>
      <c r="AK524" s="28"/>
      <c r="AL524" s="1793"/>
      <c r="AM524" s="252"/>
      <c r="AN524" s="252"/>
      <c r="AO524" s="477"/>
      <c r="AP524" s="1743"/>
      <c r="AQ524" s="477"/>
      <c r="AR524" s="477"/>
      <c r="AS524" s="477"/>
      <c r="AT524" s="1743"/>
      <c r="AU524" s="477"/>
      <c r="AV524" s="477"/>
      <c r="AW524" s="477"/>
      <c r="AX524" s="1729"/>
      <c r="AY524" s="890">
        <v>2842.5940000000001</v>
      </c>
      <c r="AZ524" s="890">
        <v>2842.4549999999999</v>
      </c>
      <c r="BA524" s="1269">
        <v>1890.771</v>
      </c>
      <c r="BB524" s="1421">
        <v>0</v>
      </c>
      <c r="BC524" s="1269">
        <v>1330.973</v>
      </c>
      <c r="BD524" s="1269">
        <v>2784.471</v>
      </c>
      <c r="BE524" s="1269">
        <v>3040.2089999999998</v>
      </c>
      <c r="BF524" s="1421">
        <v>5226.5</v>
      </c>
      <c r="BG524" s="1269">
        <v>5984.4740000000002</v>
      </c>
      <c r="BH524" s="1269">
        <v>5916.7780000000002</v>
      </c>
      <c r="BI524" s="1269">
        <v>1878.2860000000001</v>
      </c>
      <c r="BJ524" s="1421">
        <v>12380.081</v>
      </c>
      <c r="BK524" s="1269">
        <v>1493.7180000000001</v>
      </c>
      <c r="BL524" s="1269">
        <v>1000</v>
      </c>
      <c r="BM524" s="1269">
        <v>200</v>
      </c>
      <c r="BN524" s="1671">
        <f>BM524+BN717</f>
        <v>200</v>
      </c>
      <c r="BO524" s="1066">
        <f>BN524+BO717</f>
        <v>200</v>
      </c>
      <c r="BP524" s="1066">
        <f>BO524+BP717</f>
        <v>200</v>
      </c>
      <c r="BQ524" s="1056">
        <f t="shared" si="590"/>
        <v>200</v>
      </c>
      <c r="BR524" s="734"/>
      <c r="BS524" s="236"/>
      <c r="BT524" s="1530"/>
      <c r="BU524" s="236"/>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c r="CS524"/>
      <c r="CT524"/>
      <c r="CU524"/>
      <c r="CV524"/>
      <c r="CW524"/>
    </row>
    <row r="525" spans="8:101" s="583" customFormat="1" outlineLevel="1">
      <c r="H525" s="563"/>
      <c r="I525" s="588"/>
      <c r="J525" s="248" t="s">
        <v>55</v>
      </c>
      <c r="K525" s="28"/>
      <c r="L525" s="28"/>
      <c r="M525" s="28"/>
      <c r="N525" s="1050">
        <f t="shared" ref="N525:AD525" si="593">SUM(N526:N531)</f>
        <v>0</v>
      </c>
      <c r="O525" s="1050">
        <f t="shared" si="593"/>
        <v>0</v>
      </c>
      <c r="P525" s="1013">
        <f t="shared" si="593"/>
        <v>151.31899999999999</v>
      </c>
      <c r="Q525" s="1013">
        <f t="shared" si="593"/>
        <v>281.58600000000001</v>
      </c>
      <c r="R525" s="1013">
        <f t="shared" si="593"/>
        <v>492.86999999999995</v>
      </c>
      <c r="S525" s="1050">
        <f t="shared" si="593"/>
        <v>762.17100000000005</v>
      </c>
      <c r="T525" s="1050">
        <f t="shared" si="593"/>
        <v>1237.5150000000001</v>
      </c>
      <c r="U525" s="1050">
        <f t="shared" si="593"/>
        <v>34847.140999999996</v>
      </c>
      <c r="V525" s="1050">
        <f t="shared" si="593"/>
        <v>14989.775</v>
      </c>
      <c r="W525" s="1050">
        <f t="shared" si="593"/>
        <v>14989.775</v>
      </c>
      <c r="X525" s="1050">
        <f t="shared" si="593"/>
        <v>14989.775</v>
      </c>
      <c r="Y525" s="1050">
        <f t="shared" si="593"/>
        <v>14989.775</v>
      </c>
      <c r="Z525" s="1050">
        <f t="shared" si="593"/>
        <v>14989.775</v>
      </c>
      <c r="AA525" s="1050">
        <f t="shared" si="593"/>
        <v>14989.775</v>
      </c>
      <c r="AB525" s="1050">
        <f t="shared" si="593"/>
        <v>14989.775</v>
      </c>
      <c r="AC525" s="1050">
        <f t="shared" si="593"/>
        <v>14989.775</v>
      </c>
      <c r="AD525" s="1050">
        <f t="shared" si="593"/>
        <v>14989.775</v>
      </c>
      <c r="AE525" s="1527"/>
      <c r="AF525" s="215"/>
      <c r="AG525" s="28"/>
      <c r="AH525" s="28"/>
      <c r="AI525" s="28"/>
      <c r="AJ525" s="28"/>
      <c r="AK525" s="28"/>
      <c r="AL525" s="1793"/>
      <c r="AM525" s="252"/>
      <c r="AN525" s="252"/>
      <c r="AO525" s="477"/>
      <c r="AP525" s="1743"/>
      <c r="AQ525" s="477"/>
      <c r="AR525" s="477"/>
      <c r="AS525" s="477"/>
      <c r="AT525" s="1743"/>
      <c r="AU525" s="477"/>
      <c r="AV525" s="477"/>
      <c r="AW525" s="477"/>
      <c r="AX525" s="1604"/>
      <c r="AY525" s="863">
        <f t="shared" ref="AY525:BP525" si="594">SUM(AY526:AY531)</f>
        <v>1233.0530000000001</v>
      </c>
      <c r="AZ525" s="863">
        <f t="shared" si="594"/>
        <v>1005.3229999999999</v>
      </c>
      <c r="BA525" s="863">
        <f t="shared" si="594"/>
        <v>762.17100000000005</v>
      </c>
      <c r="BB525" s="1604">
        <f t="shared" si="594"/>
        <v>1193.7640000000001</v>
      </c>
      <c r="BC525" s="863">
        <f t="shared" si="594"/>
        <v>2073.5</v>
      </c>
      <c r="BD525" s="863">
        <f t="shared" si="594"/>
        <v>1713.8209999999999</v>
      </c>
      <c r="BE525" s="863">
        <f t="shared" si="594"/>
        <v>1817.3580000000002</v>
      </c>
      <c r="BF525" s="1604">
        <f t="shared" si="594"/>
        <v>3509.4030000000002</v>
      </c>
      <c r="BG525" s="1058">
        <f t="shared" si="594"/>
        <v>7502.7510000000002</v>
      </c>
      <c r="BH525" s="1058">
        <f t="shared" si="594"/>
        <v>10474.677</v>
      </c>
      <c r="BI525" s="1058">
        <f t="shared" si="594"/>
        <v>34847.142</v>
      </c>
      <c r="BJ525" s="1604">
        <f t="shared" si="594"/>
        <v>9916.1350000000002</v>
      </c>
      <c r="BK525" s="863">
        <f t="shared" si="594"/>
        <v>13435.859</v>
      </c>
      <c r="BL525" s="863">
        <f t="shared" si="594"/>
        <v>13211.392</v>
      </c>
      <c r="BM525" s="863">
        <f t="shared" si="594"/>
        <v>14989.775</v>
      </c>
      <c r="BN525" s="1604">
        <f t="shared" si="594"/>
        <v>14989.775</v>
      </c>
      <c r="BO525" s="863">
        <f t="shared" si="594"/>
        <v>14989.775</v>
      </c>
      <c r="BP525" s="863">
        <f t="shared" si="594"/>
        <v>14989.775</v>
      </c>
      <c r="BQ525" s="1056">
        <f t="shared" si="590"/>
        <v>14989.775</v>
      </c>
      <c r="BR525" s="734"/>
      <c r="BS525" s="83"/>
      <c r="BT525" s="1530"/>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c r="CS525"/>
      <c r="CT525"/>
      <c r="CU525"/>
      <c r="CV525"/>
      <c r="CW525"/>
    </row>
    <row r="526" spans="8:101" s="583" customFormat="1" outlineLevel="1">
      <c r="H526" s="563"/>
      <c r="I526" s="588"/>
      <c r="J526" s="249" t="s">
        <v>218</v>
      </c>
      <c r="K526" s="28"/>
      <c r="L526" s="28"/>
      <c r="M526" s="28"/>
      <c r="N526" s="1541"/>
      <c r="O526" s="1541"/>
      <c r="P526" s="1526">
        <v>1.4279999999999999</v>
      </c>
      <c r="Q526" s="1526">
        <v>4.8849999999999998</v>
      </c>
      <c r="R526" s="1526">
        <v>0</v>
      </c>
      <c r="S526" s="1402">
        <v>325.11900000000003</v>
      </c>
      <c r="T526" s="1402">
        <v>104.726</v>
      </c>
      <c r="U526" s="1913">
        <v>154.92400000000001</v>
      </c>
      <c r="V526" s="1402">
        <v>54.341999999999999</v>
      </c>
      <c r="W526" s="1035">
        <f t="shared" ref="W526:AD531" si="595">V526</f>
        <v>54.341999999999999</v>
      </c>
      <c r="X526" s="1035">
        <f t="shared" si="595"/>
        <v>54.341999999999999</v>
      </c>
      <c r="Y526" s="1035">
        <f t="shared" si="595"/>
        <v>54.341999999999999</v>
      </c>
      <c r="Z526" s="1035">
        <f t="shared" si="595"/>
        <v>54.341999999999999</v>
      </c>
      <c r="AA526" s="1035">
        <f t="shared" si="595"/>
        <v>54.341999999999999</v>
      </c>
      <c r="AB526" s="1035">
        <f t="shared" si="595"/>
        <v>54.341999999999999</v>
      </c>
      <c r="AC526" s="1035">
        <f t="shared" si="595"/>
        <v>54.341999999999999</v>
      </c>
      <c r="AD526" s="1035">
        <f t="shared" si="595"/>
        <v>54.341999999999999</v>
      </c>
      <c r="AE526" s="1527"/>
      <c r="AF526" s="215"/>
      <c r="AG526" s="28"/>
      <c r="AH526" s="28"/>
      <c r="AI526" s="28"/>
      <c r="AJ526" s="28"/>
      <c r="AK526" s="28"/>
      <c r="AL526" s="1793"/>
      <c r="AM526" s="252"/>
      <c r="AN526" s="252"/>
      <c r="AO526" s="477"/>
      <c r="AP526" s="1743"/>
      <c r="AQ526" s="477"/>
      <c r="AR526" s="477"/>
      <c r="AS526" s="477"/>
      <c r="AT526" s="1743"/>
      <c r="AU526" s="477"/>
      <c r="AV526" s="477"/>
      <c r="AW526" s="477"/>
      <c r="AX526" s="1730"/>
      <c r="AY526" s="890">
        <v>461.40699999999998</v>
      </c>
      <c r="AZ526" s="890">
        <v>282.09199999999998</v>
      </c>
      <c r="BA526" s="1269">
        <v>325.11900000000003</v>
      </c>
      <c r="BB526" s="1421">
        <v>340.25200000000001</v>
      </c>
      <c r="BC526" s="1269">
        <v>356.45</v>
      </c>
      <c r="BD526" s="1269">
        <v>108.92100000000001</v>
      </c>
      <c r="BE526" s="1269">
        <v>104.726</v>
      </c>
      <c r="BF526" s="1421">
        <v>101.863</v>
      </c>
      <c r="BG526" s="1269">
        <v>522.39300000000003</v>
      </c>
      <c r="BH526" s="1269">
        <v>132.447</v>
      </c>
      <c r="BI526" s="1269">
        <v>154.92400000000001</v>
      </c>
      <c r="BJ526" s="1421">
        <v>147.875</v>
      </c>
      <c r="BK526" s="1269">
        <v>151.011</v>
      </c>
      <c r="BL526" s="1269">
        <v>30.007999999999999</v>
      </c>
      <c r="BM526" s="1269">
        <v>54.341999999999999</v>
      </c>
      <c r="BN526" s="1671">
        <f t="shared" ref="BN526:BP531" si="596">BM526</f>
        <v>54.341999999999999</v>
      </c>
      <c r="BO526" s="1066">
        <f t="shared" si="596"/>
        <v>54.341999999999999</v>
      </c>
      <c r="BP526" s="1066">
        <f t="shared" si="596"/>
        <v>54.341999999999999</v>
      </c>
      <c r="BQ526" s="1056">
        <f t="shared" si="590"/>
        <v>54.341999999999999</v>
      </c>
      <c r="BR526" s="734"/>
      <c r="BS526" s="83"/>
      <c r="BT526" s="1530"/>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c r="CS526"/>
      <c r="CT526"/>
      <c r="CU526"/>
      <c r="CV526"/>
      <c r="CW526"/>
    </row>
    <row r="527" spans="8:101" s="583" customFormat="1" outlineLevel="1">
      <c r="H527" s="563"/>
      <c r="I527" s="588"/>
      <c r="J527" s="249" t="s">
        <v>219</v>
      </c>
      <c r="K527" s="28"/>
      <c r="L527" s="28"/>
      <c r="M527" s="28"/>
      <c r="N527" s="1541"/>
      <c r="O527" s="1541"/>
      <c r="P527" s="1526">
        <v>61.017000000000003</v>
      </c>
      <c r="Q527" s="1526">
        <v>105.26900000000001</v>
      </c>
      <c r="R527" s="1526">
        <v>208.52699999999999</v>
      </c>
      <c r="S527" s="1402">
        <v>157.08000000000001</v>
      </c>
      <c r="T527" s="1402">
        <v>1028.3499999999999</v>
      </c>
      <c r="U527" s="1402">
        <v>1138.4259999999999</v>
      </c>
      <c r="V527" s="1402">
        <v>1592.3320000000001</v>
      </c>
      <c r="W527" s="1035">
        <f t="shared" si="595"/>
        <v>1592.3320000000001</v>
      </c>
      <c r="X527" s="1035">
        <f t="shared" si="595"/>
        <v>1592.3320000000001</v>
      </c>
      <c r="Y527" s="1035">
        <f t="shared" si="595"/>
        <v>1592.3320000000001</v>
      </c>
      <c r="Z527" s="1035">
        <f t="shared" si="595"/>
        <v>1592.3320000000001</v>
      </c>
      <c r="AA527" s="1035">
        <f t="shared" si="595"/>
        <v>1592.3320000000001</v>
      </c>
      <c r="AB527" s="1035">
        <f t="shared" si="595"/>
        <v>1592.3320000000001</v>
      </c>
      <c r="AC527" s="1035">
        <f t="shared" si="595"/>
        <v>1592.3320000000001</v>
      </c>
      <c r="AD527" s="1035">
        <f t="shared" si="595"/>
        <v>1592.3320000000001</v>
      </c>
      <c r="AE527" s="1527"/>
      <c r="AF527" s="215"/>
      <c r="AG527" s="28"/>
      <c r="AH527" s="28"/>
      <c r="AI527" s="28"/>
      <c r="AJ527" s="28"/>
      <c r="AK527" s="28"/>
      <c r="AL527" s="1793"/>
      <c r="AM527" s="252"/>
      <c r="AN527" s="252"/>
      <c r="AO527" s="477"/>
      <c r="AP527" s="1743"/>
      <c r="AQ527" s="477"/>
      <c r="AR527" s="477"/>
      <c r="AS527" s="477"/>
      <c r="AT527" s="1743"/>
      <c r="AU527" s="477"/>
      <c r="AV527" s="477"/>
      <c r="AW527" s="477"/>
      <c r="AX527" s="1730"/>
      <c r="AY527" s="890">
        <v>306.41500000000002</v>
      </c>
      <c r="AZ527" s="890">
        <v>368.56599999999997</v>
      </c>
      <c r="BA527" s="1269">
        <v>157.08000000000001</v>
      </c>
      <c r="BB527" s="1421">
        <v>768.28499999999997</v>
      </c>
      <c r="BC527" s="1269">
        <v>882.07</v>
      </c>
      <c r="BD527" s="1269">
        <v>1005.85</v>
      </c>
      <c r="BE527" s="1269">
        <v>1028.3499999999999</v>
      </c>
      <c r="BF527" s="1421">
        <v>1055.8579999999999</v>
      </c>
      <c r="BG527" s="1269">
        <v>1173.3140000000001</v>
      </c>
      <c r="BH527" s="1269">
        <v>1279.136</v>
      </c>
      <c r="BI527" s="1269">
        <v>1138.4259999999999</v>
      </c>
      <c r="BJ527" s="1421">
        <v>1394.75</v>
      </c>
      <c r="BK527" s="1269">
        <v>1373.3879999999999</v>
      </c>
      <c r="BL527" s="1269">
        <v>1429.2</v>
      </c>
      <c r="BM527" s="1269">
        <v>1592.3320000000001</v>
      </c>
      <c r="BN527" s="1671">
        <f t="shared" si="596"/>
        <v>1592.3320000000001</v>
      </c>
      <c r="BO527" s="1066">
        <f t="shared" si="596"/>
        <v>1592.3320000000001</v>
      </c>
      <c r="BP527" s="1066">
        <f t="shared" si="596"/>
        <v>1592.3320000000001</v>
      </c>
      <c r="BQ527" s="1056">
        <f t="shared" si="590"/>
        <v>1592.3320000000001</v>
      </c>
      <c r="BR527" s="734"/>
      <c r="BS527" s="83"/>
      <c r="BT527" s="1530"/>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c r="CS527"/>
      <c r="CT527"/>
      <c r="CU527"/>
      <c r="CV527"/>
      <c r="CW527"/>
    </row>
    <row r="528" spans="8:101" s="583" customFormat="1" outlineLevel="1">
      <c r="H528" s="563"/>
      <c r="I528" s="588"/>
      <c r="J528" s="249" t="s">
        <v>262</v>
      </c>
      <c r="K528" s="28"/>
      <c r="L528" s="28"/>
      <c r="M528" s="28"/>
      <c r="N528" s="1541"/>
      <c r="O528" s="1541"/>
      <c r="P528" s="1526">
        <v>88.873999999999995</v>
      </c>
      <c r="Q528" s="1526">
        <v>165.30500000000001</v>
      </c>
      <c r="R528" s="1526">
        <v>278.25599999999997</v>
      </c>
      <c r="S528" s="1402">
        <v>236.16</v>
      </c>
      <c r="T528" s="1402">
        <v>103.211</v>
      </c>
      <c r="U528" s="1913">
        <v>565.28800000000001</v>
      </c>
      <c r="V528" s="1402">
        <v>658.22</v>
      </c>
      <c r="W528" s="1035">
        <f t="shared" si="595"/>
        <v>658.22</v>
      </c>
      <c r="X528" s="1035">
        <f t="shared" si="595"/>
        <v>658.22</v>
      </c>
      <c r="Y528" s="1035">
        <f t="shared" si="595"/>
        <v>658.22</v>
      </c>
      <c r="Z528" s="1035">
        <f t="shared" si="595"/>
        <v>658.22</v>
      </c>
      <c r="AA528" s="1035">
        <f t="shared" si="595"/>
        <v>658.22</v>
      </c>
      <c r="AB528" s="1035">
        <f t="shared" si="595"/>
        <v>658.22</v>
      </c>
      <c r="AC528" s="1035">
        <f t="shared" si="595"/>
        <v>658.22</v>
      </c>
      <c r="AD528" s="1035">
        <f t="shared" si="595"/>
        <v>658.22</v>
      </c>
      <c r="AE528" s="1527"/>
      <c r="AF528" s="215"/>
      <c r="AG528" s="28"/>
      <c r="AH528" s="28"/>
      <c r="AI528" s="28"/>
      <c r="AJ528" s="28"/>
      <c r="AK528" s="28"/>
      <c r="AL528" s="1793"/>
      <c r="AM528" s="252"/>
      <c r="AN528" s="252"/>
      <c r="AO528" s="477"/>
      <c r="AP528" s="1743"/>
      <c r="AQ528" s="477"/>
      <c r="AR528" s="477"/>
      <c r="AS528" s="477"/>
      <c r="AT528" s="1743"/>
      <c r="AU528" s="477"/>
      <c r="AV528" s="477"/>
      <c r="AW528" s="477"/>
      <c r="AX528" s="1730"/>
      <c r="AY528" s="890">
        <v>419.37799999999999</v>
      </c>
      <c r="AZ528" s="890">
        <v>311.48500000000001</v>
      </c>
      <c r="BA528" s="1269">
        <v>236.16</v>
      </c>
      <c r="BB528" s="1421">
        <v>45.113999999999997</v>
      </c>
      <c r="BC528" s="1269">
        <v>799.56399999999996</v>
      </c>
      <c r="BD528" s="1269">
        <v>567.72299999999996</v>
      </c>
      <c r="BE528" s="1269">
        <v>103.211</v>
      </c>
      <c r="BF528" s="1421">
        <v>103.542</v>
      </c>
      <c r="BG528" s="1269">
        <v>98.978999999999999</v>
      </c>
      <c r="BH528" s="1269">
        <v>355.041</v>
      </c>
      <c r="BI528" s="1269">
        <v>565.28800000000001</v>
      </c>
      <c r="BJ528" s="1421">
        <v>509.65699999999998</v>
      </c>
      <c r="BK528" s="1269">
        <v>1224.0809999999999</v>
      </c>
      <c r="BL528" s="1269">
        <v>449.39699999999999</v>
      </c>
      <c r="BM528" s="1269">
        <v>658.22</v>
      </c>
      <c r="BN528" s="1671">
        <f t="shared" si="596"/>
        <v>658.22</v>
      </c>
      <c r="BO528" s="1066">
        <f t="shared" si="596"/>
        <v>658.22</v>
      </c>
      <c r="BP528" s="1066">
        <f t="shared" si="596"/>
        <v>658.22</v>
      </c>
      <c r="BQ528" s="1056">
        <f t="shared" si="590"/>
        <v>658.22</v>
      </c>
      <c r="BR528" s="734"/>
      <c r="BS528" s="83"/>
      <c r="BT528" s="1530"/>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c r="CS528"/>
      <c r="CT528"/>
      <c r="CU528"/>
      <c r="CV528"/>
      <c r="CW528"/>
    </row>
    <row r="529" spans="8:101" s="583" customFormat="1" outlineLevel="1">
      <c r="H529" s="563"/>
      <c r="I529" s="588"/>
      <c r="J529" s="1291" t="s">
        <v>605</v>
      </c>
      <c r="K529" s="28"/>
      <c r="L529" s="28"/>
      <c r="M529" s="28"/>
      <c r="N529" s="1541"/>
      <c r="O529" s="1541"/>
      <c r="P529" s="1526">
        <v>0</v>
      </c>
      <c r="Q529" s="1526">
        <v>6.1269999999999998</v>
      </c>
      <c r="R529" s="1526">
        <v>6.0869999999999997</v>
      </c>
      <c r="S529" s="1402">
        <v>43.811999999999998</v>
      </c>
      <c r="T529" s="1402">
        <v>1.228</v>
      </c>
      <c r="U529" s="1402"/>
      <c r="V529" s="1402"/>
      <c r="W529" s="1050"/>
      <c r="X529" s="1050"/>
      <c r="Y529" s="1050"/>
      <c r="Z529" s="1050"/>
      <c r="AA529" s="1050"/>
      <c r="AB529" s="1050"/>
      <c r="AC529" s="1050"/>
      <c r="AD529" s="1050"/>
      <c r="AE529" s="1527"/>
      <c r="AF529" s="215"/>
      <c r="AG529" s="28"/>
      <c r="AH529" s="28"/>
      <c r="AI529" s="28"/>
      <c r="AJ529" s="28"/>
      <c r="AK529" s="28"/>
      <c r="AL529" s="1793"/>
      <c r="AM529" s="252"/>
      <c r="AN529" s="252"/>
      <c r="AO529" s="477"/>
      <c r="AP529" s="1743"/>
      <c r="AQ529" s="477"/>
      <c r="AR529" s="477"/>
      <c r="AS529" s="477"/>
      <c r="AT529" s="1743"/>
      <c r="AU529" s="477"/>
      <c r="AV529" s="477"/>
      <c r="AW529" s="477"/>
      <c r="AX529" s="1730"/>
      <c r="AY529" s="890">
        <v>45.853000000000002</v>
      </c>
      <c r="AZ529" s="890">
        <v>43.18</v>
      </c>
      <c r="BA529" s="1269">
        <v>43.811999999999998</v>
      </c>
      <c r="BB529" s="1421">
        <v>40.113</v>
      </c>
      <c r="BC529" s="1269">
        <v>35.415999999999997</v>
      </c>
      <c r="BD529" s="1269">
        <v>31.327000000000002</v>
      </c>
      <c r="BE529" s="1269">
        <v>1.228</v>
      </c>
      <c r="BF529" s="1421">
        <v>0.92100000000000004</v>
      </c>
      <c r="BG529" s="1269">
        <v>938.18499999999995</v>
      </c>
      <c r="BH529" s="1269">
        <v>914.37800000000004</v>
      </c>
      <c r="BI529" s="1269">
        <v>23757.402999999998</v>
      </c>
      <c r="BJ529" s="1421">
        <v>0</v>
      </c>
      <c r="BK529" s="1269">
        <v>0</v>
      </c>
      <c r="BL529" s="1269">
        <v>0</v>
      </c>
      <c r="BM529" s="1269">
        <v>0</v>
      </c>
      <c r="BN529" s="1671">
        <f t="shared" si="596"/>
        <v>0</v>
      </c>
      <c r="BO529" s="1066">
        <f t="shared" si="596"/>
        <v>0</v>
      </c>
      <c r="BP529" s="1066">
        <f t="shared" si="596"/>
        <v>0</v>
      </c>
      <c r="BQ529" s="1056">
        <f t="shared" si="590"/>
        <v>0</v>
      </c>
      <c r="BR529" s="734"/>
      <c r="BS529" s="83"/>
      <c r="BT529" s="1530"/>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c r="CS529"/>
      <c r="CT529"/>
      <c r="CU529"/>
      <c r="CV529"/>
      <c r="CW529"/>
    </row>
    <row r="530" spans="8:101" s="583" customFormat="1" outlineLevel="1">
      <c r="H530" s="563"/>
      <c r="I530" s="588"/>
      <c r="J530" s="1291" t="s">
        <v>603</v>
      </c>
      <c r="K530" s="28"/>
      <c r="L530" s="28"/>
      <c r="M530" s="28"/>
      <c r="N530" s="1541"/>
      <c r="O530" s="1541"/>
      <c r="P530" s="1526"/>
      <c r="Q530" s="1526"/>
      <c r="R530" s="1526"/>
      <c r="S530" s="1402"/>
      <c r="T530" s="1402"/>
      <c r="U530" s="1402">
        <v>23757.401999999998</v>
      </c>
      <c r="V530" s="1402"/>
      <c r="W530" s="1050"/>
      <c r="X530" s="1050"/>
      <c r="Y530" s="1050"/>
      <c r="Z530" s="1050"/>
      <c r="AA530" s="1050"/>
      <c r="AB530" s="1050"/>
      <c r="AC530" s="1050"/>
      <c r="AD530" s="1050"/>
      <c r="AE530" s="1527"/>
      <c r="AF530" s="215"/>
      <c r="AG530" s="28"/>
      <c r="AH530" s="28"/>
      <c r="AI530" s="28"/>
      <c r="AJ530" s="28"/>
      <c r="AK530" s="28"/>
      <c r="AL530" s="1793"/>
      <c r="AM530" s="252"/>
      <c r="AN530" s="252"/>
      <c r="AO530" s="477"/>
      <c r="AP530" s="1743"/>
      <c r="AQ530" s="477"/>
      <c r="AR530" s="477"/>
      <c r="AS530" s="477"/>
      <c r="AT530" s="1743"/>
      <c r="AU530" s="477"/>
      <c r="AV530" s="477"/>
      <c r="AW530" s="477"/>
      <c r="AX530" s="1730"/>
      <c r="AY530" s="890"/>
      <c r="AZ530" s="890"/>
      <c r="BA530" s="1269"/>
      <c r="BB530" s="1421"/>
      <c r="BC530" s="1269"/>
      <c r="BD530" s="1269"/>
      <c r="BE530" s="1269"/>
      <c r="BF530" s="1421"/>
      <c r="BG530" s="1269"/>
      <c r="BH530" s="1269"/>
      <c r="BI530" s="1269"/>
      <c r="BJ530" s="1421"/>
      <c r="BK530" s="1269"/>
      <c r="BL530" s="1269"/>
      <c r="BM530" s="1269"/>
      <c r="BN530" s="1671"/>
      <c r="BO530" s="1066"/>
      <c r="BP530" s="1066"/>
      <c r="BQ530" s="1056"/>
      <c r="BR530" s="734"/>
      <c r="BS530" s="83"/>
      <c r="BT530" s="1530"/>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c r="CS530"/>
      <c r="CT530"/>
      <c r="CU530"/>
      <c r="CV530"/>
      <c r="CW530"/>
    </row>
    <row r="531" spans="8:101" s="583" customFormat="1" outlineLevel="1">
      <c r="H531" s="563"/>
      <c r="I531" s="588"/>
      <c r="J531" s="1542" t="s">
        <v>535</v>
      </c>
      <c r="K531" s="28"/>
      <c r="L531" s="28"/>
      <c r="M531" s="28"/>
      <c r="N531" s="1541"/>
      <c r="O531" s="1541"/>
      <c r="P531" s="1526"/>
      <c r="Q531" s="1526"/>
      <c r="R531" s="1526"/>
      <c r="S531" s="1402"/>
      <c r="T531" s="1402">
        <v>0</v>
      </c>
      <c r="U531" s="1913">
        <v>9231.1010000000006</v>
      </c>
      <c r="V531" s="1402">
        <v>12684.880999999999</v>
      </c>
      <c r="W531" s="1035">
        <f t="shared" si="595"/>
        <v>12684.880999999999</v>
      </c>
      <c r="X531" s="1035">
        <f t="shared" si="595"/>
        <v>12684.880999999999</v>
      </c>
      <c r="Y531" s="1035">
        <f t="shared" si="595"/>
        <v>12684.880999999999</v>
      </c>
      <c r="Z531" s="1035">
        <f t="shared" si="595"/>
        <v>12684.880999999999</v>
      </c>
      <c r="AA531" s="1035">
        <f t="shared" si="595"/>
        <v>12684.880999999999</v>
      </c>
      <c r="AB531" s="1035">
        <f t="shared" si="595"/>
        <v>12684.880999999999</v>
      </c>
      <c r="AC531" s="1035">
        <f t="shared" si="595"/>
        <v>12684.880999999999</v>
      </c>
      <c r="AD531" s="1035">
        <f t="shared" si="595"/>
        <v>12684.880999999999</v>
      </c>
      <c r="AE531" s="1527"/>
      <c r="AF531" s="215"/>
      <c r="AG531" s="28"/>
      <c r="AH531" s="28"/>
      <c r="AI531" s="28"/>
      <c r="AJ531" s="28"/>
      <c r="AK531" s="28"/>
      <c r="AL531" s="1793"/>
      <c r="AM531" s="252"/>
      <c r="AN531" s="252"/>
      <c r="AO531" s="477"/>
      <c r="AP531" s="1743"/>
      <c r="AQ531" s="477"/>
      <c r="AR531" s="477"/>
      <c r="AS531" s="477"/>
      <c r="AT531" s="1743"/>
      <c r="AU531" s="477"/>
      <c r="AV531" s="477"/>
      <c r="AW531" s="477"/>
      <c r="AX531" s="1730"/>
      <c r="AY531" s="890"/>
      <c r="AZ531" s="890"/>
      <c r="BA531" s="1269"/>
      <c r="BB531" s="1421"/>
      <c r="BC531" s="1269"/>
      <c r="BD531" s="1269"/>
      <c r="BE531" s="1269">
        <v>579.84299999999996</v>
      </c>
      <c r="BF531" s="1421">
        <v>2247.2190000000001</v>
      </c>
      <c r="BG531" s="1269">
        <v>4769.88</v>
      </c>
      <c r="BH531" s="1269">
        <v>7793.6750000000002</v>
      </c>
      <c r="BI531" s="1269">
        <v>9231.1010000000006</v>
      </c>
      <c r="BJ531" s="1421">
        <v>7863.8530000000001</v>
      </c>
      <c r="BK531" s="1269">
        <v>10687.379000000001</v>
      </c>
      <c r="BL531" s="1269">
        <v>11302.787</v>
      </c>
      <c r="BM531" s="1269">
        <v>12684.880999999999</v>
      </c>
      <c r="BN531" s="1671">
        <f t="shared" si="596"/>
        <v>12684.880999999999</v>
      </c>
      <c r="BO531" s="1066">
        <f t="shared" si="596"/>
        <v>12684.880999999999</v>
      </c>
      <c r="BP531" s="1066">
        <f t="shared" si="596"/>
        <v>12684.880999999999</v>
      </c>
      <c r="BQ531" s="1056">
        <f t="shared" si="590"/>
        <v>12684.880999999999</v>
      </c>
      <c r="BR531" s="734"/>
      <c r="BS531" s="83"/>
      <c r="BT531" s="1530"/>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c r="CS531"/>
      <c r="CT531"/>
      <c r="CU531"/>
      <c r="CV531"/>
      <c r="CW531"/>
    </row>
    <row r="532" spans="8:101" s="643" customFormat="1" outlineLevel="1">
      <c r="H532" s="563"/>
      <c r="I532" s="588"/>
      <c r="J532" s="13" t="s">
        <v>486</v>
      </c>
      <c r="K532" s="13"/>
      <c r="L532" s="13"/>
      <c r="M532" s="13"/>
      <c r="N532" s="1529">
        <f t="shared" ref="N532:AD532" si="597">SUM(N521:N525)</f>
        <v>0</v>
      </c>
      <c r="O532" s="1529">
        <f t="shared" si="597"/>
        <v>0</v>
      </c>
      <c r="P532" s="1529">
        <f t="shared" si="597"/>
        <v>4645.1350000000011</v>
      </c>
      <c r="Q532" s="1529">
        <f t="shared" si="597"/>
        <v>11483.495999999999</v>
      </c>
      <c r="R532" s="1529">
        <f t="shared" si="597"/>
        <v>16769.984</v>
      </c>
      <c r="S532" s="1529">
        <f t="shared" si="597"/>
        <v>28995.105</v>
      </c>
      <c r="T532" s="1529">
        <f t="shared" si="597"/>
        <v>49028.858000000007</v>
      </c>
      <c r="U532" s="1529">
        <f t="shared" si="597"/>
        <v>104740.23500000002</v>
      </c>
      <c r="V532" s="1529">
        <f t="shared" si="597"/>
        <v>118250.62099999998</v>
      </c>
      <c r="W532" s="1529">
        <f t="shared" si="597"/>
        <v>129378.29505438765</v>
      </c>
      <c r="X532" s="1529">
        <f t="shared" si="597"/>
        <v>155937.68652863061</v>
      </c>
      <c r="Y532" s="1529">
        <f t="shared" si="597"/>
        <v>182993.32375709567</v>
      </c>
      <c r="Z532" s="1529">
        <f t="shared" si="597"/>
        <v>203628.69970633471</v>
      </c>
      <c r="AA532" s="1529">
        <f t="shared" si="597"/>
        <v>217237.58385587274</v>
      </c>
      <c r="AB532" s="1529">
        <f t="shared" si="597"/>
        <v>231873.99582896059</v>
      </c>
      <c r="AC532" s="1529">
        <f t="shared" si="597"/>
        <v>247458.81375403205</v>
      </c>
      <c r="AD532" s="1529">
        <f t="shared" si="597"/>
        <v>265180.17423152149</v>
      </c>
      <c r="AE532" s="1527"/>
      <c r="AF532" s="215"/>
      <c r="AG532" s="28"/>
      <c r="AH532" s="172"/>
      <c r="AI532" s="172"/>
      <c r="AJ532" s="172"/>
      <c r="AK532" s="172"/>
      <c r="AL532" s="1761"/>
      <c r="AM532" s="207"/>
      <c r="AN532" s="207"/>
      <c r="AO532" s="477"/>
      <c r="AP532" s="1743"/>
      <c r="AQ532" s="477"/>
      <c r="AR532" s="477"/>
      <c r="AS532" s="477"/>
      <c r="AT532" s="1743"/>
      <c r="AU532" s="477"/>
      <c r="AV532" s="477"/>
      <c r="AW532" s="477"/>
      <c r="AX532" s="1613"/>
      <c r="AY532" s="1355">
        <f t="shared" ref="AY532:BQ532" si="598">SUM(AY521:AY525)</f>
        <v>26040.787</v>
      </c>
      <c r="AZ532" s="1355">
        <f t="shared" si="598"/>
        <v>28092.372999999996</v>
      </c>
      <c r="BA532" s="1355">
        <f t="shared" si="598"/>
        <v>28995.105</v>
      </c>
      <c r="BB532" s="1613">
        <f t="shared" si="598"/>
        <v>31043.725999999999</v>
      </c>
      <c r="BC532" s="1355">
        <f t="shared" si="598"/>
        <v>41612.369999999995</v>
      </c>
      <c r="BD532" s="1355">
        <f t="shared" si="598"/>
        <v>42728.319000000003</v>
      </c>
      <c r="BE532" s="1355">
        <f t="shared" si="598"/>
        <v>49028.858000000007</v>
      </c>
      <c r="BF532" s="1613">
        <f t="shared" si="598"/>
        <v>55404.629000000001</v>
      </c>
      <c r="BG532" s="844">
        <f t="shared" si="598"/>
        <v>74410.258000000002</v>
      </c>
      <c r="BH532" s="844">
        <f t="shared" si="598"/>
        <v>88696.285000000003</v>
      </c>
      <c r="BI532" s="1355">
        <f t="shared" si="598"/>
        <v>104740.236</v>
      </c>
      <c r="BJ532" s="1613">
        <f t="shared" si="598"/>
        <v>110969.51599999999</v>
      </c>
      <c r="BK532" s="1355">
        <f t="shared" si="598"/>
        <v>109530.05499999999</v>
      </c>
      <c r="BL532" s="1355">
        <f t="shared" si="598"/>
        <v>110300.22899999999</v>
      </c>
      <c r="BM532" s="1355">
        <f t="shared" si="598"/>
        <v>118250.62099999998</v>
      </c>
      <c r="BN532" s="1613">
        <f t="shared" si="598"/>
        <v>121982.25857540182</v>
      </c>
      <c r="BO532" s="1355">
        <f t="shared" si="598"/>
        <v>150253.74534939774</v>
      </c>
      <c r="BP532" s="1355">
        <f t="shared" si="598"/>
        <v>93705.370411868324</v>
      </c>
      <c r="BQ532" s="1355">
        <f t="shared" si="598"/>
        <v>129378.29505438765</v>
      </c>
      <c r="BR532" s="734"/>
      <c r="BS532" s="533"/>
      <c r="BT532" s="1530"/>
      <c r="BU532" s="533"/>
      <c r="BV532" s="533"/>
      <c r="BW532" s="533"/>
      <c r="BX532" s="533"/>
      <c r="BY532" s="533"/>
      <c r="BZ532" s="533"/>
      <c r="CA532" s="533"/>
      <c r="CB532" s="533"/>
      <c r="CC532" s="533"/>
      <c r="CD532" s="533"/>
      <c r="CE532" s="533"/>
      <c r="CF532" s="533"/>
      <c r="CG532" s="533"/>
      <c r="CH532" s="533"/>
      <c r="CI532" s="533"/>
      <c r="CJ532" s="533"/>
      <c r="CK532" s="533"/>
      <c r="CL532" s="533"/>
      <c r="CM532" s="533"/>
      <c r="CN532" s="533"/>
      <c r="CO532" s="533"/>
      <c r="CP532" s="533"/>
      <c r="CQ532" s="533"/>
      <c r="CR532"/>
      <c r="CS532"/>
      <c r="CT532"/>
      <c r="CU532"/>
      <c r="CV532"/>
      <c r="CW532"/>
    </row>
    <row r="533" spans="8:101" s="583" customFormat="1" outlineLevel="1">
      <c r="H533" s="563"/>
      <c r="I533" s="588"/>
      <c r="J533" s="191" t="s">
        <v>625</v>
      </c>
      <c r="K533" s="28"/>
      <c r="L533" s="28"/>
      <c r="M533" s="28"/>
      <c r="N533" s="1525"/>
      <c r="O533" s="1525"/>
      <c r="P533" s="1105">
        <v>0</v>
      </c>
      <c r="Q533" s="1105">
        <v>0</v>
      </c>
      <c r="R533" s="1105">
        <v>0</v>
      </c>
      <c r="S533" s="1402">
        <v>0</v>
      </c>
      <c r="T533" s="1402">
        <v>2753.6990000000001</v>
      </c>
      <c r="U533" s="1913">
        <v>2318.3890000000001</v>
      </c>
      <c r="V533" s="1402">
        <v>4475.2380000000003</v>
      </c>
      <c r="W533" s="1010">
        <f t="shared" ref="W533:AD533" si="599">V533+W718</f>
        <v>4137.9840000000004</v>
      </c>
      <c r="X533" s="1010">
        <f t="shared" si="599"/>
        <v>4137.9840000000004</v>
      </c>
      <c r="Y533" s="1010">
        <f t="shared" si="599"/>
        <v>2690.6270000000004</v>
      </c>
      <c r="Z533" s="1010">
        <f t="shared" si="599"/>
        <v>2690.6270000000004</v>
      </c>
      <c r="AA533" s="1010">
        <f t="shared" si="599"/>
        <v>2690.6270000000004</v>
      </c>
      <c r="AB533" s="1010">
        <f t="shared" si="599"/>
        <v>2690.6270000000004</v>
      </c>
      <c r="AC533" s="1010">
        <f t="shared" si="599"/>
        <v>2690.6270000000004</v>
      </c>
      <c r="AD533" s="1010">
        <f t="shared" si="599"/>
        <v>2690.6270000000004</v>
      </c>
      <c r="AE533" s="1527"/>
      <c r="AF533" s="215"/>
      <c r="AG533" s="28"/>
      <c r="AH533" s="28"/>
      <c r="AI533" s="28"/>
      <c r="AJ533" s="28"/>
      <c r="AK533" s="28"/>
      <c r="AL533" s="1784"/>
      <c r="AM533" s="217"/>
      <c r="AN533" s="217"/>
      <c r="AO533" s="477"/>
      <c r="AP533" s="1743"/>
      <c r="AQ533" s="477"/>
      <c r="AR533" s="477"/>
      <c r="AS533" s="477"/>
      <c r="AT533" s="1743"/>
      <c r="AU533" s="477"/>
      <c r="AV533" s="477"/>
      <c r="AW533" s="477"/>
      <c r="AX533" s="767"/>
      <c r="AY533" s="890"/>
      <c r="AZ533" s="734"/>
      <c r="BA533" s="1057"/>
      <c r="BB533" s="1705"/>
      <c r="BC533" s="1057"/>
      <c r="BD533" s="1404">
        <v>704</v>
      </c>
      <c r="BE533" s="1404">
        <v>2753.6990000000001</v>
      </c>
      <c r="BF533" s="1614">
        <v>3991.7809999999999</v>
      </c>
      <c r="BG533" s="1404">
        <f>6009.12+6523.473</f>
        <v>12532.593000000001</v>
      </c>
      <c r="BH533" s="1404">
        <f>3662.925+6572.524</f>
        <v>10235.449000000001</v>
      </c>
      <c r="BI533" s="1404">
        <f>2318.389+6831.012</f>
        <v>9149.4009999999998</v>
      </c>
      <c r="BJ533" s="1614">
        <f>6660.25+6797.264</f>
        <v>13457.513999999999</v>
      </c>
      <c r="BK533" s="1404">
        <f>10855.286+6677.568</f>
        <v>17532.853999999999</v>
      </c>
      <c r="BL533" s="1404">
        <f>9056.938+6545.342</f>
        <v>15602.279999999999</v>
      </c>
      <c r="BM533" s="1404">
        <f>4475.238+6447.357</f>
        <v>10922.595000000001</v>
      </c>
      <c r="BN533" s="1259">
        <f t="shared" ref="BN533:BP534" si="600">BM533</f>
        <v>10922.595000000001</v>
      </c>
      <c r="BO533" s="950">
        <f t="shared" si="600"/>
        <v>10922.595000000001</v>
      </c>
      <c r="BP533" s="950">
        <f t="shared" si="600"/>
        <v>10922.595000000001</v>
      </c>
      <c r="BQ533" s="1056">
        <f>W533</f>
        <v>4137.9840000000004</v>
      </c>
      <c r="BR533" s="734"/>
      <c r="BS533" s="83"/>
      <c r="BT533" s="1530"/>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c r="CS533"/>
      <c r="CT533"/>
      <c r="CU533"/>
      <c r="CV533"/>
      <c r="CW533"/>
    </row>
    <row r="534" spans="8:101" s="583" customFormat="1" outlineLevel="1">
      <c r="H534" s="563"/>
      <c r="I534" s="588"/>
      <c r="J534" s="191" t="s">
        <v>534</v>
      </c>
      <c r="K534" s="28"/>
      <c r="L534" s="28"/>
      <c r="M534" s="28"/>
      <c r="N534" s="1525"/>
      <c r="O534" s="1525"/>
      <c r="P534" s="1105">
        <v>0</v>
      </c>
      <c r="Q534" s="1105">
        <v>0</v>
      </c>
      <c r="R534" s="1105">
        <v>0</v>
      </c>
      <c r="S534" s="1402">
        <v>0</v>
      </c>
      <c r="T534" s="1402">
        <v>2705.1640000000002</v>
      </c>
      <c r="U534" s="1402">
        <v>2104.4609999999998</v>
      </c>
      <c r="V534" s="1402">
        <v>1273.5450000000001</v>
      </c>
      <c r="W534" s="1013"/>
      <c r="X534" s="1013"/>
      <c r="Y534" s="1013"/>
      <c r="Z534" s="1013"/>
      <c r="AA534" s="1013"/>
      <c r="AB534" s="1013"/>
      <c r="AC534" s="1013"/>
      <c r="AD534" s="1013"/>
      <c r="AE534" s="1527"/>
      <c r="AF534" s="215"/>
      <c r="AG534" s="28"/>
      <c r="AH534" s="28"/>
      <c r="AI534" s="28"/>
      <c r="AJ534" s="28"/>
      <c r="AK534" s="28"/>
      <c r="AL534" s="1784"/>
      <c r="AM534" s="217"/>
      <c r="AN534" s="217"/>
      <c r="AO534" s="477"/>
      <c r="AP534" s="1743"/>
      <c r="AQ534" s="477"/>
      <c r="AR534" s="477"/>
      <c r="AS534" s="477"/>
      <c r="AT534" s="1743"/>
      <c r="AU534" s="477"/>
      <c r="AV534" s="477"/>
      <c r="AW534" s="477"/>
      <c r="AX534" s="767"/>
      <c r="AY534" s="890"/>
      <c r="AZ534" s="734"/>
      <c r="BA534" s="1057"/>
      <c r="BB534" s="1421">
        <v>2455.9380000000001</v>
      </c>
      <c r="BC534" s="1269">
        <v>2919.4749999999999</v>
      </c>
      <c r="BD534" s="1269">
        <v>2878.8420000000001</v>
      </c>
      <c r="BE534" s="1269">
        <v>2705.1640000000002</v>
      </c>
      <c r="BF534" s="1421">
        <v>2487.5300000000002</v>
      </c>
      <c r="BG534" s="1269">
        <v>2727.0430000000001</v>
      </c>
      <c r="BH534" s="1269">
        <v>2518.5509999999999</v>
      </c>
      <c r="BI534" s="1269">
        <v>2104.4609999999998</v>
      </c>
      <c r="BJ534" s="1421">
        <v>1931.652</v>
      </c>
      <c r="BK534" s="1269">
        <v>1687.375</v>
      </c>
      <c r="BL534" s="1269">
        <v>1478.4490000000001</v>
      </c>
      <c r="BM534" s="1269">
        <v>1273.5450000000001</v>
      </c>
      <c r="BN534" s="1259">
        <f t="shared" si="600"/>
        <v>1273.5450000000001</v>
      </c>
      <c r="BO534" s="950">
        <f t="shared" si="600"/>
        <v>1273.5450000000001</v>
      </c>
      <c r="BP534" s="950">
        <f t="shared" si="600"/>
        <v>1273.5450000000001</v>
      </c>
      <c r="BQ534" s="1543"/>
      <c r="BR534" s="734"/>
      <c r="BS534" s="83"/>
      <c r="BT534" s="1530"/>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c r="CS534"/>
      <c r="CT534"/>
      <c r="CU534"/>
      <c r="CV534"/>
      <c r="CW534"/>
    </row>
    <row r="535" spans="8:101" s="583" customFormat="1" outlineLevel="1">
      <c r="H535" s="563"/>
      <c r="I535" s="588"/>
      <c r="J535" s="191" t="s">
        <v>650</v>
      </c>
      <c r="K535" s="28"/>
      <c r="L535" s="28"/>
      <c r="M535" s="28"/>
      <c r="N535" s="1525"/>
      <c r="O535" s="1525"/>
      <c r="P535" s="1105"/>
      <c r="Q535" s="1105"/>
      <c r="R535" s="1105"/>
      <c r="S535" s="1402"/>
      <c r="T535" s="1402"/>
      <c r="U535" s="1913">
        <v>907.35599999999999</v>
      </c>
      <c r="V535" s="1402">
        <v>882.24800000000005</v>
      </c>
      <c r="W535" s="1013"/>
      <c r="X535" s="1013"/>
      <c r="Y535" s="1013"/>
      <c r="Z535" s="1013"/>
      <c r="AA535" s="1013"/>
      <c r="AB535" s="1013"/>
      <c r="AC535" s="1013"/>
      <c r="AD535" s="1013"/>
      <c r="AE535" s="1527"/>
      <c r="AF535" s="215"/>
      <c r="AG535" s="28"/>
      <c r="AH535" s="28"/>
      <c r="AI535" s="28"/>
      <c r="AJ535" s="28"/>
      <c r="AK535" s="28"/>
      <c r="AL535" s="1784"/>
      <c r="AM535" s="217"/>
      <c r="AN535" s="217"/>
      <c r="AO535" s="477"/>
      <c r="AP535" s="1743"/>
      <c r="AQ535" s="477"/>
      <c r="AR535" s="477"/>
      <c r="AS535" s="477"/>
      <c r="AT535" s="1743"/>
      <c r="AU535" s="477"/>
      <c r="AV535" s="477"/>
      <c r="AW535" s="477"/>
      <c r="AX535" s="767"/>
      <c r="AY535" s="890"/>
      <c r="AZ535" s="734"/>
      <c r="BA535" s="1057"/>
      <c r="BB535" s="1705"/>
      <c r="BC535" s="1057"/>
      <c r="BD535" s="734"/>
      <c r="BE535" s="734"/>
      <c r="BF535" s="767"/>
      <c r="BG535" s="844"/>
      <c r="BH535" s="844"/>
      <c r="BI535" s="844"/>
      <c r="BJ535" s="1634"/>
      <c r="BK535" s="894"/>
      <c r="BL535" s="894"/>
      <c r="BM535" s="894"/>
      <c r="BN535" s="1634"/>
      <c r="BO535" s="894"/>
      <c r="BP535" s="894"/>
      <c r="BQ535" s="1543"/>
      <c r="BR535" s="734"/>
      <c r="BS535" s="83"/>
      <c r="BT535" s="1530"/>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c r="CS535"/>
      <c r="CT535"/>
      <c r="CU535"/>
      <c r="CV535"/>
      <c r="CW535"/>
    </row>
    <row r="536" spans="8:101" s="583" customFormat="1" outlineLevel="1">
      <c r="H536" s="563"/>
      <c r="I536" s="588"/>
      <c r="J536" s="191" t="s">
        <v>38</v>
      </c>
      <c r="K536" s="28"/>
      <c r="L536" s="28"/>
      <c r="M536" s="28"/>
      <c r="N536" s="1013">
        <f>SUM(N537:N539)</f>
        <v>0</v>
      </c>
      <c r="O536" s="1013">
        <f>SUM(O537:O539)</f>
        <v>0</v>
      </c>
      <c r="P536" s="1013">
        <f>SUM(P537:P539)</f>
        <v>0</v>
      </c>
      <c r="Q536" s="1013">
        <f>SUM(Q537:Q539)</f>
        <v>0</v>
      </c>
      <c r="R536" s="1013">
        <f>SUM(R537:R539)</f>
        <v>0</v>
      </c>
      <c r="S536" s="1013">
        <f>+R536</f>
        <v>0</v>
      </c>
      <c r="T536" s="1013">
        <f t="shared" ref="T536:AD536" si="601">SUM(T537:T539)</f>
        <v>0</v>
      </c>
      <c r="U536" s="1013">
        <f t="shared" si="601"/>
        <v>9083.2939999999999</v>
      </c>
      <c r="V536" s="1013">
        <f t="shared" si="601"/>
        <v>6784.6109999999999</v>
      </c>
      <c r="W536" s="1013">
        <f t="shared" si="601"/>
        <v>6447.357</v>
      </c>
      <c r="X536" s="1013">
        <f t="shared" si="601"/>
        <v>6447.357</v>
      </c>
      <c r="Y536" s="1013">
        <f t="shared" si="601"/>
        <v>5000</v>
      </c>
      <c r="Z536" s="1013">
        <f t="shared" si="601"/>
        <v>5000</v>
      </c>
      <c r="AA536" s="1013">
        <f t="shared" si="601"/>
        <v>5000</v>
      </c>
      <c r="AB536" s="1013">
        <f t="shared" si="601"/>
        <v>5000</v>
      </c>
      <c r="AC536" s="1013">
        <f t="shared" si="601"/>
        <v>5000</v>
      </c>
      <c r="AD536" s="1013">
        <f t="shared" si="601"/>
        <v>5000</v>
      </c>
      <c r="AE536" s="1527"/>
      <c r="AF536" s="215"/>
      <c r="AG536" s="28"/>
      <c r="AH536" s="28"/>
      <c r="AI536" s="28"/>
      <c r="AJ536" s="28"/>
      <c r="AK536" s="28"/>
      <c r="AL536" s="1784"/>
      <c r="AM536" s="217"/>
      <c r="AN536" s="217"/>
      <c r="AO536" s="477"/>
      <c r="AP536" s="1743"/>
      <c r="AQ536" s="477"/>
      <c r="AR536" s="477"/>
      <c r="AS536" s="477"/>
      <c r="AT536" s="1743"/>
      <c r="AU536" s="477"/>
      <c r="AV536" s="477"/>
      <c r="AW536" s="477"/>
      <c r="AX536" s="1731"/>
      <c r="AY536" s="890"/>
      <c r="AZ536" s="734"/>
      <c r="BA536" s="1057"/>
      <c r="BB536" s="1705"/>
      <c r="BC536" s="1057"/>
      <c r="BD536" s="734"/>
      <c r="BE536" s="734"/>
      <c r="BF536" s="767"/>
      <c r="BG536" s="844">
        <f t="shared" ref="BG536:BP536" si="602">SUM(BG537:BG539)</f>
        <v>460.73599999999999</v>
      </c>
      <c r="BH536" s="844">
        <f t="shared" si="602"/>
        <v>444.089</v>
      </c>
      <c r="BI536" s="844">
        <f t="shared" si="602"/>
        <v>3159.6370000000002</v>
      </c>
      <c r="BJ536" s="1450">
        <f t="shared" si="602"/>
        <v>1309.5540000000001</v>
      </c>
      <c r="BK536" s="844">
        <f t="shared" si="602"/>
        <v>1266.2860000000001</v>
      </c>
      <c r="BL536" s="844">
        <f t="shared" si="602"/>
        <v>1223.075</v>
      </c>
      <c r="BM536" s="844">
        <f t="shared" si="602"/>
        <v>1219.502</v>
      </c>
      <c r="BN536" s="1623">
        <f t="shared" si="602"/>
        <v>1219.502</v>
      </c>
      <c r="BO536" s="1300">
        <f t="shared" si="602"/>
        <v>1219.502</v>
      </c>
      <c r="BP536" s="1300">
        <f t="shared" si="602"/>
        <v>1219.502</v>
      </c>
      <c r="BQ536" s="1056">
        <f>W536</f>
        <v>6447.357</v>
      </c>
      <c r="BR536" s="734"/>
      <c r="BS536" s="83"/>
      <c r="BT536" s="1530"/>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c r="CS536"/>
      <c r="CT536"/>
      <c r="CU536"/>
      <c r="CV536"/>
      <c r="CW536"/>
    </row>
    <row r="537" spans="8:101" s="583" customFormat="1" outlineLevel="1">
      <c r="H537" s="563"/>
      <c r="I537" s="588"/>
      <c r="J537" s="33" t="s">
        <v>551</v>
      </c>
      <c r="K537" s="28"/>
      <c r="L537" s="28"/>
      <c r="M537" s="28"/>
      <c r="N537" s="1013"/>
      <c r="O537" s="1013"/>
      <c r="P537" s="1013"/>
      <c r="Q537" s="1013"/>
      <c r="R537" s="1013"/>
      <c r="S537" s="1013"/>
      <c r="T537" s="1013"/>
      <c r="U537" s="1402">
        <v>6831.0119999999997</v>
      </c>
      <c r="V537" s="1402">
        <v>6447.357</v>
      </c>
      <c r="W537" s="1010">
        <f>V537</f>
        <v>6447.357</v>
      </c>
      <c r="X537" s="1010">
        <f>W537</f>
        <v>6447.357</v>
      </c>
      <c r="Y537" s="1010">
        <v>5000</v>
      </c>
      <c r="Z537" s="1010">
        <f>Y537</f>
        <v>5000</v>
      </c>
      <c r="AA537" s="1010">
        <f>Z537</f>
        <v>5000</v>
      </c>
      <c r="AB537" s="1010">
        <f>AA537</f>
        <v>5000</v>
      </c>
      <c r="AC537" s="1010">
        <f>AB537</f>
        <v>5000</v>
      </c>
      <c r="AD537" s="1010">
        <f>AC537</f>
        <v>5000</v>
      </c>
      <c r="AE537" s="1527"/>
      <c r="AF537" s="215"/>
      <c r="AG537" s="28"/>
      <c r="AH537" s="28"/>
      <c r="AI537" s="28"/>
      <c r="AJ537" s="28"/>
      <c r="AK537" s="28"/>
      <c r="AL537" s="1784"/>
      <c r="AM537" s="217"/>
      <c r="AN537" s="217"/>
      <c r="AO537" s="477"/>
      <c r="AP537" s="1743"/>
      <c r="AQ537" s="477"/>
      <c r="AR537" s="477"/>
      <c r="AS537" s="477"/>
      <c r="AT537" s="1743"/>
      <c r="AU537" s="477"/>
      <c r="AV537" s="477"/>
      <c r="AW537" s="477"/>
      <c r="AX537" s="767"/>
      <c r="AY537" s="734"/>
      <c r="AZ537" s="734"/>
      <c r="BA537" s="734"/>
      <c r="BB537" s="1421"/>
      <c r="BC537" s="1269"/>
      <c r="BD537" s="1269"/>
      <c r="BE537" s="1269"/>
      <c r="BF537" s="1421"/>
      <c r="BG537" s="1278"/>
      <c r="BH537" s="1278"/>
      <c r="BI537" s="1278"/>
      <c r="BJ537" s="1421"/>
      <c r="BK537" s="1269"/>
      <c r="BL537" s="1269"/>
      <c r="BM537" s="1269"/>
      <c r="BN537" s="1634"/>
      <c r="BO537" s="894"/>
      <c r="BP537" s="894"/>
      <c r="BQ537" s="1056">
        <f>W537</f>
        <v>6447.357</v>
      </c>
      <c r="BR537" s="734"/>
      <c r="BS537" s="83"/>
      <c r="BT537" s="1530"/>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c r="CS537"/>
      <c r="CT537"/>
      <c r="CU537"/>
      <c r="CV537"/>
      <c r="CW537"/>
    </row>
    <row r="538" spans="8:101" s="583" customFormat="1" outlineLevel="1">
      <c r="H538" s="563"/>
      <c r="I538" s="588"/>
      <c r="J538" s="33" t="s">
        <v>603</v>
      </c>
      <c r="K538" s="28"/>
      <c r="L538" s="28"/>
      <c r="M538" s="28"/>
      <c r="N538" s="1013"/>
      <c r="O538" s="1013"/>
      <c r="P538" s="1013"/>
      <c r="Q538" s="1013"/>
      <c r="R538" s="1013"/>
      <c r="S538" s="1013"/>
      <c r="T538" s="1013"/>
      <c r="U538" s="1402">
        <v>1811.6120000000001</v>
      </c>
      <c r="V538" s="1402"/>
      <c r="W538" s="1013"/>
      <c r="X538" s="1013"/>
      <c r="Y538" s="1013"/>
      <c r="Z538" s="1013"/>
      <c r="AA538" s="1013"/>
      <c r="AB538" s="1013"/>
      <c r="AC538" s="1013"/>
      <c r="AD538" s="1013"/>
      <c r="AE538" s="1527"/>
      <c r="AF538" s="215"/>
      <c r="AG538" s="28"/>
      <c r="AH538" s="28"/>
      <c r="AI538" s="28"/>
      <c r="AJ538" s="28"/>
      <c r="AK538" s="28"/>
      <c r="AL538" s="1784"/>
      <c r="AM538" s="217"/>
      <c r="AN538" s="217"/>
      <c r="AO538" s="477"/>
      <c r="AP538" s="1743"/>
      <c r="AQ538" s="477"/>
      <c r="AR538" s="477"/>
      <c r="AS538" s="477"/>
      <c r="AT538" s="1743"/>
      <c r="AU538" s="477"/>
      <c r="AV538" s="477"/>
      <c r="AW538" s="477"/>
      <c r="AX538" s="767"/>
      <c r="AY538" s="734"/>
      <c r="AZ538" s="734"/>
      <c r="BA538" s="734"/>
      <c r="BB538" s="1635"/>
      <c r="BC538" s="833"/>
      <c r="BD538" s="833"/>
      <c r="BE538" s="833"/>
      <c r="BF538" s="1635"/>
      <c r="BG538" s="997"/>
      <c r="BH538" s="997"/>
      <c r="BI538" s="997"/>
      <c r="BJ538" s="1635"/>
      <c r="BK538" s="833"/>
      <c r="BL538" s="833"/>
      <c r="BM538" s="833"/>
      <c r="BN538" s="1634"/>
      <c r="BO538" s="894"/>
      <c r="BP538" s="894"/>
      <c r="BQ538" s="1056"/>
      <c r="BR538" s="734"/>
      <c r="BS538" s="83"/>
      <c r="BT538" s="1530"/>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c r="CS538"/>
      <c r="CT538"/>
      <c r="CU538"/>
      <c r="CV538"/>
      <c r="CW538"/>
    </row>
    <row r="539" spans="8:101" s="583" customFormat="1" outlineLevel="1">
      <c r="H539" s="563"/>
      <c r="I539" s="588"/>
      <c r="J539" s="33" t="s">
        <v>552</v>
      </c>
      <c r="K539" s="28"/>
      <c r="L539" s="28"/>
      <c r="M539" s="28"/>
      <c r="N539" s="1013"/>
      <c r="O539" s="1013"/>
      <c r="P539" s="1013"/>
      <c r="Q539" s="1013"/>
      <c r="R539" s="1013"/>
      <c r="S539" s="1013"/>
      <c r="T539" s="1013"/>
      <c r="U539" s="1402">
        <v>440.67</v>
      </c>
      <c r="V539" s="1402">
        <v>337.25400000000002</v>
      </c>
      <c r="W539" s="1013"/>
      <c r="X539" s="1013"/>
      <c r="Y539" s="1013"/>
      <c r="Z539" s="1013"/>
      <c r="AA539" s="1013"/>
      <c r="AB539" s="1013"/>
      <c r="AC539" s="1013"/>
      <c r="AD539" s="1013"/>
      <c r="AE539" s="1527"/>
      <c r="AF539" s="215"/>
      <c r="AG539" s="28"/>
      <c r="AH539" s="28"/>
      <c r="AI539" s="28"/>
      <c r="AJ539" s="28"/>
      <c r="AK539" s="28"/>
      <c r="AL539" s="1784"/>
      <c r="AM539" s="217"/>
      <c r="AN539" s="217"/>
      <c r="AO539" s="477"/>
      <c r="AP539" s="1743"/>
      <c r="AQ539" s="477"/>
      <c r="AR539" s="477"/>
      <c r="AS539" s="477"/>
      <c r="AT539" s="1743"/>
      <c r="AU539" s="477"/>
      <c r="AV539" s="477"/>
      <c r="AW539" s="477"/>
      <c r="AX539" s="767"/>
      <c r="AY539" s="734"/>
      <c r="AZ539" s="734"/>
      <c r="BA539" s="734"/>
      <c r="BB539" s="1635"/>
      <c r="BC539" s="833"/>
      <c r="BD539" s="833"/>
      <c r="BE539" s="833"/>
      <c r="BF539" s="1635"/>
      <c r="BG539" s="1269">
        <v>460.73599999999999</v>
      </c>
      <c r="BH539" s="1269">
        <v>444.089</v>
      </c>
      <c r="BI539" s="1269">
        <v>3159.6370000000002</v>
      </c>
      <c r="BJ539" s="1421">
        <v>1309.5540000000001</v>
      </c>
      <c r="BK539" s="1269">
        <v>1266.2860000000001</v>
      </c>
      <c r="BL539" s="1269">
        <v>1223.075</v>
      </c>
      <c r="BM539" s="1269">
        <v>1219.502</v>
      </c>
      <c r="BN539" s="1259">
        <f>BM539</f>
        <v>1219.502</v>
      </c>
      <c r="BO539" s="950">
        <f>BN539</f>
        <v>1219.502</v>
      </c>
      <c r="BP539" s="950">
        <f>BO539</f>
        <v>1219.502</v>
      </c>
      <c r="BQ539" s="1056">
        <f>W539</f>
        <v>0</v>
      </c>
      <c r="BR539" s="734"/>
      <c r="BS539" s="83"/>
      <c r="BT539" s="1530"/>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c r="CS539"/>
      <c r="CT539"/>
      <c r="CU539"/>
      <c r="CV539"/>
      <c r="CW539"/>
    </row>
    <row r="540" spans="8:101" s="643" customFormat="1" outlineLevel="1">
      <c r="H540" s="563"/>
      <c r="I540" s="588"/>
      <c r="J540" s="13" t="s">
        <v>487</v>
      </c>
      <c r="K540" s="13"/>
      <c r="L540" s="13"/>
      <c r="M540" s="13"/>
      <c r="N540" s="1529">
        <f t="shared" ref="N540:T540" si="603">SUM(N532:N539)</f>
        <v>0</v>
      </c>
      <c r="O540" s="1529">
        <f t="shared" si="603"/>
        <v>0</v>
      </c>
      <c r="P540" s="1529">
        <f t="shared" si="603"/>
        <v>4645.1350000000011</v>
      </c>
      <c r="Q540" s="1529">
        <f t="shared" si="603"/>
        <v>11483.495999999999</v>
      </c>
      <c r="R540" s="1529">
        <f t="shared" si="603"/>
        <v>16769.984</v>
      </c>
      <c r="S540" s="1529">
        <f t="shared" si="603"/>
        <v>28995.105</v>
      </c>
      <c r="T540" s="1529">
        <f t="shared" si="603"/>
        <v>54487.721000000005</v>
      </c>
      <c r="U540" s="1529">
        <f t="shared" ref="U540:AD540" si="604">SUM(U532:U536)</f>
        <v>119153.735</v>
      </c>
      <c r="V540" s="1529">
        <f t="shared" si="604"/>
        <v>131666.26299999998</v>
      </c>
      <c r="W540" s="1529">
        <f t="shared" si="604"/>
        <v>139963.63605438764</v>
      </c>
      <c r="X540" s="1529">
        <f t="shared" si="604"/>
        <v>166523.0275286306</v>
      </c>
      <c r="Y540" s="1529">
        <f t="shared" si="604"/>
        <v>190683.95075709568</v>
      </c>
      <c r="Z540" s="1529">
        <f t="shared" si="604"/>
        <v>211319.32670633472</v>
      </c>
      <c r="AA540" s="1529">
        <f t="shared" si="604"/>
        <v>224928.21085587275</v>
      </c>
      <c r="AB540" s="1529">
        <f t="shared" si="604"/>
        <v>239564.62282896059</v>
      </c>
      <c r="AC540" s="1529">
        <f t="shared" si="604"/>
        <v>255149.44075403205</v>
      </c>
      <c r="AD540" s="1529">
        <f t="shared" si="604"/>
        <v>272870.80123152147</v>
      </c>
      <c r="AE540" s="1527"/>
      <c r="AF540" s="215"/>
      <c r="AG540" s="28"/>
      <c r="AH540" s="172"/>
      <c r="AI540" s="172"/>
      <c r="AJ540" s="172"/>
      <c r="AK540" s="172"/>
      <c r="AL540" s="1761"/>
      <c r="AM540" s="207"/>
      <c r="AN540" s="207"/>
      <c r="AO540" s="477"/>
      <c r="AP540" s="1743"/>
      <c r="AQ540" s="477"/>
      <c r="AR540" s="477"/>
      <c r="AS540" s="477"/>
      <c r="AT540" s="1743"/>
      <c r="AU540" s="477"/>
      <c r="AV540" s="477"/>
      <c r="AW540" s="477"/>
      <c r="AX540" s="1631">
        <f t="shared" ref="AX540:BQ540" si="605">SUM(AX532:AX536)</f>
        <v>0</v>
      </c>
      <c r="AY540" s="1358">
        <f t="shared" si="605"/>
        <v>26040.787</v>
      </c>
      <c r="AZ540" s="1358">
        <f t="shared" si="605"/>
        <v>28092.372999999996</v>
      </c>
      <c r="BA540" s="1358">
        <f t="shared" si="605"/>
        <v>28995.105</v>
      </c>
      <c r="BB540" s="1631">
        <f t="shared" si="605"/>
        <v>33499.663999999997</v>
      </c>
      <c r="BC540" s="1358">
        <f t="shared" si="605"/>
        <v>44531.844999999994</v>
      </c>
      <c r="BD540" s="1358">
        <f t="shared" si="605"/>
        <v>46311.161</v>
      </c>
      <c r="BE540" s="1358">
        <f t="shared" si="605"/>
        <v>54487.721000000005</v>
      </c>
      <c r="BF540" s="1631">
        <f t="shared" si="605"/>
        <v>61883.94</v>
      </c>
      <c r="BG540" s="1358">
        <f t="shared" si="605"/>
        <v>90130.63</v>
      </c>
      <c r="BH540" s="1358">
        <f t="shared" si="605"/>
        <v>101894.37400000001</v>
      </c>
      <c r="BI540" s="1358">
        <f t="shared" si="605"/>
        <v>119153.735</v>
      </c>
      <c r="BJ540" s="1631">
        <f t="shared" si="605"/>
        <v>127668.23599999999</v>
      </c>
      <c r="BK540" s="1358">
        <f t="shared" si="605"/>
        <v>130016.56999999998</v>
      </c>
      <c r="BL540" s="1358">
        <f t="shared" si="605"/>
        <v>128604.03299999998</v>
      </c>
      <c r="BM540" s="1358">
        <f t="shared" si="605"/>
        <v>131666.26299999998</v>
      </c>
      <c r="BN540" s="1631">
        <f t="shared" si="605"/>
        <v>135397.90057540184</v>
      </c>
      <c r="BO540" s="1358">
        <f t="shared" si="605"/>
        <v>163669.38734939776</v>
      </c>
      <c r="BP540" s="1358">
        <f t="shared" si="605"/>
        <v>107121.01241186832</v>
      </c>
      <c r="BQ540" s="1358">
        <f t="shared" si="605"/>
        <v>139963.63605438764</v>
      </c>
      <c r="BR540" s="734"/>
      <c r="BS540" s="533"/>
      <c r="BT540" s="1530"/>
      <c r="BU540" s="533"/>
      <c r="BV540" s="533"/>
      <c r="BW540" s="533"/>
      <c r="BX540" s="533"/>
      <c r="BY540" s="533"/>
      <c r="BZ540" s="533"/>
      <c r="CA540" s="533"/>
      <c r="CB540" s="533"/>
      <c r="CC540" s="533"/>
      <c r="CD540" s="533"/>
      <c r="CE540" s="533"/>
      <c r="CF540" s="533"/>
      <c r="CG540" s="533"/>
      <c r="CH540" s="533"/>
      <c r="CI540" s="533"/>
      <c r="CJ540" s="533"/>
      <c r="CK540" s="533"/>
      <c r="CL540" s="533"/>
      <c r="CM540" s="533"/>
      <c r="CN540" s="533"/>
      <c r="CO540" s="533"/>
      <c r="CP540" s="533"/>
      <c r="CQ540" s="533"/>
      <c r="CR540"/>
      <c r="CS540"/>
      <c r="CT540"/>
      <c r="CU540"/>
      <c r="CV540"/>
      <c r="CW540"/>
    </row>
    <row r="541" spans="8:101" s="583" customFormat="1" outlineLevel="1">
      <c r="I541" s="597"/>
      <c r="J541" s="83"/>
      <c r="K541" s="83"/>
      <c r="L541" s="83"/>
      <c r="M541" s="83"/>
      <c r="N541" s="1093"/>
      <c r="O541" s="1093"/>
      <c r="P541" s="1093"/>
      <c r="Q541" s="1093"/>
      <c r="R541" s="1093"/>
      <c r="S541" s="1051"/>
      <c r="T541" s="1051"/>
      <c r="U541" s="1051"/>
      <c r="V541" s="1051"/>
      <c r="W541" s="1051"/>
      <c r="X541" s="1051"/>
      <c r="Y541" s="1051"/>
      <c r="Z541" s="1051"/>
      <c r="AA541" s="1051"/>
      <c r="AB541" s="1051"/>
      <c r="AC541" s="1051"/>
      <c r="AD541" s="1051"/>
      <c r="AE541" s="1527"/>
      <c r="AF541" s="215"/>
      <c r="AG541" s="83"/>
      <c r="AH541" s="83"/>
      <c r="AI541" s="83"/>
      <c r="AJ541" s="83"/>
      <c r="AK541" s="83"/>
      <c r="AL541" s="1709"/>
      <c r="AM541" s="83"/>
      <c r="AN541" s="83"/>
      <c r="AO541" s="477"/>
      <c r="AP541" s="1743"/>
      <c r="AQ541" s="477"/>
      <c r="AR541" s="477"/>
      <c r="AS541" s="477"/>
      <c r="AT541" s="1743"/>
      <c r="AU541" s="477"/>
      <c r="AV541" s="477"/>
      <c r="AW541" s="477"/>
      <c r="AX541" s="1061"/>
      <c r="AY541" s="1059"/>
      <c r="AZ541" s="1059"/>
      <c r="BA541" s="1059"/>
      <c r="BB541" s="1061"/>
      <c r="BC541" s="1059"/>
      <c r="BD541" s="1059"/>
      <c r="BE541" s="1059"/>
      <c r="BF541" s="1061"/>
      <c r="BG541" s="1060"/>
      <c r="BH541" s="1060"/>
      <c r="BI541" s="1059"/>
      <c r="BJ541" s="1061"/>
      <c r="BK541" s="1059"/>
      <c r="BL541" s="1059"/>
      <c r="BM541" s="1059"/>
      <c r="BN541" s="1061"/>
      <c r="BO541" s="1059"/>
      <c r="BP541" s="1059"/>
      <c r="BQ541" s="1059"/>
      <c r="BR541" s="734"/>
      <c r="BS541" s="83"/>
      <c r="BT541" s="1530"/>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c r="CS541"/>
      <c r="CT541"/>
      <c r="CU541"/>
      <c r="CV541"/>
      <c r="CW541"/>
    </row>
    <row r="542" spans="8:101" s="583" customFormat="1" outlineLevel="1">
      <c r="I542" s="597"/>
      <c r="J542" s="13" t="s">
        <v>264</v>
      </c>
      <c r="K542" s="83"/>
      <c r="L542" s="83"/>
      <c r="M542" s="83"/>
      <c r="N542" s="1093"/>
      <c r="O542" s="1093"/>
      <c r="P542" s="1093"/>
      <c r="Q542" s="1093"/>
      <c r="R542" s="1093"/>
      <c r="S542" s="1051"/>
      <c r="T542" s="1051"/>
      <c r="U542" s="1051"/>
      <c r="V542" s="1051"/>
      <c r="W542" s="1051"/>
      <c r="X542" s="1051"/>
      <c r="Y542" s="1051"/>
      <c r="Z542" s="1051"/>
      <c r="AA542" s="1051"/>
      <c r="AB542" s="1051"/>
      <c r="AC542" s="1051"/>
      <c r="AD542" s="1051"/>
      <c r="AE542" s="1527"/>
      <c r="AF542" s="215"/>
      <c r="AG542" s="83"/>
      <c r="AH542" s="83"/>
      <c r="AI542" s="83"/>
      <c r="AJ542" s="83"/>
      <c r="AK542" s="83"/>
      <c r="AL542" s="1709"/>
      <c r="AM542" s="83"/>
      <c r="AN542" s="83"/>
      <c r="AO542" s="477"/>
      <c r="AP542" s="1743"/>
      <c r="AQ542" s="477"/>
      <c r="AR542" s="477"/>
      <c r="AS542" s="477"/>
      <c r="AT542" s="1743"/>
      <c r="AU542" s="477"/>
      <c r="AV542" s="477"/>
      <c r="AW542" s="477"/>
      <c r="AX542" s="1061"/>
      <c r="AY542" s="1059"/>
      <c r="AZ542" s="1059"/>
      <c r="BA542" s="1059"/>
      <c r="BB542" s="1061"/>
      <c r="BC542" s="1059"/>
      <c r="BD542" s="1059"/>
      <c r="BE542" s="1059"/>
      <c r="BF542" s="1061"/>
      <c r="BG542" s="1060"/>
      <c r="BH542" s="1060"/>
      <c r="BI542" s="1059"/>
      <c r="BJ542" s="1061"/>
      <c r="BK542" s="1059"/>
      <c r="BL542" s="1059"/>
      <c r="BM542" s="1059"/>
      <c r="BN542" s="1061"/>
      <c r="BO542" s="1059"/>
      <c r="BP542" s="1059"/>
      <c r="BQ542" s="1059"/>
      <c r="BR542" s="734"/>
      <c r="BS542" s="83"/>
      <c r="BT542" s="1530"/>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c r="CS542"/>
      <c r="CT542"/>
      <c r="CU542"/>
      <c r="CV542"/>
      <c r="CW542"/>
    </row>
    <row r="543" spans="8:101" s="583" customFormat="1" outlineLevel="1">
      <c r="I543" s="597"/>
      <c r="J543" s="30" t="s">
        <v>263</v>
      </c>
      <c r="K543" s="83"/>
      <c r="L543" s="83"/>
      <c r="M543" s="83"/>
      <c r="N543" s="1544"/>
      <c r="O543" s="1544"/>
      <c r="P543" s="1526">
        <v>3150.4430000000002</v>
      </c>
      <c r="Q543" s="1526">
        <v>4737.8969999999999</v>
      </c>
      <c r="R543" s="1526">
        <v>7173.2629999999999</v>
      </c>
      <c r="S543" s="1501">
        <v>0</v>
      </c>
      <c r="T543" s="1501">
        <v>0</v>
      </c>
      <c r="U543" s="1501">
        <v>7056.9210000000003</v>
      </c>
      <c r="V543" s="1501">
        <v>0</v>
      </c>
      <c r="W543" s="1545">
        <f t="shared" ref="W543:AD543" si="606">V543</f>
        <v>0</v>
      </c>
      <c r="X543" s="1545">
        <f t="shared" si="606"/>
        <v>0</v>
      </c>
      <c r="Y543" s="1545">
        <f t="shared" si="606"/>
        <v>0</v>
      </c>
      <c r="Z543" s="1545">
        <f t="shared" si="606"/>
        <v>0</v>
      </c>
      <c r="AA543" s="1545">
        <f t="shared" si="606"/>
        <v>0</v>
      </c>
      <c r="AB543" s="1545">
        <f t="shared" si="606"/>
        <v>0</v>
      </c>
      <c r="AC543" s="1545">
        <f t="shared" si="606"/>
        <v>0</v>
      </c>
      <c r="AD543" s="1545">
        <f t="shared" si="606"/>
        <v>0</v>
      </c>
      <c r="AE543" s="1527"/>
      <c r="AF543" s="215"/>
      <c r="AG543" s="83"/>
      <c r="AH543" s="83"/>
      <c r="AI543" s="83"/>
      <c r="AJ543" s="83"/>
      <c r="AK543" s="83"/>
      <c r="AL543" s="1709"/>
      <c r="AM543" s="83"/>
      <c r="AN543" s="83"/>
      <c r="AO543" s="477"/>
      <c r="AP543" s="1743"/>
      <c r="AQ543" s="477"/>
      <c r="AR543" s="477"/>
      <c r="AS543" s="477"/>
      <c r="AT543" s="1743"/>
      <c r="AU543" s="477"/>
      <c r="AV543" s="477"/>
      <c r="AW543" s="477"/>
      <c r="AX543" s="1061"/>
      <c r="AY543" s="1059"/>
      <c r="AZ543" s="1059"/>
      <c r="BA543" s="1059"/>
      <c r="BB543" s="1061"/>
      <c r="BC543" s="1059"/>
      <c r="BD543" s="1059"/>
      <c r="BE543" s="1059"/>
      <c r="BF543" s="1061"/>
      <c r="BG543" s="1060"/>
      <c r="BH543" s="1060"/>
      <c r="BI543" s="1059"/>
      <c r="BJ543" s="1634"/>
      <c r="BK543" s="894"/>
      <c r="BL543" s="894"/>
      <c r="BM543" s="1543"/>
      <c r="BN543" s="1634"/>
      <c r="BO543" s="894"/>
      <c r="BP543" s="894"/>
      <c r="BQ543" s="1543"/>
      <c r="BR543" s="734"/>
      <c r="BS543" s="83"/>
      <c r="BT543" s="1530"/>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c r="CS543"/>
      <c r="CT543"/>
      <c r="CU543"/>
      <c r="CV543"/>
      <c r="CW543"/>
    </row>
    <row r="544" spans="8:101" s="583" customFormat="1" outlineLevel="1">
      <c r="I544" s="597"/>
      <c r="J544" s="1542" t="s">
        <v>536</v>
      </c>
      <c r="K544" s="83"/>
      <c r="L544" s="83"/>
      <c r="M544" s="83"/>
      <c r="N544" s="1544"/>
      <c r="O544" s="1544"/>
      <c r="P544" s="1526"/>
      <c r="Q544" s="1526"/>
      <c r="R544" s="1526"/>
      <c r="S544" s="1052"/>
      <c r="T544" s="1052"/>
      <c r="U544" s="1052"/>
      <c r="V544" s="1052"/>
      <c r="W544" s="1052"/>
      <c r="X544" s="1052"/>
      <c r="Y544" s="1052"/>
      <c r="Z544" s="1052"/>
      <c r="AA544" s="1052"/>
      <c r="AB544" s="1052"/>
      <c r="AC544" s="1052"/>
      <c r="AD544" s="1052"/>
      <c r="AE544" s="1527"/>
      <c r="AF544" s="215"/>
      <c r="AG544" s="83"/>
      <c r="AH544" s="83"/>
      <c r="AI544" s="83"/>
      <c r="AJ544" s="83"/>
      <c r="AK544" s="83"/>
      <c r="AL544" s="1709"/>
      <c r="AM544" s="83"/>
      <c r="AN544" s="83"/>
      <c r="AO544" s="477"/>
      <c r="AP544" s="1743"/>
      <c r="AQ544" s="477"/>
      <c r="AR544" s="477"/>
      <c r="AS544" s="477"/>
      <c r="AT544" s="1743"/>
      <c r="AU544" s="477"/>
      <c r="AV544" s="477"/>
      <c r="AW544" s="477"/>
      <c r="AX544" s="1061"/>
      <c r="AY544" s="1059"/>
      <c r="AZ544" s="1059"/>
      <c r="BA544" s="1470"/>
      <c r="BB544" s="1706"/>
      <c r="BC544" s="1470"/>
      <c r="BD544" s="1470"/>
      <c r="BE544" s="1470"/>
      <c r="BF544" s="1421">
        <v>6655.4390000000003</v>
      </c>
      <c r="BG544" s="1269">
        <v>6786.6620000000003</v>
      </c>
      <c r="BH544" s="1269">
        <v>6920.4719999999998</v>
      </c>
      <c r="BI544" s="1269">
        <v>7056.9210000000003</v>
      </c>
      <c r="BJ544" s="1421">
        <v>7196.0590000000002</v>
      </c>
      <c r="BK544" s="1269">
        <v>0</v>
      </c>
      <c r="BL544" s="1269">
        <v>0</v>
      </c>
      <c r="BM544" s="1401"/>
      <c r="BN544" s="1635"/>
      <c r="BO544" s="1059"/>
      <c r="BP544" s="1059"/>
      <c r="BQ544" s="1056">
        <f>W544</f>
        <v>0</v>
      </c>
      <c r="BR544" s="734"/>
      <c r="BS544" s="83"/>
      <c r="BT544" s="1530"/>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c r="CS544"/>
      <c r="CT544"/>
      <c r="CU544"/>
      <c r="CV544"/>
      <c r="CW544"/>
    </row>
    <row r="545" spans="1:101" s="583" customFormat="1" outlineLevel="1">
      <c r="H545" s="563"/>
      <c r="I545" s="588"/>
      <c r="J545" s="13" t="s">
        <v>488</v>
      </c>
      <c r="K545" s="13"/>
      <c r="L545" s="13"/>
      <c r="M545" s="251"/>
      <c r="N545" s="1537"/>
      <c r="O545" s="1537"/>
      <c r="P545" s="1537"/>
      <c r="Q545" s="1537"/>
      <c r="R545" s="1537"/>
      <c r="S545" s="1538"/>
      <c r="T545" s="1538"/>
      <c r="U545" s="1538"/>
      <c r="V545" s="1538"/>
      <c r="W545" s="1538"/>
      <c r="X545" s="1538"/>
      <c r="Y545" s="1538"/>
      <c r="Z545" s="1538"/>
      <c r="AA545" s="1538"/>
      <c r="AB545" s="1538"/>
      <c r="AC545" s="1538"/>
      <c r="AD545" s="1538"/>
      <c r="AE545" s="1527"/>
      <c r="AF545" s="215"/>
      <c r="AG545" s="28"/>
      <c r="AH545" s="282"/>
      <c r="AI545" s="282"/>
      <c r="AJ545" s="282"/>
      <c r="AK545" s="282"/>
      <c r="AL545" s="1524"/>
      <c r="AM545" s="282"/>
      <c r="AN545" s="282"/>
      <c r="AO545" s="477"/>
      <c r="AP545" s="1743"/>
      <c r="AQ545" s="477"/>
      <c r="AR545" s="477"/>
      <c r="AS545" s="477"/>
      <c r="AT545" s="1743"/>
      <c r="AU545" s="477"/>
      <c r="AV545" s="477"/>
      <c r="AW545" s="477"/>
      <c r="AX545" s="1450"/>
      <c r="AY545" s="844"/>
      <c r="AZ545" s="844"/>
      <c r="BA545" s="1420"/>
      <c r="BB545" s="1628"/>
      <c r="BC545" s="1471"/>
      <c r="BD545" s="1471"/>
      <c r="BE545" s="1471"/>
      <c r="BF545" s="1685"/>
      <c r="BG545" s="1546"/>
      <c r="BH545" s="1546"/>
      <c r="BI545" s="1546"/>
      <c r="BJ545" s="1636"/>
      <c r="BK545" s="1471"/>
      <c r="BL545" s="1471"/>
      <c r="BM545" s="1471"/>
      <c r="BN545" s="1633"/>
      <c r="BO545" s="1356"/>
      <c r="BP545" s="1356"/>
      <c r="BQ545" s="1356"/>
      <c r="BR545" s="734"/>
      <c r="BS545" s="83"/>
      <c r="BT545" s="1530"/>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c r="CS545"/>
      <c r="CT545"/>
      <c r="CU545"/>
      <c r="CV545"/>
      <c r="CW545"/>
    </row>
    <row r="546" spans="1:101" s="583" customFormat="1" outlineLevel="1">
      <c r="H546" s="563"/>
      <c r="I546" s="588"/>
      <c r="J546" s="248" t="s">
        <v>221</v>
      </c>
      <c r="K546" s="28"/>
      <c r="L546" s="28"/>
      <c r="M546" s="28"/>
      <c r="N546" s="1525"/>
      <c r="O546" s="1525"/>
      <c r="P546" s="1526">
        <v>0.16300000000000001</v>
      </c>
      <c r="Q546" s="1526">
        <v>0.182</v>
      </c>
      <c r="R546" s="1526">
        <v>0.19900000000000001</v>
      </c>
      <c r="S546" s="1402">
        <v>0.35799999999999998</v>
      </c>
      <c r="T546" s="1402">
        <v>0.35799999999999998</v>
      </c>
      <c r="U546" s="1402">
        <v>0.377</v>
      </c>
      <c r="V546" s="1402">
        <v>0</v>
      </c>
      <c r="W546" s="1013"/>
      <c r="X546" s="1013"/>
      <c r="Y546" s="1013"/>
      <c r="Z546" s="1013"/>
      <c r="AA546" s="1013"/>
      <c r="AB546" s="1013"/>
      <c r="AC546" s="1013"/>
      <c r="AD546" s="1013"/>
      <c r="AE546" s="1527"/>
      <c r="AF546" s="1528"/>
      <c r="AG546" s="28"/>
      <c r="AH546" s="251"/>
      <c r="AI546" s="251"/>
      <c r="AJ546" s="251"/>
      <c r="AK546" s="251"/>
      <c r="AL546" s="1794"/>
      <c r="AM546" s="253"/>
      <c r="AN546" s="253"/>
      <c r="AO546" s="477"/>
      <c r="AP546" s="1743"/>
      <c r="AQ546" s="477"/>
      <c r="AR546" s="477"/>
      <c r="AS546" s="477"/>
      <c r="AT546" s="1743"/>
      <c r="AU546" s="477"/>
      <c r="AV546" s="477"/>
      <c r="AW546" s="477"/>
      <c r="AX546" s="767"/>
      <c r="AY546" s="842">
        <v>0.35399999999999998</v>
      </c>
      <c r="AZ546" s="842">
        <v>0.35399999999999998</v>
      </c>
      <c r="BA546" s="1269">
        <v>0.35799999999999998</v>
      </c>
      <c r="BB546" s="1421">
        <v>0.35799999999999998</v>
      </c>
      <c r="BC546" s="1269">
        <v>0.35799999999999998</v>
      </c>
      <c r="BD546" s="1269">
        <v>0.35799999999999998</v>
      </c>
      <c r="BE546" s="1269">
        <v>0.35799999999999998</v>
      </c>
      <c r="BF546" s="1421">
        <v>0.35799999999999998</v>
      </c>
      <c r="BG546" s="1269">
        <v>0.377</v>
      </c>
      <c r="BH546" s="1269">
        <v>0.377</v>
      </c>
      <c r="BI546" s="1269">
        <v>0.377</v>
      </c>
      <c r="BJ546" s="1421">
        <v>0.377</v>
      </c>
      <c r="BK546" s="1269"/>
      <c r="BL546" s="1269"/>
      <c r="BM546" s="1269"/>
      <c r="BN546" s="767"/>
      <c r="BO546" s="734"/>
      <c r="BP546" s="734"/>
      <c r="BQ546" s="1056">
        <f t="shared" ref="BQ546:BQ556" si="607">W546</f>
        <v>0</v>
      </c>
      <c r="BR546" s="734"/>
      <c r="BS546" s="83"/>
      <c r="BT546" s="1530"/>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c r="CS546"/>
      <c r="CT546"/>
      <c r="CU546"/>
      <c r="CV546"/>
      <c r="CW546"/>
    </row>
    <row r="547" spans="1:101" s="583" customFormat="1" outlineLevel="1">
      <c r="I547" s="597"/>
      <c r="J547" s="248" t="s">
        <v>265</v>
      </c>
      <c r="K547" s="28"/>
      <c r="L547" s="28"/>
      <c r="M547" s="28"/>
      <c r="N547" s="1525"/>
      <c r="O547" s="1525"/>
      <c r="P547" s="1526">
        <v>255.85</v>
      </c>
      <c r="Q547" s="1526">
        <v>255.85</v>
      </c>
      <c r="R547" s="1526">
        <v>255.85</v>
      </c>
      <c r="S547" s="1402">
        <v>0</v>
      </c>
      <c r="T547" s="1402">
        <v>0</v>
      </c>
      <c r="U547" s="1402">
        <v>0</v>
      </c>
      <c r="V547" s="1402">
        <v>0</v>
      </c>
      <c r="W547" s="1013"/>
      <c r="X547" s="1013"/>
      <c r="Y547" s="1013"/>
      <c r="Z547" s="1013"/>
      <c r="AA547" s="1013"/>
      <c r="AB547" s="1013"/>
      <c r="AC547" s="1013"/>
      <c r="AD547" s="1013"/>
      <c r="AE547" s="1527"/>
      <c r="AF547" s="1528"/>
      <c r="AG547" s="83"/>
      <c r="AH547" s="28"/>
      <c r="AI547" s="28"/>
      <c r="AJ547" s="28"/>
      <c r="AK547" s="28"/>
      <c r="AL547" s="1795"/>
      <c r="AM547" s="219"/>
      <c r="AN547" s="219"/>
      <c r="AO547" s="477"/>
      <c r="AP547" s="1743"/>
      <c r="AQ547" s="477"/>
      <c r="AR547" s="477"/>
      <c r="AS547" s="477"/>
      <c r="AT547" s="1743"/>
      <c r="AU547" s="477"/>
      <c r="AV547" s="477"/>
      <c r="AW547" s="477"/>
      <c r="AX547" s="767"/>
      <c r="AY547" s="842">
        <v>0</v>
      </c>
      <c r="AZ547" s="842">
        <v>0</v>
      </c>
      <c r="BA547" s="1269">
        <v>0</v>
      </c>
      <c r="BB547" s="1421">
        <v>0</v>
      </c>
      <c r="BC547" s="1269">
        <v>0</v>
      </c>
      <c r="BD547" s="1269">
        <v>0</v>
      </c>
      <c r="BE547" s="1269">
        <v>0</v>
      </c>
      <c r="BF547" s="1421">
        <v>0</v>
      </c>
      <c r="BG547" s="1269">
        <v>0</v>
      </c>
      <c r="BH547" s="1269">
        <v>0</v>
      </c>
      <c r="BI547" s="1269">
        <v>0</v>
      </c>
      <c r="BJ547" s="1421">
        <v>0</v>
      </c>
      <c r="BK547" s="1269"/>
      <c r="BL547" s="1269"/>
      <c r="BM547" s="1269"/>
      <c r="BN547" s="767"/>
      <c r="BO547" s="734"/>
      <c r="BP547" s="734"/>
      <c r="BQ547" s="1056">
        <f t="shared" si="607"/>
        <v>0</v>
      </c>
      <c r="BR547" s="734"/>
      <c r="BS547" s="28"/>
      <c r="BT547" s="1530"/>
      <c r="BU547" s="28"/>
      <c r="BV547" s="28"/>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c r="CS547"/>
      <c r="CT547"/>
      <c r="CU547"/>
      <c r="CV547"/>
      <c r="CW547"/>
    </row>
    <row r="548" spans="1:101" s="583" customFormat="1" outlineLevel="1">
      <c r="I548" s="597"/>
      <c r="J548" s="248" t="s">
        <v>266</v>
      </c>
      <c r="K548" s="28"/>
      <c r="L548" s="28"/>
      <c r="M548" s="28"/>
      <c r="N548" s="1525"/>
      <c r="O548" s="1525"/>
      <c r="P548" s="1526">
        <v>126.417</v>
      </c>
      <c r="Q548" s="1526">
        <v>126.417</v>
      </c>
      <c r="R548" s="1526">
        <v>88.241</v>
      </c>
      <c r="S548" s="1402">
        <v>0</v>
      </c>
      <c r="T548" s="1402">
        <v>0</v>
      </c>
      <c r="U548" s="1402">
        <v>0</v>
      </c>
      <c r="V548" s="1402">
        <v>0</v>
      </c>
      <c r="W548" s="1013"/>
      <c r="X548" s="1013"/>
      <c r="Y548" s="1013"/>
      <c r="Z548" s="1013"/>
      <c r="AA548" s="1013"/>
      <c r="AB548" s="1013"/>
      <c r="AC548" s="1013"/>
      <c r="AD548" s="1013"/>
      <c r="AE548" s="1527"/>
      <c r="AF548" s="1528"/>
      <c r="AG548" s="83"/>
      <c r="AH548" s="28"/>
      <c r="AI548" s="28"/>
      <c r="AJ548" s="28"/>
      <c r="AK548" s="28"/>
      <c r="AL548" s="1795"/>
      <c r="AM548" s="219"/>
      <c r="AN548" s="219"/>
      <c r="AO548" s="477"/>
      <c r="AP548" s="1743"/>
      <c r="AQ548" s="477"/>
      <c r="AR548" s="477"/>
      <c r="AS548" s="477"/>
      <c r="AT548" s="1743"/>
      <c r="AU548" s="477"/>
      <c r="AV548" s="477"/>
      <c r="AW548" s="477"/>
      <c r="AX548" s="767"/>
      <c r="AY548" s="842">
        <v>0</v>
      </c>
      <c r="AZ548" s="842">
        <v>0</v>
      </c>
      <c r="BA548" s="1269">
        <v>0</v>
      </c>
      <c r="BB548" s="1421">
        <v>0</v>
      </c>
      <c r="BC548" s="1269">
        <v>0</v>
      </c>
      <c r="BD548" s="1269">
        <v>0</v>
      </c>
      <c r="BE548" s="1269">
        <v>0</v>
      </c>
      <c r="BF548" s="1421">
        <v>0</v>
      </c>
      <c r="BG548" s="1269">
        <v>0</v>
      </c>
      <c r="BH548" s="1269">
        <v>0</v>
      </c>
      <c r="BI548" s="1269">
        <v>0</v>
      </c>
      <c r="BJ548" s="1421">
        <v>0</v>
      </c>
      <c r="BK548" s="1269"/>
      <c r="BL548" s="1269"/>
      <c r="BM548" s="1269"/>
      <c r="BN548" s="767"/>
      <c r="BO548" s="734"/>
      <c r="BP548" s="734"/>
      <c r="BQ548" s="1056">
        <f t="shared" si="607"/>
        <v>0</v>
      </c>
      <c r="BR548" s="734"/>
      <c r="BS548" s="28"/>
      <c r="BT548" s="1530"/>
      <c r="BU548" s="28"/>
      <c r="BV548" s="28"/>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c r="CS548"/>
      <c r="CT548"/>
      <c r="CU548"/>
      <c r="CV548"/>
      <c r="CW548"/>
    </row>
    <row r="549" spans="1:101" s="583" customFormat="1" outlineLevel="1">
      <c r="I549" s="597"/>
      <c r="J549" s="248" t="s">
        <v>222</v>
      </c>
      <c r="K549" s="28"/>
      <c r="L549" s="28"/>
      <c r="M549" s="28"/>
      <c r="N549" s="1525"/>
      <c r="O549" s="1525"/>
      <c r="P549" s="1526">
        <v>5025.3249999999998</v>
      </c>
      <c r="Q549" s="1526">
        <v>5654.991</v>
      </c>
      <c r="R549" s="1526">
        <v>6251.8689999999997</v>
      </c>
      <c r="S549" s="1402">
        <v>47131.171999999999</v>
      </c>
      <c r="T549" s="1402">
        <v>48393.125999999997</v>
      </c>
      <c r="U549" s="1402">
        <v>59258.417000000001</v>
      </c>
      <c r="V549" s="1517">
        <f>U549+V429</f>
        <v>59258.417000000001</v>
      </c>
      <c r="W549" s="1517">
        <f t="shared" ref="W549:AD549" si="608">V549+W429</f>
        <v>59258.417000000001</v>
      </c>
      <c r="X549" s="1517">
        <f t="shared" si="608"/>
        <v>59258.417000000001</v>
      </c>
      <c r="Y549" s="1517">
        <f t="shared" si="608"/>
        <v>59258.417000000001</v>
      </c>
      <c r="Z549" s="1517">
        <f t="shared" si="608"/>
        <v>59258.417000000001</v>
      </c>
      <c r="AA549" s="1517">
        <f t="shared" si="608"/>
        <v>59258.417000000001</v>
      </c>
      <c r="AB549" s="1517">
        <f t="shared" si="608"/>
        <v>59258.417000000001</v>
      </c>
      <c r="AC549" s="1517">
        <f t="shared" si="608"/>
        <v>59258.417000000001</v>
      </c>
      <c r="AD549" s="1517">
        <f t="shared" si="608"/>
        <v>59258.417000000001</v>
      </c>
      <c r="AE549" s="1527"/>
      <c r="AF549" s="1528"/>
      <c r="AG549" s="83"/>
      <c r="AH549" s="28"/>
      <c r="AI549" s="28"/>
      <c r="AJ549" s="28"/>
      <c r="AK549" s="28"/>
      <c r="AL549" s="1795"/>
      <c r="AM549" s="219"/>
      <c r="AN549" s="219"/>
      <c r="AO549" s="477"/>
      <c r="AP549" s="1743"/>
      <c r="AQ549" s="477"/>
      <c r="AR549" s="477"/>
      <c r="AS549" s="477"/>
      <c r="AT549" s="1743"/>
      <c r="AU549" s="477"/>
      <c r="AV549" s="477"/>
      <c r="AW549" s="477"/>
      <c r="AX549" s="1728"/>
      <c r="AY549" s="840">
        <v>46769.696000000004</v>
      </c>
      <c r="AZ549" s="840">
        <v>46938.632000000005</v>
      </c>
      <c r="BA549" s="1269">
        <v>47131.171999999999</v>
      </c>
      <c r="BB549" s="1421">
        <v>47320.803999999996</v>
      </c>
      <c r="BC549" s="1269">
        <v>47592.597999999998</v>
      </c>
      <c r="BD549" s="1269">
        <v>47901.65</v>
      </c>
      <c r="BE549" s="1269">
        <v>48393.125999999997</v>
      </c>
      <c r="BF549" s="1421">
        <v>48838.972000000002</v>
      </c>
      <c r="BG549" s="1269">
        <v>58192.222999999998</v>
      </c>
      <c r="BH549" s="1269">
        <v>58663.555999999997</v>
      </c>
      <c r="BI549" s="1269">
        <v>59258.417000000001</v>
      </c>
      <c r="BJ549" s="1421">
        <v>60428.627</v>
      </c>
      <c r="BK549" s="1269"/>
      <c r="BL549" s="1269"/>
      <c r="BM549" s="1269"/>
      <c r="BN549" s="817"/>
      <c r="BO549" s="618"/>
      <c r="BP549" s="618"/>
      <c r="BQ549" s="1056">
        <f t="shared" si="607"/>
        <v>59258.417000000001</v>
      </c>
      <c r="BR549" s="734"/>
      <c r="BS549" s="28"/>
      <c r="BT549" s="1530"/>
      <c r="BU549" s="28"/>
      <c r="BV549" s="28"/>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c r="CS549"/>
      <c r="CT549"/>
      <c r="CU549"/>
      <c r="CV549"/>
      <c r="CW549"/>
    </row>
    <row r="550" spans="1:101" s="583" customFormat="1" outlineLevel="1">
      <c r="I550" s="597"/>
      <c r="J550" s="248" t="s">
        <v>73</v>
      </c>
      <c r="K550" s="28"/>
      <c r="L550" s="28"/>
      <c r="M550" s="28"/>
      <c r="N550" s="1525"/>
      <c r="O550" s="1525"/>
      <c r="P550" s="1526">
        <v>-146.375</v>
      </c>
      <c r="Q550" s="1526">
        <v>-153.92099999999999</v>
      </c>
      <c r="R550" s="1526">
        <v>-268.61799999999999</v>
      </c>
      <c r="S550" s="1402">
        <v>-376.125</v>
      </c>
      <c r="T550" s="1402">
        <v>782.48400000000004</v>
      </c>
      <c r="U550" s="1402">
        <v>1543.393</v>
      </c>
      <c r="V550" s="1517">
        <f>U550</f>
        <v>1543.393</v>
      </c>
      <c r="W550" s="1517">
        <f t="shared" ref="W550:AD550" si="609">V550</f>
        <v>1543.393</v>
      </c>
      <c r="X550" s="1517">
        <f t="shared" si="609"/>
        <v>1543.393</v>
      </c>
      <c r="Y550" s="1517">
        <f t="shared" si="609"/>
        <v>1543.393</v>
      </c>
      <c r="Z550" s="1517">
        <f t="shared" si="609"/>
        <v>1543.393</v>
      </c>
      <c r="AA550" s="1517">
        <f t="shared" si="609"/>
        <v>1543.393</v>
      </c>
      <c r="AB550" s="1517">
        <f t="shared" si="609"/>
        <v>1543.393</v>
      </c>
      <c r="AC550" s="1517">
        <f t="shared" si="609"/>
        <v>1543.393</v>
      </c>
      <c r="AD550" s="1517">
        <f t="shared" si="609"/>
        <v>1543.393</v>
      </c>
      <c r="AE550" s="1527"/>
      <c r="AF550" s="1528"/>
      <c r="AG550" s="83"/>
      <c r="AH550" s="28"/>
      <c r="AI550" s="28"/>
      <c r="AJ550" s="28"/>
      <c r="AK550" s="28"/>
      <c r="AL550" s="1795"/>
      <c r="AM550" s="219"/>
      <c r="AN550" s="219"/>
      <c r="AO550" s="477"/>
      <c r="AP550" s="1743"/>
      <c r="AQ550" s="477"/>
      <c r="AR550" s="477"/>
      <c r="AS550" s="477"/>
      <c r="AT550" s="1743"/>
      <c r="AU550" s="477"/>
      <c r="AV550" s="477"/>
      <c r="AW550" s="477"/>
      <c r="AX550" s="1728"/>
      <c r="AY550" s="840">
        <v>-295.73700000000002</v>
      </c>
      <c r="AZ550" s="840">
        <v>-279.49</v>
      </c>
      <c r="BA550" s="1269">
        <v>-376.125</v>
      </c>
      <c r="BB550" s="1421">
        <v>-317.45100000000002</v>
      </c>
      <c r="BC550" s="1269">
        <v>-402.709</v>
      </c>
      <c r="BD550" s="1269">
        <v>-127.358</v>
      </c>
      <c r="BE550" s="1269">
        <v>782.48400000000004</v>
      </c>
      <c r="BF550" s="1421">
        <v>509.34199999999998</v>
      </c>
      <c r="BG550" s="1269">
        <v>939.78499999999997</v>
      </c>
      <c r="BH550" s="1269">
        <v>1378.39</v>
      </c>
      <c r="BI550" s="1269">
        <v>1969.04</v>
      </c>
      <c r="BJ550" s="1421">
        <v>1635.78</v>
      </c>
      <c r="BK550" s="1269"/>
      <c r="BL550" s="1269"/>
      <c r="BM550" s="1269"/>
      <c r="BN550" s="817"/>
      <c r="BO550" s="618"/>
      <c r="BP550" s="618"/>
      <c r="BQ550" s="1056">
        <f t="shared" si="607"/>
        <v>1543.393</v>
      </c>
      <c r="BR550" s="734"/>
      <c r="BS550" s="28"/>
      <c r="BT550" s="1530"/>
      <c r="BU550" s="28"/>
      <c r="BV550" s="28"/>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c r="CS550"/>
      <c r="CT550"/>
      <c r="CU550"/>
      <c r="CV550"/>
      <c r="CW550"/>
    </row>
    <row r="551" spans="1:101" s="583" customFormat="1" outlineLevel="1">
      <c r="I551" s="597"/>
      <c r="J551" s="248" t="s">
        <v>74</v>
      </c>
      <c r="K551" s="28"/>
      <c r="L551" s="28"/>
      <c r="M551" s="28"/>
      <c r="N551" s="1525"/>
      <c r="O551" s="1525"/>
      <c r="P551" s="1526">
        <v>-2481.6039999999998</v>
      </c>
      <c r="Q551" s="1526">
        <v>-4212.915</v>
      </c>
      <c r="R551" s="1526">
        <v>-4263.6239999999998</v>
      </c>
      <c r="S551" s="1402">
        <v>-9272.3430000000008</v>
      </c>
      <c r="T551" s="1402">
        <v>-18690.91</v>
      </c>
      <c r="U551" s="1402">
        <v>-21860.345000000001</v>
      </c>
      <c r="V551" s="1013">
        <f>U551+V425+V357</f>
        <v>-19098.916000000048</v>
      </c>
      <c r="W551" s="1013">
        <f t="shared" ref="W551:AD551" si="610">V551+W425+W357</f>
        <v>-13870.896915401327</v>
      </c>
      <c r="X551" s="1013">
        <f t="shared" ca="1" si="610"/>
        <v>-2728.5517698368581</v>
      </c>
      <c r="Y551" s="1013">
        <f t="shared" ca="1" si="610"/>
        <v>15484.243805261593</v>
      </c>
      <c r="Z551" s="1013">
        <f t="shared" ca="1" si="610"/>
        <v>42445.896596670253</v>
      </c>
      <c r="AA551" s="1013">
        <f t="shared" ca="1" si="610"/>
        <v>78094.98498828568</v>
      </c>
      <c r="AB551" s="1013">
        <f t="shared" ca="1" si="610"/>
        <v>123429.1645736997</v>
      </c>
      <c r="AC551" s="1013">
        <f t="shared" ca="1" si="610"/>
        <v>179728.46745645895</v>
      </c>
      <c r="AD551" s="1013">
        <f t="shared" ca="1" si="610"/>
        <v>246247.81246925259</v>
      </c>
      <c r="AE551" s="1527"/>
      <c r="AF551" s="1528"/>
      <c r="AG551" s="83"/>
      <c r="AH551" s="28"/>
      <c r="AI551" s="28"/>
      <c r="AJ551" s="28"/>
      <c r="AK551" s="28"/>
      <c r="AL551" s="1795"/>
      <c r="AM551" s="219"/>
      <c r="AN551" s="219"/>
      <c r="AO551" s="477"/>
      <c r="AP551" s="1743"/>
      <c r="AQ551" s="477"/>
      <c r="AR551" s="477"/>
      <c r="AS551" s="477"/>
      <c r="AT551" s="1743"/>
      <c r="AU551" s="477"/>
      <c r="AV551" s="477"/>
      <c r="AW551" s="477"/>
      <c r="AX551" s="1637"/>
      <c r="AY551" s="842">
        <v>-8641.3019999999997</v>
      </c>
      <c r="AZ551" s="842">
        <v>-8805.66</v>
      </c>
      <c r="BA551" s="1269">
        <v>-9272.3430000000008</v>
      </c>
      <c r="BB551" s="1421">
        <v>-9982.5529999999999</v>
      </c>
      <c r="BC551" s="1269">
        <v>-10492.975</v>
      </c>
      <c r="BD551" s="1269">
        <v>-11023.972</v>
      </c>
      <c r="BE551" s="1269">
        <v>-18690.91</v>
      </c>
      <c r="BF551" s="1421">
        <v>-19600.702000000001</v>
      </c>
      <c r="BG551" s="1269">
        <v>-19678.613000000001</v>
      </c>
      <c r="BH551" s="1269">
        <v>-20466.393</v>
      </c>
      <c r="BI551" s="1269">
        <v>-22190.445</v>
      </c>
      <c r="BJ551" s="1421">
        <v>-21482.144</v>
      </c>
      <c r="BK551" s="1269"/>
      <c r="BL551" s="1269"/>
      <c r="BM551" s="1269"/>
      <c r="BN551" s="1634"/>
      <c r="BO551" s="894"/>
      <c r="BP551" s="894"/>
      <c r="BQ551" s="1056">
        <f t="shared" si="607"/>
        <v>-13870.896915401327</v>
      </c>
      <c r="BR551" s="734"/>
      <c r="BS551" s="28"/>
      <c r="BT551" s="1530"/>
      <c r="BU551" s="28"/>
      <c r="BV551" s="28"/>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c r="CS551"/>
      <c r="CT551"/>
      <c r="CU551"/>
      <c r="CV551"/>
      <c r="CW551"/>
    </row>
    <row r="552" spans="1:101" s="583" customFormat="1" outlineLevel="1">
      <c r="I552" s="597"/>
      <c r="J552" s="248" t="s">
        <v>267</v>
      </c>
      <c r="K552" s="28"/>
      <c r="L552" s="28"/>
      <c r="M552" s="28"/>
      <c r="N552" s="1525"/>
      <c r="O552" s="1525"/>
      <c r="P552" s="1526">
        <v>0</v>
      </c>
      <c r="Q552" s="1526">
        <v>1.8380000000000001</v>
      </c>
      <c r="R552" s="1526">
        <v>2.6480000000000001</v>
      </c>
      <c r="S552" s="1402">
        <v>15.009</v>
      </c>
      <c r="T552" s="1402">
        <v>55.56</v>
      </c>
      <c r="U552" s="1402">
        <v>132.93799999999999</v>
      </c>
      <c r="V552" s="1010">
        <f t="shared" ref="V552:AD552" si="611">U552</f>
        <v>132.93799999999999</v>
      </c>
      <c r="W552" s="1010">
        <f t="shared" si="611"/>
        <v>132.93799999999999</v>
      </c>
      <c r="X552" s="1010">
        <f t="shared" si="611"/>
        <v>132.93799999999999</v>
      </c>
      <c r="Y552" s="1010">
        <f t="shared" si="611"/>
        <v>132.93799999999999</v>
      </c>
      <c r="Z552" s="1010">
        <f t="shared" si="611"/>
        <v>132.93799999999999</v>
      </c>
      <c r="AA552" s="1010">
        <f t="shared" si="611"/>
        <v>132.93799999999999</v>
      </c>
      <c r="AB552" s="1010">
        <f t="shared" si="611"/>
        <v>132.93799999999999</v>
      </c>
      <c r="AC552" s="1010">
        <f t="shared" si="611"/>
        <v>132.93799999999999</v>
      </c>
      <c r="AD552" s="1010">
        <f t="shared" si="611"/>
        <v>132.93799999999999</v>
      </c>
      <c r="AE552" s="1527"/>
      <c r="AF552" s="1528"/>
      <c r="AG552" s="83"/>
      <c r="AH552" s="28"/>
      <c r="AI552" s="28"/>
      <c r="AJ552" s="28"/>
      <c r="AK552" s="28"/>
      <c r="AL552" s="1795"/>
      <c r="AM552" s="219"/>
      <c r="AN552" s="219"/>
      <c r="AO552" s="477"/>
      <c r="AP552" s="1743"/>
      <c r="AQ552" s="477"/>
      <c r="AR552" s="477"/>
      <c r="AS552" s="477"/>
      <c r="AT552" s="1743"/>
      <c r="AU552" s="477"/>
      <c r="AV552" s="477"/>
      <c r="AW552" s="477"/>
      <c r="AX552" s="1637"/>
      <c r="AY552" s="842">
        <v>2.6480000000000001</v>
      </c>
      <c r="AZ552" s="842">
        <v>2.6480000000000001</v>
      </c>
      <c r="BA552" s="1269">
        <v>15.009</v>
      </c>
      <c r="BB552" s="1421">
        <v>15.009</v>
      </c>
      <c r="BC552" s="1269">
        <v>15.009</v>
      </c>
      <c r="BD552" s="1269">
        <v>15.204000000000001</v>
      </c>
      <c r="BE552" s="1269">
        <v>55.56</v>
      </c>
      <c r="BF552" s="1421">
        <v>55.56</v>
      </c>
      <c r="BG552" s="1269">
        <v>55.56</v>
      </c>
      <c r="BH552" s="1269">
        <v>55.56</v>
      </c>
      <c r="BI552" s="1269">
        <v>132.93799999999999</v>
      </c>
      <c r="BJ552" s="1421">
        <v>132.93799999999999</v>
      </c>
      <c r="BK552" s="1269"/>
      <c r="BL552" s="1269"/>
      <c r="BM552" s="1269"/>
      <c r="BN552" s="1634"/>
      <c r="BO552" s="894"/>
      <c r="BP552" s="894"/>
      <c r="BQ552" s="1056">
        <f t="shared" si="607"/>
        <v>132.93799999999999</v>
      </c>
      <c r="BR552" s="734"/>
      <c r="BS552" s="28"/>
      <c r="BT552" s="1530"/>
      <c r="BU552" s="28"/>
      <c r="BV552" s="28"/>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c r="CS552"/>
      <c r="CT552"/>
      <c r="CU552"/>
      <c r="CV552"/>
      <c r="CW552"/>
    </row>
    <row r="553" spans="1:101" s="583" customFormat="1" outlineLevel="1">
      <c r="I553" s="597"/>
      <c r="J553" s="1305" t="s">
        <v>606</v>
      </c>
      <c r="K553" s="28"/>
      <c r="L553" s="28"/>
      <c r="M553" s="28"/>
      <c r="N553" s="1525"/>
      <c r="O553" s="1525"/>
      <c r="P553" s="1526">
        <v>-11.712</v>
      </c>
      <c r="Q553" s="1526">
        <v>-7.7809999999999997</v>
      </c>
      <c r="R553" s="1526">
        <v>0</v>
      </c>
      <c r="S553" s="1402">
        <v>-4.0000000000000001E-3</v>
      </c>
      <c r="T553" s="1402">
        <v>-3.0000000000000001E-3</v>
      </c>
      <c r="U553" s="1402">
        <v>-5181.88</v>
      </c>
      <c r="V553" s="1010">
        <f t="shared" ref="V553:AD553" si="612">U553</f>
        <v>-5181.88</v>
      </c>
      <c r="W553" s="1010">
        <f t="shared" si="612"/>
        <v>-5181.88</v>
      </c>
      <c r="X553" s="1010">
        <f t="shared" si="612"/>
        <v>-5181.88</v>
      </c>
      <c r="Y553" s="1010">
        <f t="shared" si="612"/>
        <v>-5181.88</v>
      </c>
      <c r="Z553" s="1010">
        <f t="shared" si="612"/>
        <v>-5181.88</v>
      </c>
      <c r="AA553" s="1010">
        <f t="shared" si="612"/>
        <v>-5181.88</v>
      </c>
      <c r="AB553" s="1010">
        <f t="shared" si="612"/>
        <v>-5181.88</v>
      </c>
      <c r="AC553" s="1010">
        <f t="shared" si="612"/>
        <v>-5181.88</v>
      </c>
      <c r="AD553" s="1010">
        <f t="shared" si="612"/>
        <v>-5181.88</v>
      </c>
      <c r="AE553" s="1527"/>
      <c r="AF553" s="1528"/>
      <c r="AG553" s="83"/>
      <c r="AH553" s="28"/>
      <c r="AI553" s="28"/>
      <c r="AJ553" s="28"/>
      <c r="AK553" s="28"/>
      <c r="AL553" s="1795"/>
      <c r="AM553" s="219"/>
      <c r="AN553" s="219"/>
      <c r="AO553" s="477"/>
      <c r="AP553" s="1743"/>
      <c r="AQ553" s="477"/>
      <c r="AR553" s="477"/>
      <c r="AS553" s="477"/>
      <c r="AT553" s="1743"/>
      <c r="AU553" s="477"/>
      <c r="AV553" s="477"/>
      <c r="AW553" s="477"/>
      <c r="AX553" s="1637"/>
      <c r="AY553" s="838"/>
      <c r="AZ553" s="838"/>
      <c r="BA553" s="1269">
        <v>-4.0000000000000001E-3</v>
      </c>
      <c r="BB553" s="1421">
        <v>-3.0000000000000001E-3</v>
      </c>
      <c r="BC553" s="1269">
        <v>-3.0000000000000001E-3</v>
      </c>
      <c r="BD553" s="1269">
        <v>-3.0000000000000001E-3</v>
      </c>
      <c r="BE553" s="1269">
        <v>-3.0000000000000001E-3</v>
      </c>
      <c r="BF553" s="1421">
        <v>-3.0000000000000001E-3</v>
      </c>
      <c r="BG553" s="1269">
        <v>-338.86399999999998</v>
      </c>
      <c r="BH553" s="1269">
        <v>-4367.3469999999998</v>
      </c>
      <c r="BI553" s="1269">
        <f>(34162.862-SUM(BI549:BI552)-BI555)</f>
        <v>-5277.0500000000029</v>
      </c>
      <c r="BJ553" s="1421">
        <v>-5100.1980000000003</v>
      </c>
      <c r="BK553" s="833"/>
      <c r="BL553" s="833"/>
      <c r="BM553" s="833"/>
      <c r="BN553" s="1634"/>
      <c r="BO553" s="894"/>
      <c r="BP553" s="894"/>
      <c r="BQ553" s="1056">
        <f t="shared" si="607"/>
        <v>-5181.88</v>
      </c>
      <c r="BR553" s="734"/>
      <c r="BS553" s="28"/>
      <c r="BT553" s="1530"/>
      <c r="BU553" s="28"/>
      <c r="BV553" s="28"/>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c r="CS553"/>
      <c r="CT553"/>
      <c r="CU553"/>
      <c r="CV553"/>
      <c r="CW553"/>
    </row>
    <row r="554" spans="1:101" s="583" customFormat="1" outlineLevel="1">
      <c r="I554" s="597"/>
      <c r="J554" s="1041" t="s">
        <v>628</v>
      </c>
      <c r="K554" s="28"/>
      <c r="L554" s="28"/>
      <c r="M554" s="28"/>
      <c r="N554" s="1525"/>
      <c r="O554" s="1525"/>
      <c r="P554" s="1526">
        <v>15.327</v>
      </c>
      <c r="Q554" s="1526">
        <v>0</v>
      </c>
      <c r="R554" s="1526">
        <v>0</v>
      </c>
      <c r="S554" s="1041"/>
      <c r="T554" s="1041"/>
      <c r="U554" s="1041"/>
      <c r="V554" s="1041">
        <f>V556-SUM(V546:V553)-V555</f>
        <v>15386.862000000048</v>
      </c>
      <c r="W554" s="1816">
        <v>19334.635000000068</v>
      </c>
      <c r="X554" s="1816">
        <v>19334.635000000068</v>
      </c>
      <c r="Y554" s="1816">
        <v>22846.079635609989</v>
      </c>
      <c r="Z554" s="1816">
        <v>26295.990488259471</v>
      </c>
      <c r="AA554" s="1816">
        <v>29635.539058075461</v>
      </c>
      <c r="AB554" s="1816">
        <v>33258.75797128916</v>
      </c>
      <c r="AC554" s="1816">
        <v>37135.732587345585</v>
      </c>
      <c r="AD554" s="1816">
        <v>41187.289371213526</v>
      </c>
      <c r="AE554" s="1527"/>
      <c r="AF554" s="1528"/>
      <c r="AG554" s="83"/>
      <c r="AH554" s="28"/>
      <c r="AI554" s="28"/>
      <c r="AJ554" s="28"/>
      <c r="AK554" s="28"/>
      <c r="AL554" s="1795"/>
      <c r="AM554" s="219"/>
      <c r="AN554" s="219"/>
      <c r="AO554" s="477"/>
      <c r="AP554" s="1743"/>
      <c r="AQ554" s="477"/>
      <c r="AR554" s="477"/>
      <c r="AS554" s="477"/>
      <c r="AT554" s="1743"/>
      <c r="AU554" s="477"/>
      <c r="AV554" s="477"/>
      <c r="AW554" s="477"/>
      <c r="AX554" s="1637"/>
      <c r="AY554" s="838"/>
      <c r="AZ554" s="838"/>
      <c r="BA554" s="1269"/>
      <c r="BB554" s="1421"/>
      <c r="BC554" s="1269"/>
      <c r="BD554" s="1404"/>
      <c r="BE554" s="1404"/>
      <c r="BF554" s="1614"/>
      <c r="BG554" s="1420"/>
      <c r="BH554" s="1420"/>
      <c r="BI554" s="1062"/>
      <c r="BJ554" s="1637"/>
      <c r="BK554" s="838"/>
      <c r="BL554" s="838"/>
      <c r="BM554" s="838"/>
      <c r="BN554" s="1637"/>
      <c r="BO554" s="838"/>
      <c r="BP554" s="838"/>
      <c r="BQ554" s="1056">
        <f t="shared" si="607"/>
        <v>19334.635000000068</v>
      </c>
      <c r="BR554" s="734"/>
      <c r="BS554" s="28"/>
      <c r="BT554" s="1530"/>
      <c r="BU554" s="28"/>
      <c r="BV554" s="28"/>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c r="CS554"/>
      <c r="CT554"/>
      <c r="CU554"/>
      <c r="CV554"/>
      <c r="CW554"/>
    </row>
    <row r="555" spans="1:101" s="583" customFormat="1" outlineLevel="1">
      <c r="I555" s="597"/>
      <c r="J555" s="248" t="s">
        <v>90</v>
      </c>
      <c r="K555" s="28"/>
      <c r="L555" s="28"/>
      <c r="M555" s="28"/>
      <c r="N555" s="1013"/>
      <c r="O555" s="1013"/>
      <c r="P555" s="1013"/>
      <c r="Q555" s="1013"/>
      <c r="R555" s="1013"/>
      <c r="S555" s="1045"/>
      <c r="T555" s="1416">
        <v>137.833</v>
      </c>
      <c r="U555" s="1416">
        <v>269.96199999999999</v>
      </c>
      <c r="V555" s="1416">
        <v>347.88900000000001</v>
      </c>
      <c r="W555" s="1023">
        <f t="shared" ref="W555:AD555" si="613">V555</f>
        <v>347.88900000000001</v>
      </c>
      <c r="X555" s="1023">
        <f t="shared" si="613"/>
        <v>347.88900000000001</v>
      </c>
      <c r="Y555" s="1023">
        <f t="shared" si="613"/>
        <v>347.88900000000001</v>
      </c>
      <c r="Z555" s="1023">
        <f t="shared" si="613"/>
        <v>347.88900000000001</v>
      </c>
      <c r="AA555" s="1023">
        <f t="shared" si="613"/>
        <v>347.88900000000001</v>
      </c>
      <c r="AB555" s="1023">
        <f t="shared" si="613"/>
        <v>347.88900000000001</v>
      </c>
      <c r="AC555" s="1023">
        <f t="shared" si="613"/>
        <v>347.88900000000001</v>
      </c>
      <c r="AD555" s="1023">
        <f t="shared" si="613"/>
        <v>347.88900000000001</v>
      </c>
      <c r="AE555" s="1527"/>
      <c r="AF555" s="1528"/>
      <c r="AG555" s="83"/>
      <c r="AH555" s="28"/>
      <c r="AI555" s="28"/>
      <c r="AJ555" s="28"/>
      <c r="AK555" s="28"/>
      <c r="AL555" s="1795"/>
      <c r="AM555" s="219"/>
      <c r="AN555" s="219"/>
      <c r="AO555" s="477"/>
      <c r="AP555" s="1743"/>
      <c r="AQ555" s="477"/>
      <c r="AR555" s="477"/>
      <c r="AS555" s="477"/>
      <c r="AT555" s="1743"/>
      <c r="AU555" s="477"/>
      <c r="AV555" s="477"/>
      <c r="AW555" s="477"/>
      <c r="AX555" s="1708"/>
      <c r="AY555" s="1063"/>
      <c r="AZ555" s="1063"/>
      <c r="BA555" s="1406"/>
      <c r="BB555" s="1466"/>
      <c r="BC555" s="1406"/>
      <c r="BD555" s="1406">
        <v>-4.08</v>
      </c>
      <c r="BE555" s="1406">
        <v>137.833</v>
      </c>
      <c r="BF555" s="1466">
        <v>144.07900000000001</v>
      </c>
      <c r="BG555" s="1406">
        <v>151.149</v>
      </c>
      <c r="BH555" s="1406">
        <v>130.988</v>
      </c>
      <c r="BI555" s="1406">
        <v>269.96199999999999</v>
      </c>
      <c r="BJ555" s="1466">
        <v>258.709</v>
      </c>
      <c r="BK555" s="1406">
        <v>299.774</v>
      </c>
      <c r="BL555" s="1406">
        <v>329.01400000000001</v>
      </c>
      <c r="BM555" s="1406">
        <v>347.88900000000001</v>
      </c>
      <c r="BN555" s="1634"/>
      <c r="BO555" s="894"/>
      <c r="BP555" s="894"/>
      <c r="BQ555" s="1056">
        <f t="shared" si="607"/>
        <v>347.88900000000001</v>
      </c>
      <c r="BR555" s="734"/>
      <c r="BS555" s="28"/>
      <c r="BT555" s="1530"/>
      <c r="BU555" s="28"/>
      <c r="BV555" s="28"/>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c r="CS555"/>
      <c r="CT555"/>
      <c r="CU555"/>
      <c r="CV555"/>
      <c r="CW555"/>
    </row>
    <row r="556" spans="1:101" s="642" customFormat="1" outlineLevel="1">
      <c r="H556" s="516"/>
      <c r="I556" s="597"/>
      <c r="J556" s="13" t="s">
        <v>489</v>
      </c>
      <c r="K556" s="13"/>
      <c r="L556" s="13"/>
      <c r="M556" s="13"/>
      <c r="N556" s="1529">
        <f t="shared" ref="N556:U556" si="614">SUM(N546:N555)</f>
        <v>0</v>
      </c>
      <c r="O556" s="1529">
        <f t="shared" si="614"/>
        <v>0</v>
      </c>
      <c r="P556" s="1529">
        <f t="shared" si="614"/>
        <v>2783.3910000000005</v>
      </c>
      <c r="Q556" s="1529">
        <f t="shared" si="614"/>
        <v>1664.6609999999994</v>
      </c>
      <c r="R556" s="1529">
        <f t="shared" si="614"/>
        <v>2066.5649999999996</v>
      </c>
      <c r="S556" s="1531">
        <f t="shared" si="614"/>
        <v>37498.066999999995</v>
      </c>
      <c r="T556" s="1531">
        <f t="shared" si="614"/>
        <v>30678.447999999993</v>
      </c>
      <c r="U556" s="1531">
        <f t="shared" si="614"/>
        <v>34162.862000000008</v>
      </c>
      <c r="V556" s="1547">
        <v>52388.703000000001</v>
      </c>
      <c r="W556" s="1531">
        <f t="shared" ref="W556:AD556" si="615">SUM(W546:W555)</f>
        <v>61564.495084598748</v>
      </c>
      <c r="X556" s="1531">
        <f t="shared" ca="1" si="615"/>
        <v>72706.840230163216</v>
      </c>
      <c r="Y556" s="1531">
        <f t="shared" ca="1" si="615"/>
        <v>94431.080440871563</v>
      </c>
      <c r="Z556" s="1531">
        <f t="shared" ca="1" si="615"/>
        <v>124842.64408492971</v>
      </c>
      <c r="AA556" s="1531">
        <f t="shared" ca="1" si="615"/>
        <v>163831.28104636114</v>
      </c>
      <c r="AB556" s="1531">
        <f t="shared" ca="1" si="615"/>
        <v>212788.67954498885</v>
      </c>
      <c r="AC556" s="1531">
        <f t="shared" ca="1" si="615"/>
        <v>272964.95704380452</v>
      </c>
      <c r="AD556" s="1531">
        <f t="shared" ca="1" si="615"/>
        <v>343535.85884046613</v>
      </c>
      <c r="AE556" s="1527"/>
      <c r="AF556" s="215"/>
      <c r="AG556" s="437"/>
      <c r="AH556" s="172"/>
      <c r="AI556" s="172"/>
      <c r="AJ556" s="172"/>
      <c r="AK556" s="172"/>
      <c r="AL556" s="1761"/>
      <c r="AM556" s="207"/>
      <c r="AN556" s="207"/>
      <c r="AO556" s="477"/>
      <c r="AP556" s="1743"/>
      <c r="AQ556" s="477"/>
      <c r="AR556" s="477"/>
      <c r="AS556" s="477"/>
      <c r="AT556" s="1743"/>
      <c r="AU556" s="477"/>
      <c r="AV556" s="477"/>
      <c r="AW556" s="477"/>
      <c r="AX556" s="1638"/>
      <c r="AY556" s="1359">
        <f t="shared" ref="AY556:BJ556" si="616">SUM(AY546:AY555)</f>
        <v>37835.659</v>
      </c>
      <c r="AZ556" s="1359">
        <f t="shared" si="616"/>
        <v>37856.484000000011</v>
      </c>
      <c r="BA556" s="1359">
        <f t="shared" si="616"/>
        <v>37498.066999999995</v>
      </c>
      <c r="BB556" s="1638">
        <f t="shared" si="616"/>
        <v>37036.163999999997</v>
      </c>
      <c r="BC556" s="1359">
        <f t="shared" si="616"/>
        <v>36712.277999999998</v>
      </c>
      <c r="BD556" s="1359">
        <f t="shared" si="616"/>
        <v>36761.798999999999</v>
      </c>
      <c r="BE556" s="1359">
        <f t="shared" si="616"/>
        <v>30678.447999999993</v>
      </c>
      <c r="BF556" s="1638">
        <f t="shared" si="616"/>
        <v>29947.606</v>
      </c>
      <c r="BG556" s="1058">
        <f t="shared" si="616"/>
        <v>39321.616999999991</v>
      </c>
      <c r="BH556" s="1058">
        <f t="shared" si="616"/>
        <v>35395.130999999987</v>
      </c>
      <c r="BI556" s="1058">
        <f t="shared" si="616"/>
        <v>34163.239000000001</v>
      </c>
      <c r="BJ556" s="1638">
        <f t="shared" si="616"/>
        <v>35874.089000000007</v>
      </c>
      <c r="BK556" s="1548">
        <v>50654.434000000001</v>
      </c>
      <c r="BL556" s="1548">
        <v>51825.527999999998</v>
      </c>
      <c r="BM556" s="1548">
        <v>52388.703000000001</v>
      </c>
      <c r="BN556" s="1672">
        <f>BM556+($BQ$556-$BM$556)/4</f>
        <v>54682.651021149686</v>
      </c>
      <c r="BO556" s="1549">
        <f>BN556+($BQ$556-$BM$556)/4</f>
        <v>56976.599042299371</v>
      </c>
      <c r="BP556" s="1549">
        <f>BO556+($BQ$556-$BM$556)/4</f>
        <v>59270.547063449056</v>
      </c>
      <c r="BQ556" s="1550">
        <f t="shared" si="607"/>
        <v>61564.495084598748</v>
      </c>
      <c r="BR556" s="734"/>
      <c r="BS556" s="28"/>
      <c r="BT556" s="1530"/>
      <c r="BU556" s="28"/>
      <c r="BV556" s="28"/>
      <c r="BW556" s="538"/>
      <c r="BX556" s="538"/>
      <c r="BY556" s="538"/>
      <c r="BZ556" s="538"/>
      <c r="CA556" s="538"/>
      <c r="CB556" s="538"/>
      <c r="CC556" s="538"/>
      <c r="CD556" s="538"/>
      <c r="CE556" s="538"/>
      <c r="CF556" s="538"/>
      <c r="CG556" s="538"/>
      <c r="CH556" s="538"/>
      <c r="CI556" s="538"/>
      <c r="CJ556" s="538"/>
      <c r="CK556" s="538"/>
      <c r="CL556" s="538"/>
      <c r="CM556" s="538"/>
      <c r="CN556" s="538"/>
      <c r="CO556" s="538"/>
      <c r="CP556" s="538"/>
      <c r="CQ556" s="538"/>
      <c r="CR556"/>
      <c r="CS556"/>
      <c r="CT556"/>
      <c r="CU556"/>
      <c r="CV556"/>
      <c r="CW556"/>
    </row>
    <row r="557" spans="1:101" s="642" customFormat="1" outlineLevel="1">
      <c r="I557" s="597"/>
      <c r="J557" s="13" t="s">
        <v>268</v>
      </c>
      <c r="K557" s="13"/>
      <c r="L557" s="13"/>
      <c r="M557" s="13"/>
      <c r="N557" s="1529">
        <f t="shared" ref="N557:AD557" si="617">N540+N556+N543</f>
        <v>0</v>
      </c>
      <c r="O557" s="1529">
        <f t="shared" si="617"/>
        <v>0</v>
      </c>
      <c r="P557" s="1529">
        <f t="shared" si="617"/>
        <v>10578.969000000001</v>
      </c>
      <c r="Q557" s="1529">
        <f t="shared" si="617"/>
        <v>17886.054</v>
      </c>
      <c r="R557" s="1529">
        <f t="shared" si="617"/>
        <v>26009.811999999998</v>
      </c>
      <c r="S557" s="1551">
        <f t="shared" si="617"/>
        <v>66493.171999999991</v>
      </c>
      <c r="T557" s="1551">
        <f t="shared" si="617"/>
        <v>85166.168999999994</v>
      </c>
      <c r="U557" s="1551">
        <f t="shared" si="617"/>
        <v>160373.51800000001</v>
      </c>
      <c r="V557" s="1551">
        <f t="shared" si="617"/>
        <v>184054.96599999999</v>
      </c>
      <c r="W557" s="1551">
        <f t="shared" si="617"/>
        <v>201528.13113898638</v>
      </c>
      <c r="X557" s="1551">
        <f t="shared" ca="1" si="617"/>
        <v>239229.86775879381</v>
      </c>
      <c r="Y557" s="1551">
        <f t="shared" ca="1" si="617"/>
        <v>285115.03119796724</v>
      </c>
      <c r="Z557" s="1551">
        <f t="shared" ca="1" si="617"/>
        <v>336161.97079126444</v>
      </c>
      <c r="AA557" s="1551">
        <f t="shared" ca="1" si="617"/>
        <v>388759.49190223392</v>
      </c>
      <c r="AB557" s="1551">
        <f t="shared" ca="1" si="617"/>
        <v>452353.30237394944</v>
      </c>
      <c r="AC557" s="1551">
        <f t="shared" ca="1" si="617"/>
        <v>528114.39779783657</v>
      </c>
      <c r="AD557" s="1551">
        <f t="shared" ca="1" si="617"/>
        <v>616406.66007198766</v>
      </c>
      <c r="AE557" s="1527"/>
      <c r="AF557" s="215"/>
      <c r="AG557" s="538"/>
      <c r="AH557" s="172"/>
      <c r="AI557" s="172"/>
      <c r="AJ557" s="172"/>
      <c r="AK557" s="172"/>
      <c r="AL557" s="1761"/>
      <c r="AM557" s="207"/>
      <c r="AN557" s="207"/>
      <c r="AO557" s="477"/>
      <c r="AP557" s="1743"/>
      <c r="AQ557" s="477"/>
      <c r="AR557" s="477"/>
      <c r="AS557" s="477"/>
      <c r="AT557" s="1743"/>
      <c r="AU557" s="477"/>
      <c r="AV557" s="477"/>
      <c r="AW557" s="477"/>
      <c r="AX557" s="1613"/>
      <c r="AY557" s="1355">
        <f t="shared" ref="AY557:BE557" si="618">SUM(AY556,AY540,AY543)</f>
        <v>63876.445999999996</v>
      </c>
      <c r="AZ557" s="1355">
        <f t="shared" si="618"/>
        <v>65948.857000000004</v>
      </c>
      <c r="BA557" s="1355">
        <f t="shared" si="618"/>
        <v>66493.171999999991</v>
      </c>
      <c r="BB557" s="1613">
        <f t="shared" si="618"/>
        <v>70535.827999999994</v>
      </c>
      <c r="BC557" s="1355">
        <f t="shared" si="618"/>
        <v>81244.122999999992</v>
      </c>
      <c r="BD557" s="1355">
        <f t="shared" si="618"/>
        <v>83072.959999999992</v>
      </c>
      <c r="BE557" s="1355">
        <f t="shared" si="618"/>
        <v>85166.168999999994</v>
      </c>
      <c r="BF557" s="1613">
        <f>SUM(BF556,BF540,BF543,BF544)</f>
        <v>98486.985000000001</v>
      </c>
      <c r="BG557" s="844">
        <f>SUM(BG556,BG540,BG543,BG544)</f>
        <v>136238.90900000001</v>
      </c>
      <c r="BH557" s="844">
        <f>SUM(BH556,BH540,BH543,BH544)</f>
        <v>144209.97700000001</v>
      </c>
      <c r="BI557" s="844">
        <f>SUM(BI556,BI540,BI543,BI544)</f>
        <v>160373.89499999999</v>
      </c>
      <c r="BJ557" s="1613">
        <f>SUM(BJ556,BJ540,BJ543,BJ544)</f>
        <v>170738.38400000002</v>
      </c>
      <c r="BK557" s="1355">
        <f>SUM(BK556,BK540)</f>
        <v>180671.00399999999</v>
      </c>
      <c r="BL557" s="1355">
        <f>SUM(BL556,BL540)</f>
        <v>180429.56099999999</v>
      </c>
      <c r="BM557" s="1355">
        <f>SUM(BM556,BM540,BM543,BM544)</f>
        <v>184054.96599999999</v>
      </c>
      <c r="BN557" s="1613">
        <f>SUM(BN556,BN540,BN543,BN544)</f>
        <v>190080.55159655152</v>
      </c>
      <c r="BO557" s="1355">
        <f>SUM(BO556,BO540,BO543,BO544)</f>
        <v>220645.98639169714</v>
      </c>
      <c r="BP557" s="1355">
        <f>SUM(BP556,BP540,BP543,BP544)</f>
        <v>166391.55947531736</v>
      </c>
      <c r="BQ557" s="1355">
        <f>SUM(BQ556,BQ540,BQ543)</f>
        <v>201528.13113898638</v>
      </c>
      <c r="BR557" s="28"/>
      <c r="BS557" s="28"/>
      <c r="BT557" s="1530"/>
      <c r="BU557" s="28"/>
      <c r="BV557" s="28"/>
      <c r="BW557" s="538"/>
      <c r="BX557" s="538"/>
      <c r="BY557" s="538"/>
      <c r="BZ557" s="538"/>
      <c r="CA557" s="538"/>
      <c r="CB557" s="538"/>
      <c r="CC557" s="538"/>
      <c r="CD557" s="538"/>
      <c r="CE557" s="538"/>
      <c r="CF557" s="538"/>
      <c r="CG557" s="538"/>
      <c r="CH557" s="538"/>
      <c r="CI557" s="538"/>
      <c r="CJ557" s="538"/>
      <c r="CK557" s="538"/>
      <c r="CL557" s="538"/>
      <c r="CM557" s="538"/>
      <c r="CN557" s="538"/>
      <c r="CO557" s="538"/>
      <c r="CP557" s="538"/>
      <c r="CQ557" s="538"/>
      <c r="CR557"/>
      <c r="CS557"/>
      <c r="CT557"/>
      <c r="CU557"/>
      <c r="CV557"/>
      <c r="CW557"/>
    </row>
    <row r="558" spans="1:101" s="826" customFormat="1" outlineLevel="1">
      <c r="I558" s="827"/>
      <c r="J558" s="1037" t="s">
        <v>573</v>
      </c>
      <c r="K558" s="383"/>
      <c r="L558" s="383"/>
      <c r="M558" s="383"/>
      <c r="N558" s="828">
        <f t="shared" ref="N558:AD558" si="619">N518-N557</f>
        <v>0</v>
      </c>
      <c r="O558" s="828">
        <f t="shared" si="619"/>
        <v>0</v>
      </c>
      <c r="P558" s="828">
        <f t="shared" si="619"/>
        <v>0</v>
      </c>
      <c r="Q558" s="828">
        <f t="shared" si="619"/>
        <v>0</v>
      </c>
      <c r="R558" s="828">
        <f t="shared" si="619"/>
        <v>0</v>
      </c>
      <c r="S558" s="828">
        <f t="shared" si="619"/>
        <v>0</v>
      </c>
      <c r="T558" s="1532">
        <f t="shared" si="619"/>
        <v>0</v>
      </c>
      <c r="U558" s="828">
        <f t="shared" si="619"/>
        <v>0</v>
      </c>
      <c r="V558" s="828">
        <f t="shared" si="619"/>
        <v>0</v>
      </c>
      <c r="W558" s="828">
        <f ca="1">W518-W557</f>
        <v>0</v>
      </c>
      <c r="X558" s="828">
        <f t="shared" ca="1" si="619"/>
        <v>0</v>
      </c>
      <c r="Y558" s="828">
        <f t="shared" ca="1" si="619"/>
        <v>0</v>
      </c>
      <c r="Z558" s="828">
        <f t="shared" ca="1" si="619"/>
        <v>0</v>
      </c>
      <c r="AA558" s="828">
        <f t="shared" ca="1" si="619"/>
        <v>0</v>
      </c>
      <c r="AB558" s="828">
        <f t="shared" ca="1" si="619"/>
        <v>0</v>
      </c>
      <c r="AC558" s="828">
        <f t="shared" ca="1" si="619"/>
        <v>0</v>
      </c>
      <c r="AD558" s="828">
        <f t="shared" ca="1" si="619"/>
        <v>0</v>
      </c>
      <c r="AE558" s="829"/>
      <c r="AF558" s="829"/>
      <c r="AG558" s="829"/>
      <c r="AH558" s="830"/>
      <c r="AI558" s="830"/>
      <c r="AJ558" s="830"/>
      <c r="AK558" s="830"/>
      <c r="AL558" s="1650"/>
      <c r="AM558" s="831"/>
      <c r="AN558" s="831"/>
      <c r="AO558" s="474"/>
      <c r="AP558" s="1743"/>
      <c r="AQ558" s="474"/>
      <c r="AR558" s="474"/>
      <c r="AS558" s="474"/>
      <c r="AT558" s="1743"/>
      <c r="AU558" s="474"/>
      <c r="AV558" s="474"/>
      <c r="AW558" s="474"/>
      <c r="AX558" s="1536">
        <f t="shared" ref="AX558:BE558" si="620">AX518-AX540-AX556</f>
        <v>0</v>
      </c>
      <c r="AY558" s="828">
        <f t="shared" si="620"/>
        <v>0</v>
      </c>
      <c r="AZ558" s="828">
        <f t="shared" si="620"/>
        <v>0</v>
      </c>
      <c r="BA558" s="828">
        <f t="shared" si="620"/>
        <v>0</v>
      </c>
      <c r="BB558" s="1536">
        <f t="shared" si="620"/>
        <v>0</v>
      </c>
      <c r="BC558" s="828">
        <f t="shared" si="620"/>
        <v>0</v>
      </c>
      <c r="BD558" s="828">
        <f t="shared" si="620"/>
        <v>0</v>
      </c>
      <c r="BE558" s="828">
        <f t="shared" si="620"/>
        <v>0</v>
      </c>
      <c r="BF558" s="1536">
        <f>BF518-BF540-BF556-BF544</f>
        <v>0</v>
      </c>
      <c r="BG558" s="1533">
        <f>BG518-BG540-BG556-BG544</f>
        <v>-1.0913936421275139E-11</v>
      </c>
      <c r="BH558" s="1533">
        <f>BH518-BH540-BH556-BH544</f>
        <v>-1.2732925824820995E-11</v>
      </c>
      <c r="BI558" s="1534">
        <f>BI518-BI540-BI556-BI544</f>
        <v>-0.37699999996220868</v>
      </c>
      <c r="BJ558" s="1535">
        <f>BJ518-BJ540-BJ556-BJ544</f>
        <v>2.2737367544323206E-11</v>
      </c>
      <c r="BK558" s="828">
        <f>BK518-BK540-BK556</f>
        <v>0</v>
      </c>
      <c r="BL558" s="828">
        <f t="shared" ref="BL558:BQ558" si="621">BL518-BL540-BL556-BL544-BL543</f>
        <v>6.5483618527650833E-11</v>
      </c>
      <c r="BM558" s="828">
        <f t="shared" si="621"/>
        <v>3.637978807091713E-11</v>
      </c>
      <c r="BN558" s="1536">
        <f t="shared" si="621"/>
        <v>2.1827872842550278E-11</v>
      </c>
      <c r="BO558" s="828">
        <f t="shared" si="621"/>
        <v>6.5483618527650833E-11</v>
      </c>
      <c r="BP558" s="828">
        <f t="shared" si="621"/>
        <v>-7.2759576141834259E-12</v>
      </c>
      <c r="BQ558" s="828">
        <f t="shared" ca="1" si="621"/>
        <v>0</v>
      </c>
      <c r="BR558" s="350"/>
      <c r="BS558" s="608"/>
      <c r="BT558" s="832"/>
      <c r="BU558" s="608"/>
      <c r="BV558" s="608"/>
      <c r="BW558" s="829"/>
      <c r="BX558" s="829"/>
      <c r="BY558" s="829"/>
      <c r="BZ558" s="829"/>
      <c r="CA558" s="829"/>
      <c r="CB558" s="829"/>
      <c r="CC558" s="829"/>
      <c r="CD558" s="829"/>
      <c r="CE558" s="829"/>
      <c r="CF558" s="829"/>
      <c r="CG558" s="829"/>
      <c r="CH558" s="829"/>
      <c r="CI558" s="829"/>
      <c r="CJ558" s="829"/>
      <c r="CK558" s="829"/>
      <c r="CL558" s="829"/>
      <c r="CM558" s="829"/>
      <c r="CN558" s="829"/>
      <c r="CO558" s="829"/>
      <c r="CP558" s="829"/>
      <c r="CQ558" s="829"/>
      <c r="CR558"/>
      <c r="CS558"/>
      <c r="CT558"/>
      <c r="CU558"/>
      <c r="CV558"/>
      <c r="CW558"/>
    </row>
    <row r="559" spans="1:101" s="42" customFormat="1" outlineLevel="1">
      <c r="I559" s="587"/>
      <c r="J559" s="11"/>
      <c r="K559" s="11"/>
      <c r="L559" s="11"/>
      <c r="M559" s="11"/>
      <c r="N559" s="11"/>
      <c r="O559" s="215"/>
      <c r="P559" s="215"/>
      <c r="Q559" s="215"/>
      <c r="R559" s="215"/>
      <c r="S559" s="225"/>
      <c r="T559" s="225"/>
      <c r="U559" s="225"/>
      <c r="V559" s="225"/>
      <c r="W559" s="241"/>
      <c r="X559" s="241"/>
      <c r="Y559" s="241"/>
      <c r="Z559" s="241"/>
      <c r="AA559" s="241"/>
      <c r="AB559" s="241"/>
      <c r="AC559" s="241"/>
      <c r="AD559" s="241"/>
      <c r="AE559" s="2"/>
      <c r="AF559" s="2"/>
      <c r="AG559" s="2"/>
      <c r="AH559" s="11"/>
      <c r="AI559" s="11"/>
      <c r="AJ559" s="11"/>
      <c r="AK559" s="11"/>
      <c r="AL559" s="390"/>
      <c r="AM559" s="11"/>
      <c r="AN559" s="11"/>
      <c r="AO559" s="11"/>
      <c r="AP559" s="390"/>
      <c r="AQ559" s="11"/>
      <c r="AR559" s="11"/>
      <c r="AS559" s="11"/>
      <c r="AT559" s="390"/>
      <c r="AU559" s="215"/>
      <c r="AV559" s="11"/>
      <c r="AW559" s="11"/>
      <c r="AX559" s="680"/>
      <c r="AY559" s="535"/>
      <c r="AZ559" s="535"/>
      <c r="BA559" s="535"/>
      <c r="BB559" s="680"/>
      <c r="BC559" s="535"/>
      <c r="BD559" s="535"/>
      <c r="BE559" s="535"/>
      <c r="BF559" s="680"/>
      <c r="BG559" s="797"/>
      <c r="BH559" s="797"/>
      <c r="BI559" s="535"/>
      <c r="BJ559" s="680"/>
      <c r="BK559" s="243"/>
      <c r="BL559" s="243"/>
      <c r="BM559" s="535"/>
      <c r="BN559" s="680"/>
      <c r="BO559" s="535"/>
      <c r="BP559" s="535"/>
      <c r="BQ559" s="535"/>
      <c r="BR559" s="28"/>
      <c r="BS559" s="11"/>
      <c r="BT559" s="204"/>
      <c r="BU559" s="11"/>
      <c r="BV559" s="11"/>
      <c r="BW559" s="2"/>
      <c r="BX559" s="2"/>
      <c r="BY559" s="2"/>
      <c r="BZ559" s="2"/>
      <c r="CA559" s="2"/>
      <c r="CB559" s="2"/>
      <c r="CC559" s="2"/>
      <c r="CD559" s="2"/>
      <c r="CE559" s="2"/>
      <c r="CF559" s="2"/>
      <c r="CG559" s="2"/>
      <c r="CH559" s="2"/>
      <c r="CI559" s="2"/>
      <c r="CJ559" s="2"/>
      <c r="CK559" s="2"/>
      <c r="CL559" s="2"/>
      <c r="CM559" s="2"/>
      <c r="CN559" s="2"/>
      <c r="CO559" s="2"/>
      <c r="CP559" s="2"/>
      <c r="CQ559" s="2"/>
      <c r="CR559"/>
      <c r="CS559"/>
      <c r="CT559"/>
      <c r="CU559"/>
      <c r="CV559"/>
      <c r="CW559"/>
    </row>
    <row r="560" spans="1:101" s="477" customFormat="1" outlineLevel="1">
      <c r="A560" s="583"/>
      <c r="B560" s="583"/>
      <c r="C560" s="583"/>
      <c r="D560" s="583"/>
      <c r="E560" s="583"/>
      <c r="F560" s="583"/>
      <c r="G560" s="583"/>
      <c r="H560" s="563"/>
      <c r="I560" s="588"/>
      <c r="J560" s="823" t="s">
        <v>245</v>
      </c>
      <c r="K560" s="823"/>
      <c r="L560" s="823"/>
      <c r="M560" s="823"/>
      <c r="N560" s="823"/>
      <c r="O560" s="823"/>
      <c r="P560" s="823"/>
      <c r="Q560" s="823"/>
      <c r="R560" s="823"/>
      <c r="S560" s="822"/>
      <c r="T560" s="822"/>
      <c r="U560" s="822"/>
      <c r="V560" s="822"/>
      <c r="W560" s="822"/>
      <c r="X560" s="822"/>
      <c r="Y560" s="822"/>
      <c r="Z560" s="822"/>
      <c r="AA560" s="822"/>
      <c r="AB560" s="822"/>
      <c r="AC560" s="822"/>
      <c r="AD560" s="822"/>
      <c r="AE560" s="480"/>
      <c r="AF560" s="824"/>
      <c r="AG560" s="480"/>
      <c r="AH560" s="823"/>
      <c r="AI560" s="823"/>
      <c r="AJ560" s="823"/>
      <c r="AK560" s="823"/>
      <c r="AL560" s="1744"/>
      <c r="AM560" s="823"/>
      <c r="AN560" s="823"/>
      <c r="AO560" s="823"/>
      <c r="AP560" s="1744"/>
      <c r="AQ560" s="823"/>
      <c r="AR560" s="823"/>
      <c r="AS560" s="823"/>
      <c r="AT560" s="1744"/>
      <c r="AU560" s="823"/>
      <c r="AV560" s="823"/>
      <c r="AW560" s="823"/>
      <c r="AX560" s="1639"/>
      <c r="AY560" s="822"/>
      <c r="AZ560" s="822"/>
      <c r="BA560" s="822"/>
      <c r="BB560" s="1639"/>
      <c r="BC560" s="822"/>
      <c r="BD560" s="822"/>
      <c r="BE560" s="822"/>
      <c r="BF560" s="1639"/>
      <c r="BG560" s="823"/>
      <c r="BH560" s="823"/>
      <c r="BI560" s="822"/>
      <c r="BJ560" s="1639"/>
      <c r="BK560" s="822"/>
      <c r="BL560" s="822"/>
      <c r="BM560" s="822"/>
      <c r="BN560" s="1639"/>
      <c r="BO560" s="822"/>
      <c r="BP560" s="822"/>
      <c r="BQ560" s="822"/>
      <c r="CR560"/>
      <c r="CS560"/>
      <c r="CT560"/>
      <c r="CU560"/>
      <c r="CV560"/>
      <c r="CW560"/>
    </row>
    <row r="561" spans="9:104" s="583" customFormat="1" outlineLevel="1">
      <c r="I561" s="597"/>
      <c r="J561" s="251" t="s">
        <v>26</v>
      </c>
      <c r="K561" s="13"/>
      <c r="L561" s="13"/>
      <c r="M561" s="251"/>
      <c r="N561" s="282"/>
      <c r="O561" s="1077"/>
      <c r="P561" s="1077"/>
      <c r="Q561" s="1077"/>
      <c r="R561" s="1077"/>
      <c r="S561" s="1070"/>
      <c r="T561" s="1070"/>
      <c r="U561" s="1070"/>
      <c r="V561" s="1070"/>
      <c r="W561" s="1070"/>
      <c r="X561" s="1070"/>
      <c r="Y561" s="1070"/>
      <c r="Z561" s="1070"/>
      <c r="AA561" s="1070"/>
      <c r="AB561" s="1070"/>
      <c r="AC561" s="1070"/>
      <c r="AD561" s="1070"/>
      <c r="AE561" s="83"/>
      <c r="AF561" s="83"/>
      <c r="AG561" s="83"/>
      <c r="AH561" s="282"/>
      <c r="AI561" s="282"/>
      <c r="AJ561" s="282"/>
      <c r="AK561" s="282"/>
      <c r="AL561" s="1524"/>
      <c r="AM561" s="282"/>
      <c r="AN561" s="282"/>
      <c r="AO561" s="1077"/>
      <c r="AP561" s="1640"/>
      <c r="AQ561" s="1077"/>
      <c r="AR561" s="1077"/>
      <c r="AS561" s="1077"/>
      <c r="AT561" s="1640"/>
      <c r="AU561" s="1077"/>
      <c r="AV561" s="1077"/>
      <c r="AW561" s="1077"/>
      <c r="AX561" s="1081"/>
      <c r="AY561" s="1008"/>
      <c r="AZ561" s="1008"/>
      <c r="BA561" s="1008"/>
      <c r="BB561" s="1081"/>
      <c r="BC561" s="1077"/>
      <c r="BD561" s="1077"/>
      <c r="BE561" s="1077"/>
      <c r="BF561" s="1640"/>
      <c r="BG561" s="1077"/>
      <c r="BH561" s="1077"/>
      <c r="BI561" s="1077"/>
      <c r="BJ561" s="1640"/>
      <c r="BK561" s="1077"/>
      <c r="BL561" s="1077"/>
      <c r="BM561" s="1077"/>
      <c r="BN561" s="1640"/>
      <c r="BO561" s="1077"/>
      <c r="BP561" s="1077"/>
      <c r="BQ561" s="1077"/>
      <c r="BR561" s="28"/>
      <c r="BS561" s="28"/>
      <c r="BT561" s="28"/>
      <c r="BU561" s="28"/>
      <c r="BV561" s="28"/>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c r="CS561"/>
      <c r="CT561"/>
      <c r="CU561"/>
      <c r="CV561"/>
      <c r="CW561"/>
    </row>
    <row r="562" spans="9:104" s="42" customFormat="1" ht="13.5" outlineLevel="1">
      <c r="I562" s="587"/>
      <c r="J562" s="21"/>
      <c r="K562" s="37"/>
      <c r="L562" s="37" t="s">
        <v>17</v>
      </c>
      <c r="M562" s="37"/>
      <c r="N562" s="309"/>
      <c r="O562" s="1068"/>
      <c r="P562" s="1068"/>
      <c r="Q562" s="1068"/>
      <c r="R562" s="1068"/>
      <c r="S562" s="1069"/>
      <c r="T562" s="1069"/>
      <c r="U562" s="1070"/>
      <c r="V562" s="1070"/>
      <c r="W562" s="1071"/>
      <c r="X562" s="1071"/>
      <c r="Y562" s="1071"/>
      <c r="Z562" s="1071"/>
      <c r="AA562" s="1071"/>
      <c r="AB562" s="1071"/>
      <c r="AC562" s="1071"/>
      <c r="AD562" s="1071"/>
      <c r="AE562" s="2"/>
      <c r="AF562" s="2"/>
      <c r="AG562" s="2"/>
      <c r="AH562" s="201"/>
      <c r="AI562" s="201"/>
      <c r="AJ562" s="201"/>
      <c r="AK562" s="201"/>
      <c r="AL562" s="1796"/>
      <c r="AM562" s="21"/>
      <c r="AN562" s="21"/>
      <c r="AO562" s="1076"/>
      <c r="AP562" s="1640"/>
      <c r="AQ562" s="1076"/>
      <c r="AR562" s="1076"/>
      <c r="AS562" s="1076"/>
      <c r="AT562" s="1640"/>
      <c r="AU562" s="1076"/>
      <c r="AV562" s="1076"/>
      <c r="AW562" s="1076"/>
      <c r="AX562" s="1078"/>
      <c r="AY562" s="1070"/>
      <c r="AZ562" s="1070"/>
      <c r="BA562" s="1070"/>
      <c r="BB562" s="1078"/>
      <c r="BC562" s="1070"/>
      <c r="BD562" s="1070"/>
      <c r="BE562" s="1070"/>
      <c r="BF562" s="1078"/>
      <c r="BG562" s="1077"/>
      <c r="BH562" s="1077"/>
      <c r="BI562" s="1070"/>
      <c r="BJ562" s="1078"/>
      <c r="BK562" s="1071"/>
      <c r="BL562" s="1071"/>
      <c r="BM562" s="1070"/>
      <c r="BN562" s="1078"/>
      <c r="BO562" s="1071"/>
      <c r="BP562" s="1071"/>
      <c r="BQ562" s="1070"/>
      <c r="BR562" s="83"/>
      <c r="BS562" s="2"/>
      <c r="BT562" s="2"/>
      <c r="BU562" s="2"/>
      <c r="BV562" s="2"/>
      <c r="BW562" s="2"/>
      <c r="CR562"/>
      <c r="CS562"/>
      <c r="CT562"/>
      <c r="CU562"/>
      <c r="CV562"/>
      <c r="CW562"/>
    </row>
    <row r="563" spans="9:104" s="42" customFormat="1" outlineLevel="1">
      <c r="I563" s="587"/>
      <c r="J563" s="7" t="s">
        <v>465</v>
      </c>
      <c r="K563" s="27">
        <v>0.33333333333333331</v>
      </c>
      <c r="L563" s="308">
        <v>3</v>
      </c>
      <c r="M563" s="308">
        <v>3</v>
      </c>
      <c r="N563" s="307"/>
      <c r="O563" s="1026"/>
      <c r="P563" s="1072">
        <v>203.42599999999999</v>
      </c>
      <c r="Q563" s="1072">
        <v>454.51</v>
      </c>
      <c r="R563" s="1072">
        <v>671.49099999999999</v>
      </c>
      <c r="S563" s="1073">
        <v>1372.896</v>
      </c>
      <c r="T563" s="1409">
        <v>3089.415</v>
      </c>
      <c r="U563" s="1409">
        <v>4422.8329999999996</v>
      </c>
      <c r="V563" s="528"/>
      <c r="W563" s="39"/>
      <c r="X563" s="39"/>
      <c r="Y563" s="39"/>
      <c r="Z563" s="39"/>
      <c r="AA563" s="39"/>
      <c r="AB563" s="39"/>
      <c r="AC563" s="39"/>
      <c r="AD563" s="39"/>
      <c r="AE563" s="2"/>
      <c r="AF563" s="2"/>
      <c r="AG563" s="2"/>
      <c r="AH563" s="22"/>
      <c r="AI563" s="22"/>
      <c r="AJ563" s="22"/>
      <c r="AK563" s="218"/>
      <c r="AL563" s="1790"/>
      <c r="AM563" s="218"/>
      <c r="AN563" s="218"/>
      <c r="AO563" s="1079"/>
      <c r="AP563" s="1641"/>
      <c r="AQ563" s="1080"/>
      <c r="AR563" s="1080"/>
      <c r="AS563" s="1079"/>
      <c r="AT563" s="1641"/>
      <c r="AU563" s="1080"/>
      <c r="AV563" s="1080"/>
      <c r="AW563" s="1075"/>
      <c r="AX563" s="757"/>
      <c r="AY563" s="528"/>
      <c r="AZ563" s="528"/>
      <c r="BA563" s="528"/>
      <c r="BB563" s="757"/>
      <c r="BC563" s="528"/>
      <c r="BD563" s="528"/>
      <c r="BE563" s="528"/>
      <c r="BF563" s="757"/>
      <c r="BG563" s="1008"/>
      <c r="BH563" s="1008"/>
      <c r="BI563" s="528"/>
      <c r="BJ563" s="757"/>
      <c r="BK563" s="39"/>
      <c r="BL563" s="39"/>
      <c r="BM563" s="528"/>
      <c r="BN563" s="757"/>
      <c r="BO563" s="39"/>
      <c r="BP563" s="39"/>
      <c r="BQ563" s="528"/>
      <c r="BR563" s="83"/>
      <c r="BS563" s="2"/>
      <c r="BT563" s="2"/>
      <c r="BU563" s="2"/>
      <c r="BV563" s="2"/>
      <c r="BW563" s="2"/>
      <c r="CR563"/>
      <c r="CS563"/>
      <c r="CT563"/>
      <c r="CU563"/>
      <c r="CV563"/>
      <c r="CW563"/>
    </row>
    <row r="564" spans="9:104" s="42" customFormat="1" outlineLevel="1">
      <c r="I564" s="587"/>
      <c r="J564" s="7" t="s">
        <v>466</v>
      </c>
      <c r="K564" s="27">
        <v>0.2</v>
      </c>
      <c r="L564" s="308">
        <v>5</v>
      </c>
      <c r="M564" s="308">
        <v>5</v>
      </c>
      <c r="N564" s="307"/>
      <c r="O564" s="1026"/>
      <c r="P564" s="1072">
        <v>12.93</v>
      </c>
      <c r="Q564" s="1072">
        <v>22.245000000000001</v>
      </c>
      <c r="R564" s="1072">
        <v>30.326000000000001</v>
      </c>
      <c r="S564" s="1073">
        <v>33</v>
      </c>
      <c r="T564" s="1409">
        <v>202.422</v>
      </c>
      <c r="U564" s="1409">
        <v>266.411</v>
      </c>
      <c r="V564" s="528"/>
      <c r="W564" s="39"/>
      <c r="X564" s="39"/>
      <c r="Y564" s="39"/>
      <c r="Z564" s="39"/>
      <c r="AA564" s="39"/>
      <c r="AB564" s="39"/>
      <c r="AC564" s="39"/>
      <c r="AD564" s="39"/>
      <c r="AE564" s="2"/>
      <c r="AF564" s="2"/>
      <c r="AG564" s="2"/>
      <c r="AH564" s="22"/>
      <c r="AI564" s="22"/>
      <c r="AJ564" s="22"/>
      <c r="AK564" s="218"/>
      <c r="AL564" s="1790"/>
      <c r="AM564" s="218"/>
      <c r="AN564" s="218"/>
      <c r="AO564" s="1079"/>
      <c r="AP564" s="1641"/>
      <c r="AQ564" s="1080"/>
      <c r="AR564" s="1080"/>
      <c r="AS564" s="1079"/>
      <c r="AT564" s="1641"/>
      <c r="AU564" s="1080"/>
      <c r="AV564" s="1080"/>
      <c r="AW564" s="1075"/>
      <c r="AX564" s="757"/>
      <c r="AY564" s="528"/>
      <c r="AZ564" s="528"/>
      <c r="BA564" s="528"/>
      <c r="BB564" s="757"/>
      <c r="BC564" s="528"/>
      <c r="BD564" s="528"/>
      <c r="BE564" s="528"/>
      <c r="BF564" s="757"/>
      <c r="BG564" s="1008"/>
      <c r="BH564" s="1008"/>
      <c r="BI564" s="528"/>
      <c r="BJ564" s="757"/>
      <c r="BK564" s="39"/>
      <c r="BL564" s="39"/>
      <c r="BM564" s="528"/>
      <c r="BN564" s="757"/>
      <c r="BO564" s="39"/>
      <c r="BP564" s="39"/>
      <c r="BQ564" s="528"/>
      <c r="BR564" s="83"/>
      <c r="BS564" s="2"/>
      <c r="BT564" s="2"/>
      <c r="BU564" s="2"/>
      <c r="BV564" s="2"/>
      <c r="BW564" s="2"/>
      <c r="CR564"/>
      <c r="CS564"/>
      <c r="CT564"/>
      <c r="CU564"/>
      <c r="CV564"/>
      <c r="CW564"/>
    </row>
    <row r="565" spans="9:104" s="42" customFormat="1" outlineLevel="1">
      <c r="I565" s="587"/>
      <c r="J565" s="7" t="s">
        <v>467</v>
      </c>
      <c r="K565" s="27">
        <v>0.2</v>
      </c>
      <c r="L565" s="308">
        <v>5</v>
      </c>
      <c r="M565" s="308">
        <v>5</v>
      </c>
      <c r="N565" s="307"/>
      <c r="O565" s="1026"/>
      <c r="P565" s="1072">
        <v>72.186999999999998</v>
      </c>
      <c r="Q565" s="1072">
        <v>154.11600000000001</v>
      </c>
      <c r="R565" s="1072">
        <v>199.78</v>
      </c>
      <c r="S565" s="1073">
        <v>19</v>
      </c>
      <c r="T565" s="1409">
        <v>843.92200000000003</v>
      </c>
      <c r="U565" s="1409">
        <v>1091.556</v>
      </c>
      <c r="V565" s="528"/>
      <c r="W565" s="39"/>
      <c r="X565" s="39"/>
      <c r="Y565" s="39"/>
      <c r="Z565" s="39"/>
      <c r="AA565" s="39"/>
      <c r="AB565" s="39"/>
      <c r="AC565" s="39"/>
      <c r="AD565" s="39"/>
      <c r="AE565" s="2"/>
      <c r="AF565" s="2"/>
      <c r="AG565" s="2"/>
      <c r="AH565" s="22"/>
      <c r="AI565" s="22"/>
      <c r="AJ565" s="22"/>
      <c r="AK565" s="218"/>
      <c r="AL565" s="1790"/>
      <c r="AM565" s="218"/>
      <c r="AN565" s="218"/>
      <c r="AO565" s="1079"/>
      <c r="AP565" s="1641"/>
      <c r="AQ565" s="1080"/>
      <c r="AR565" s="1080"/>
      <c r="AS565" s="1079"/>
      <c r="AT565" s="1641"/>
      <c r="AU565" s="1080"/>
      <c r="AV565" s="1080"/>
      <c r="AW565" s="1075"/>
      <c r="AX565" s="757"/>
      <c r="AY565" s="528"/>
      <c r="AZ565" s="528"/>
      <c r="BA565" s="528"/>
      <c r="BB565" s="757"/>
      <c r="BC565" s="528"/>
      <c r="BD565" s="528"/>
      <c r="BE565" s="528"/>
      <c r="BF565" s="757"/>
      <c r="BG565" s="1008"/>
      <c r="BH565" s="1008"/>
      <c r="BI565" s="528"/>
      <c r="BJ565" s="757"/>
      <c r="BK565" s="39"/>
      <c r="BL565" s="39"/>
      <c r="BM565" s="528"/>
      <c r="BN565" s="757"/>
      <c r="BO565" s="39"/>
      <c r="BP565" s="39"/>
      <c r="BQ565" s="528"/>
      <c r="BR565" s="83"/>
      <c r="BS565" s="2"/>
      <c r="BT565" s="2"/>
      <c r="BU565" s="2"/>
      <c r="BV565" s="2"/>
      <c r="BW565" s="2"/>
      <c r="CR565"/>
      <c r="CS565"/>
      <c r="CT565"/>
      <c r="CU565"/>
      <c r="CV565"/>
      <c r="CW565"/>
    </row>
    <row r="566" spans="9:104" s="42" customFormat="1" outlineLevel="1">
      <c r="I566" s="587"/>
      <c r="J566" s="7" t="s">
        <v>468</v>
      </c>
      <c r="K566" s="27">
        <v>0.2</v>
      </c>
      <c r="L566" s="308">
        <v>5</v>
      </c>
      <c r="M566" s="308">
        <v>5</v>
      </c>
      <c r="N566" s="307"/>
      <c r="O566" s="1026"/>
      <c r="P566" s="1072">
        <v>104.58199999999999</v>
      </c>
      <c r="Q566" s="1072">
        <v>191.33699999999999</v>
      </c>
      <c r="R566" s="1072">
        <v>232.60300000000001</v>
      </c>
      <c r="S566" s="1073">
        <v>530.73099999999999</v>
      </c>
      <c r="T566" s="1409">
        <v>1105.2449999999999</v>
      </c>
      <c r="U566" s="1409">
        <v>1578.653</v>
      </c>
      <c r="V566" s="528"/>
      <c r="W566" s="39"/>
      <c r="X566" s="39"/>
      <c r="Y566" s="39"/>
      <c r="Z566" s="39"/>
      <c r="AA566" s="39"/>
      <c r="AB566" s="39"/>
      <c r="AC566" s="39"/>
      <c r="AD566" s="39"/>
      <c r="AE566" s="2"/>
      <c r="AF566" s="2"/>
      <c r="AG566" s="2"/>
      <c r="AH566" s="22"/>
      <c r="AI566" s="22"/>
      <c r="AJ566" s="22"/>
      <c r="AK566" s="218"/>
      <c r="AL566" s="1790"/>
      <c r="AM566" s="218"/>
      <c r="AN566" s="218"/>
      <c r="AO566" s="1079"/>
      <c r="AP566" s="1641"/>
      <c r="AQ566" s="1080"/>
      <c r="AR566" s="1080"/>
      <c r="AS566" s="1079"/>
      <c r="AT566" s="1641"/>
      <c r="AU566" s="1080"/>
      <c r="AV566" s="1080"/>
      <c r="AW566" s="1075"/>
      <c r="AX566" s="757"/>
      <c r="AY566" s="528"/>
      <c r="AZ566" s="528"/>
      <c r="BA566" s="528"/>
      <c r="BB566" s="757"/>
      <c r="BC566" s="528"/>
      <c r="BD566" s="528"/>
      <c r="BE566" s="528"/>
      <c r="BF566" s="757"/>
      <c r="BG566" s="1008"/>
      <c r="BH566" s="1008"/>
      <c r="BI566" s="528"/>
      <c r="BJ566" s="757"/>
      <c r="BK566" s="39"/>
      <c r="BL566" s="39"/>
      <c r="BM566" s="528"/>
      <c r="BN566" s="757"/>
      <c r="BO566" s="39"/>
      <c r="BP566" s="39"/>
      <c r="BQ566" s="528"/>
      <c r="BR566" s="83"/>
      <c r="BS566" s="2"/>
      <c r="BT566" s="2"/>
      <c r="BU566" s="2"/>
      <c r="BV566" s="2"/>
      <c r="BW566" s="2"/>
      <c r="CR566"/>
      <c r="CS566"/>
      <c r="CT566"/>
      <c r="CU566"/>
      <c r="CV566"/>
      <c r="CW566"/>
    </row>
    <row r="567" spans="9:104" s="42" customFormat="1" outlineLevel="1">
      <c r="I567" s="587"/>
      <c r="J567" s="7" t="s">
        <v>199</v>
      </c>
      <c r="K567" s="27">
        <v>0.33333333333333331</v>
      </c>
      <c r="L567" s="308" t="s">
        <v>463</v>
      </c>
      <c r="M567" s="308">
        <v>3</v>
      </c>
      <c r="N567" s="307"/>
      <c r="O567" s="1026"/>
      <c r="P567" s="1072">
        <v>24.773</v>
      </c>
      <c r="Q567" s="1072">
        <v>46.02</v>
      </c>
      <c r="R567" s="1072">
        <v>59.982999999999997</v>
      </c>
      <c r="S567" s="1073">
        <v>136.52199999999999</v>
      </c>
      <c r="T567" s="1409">
        <v>306.35199999999998</v>
      </c>
      <c r="U567" s="1409">
        <v>496.887</v>
      </c>
      <c r="V567" s="528"/>
      <c r="W567" s="39"/>
      <c r="X567" s="39"/>
      <c r="Y567" s="39"/>
      <c r="Z567" s="39"/>
      <c r="AA567" s="39"/>
      <c r="AB567" s="39"/>
      <c r="AC567" s="39"/>
      <c r="AD567" s="39"/>
      <c r="AE567" s="2"/>
      <c r="AF567" s="2"/>
      <c r="AG567" s="2"/>
      <c r="AH567" s="22"/>
      <c r="AI567" s="22"/>
      <c r="AJ567" s="22"/>
      <c r="AK567" s="218"/>
      <c r="AL567" s="1790"/>
      <c r="AM567" s="218"/>
      <c r="AN567" s="218"/>
      <c r="AO567" s="1079"/>
      <c r="AP567" s="1641"/>
      <c r="AQ567" s="1080"/>
      <c r="AR567" s="1080"/>
      <c r="AS567" s="1079"/>
      <c r="AT567" s="1641"/>
      <c r="AU567" s="1080"/>
      <c r="AV567" s="1080"/>
      <c r="AW567" s="1075"/>
      <c r="AX567" s="757"/>
      <c r="AY567" s="528"/>
      <c r="AZ567" s="528"/>
      <c r="BA567" s="528"/>
      <c r="BB567" s="757"/>
      <c r="BC567" s="528"/>
      <c r="BD567" s="528"/>
      <c r="BE567" s="528"/>
      <c r="BF567" s="757"/>
      <c r="BG567" s="1008"/>
      <c r="BH567" s="1008"/>
      <c r="BI567" s="528"/>
      <c r="BJ567" s="757"/>
      <c r="BK567" s="39"/>
      <c r="BL567" s="39"/>
      <c r="BM567" s="528"/>
      <c r="BN567" s="757"/>
      <c r="BO567" s="39"/>
      <c r="BP567" s="39"/>
      <c r="BQ567" s="528"/>
      <c r="BR567" s="83"/>
      <c r="BS567" s="2"/>
      <c r="BT567" s="2"/>
      <c r="BU567" s="2"/>
      <c r="BV567" s="2"/>
      <c r="BW567" s="2"/>
      <c r="CR567"/>
      <c r="CS567"/>
      <c r="CT567"/>
      <c r="CU567"/>
      <c r="CV567"/>
      <c r="CW567"/>
    </row>
    <row r="568" spans="9:104" s="42" customFormat="1" outlineLevel="1">
      <c r="I568" s="587"/>
      <c r="J568" s="7" t="s">
        <v>469</v>
      </c>
      <c r="K568" s="27">
        <v>0.33333333333333331</v>
      </c>
      <c r="L568" s="308" t="s">
        <v>464</v>
      </c>
      <c r="M568" s="308">
        <v>3</v>
      </c>
      <c r="N568" s="307"/>
      <c r="O568" s="1026"/>
      <c r="P568" s="1072">
        <v>12.597</v>
      </c>
      <c r="Q568" s="1072">
        <v>40.802999999999997</v>
      </c>
      <c r="R568" s="1072">
        <v>57.508000000000003</v>
      </c>
      <c r="S568" s="1073">
        <v>100.215</v>
      </c>
      <c r="T568" s="1409">
        <v>149.59</v>
      </c>
      <c r="U568" s="1409">
        <v>196.71299999999999</v>
      </c>
      <c r="V568" s="528"/>
      <c r="W568" s="39"/>
      <c r="X568" s="39"/>
      <c r="Y568" s="39"/>
      <c r="Z568" s="39"/>
      <c r="AA568" s="39"/>
      <c r="AB568" s="39"/>
      <c r="AC568" s="39"/>
      <c r="AD568" s="39"/>
      <c r="AE568" s="2"/>
      <c r="AF568" s="2"/>
      <c r="AG568" s="2"/>
      <c r="AH568" s="22"/>
      <c r="AI568" s="22"/>
      <c r="AJ568" s="22"/>
      <c r="AK568" s="218"/>
      <c r="AL568" s="1790"/>
      <c r="AM568" s="218"/>
      <c r="AN568" s="218"/>
      <c r="AO568" s="1079"/>
      <c r="AP568" s="1641"/>
      <c r="AQ568" s="1080"/>
      <c r="AR568" s="1080"/>
      <c r="AS568" s="1079"/>
      <c r="AT568" s="1641"/>
      <c r="AU568" s="1080"/>
      <c r="AV568" s="1080"/>
      <c r="AW568" s="1075"/>
      <c r="AX568" s="757"/>
      <c r="AY568" s="528"/>
      <c r="AZ568" s="528"/>
      <c r="BA568" s="528"/>
      <c r="BB568" s="757"/>
      <c r="BC568" s="528"/>
      <c r="BD568" s="528"/>
      <c r="BE568" s="528"/>
      <c r="BF568" s="757"/>
      <c r="BG568" s="1008"/>
      <c r="BH568" s="1008"/>
      <c r="BI568" s="528"/>
      <c r="BJ568" s="757"/>
      <c r="BK568" s="39"/>
      <c r="BL568" s="39"/>
      <c r="BM568" s="528"/>
      <c r="BN568" s="757"/>
      <c r="BO568" s="39"/>
      <c r="BP568" s="39"/>
      <c r="BQ568" s="528"/>
      <c r="BR568" s="83"/>
      <c r="BS568" s="2"/>
      <c r="BT568" s="2"/>
      <c r="BU568" s="2"/>
      <c r="BV568" s="2"/>
      <c r="BW568" s="2"/>
      <c r="CR568"/>
      <c r="CS568"/>
      <c r="CT568"/>
      <c r="CU568"/>
      <c r="CV568"/>
      <c r="CW568"/>
    </row>
    <row r="569" spans="9:104" s="42" customFormat="1" outlineLevel="1">
      <c r="I569" s="587"/>
      <c r="J569" s="7" t="s">
        <v>470</v>
      </c>
      <c r="K569" s="27">
        <v>2.5000000000000001E-2</v>
      </c>
      <c r="L569" s="308">
        <v>40</v>
      </c>
      <c r="M569" s="308">
        <v>40</v>
      </c>
      <c r="N569" s="307"/>
      <c r="O569" s="1026"/>
      <c r="P569" s="1072">
        <v>0</v>
      </c>
      <c r="Q569" s="1072">
        <v>0</v>
      </c>
      <c r="R569" s="1072">
        <v>275.71699999999998</v>
      </c>
      <c r="S569" s="1073">
        <v>664.36500000000001</v>
      </c>
      <c r="T569" s="1409">
        <v>2526.9479999999999</v>
      </c>
      <c r="U569" s="1409">
        <v>3069.6509999999998</v>
      </c>
      <c r="V569" s="1552"/>
      <c r="W569" s="1552"/>
      <c r="X569" s="1552"/>
      <c r="Y569" s="1552"/>
      <c r="Z569" s="1552"/>
      <c r="AA569" s="1552"/>
      <c r="AB569" s="1552"/>
      <c r="AC569" s="1552"/>
      <c r="AD569" s="1552"/>
      <c r="AE569" s="2"/>
      <c r="AF569" s="2"/>
      <c r="AG569" s="2"/>
      <c r="AH569" s="22"/>
      <c r="AI569" s="22"/>
      <c r="AJ569" s="22"/>
      <c r="AK569" s="218"/>
      <c r="AL569" s="1790"/>
      <c r="AM569" s="218"/>
      <c r="AN569" s="218"/>
      <c r="AO569" s="1079"/>
      <c r="AP569" s="1641"/>
      <c r="AQ569" s="1080"/>
      <c r="AR569" s="1080"/>
      <c r="AS569" s="1079"/>
      <c r="AT569" s="1641"/>
      <c r="AU569" s="1080"/>
      <c r="AV569" s="1080"/>
      <c r="AW569" s="1075"/>
      <c r="AX569" s="757"/>
      <c r="AY569" s="528"/>
      <c r="AZ569" s="528"/>
      <c r="BA569" s="528"/>
      <c r="BB569" s="757"/>
      <c r="BC569" s="528"/>
      <c r="BD569" s="528"/>
      <c r="BE569" s="528"/>
      <c r="BF569" s="757"/>
      <c r="BG569" s="1008"/>
      <c r="BH569" s="1008"/>
      <c r="BI569" s="528"/>
      <c r="BJ569" s="757"/>
      <c r="BK569" s="39"/>
      <c r="BL569" s="39"/>
      <c r="BM569" s="528"/>
      <c r="BN569" s="757"/>
      <c r="BO569" s="39"/>
      <c r="BP569" s="39"/>
      <c r="BQ569" s="528"/>
      <c r="BR569" s="83"/>
      <c r="BS569" s="2"/>
      <c r="BT569" s="2"/>
      <c r="BU569" s="2"/>
      <c r="BV569" s="2"/>
      <c r="BW569" s="2"/>
      <c r="CR569"/>
      <c r="CS569"/>
      <c r="CT569"/>
      <c r="CU569"/>
      <c r="CV569"/>
      <c r="CW569"/>
    </row>
    <row r="570" spans="9:104" s="583" customFormat="1" outlineLevel="1">
      <c r="I570" s="597"/>
      <c r="J570" s="13" t="s">
        <v>16</v>
      </c>
      <c r="K570" s="13"/>
      <c r="L570" s="13"/>
      <c r="M570" s="13"/>
      <c r="N570" s="1008">
        <f t="shared" ref="N570:U570" si="622">SUM(N563:N569)</f>
        <v>0</v>
      </c>
      <c r="O570" s="1008">
        <f t="shared" si="622"/>
        <v>0</v>
      </c>
      <c r="P570" s="1312">
        <f t="shared" si="622"/>
        <v>430.495</v>
      </c>
      <c r="Q570" s="1312">
        <f t="shared" si="622"/>
        <v>909.03099999999995</v>
      </c>
      <c r="R570" s="1312">
        <f t="shared" si="622"/>
        <v>1527.4079999999999</v>
      </c>
      <c r="S570" s="1472">
        <f t="shared" si="622"/>
        <v>2856.7290000000003</v>
      </c>
      <c r="T570" s="1472">
        <f t="shared" si="622"/>
        <v>8223.8940000000002</v>
      </c>
      <c r="U570" s="1472">
        <f t="shared" si="622"/>
        <v>11122.703999999998</v>
      </c>
      <c r="V570" s="1008">
        <f t="shared" ref="V570:AD570" si="623">U570-V578</f>
        <v>22488.085999999996</v>
      </c>
      <c r="W570" s="1008">
        <f t="shared" si="623"/>
        <v>30212.044241999993</v>
      </c>
      <c r="X570" s="1008">
        <f t="shared" si="623"/>
        <v>39104.162045507386</v>
      </c>
      <c r="Y570" s="1008">
        <f t="shared" si="623"/>
        <v>49780.038680398371</v>
      </c>
      <c r="Z570" s="1008">
        <f t="shared" si="623"/>
        <v>59908.776637751187</v>
      </c>
      <c r="AA570" s="1008">
        <f t="shared" si="623"/>
        <v>70811.350175045765</v>
      </c>
      <c r="AB570" s="1008">
        <f t="shared" si="623"/>
        <v>82546.880330589644</v>
      </c>
      <c r="AC570" s="1008">
        <f t="shared" si="623"/>
        <v>95179.004990017071</v>
      </c>
      <c r="AD570" s="1008">
        <f t="shared" si="623"/>
        <v>108776.22397342476</v>
      </c>
      <c r="AE570" s="83"/>
      <c r="AF570" s="83"/>
      <c r="AG570" s="83"/>
      <c r="AH570" s="13"/>
      <c r="AI570" s="13"/>
      <c r="AJ570" s="13"/>
      <c r="AK570" s="213"/>
      <c r="AL570" s="663"/>
      <c r="AM570" s="213"/>
      <c r="AN570" s="213"/>
      <c r="AO570" s="1008"/>
      <c r="AP570" s="1081"/>
      <c r="AQ570" s="1008"/>
      <c r="AR570" s="1008"/>
      <c r="AS570" s="1008"/>
      <c r="AT570" s="1081"/>
      <c r="AU570" s="1008"/>
      <c r="AV570" s="1008"/>
      <c r="AW570" s="1008"/>
      <c r="AX570" s="1081">
        <f>+(BA570-AW570)*Model!AX$750+AW570</f>
        <v>714.18225000000007</v>
      </c>
      <c r="AY570" s="1008">
        <f>+(BA570-AX570)*Model!AY$750+AX570</f>
        <v>1249.8189375000002</v>
      </c>
      <c r="AZ570" s="1008">
        <f>+(BA570-AY570)*Model!AZ$750+AY570</f>
        <v>1651.5464531250002</v>
      </c>
      <c r="BA570" s="1008">
        <f>S570</f>
        <v>2856.7290000000003</v>
      </c>
      <c r="BB570" s="1081">
        <f>+(BE570-BA570)*Model!BB$750+BA570</f>
        <v>4198.5202500000005</v>
      </c>
      <c r="BC570" s="1008">
        <f>+(BE570-BB570)*Model!BC$750+BB570</f>
        <v>5204.8636875000002</v>
      </c>
      <c r="BD570" s="1008">
        <f>+(BE570-BC570)*Model!BD$750+BC570</f>
        <v>5959.621265625</v>
      </c>
      <c r="BE570" s="1008">
        <f>T570</f>
        <v>8223.8940000000002</v>
      </c>
      <c r="BF570" s="1081">
        <f>+(BI570-BE570)*Model!BF$750+BE570</f>
        <v>8948.5964999999997</v>
      </c>
      <c r="BG570" s="1008">
        <f>+(BI570-BF570)*Model!BG$750+BF570</f>
        <v>9492.1233749999992</v>
      </c>
      <c r="BH570" s="1008">
        <f>+(BI570-BG570)*Model!BH$750+BG570</f>
        <v>9899.7685312499998</v>
      </c>
      <c r="BI570" s="1008">
        <f>U570</f>
        <v>11122.703999999998</v>
      </c>
      <c r="BJ570" s="1081">
        <f>+(BM570-BI570)*Model!BJ$750+BI570</f>
        <v>13964.049499999997</v>
      </c>
      <c r="BK570" s="1008">
        <f>+(BM570-BJ570)*Model!BK$750+BJ570</f>
        <v>16095.058624999998</v>
      </c>
      <c r="BL570" s="1008">
        <f>+(BM570-BK570)*Model!BL$750+BK570</f>
        <v>17693.315468749999</v>
      </c>
      <c r="BM570" s="1008">
        <f>V570</f>
        <v>22488.085999999996</v>
      </c>
      <c r="BN570" s="1081">
        <f>+(BQ570-BM570)*Model!BN$750+BM570</f>
        <v>24419.075560499994</v>
      </c>
      <c r="BO570" s="1008">
        <f>+(BQ570-BN570)*Model!BO$750+BN570</f>
        <v>25867.317730874995</v>
      </c>
      <c r="BP570" s="1008">
        <f>+(BQ570-BO570)*Model!BP$750+BO570</f>
        <v>26953.499358656245</v>
      </c>
      <c r="BQ570" s="1008">
        <f>W570</f>
        <v>30212.044241999993</v>
      </c>
      <c r="BR570" s="83"/>
      <c r="BS570" s="83"/>
      <c r="BT570" s="83"/>
      <c r="BU570" s="83"/>
      <c r="BV570" s="83"/>
      <c r="BW570" s="83"/>
      <c r="CR570"/>
      <c r="CS570"/>
      <c r="CT570"/>
      <c r="CU570"/>
      <c r="CV570"/>
      <c r="CW570"/>
      <c r="CX570" s="495"/>
      <c r="CY570" s="495"/>
      <c r="CZ570" s="495"/>
    </row>
    <row r="571" spans="9:104" s="583" customFormat="1" outlineLevel="1">
      <c r="I571" s="597"/>
      <c r="J571" s="191" t="s">
        <v>15</v>
      </c>
      <c r="K571" s="28"/>
      <c r="L571" s="28"/>
      <c r="M571" s="28"/>
      <c r="N571" s="1553"/>
      <c r="O571" s="1553"/>
      <c r="P571" s="1073">
        <v>-110.01900000000001</v>
      </c>
      <c r="Q571" s="1073">
        <v>-269.697</v>
      </c>
      <c r="R571" s="1073">
        <v>-502.98</v>
      </c>
      <c r="S571" s="1152">
        <f>-1025.312+577.025</f>
        <v>-448.28699999999992</v>
      </c>
      <c r="T571" s="1409">
        <v>-1990.788</v>
      </c>
      <c r="U571" s="1409">
        <v>-3725.6750000000002</v>
      </c>
      <c r="V571" s="528">
        <f ca="1">U571-V585</f>
        <v>-6067.4780000000001</v>
      </c>
      <c r="W571" s="1015">
        <f ca="1">V571-W585</f>
        <v>-10047.029069360007</v>
      </c>
      <c r="X571" s="1015">
        <f ca="1">W571-X585</f>
        <v>-14527.00170496992</v>
      </c>
      <c r="Y571" s="1015">
        <f t="shared" ref="Y571:AD571" ca="1" si="624">X571-Y586</f>
        <v>-15479.752922009558</v>
      </c>
      <c r="Z571" s="1015">
        <f t="shared" ca="1" si="624"/>
        <v>-16383.675639175915</v>
      </c>
      <c r="AA571" s="1015">
        <f t="shared" ca="1" si="624"/>
        <v>-17356.65805193378</v>
      </c>
      <c r="AB571" s="1015">
        <f t="shared" ca="1" si="624"/>
        <v>-18403.976321026348</v>
      </c>
      <c r="AC571" s="1015">
        <f t="shared" ca="1" si="624"/>
        <v>-19531.309705877589</v>
      </c>
      <c r="AD571" s="1015">
        <f t="shared" ca="1" si="624"/>
        <v>-20744.771361331463</v>
      </c>
      <c r="AE571" s="83"/>
      <c r="AF571" s="83"/>
      <c r="AG571" s="83"/>
      <c r="AH571" s="28"/>
      <c r="AI571" s="28"/>
      <c r="AJ571" s="28"/>
      <c r="AK571" s="537"/>
      <c r="AL571" s="1790"/>
      <c r="AM571" s="537"/>
      <c r="AN571" s="537"/>
      <c r="AO571" s="1005"/>
      <c r="AP571" s="1641"/>
      <c r="AQ571" s="1360"/>
      <c r="AR571" s="1360"/>
      <c r="AS571" s="1005"/>
      <c r="AT571" s="1641"/>
      <c r="AU571" s="1360"/>
      <c r="AV571" s="1360"/>
      <c r="AW571" s="1075"/>
      <c r="AX571" s="1641">
        <f>+($BA$571-$AW$571)*Model!AX$750+AW571</f>
        <v>-112.07174999999998</v>
      </c>
      <c r="AY571" s="1360">
        <f>+($BA$571-$AW$571)*Model!AY$750+AX571</f>
        <v>-224.14349999999996</v>
      </c>
      <c r="AZ571" s="1360">
        <f>+($BA$571-$AW$571)*Model!AZ$750+AY571</f>
        <v>-336.21524999999997</v>
      </c>
      <c r="BA571" s="1360">
        <f>S571</f>
        <v>-448.28699999999992</v>
      </c>
      <c r="BB571" s="1641">
        <f>+($BE$571-$BA$571)*Model!BB$750+BA571</f>
        <v>-833.91224999999997</v>
      </c>
      <c r="BC571" s="1360">
        <f>+($BE$571-$BA$571)*Model!BC$750+BB571</f>
        <v>-1219.5374999999999</v>
      </c>
      <c r="BD571" s="1360">
        <f>+($BE$571-$BA$571)*Model!BD$750+BC571</f>
        <v>-1605.16275</v>
      </c>
      <c r="BE571" s="1360">
        <f>T571</f>
        <v>-1990.788</v>
      </c>
      <c r="BF571" s="1641">
        <f>+($BI$571-$BE$571)*Model!BF$750+BE571</f>
        <v>-2424.5097500000002</v>
      </c>
      <c r="BG571" s="1360">
        <f>+($BI$571-$BE$571)*Model!BG$750+BF571</f>
        <v>-2858.2315000000003</v>
      </c>
      <c r="BH571" s="1360">
        <f>+($BI$571-$BE$571)*Model!BH$750+BG571</f>
        <v>-3291.9532500000005</v>
      </c>
      <c r="BI571" s="1360">
        <f>U571</f>
        <v>-3725.6750000000002</v>
      </c>
      <c r="BJ571" s="1641">
        <f ca="1">+($BM$571-$BI$571)*Model!BJ$750+BI571</f>
        <v>-4311.1257500000002</v>
      </c>
      <c r="BK571" s="1360">
        <f ca="1">+($BM$571-$BI$571)*Model!BK$750+BJ571</f>
        <v>-4896.5765000000001</v>
      </c>
      <c r="BL571" s="1360">
        <f ca="1">+($BM$571-$BI$571)*Model!BL$750+BK571</f>
        <v>-5482.0272500000001</v>
      </c>
      <c r="BM571" s="528">
        <f ca="1">V571</f>
        <v>-6067.4780000000001</v>
      </c>
      <c r="BN571" s="1641">
        <f ca="1">+($BQ$571-$BM$571)*Model!BN$750+BM571</f>
        <v>-7062.3657673400021</v>
      </c>
      <c r="BO571" s="1360">
        <f ca="1">+($BQ$571-$BM$571)*Model!BO$750+BN571</f>
        <v>-8057.2535346800041</v>
      </c>
      <c r="BP571" s="1360">
        <f ca="1">+($BQ$571-$BM$571)*Model!BP$750+BO571</f>
        <v>-9052.1413020200052</v>
      </c>
      <c r="BQ571" s="528">
        <f ca="1">W571</f>
        <v>-10047.029069360007</v>
      </c>
      <c r="BR571" s="83"/>
      <c r="BS571" s="83"/>
      <c r="BT571" s="83"/>
      <c r="BU571" s="83"/>
      <c r="BV571" s="83"/>
      <c r="BW571" s="83"/>
      <c r="CR571"/>
      <c r="CS571"/>
      <c r="CT571"/>
      <c r="CU571"/>
      <c r="CV571"/>
      <c r="CW571"/>
    </row>
    <row r="572" spans="9:104" s="583" customFormat="1" outlineLevel="1">
      <c r="I572" s="597"/>
      <c r="J572" s="13" t="s">
        <v>484</v>
      </c>
      <c r="K572" s="13"/>
      <c r="L572" s="13"/>
      <c r="M572" s="13"/>
      <c r="N572" s="1008">
        <f t="shared" ref="N572:U572" si="625">SUM(N570:N571)</f>
        <v>0</v>
      </c>
      <c r="O572" s="1008">
        <f t="shared" si="625"/>
        <v>0</v>
      </c>
      <c r="P572" s="1008">
        <f t="shared" si="625"/>
        <v>320.476</v>
      </c>
      <c r="Q572" s="1008">
        <f t="shared" si="625"/>
        <v>639.33399999999995</v>
      </c>
      <c r="R572" s="1008">
        <f t="shared" si="625"/>
        <v>1024.4279999999999</v>
      </c>
      <c r="S572" s="1008">
        <f t="shared" si="625"/>
        <v>2408.4420000000005</v>
      </c>
      <c r="T572" s="1008">
        <f t="shared" si="625"/>
        <v>6233.1059999999998</v>
      </c>
      <c r="U572" s="1008">
        <f t="shared" si="625"/>
        <v>7397.0289999999977</v>
      </c>
      <c r="V572" s="1008">
        <f>V506</f>
        <v>12574.178</v>
      </c>
      <c r="W572" s="1008">
        <f t="shared" ref="W572:AD572" ca="1" si="626">SUM(W570:W571)</f>
        <v>20165.015172639985</v>
      </c>
      <c r="X572" s="1008">
        <f t="shared" ca="1" si="626"/>
        <v>24577.160340537466</v>
      </c>
      <c r="Y572" s="1008">
        <f t="shared" ca="1" si="626"/>
        <v>34300.285758388811</v>
      </c>
      <c r="Z572" s="1008">
        <f t="shared" ca="1" si="626"/>
        <v>43525.100998575275</v>
      </c>
      <c r="AA572" s="1008">
        <f t="shared" ca="1" si="626"/>
        <v>53454.692123111985</v>
      </c>
      <c r="AB572" s="1008">
        <f t="shared" ca="1" si="626"/>
        <v>64142.904009563295</v>
      </c>
      <c r="AC572" s="1008">
        <f t="shared" ca="1" si="626"/>
        <v>75647.695284139481</v>
      </c>
      <c r="AD572" s="1008">
        <f t="shared" ca="1" si="626"/>
        <v>88031.452612093301</v>
      </c>
      <c r="AE572" s="83"/>
      <c r="AF572" s="83"/>
      <c r="AG572" s="83"/>
      <c r="AH572" s="13"/>
      <c r="AI572" s="13"/>
      <c r="AJ572" s="13"/>
      <c r="AK572" s="213"/>
      <c r="AL572" s="663"/>
      <c r="AM572" s="213"/>
      <c r="AN572" s="213"/>
      <c r="AO572" s="1008"/>
      <c r="AP572" s="1081"/>
      <c r="AQ572" s="1008"/>
      <c r="AR572" s="1008"/>
      <c r="AS572" s="1008"/>
      <c r="AT572" s="1081"/>
      <c r="AU572" s="1008"/>
      <c r="AV572" s="1008"/>
      <c r="AW572" s="1008"/>
      <c r="AX572" s="1081">
        <f t="shared" ref="AX572:BQ572" si="627">SUM(AX570:AX571)</f>
        <v>602.11050000000012</v>
      </c>
      <c r="AY572" s="1008">
        <f t="shared" si="627"/>
        <v>1025.6754375000003</v>
      </c>
      <c r="AZ572" s="1008">
        <f t="shared" si="627"/>
        <v>1315.3312031250002</v>
      </c>
      <c r="BA572" s="1008">
        <f t="shared" si="627"/>
        <v>2408.4420000000005</v>
      </c>
      <c r="BB572" s="1081">
        <f t="shared" si="627"/>
        <v>3364.6080000000006</v>
      </c>
      <c r="BC572" s="1008">
        <f t="shared" si="627"/>
        <v>3985.3261875000003</v>
      </c>
      <c r="BD572" s="1008">
        <f t="shared" si="627"/>
        <v>4354.4585156249996</v>
      </c>
      <c r="BE572" s="1008">
        <f t="shared" si="627"/>
        <v>6233.1059999999998</v>
      </c>
      <c r="BF572" s="1081">
        <f t="shared" si="627"/>
        <v>6524.0867499999995</v>
      </c>
      <c r="BG572" s="1008">
        <f t="shared" si="627"/>
        <v>6633.8918749999993</v>
      </c>
      <c r="BH572" s="1008">
        <f t="shared" si="627"/>
        <v>6607.8152812499993</v>
      </c>
      <c r="BI572" s="1008">
        <f t="shared" si="627"/>
        <v>7397.0289999999977</v>
      </c>
      <c r="BJ572" s="1081">
        <f t="shared" ca="1" si="627"/>
        <v>9652.9237499999981</v>
      </c>
      <c r="BK572" s="1008">
        <f t="shared" ca="1" si="627"/>
        <v>11198.482124999999</v>
      </c>
      <c r="BL572" s="1008">
        <f t="shared" ca="1" si="627"/>
        <v>12211.28821875</v>
      </c>
      <c r="BM572" s="1008">
        <f t="shared" ca="1" si="627"/>
        <v>16420.607999999997</v>
      </c>
      <c r="BN572" s="1081">
        <f t="shared" ca="1" si="627"/>
        <v>17356.709793159993</v>
      </c>
      <c r="BO572" s="1008">
        <f t="shared" ca="1" si="627"/>
        <v>17810.064196194991</v>
      </c>
      <c r="BP572" s="1008">
        <f t="shared" ca="1" si="627"/>
        <v>17901.35805663624</v>
      </c>
      <c r="BQ572" s="1008">
        <f t="shared" ca="1" si="627"/>
        <v>20165.015172639985</v>
      </c>
      <c r="BR572" s="83"/>
      <c r="BS572" s="83"/>
      <c r="BT572" s="83"/>
      <c r="BU572" s="83"/>
      <c r="BV572" s="83"/>
      <c r="BW572" s="83"/>
      <c r="CR572"/>
      <c r="CS572"/>
      <c r="CT572"/>
      <c r="CU572"/>
      <c r="CV572"/>
      <c r="CW572"/>
    </row>
    <row r="573" spans="9:104" s="256" customFormat="1" outlineLevel="1">
      <c r="I573" s="597"/>
      <c r="J573" s="191" t="s">
        <v>359</v>
      </c>
      <c r="K573" s="28"/>
      <c r="L573" s="28"/>
      <c r="M573" s="28"/>
      <c r="N573" s="528"/>
      <c r="O573" s="528"/>
      <c r="P573" s="1073"/>
      <c r="Q573" s="302">
        <f>Q507</f>
        <v>361.91300000000001</v>
      </c>
      <c r="R573" s="302">
        <f>R507</f>
        <v>1237.644</v>
      </c>
      <c r="S573" s="302">
        <f>S507</f>
        <v>1928.8989999999999</v>
      </c>
      <c r="T573" s="528">
        <f>T507</f>
        <v>1266.992</v>
      </c>
      <c r="U573" s="528">
        <f>U507</f>
        <v>1992.123</v>
      </c>
      <c r="V573" s="528">
        <f>V507</f>
        <v>3196.5160000000001</v>
      </c>
      <c r="W573" s="528">
        <f t="shared" ref="W573:AD573" si="628">W507</f>
        <v>3196.5160000000001</v>
      </c>
      <c r="X573" s="528">
        <f t="shared" si="628"/>
        <v>3196.5160000000001</v>
      </c>
      <c r="Y573" s="528">
        <f t="shared" si="628"/>
        <v>3196.5160000000001</v>
      </c>
      <c r="Z573" s="528">
        <f t="shared" si="628"/>
        <v>3196.5160000000001</v>
      </c>
      <c r="AA573" s="528">
        <f t="shared" si="628"/>
        <v>3196.5160000000001</v>
      </c>
      <c r="AB573" s="528">
        <f t="shared" si="628"/>
        <v>3196.5160000000001</v>
      </c>
      <c r="AC573" s="528">
        <f t="shared" si="628"/>
        <v>3196.5160000000001</v>
      </c>
      <c r="AD573" s="528">
        <f t="shared" si="628"/>
        <v>3196.5160000000001</v>
      </c>
      <c r="AE573" s="238"/>
      <c r="AF573" s="238"/>
      <c r="AG573" s="238"/>
      <c r="AH573" s="28"/>
      <c r="AI573" s="28"/>
      <c r="AJ573" s="28"/>
      <c r="AK573" s="215"/>
      <c r="AL573" s="662"/>
      <c r="AM573" s="215"/>
      <c r="AN573" s="215"/>
      <c r="AO573" s="528"/>
      <c r="AP573" s="757"/>
      <c r="AQ573" s="528"/>
      <c r="AR573" s="528"/>
      <c r="AS573" s="528"/>
      <c r="AT573" s="757"/>
      <c r="AU573" s="528"/>
      <c r="AV573" s="528"/>
      <c r="AW573" s="528"/>
      <c r="AX573" s="757"/>
      <c r="AY573" s="528"/>
      <c r="AZ573" s="528"/>
      <c r="BA573" s="528"/>
      <c r="BB573" s="757"/>
      <c r="BC573" s="528"/>
      <c r="BD573" s="528"/>
      <c r="BE573" s="528"/>
      <c r="BF573" s="757"/>
      <c r="BG573" s="1008"/>
      <c r="BH573" s="1008"/>
      <c r="BI573" s="528"/>
      <c r="BJ573" s="757"/>
      <c r="BK573" s="528"/>
      <c r="BL573" s="528"/>
      <c r="BM573" s="528"/>
      <c r="BN573" s="757"/>
      <c r="BO573" s="528"/>
      <c r="BP573" s="528"/>
      <c r="BQ573" s="528"/>
      <c r="BR573" s="238"/>
      <c r="BS573" s="238"/>
      <c r="BT573" s="238"/>
      <c r="BU573" s="238"/>
      <c r="BV573" s="238"/>
      <c r="BW573" s="238"/>
      <c r="CR573"/>
      <c r="CS573"/>
      <c r="CT573"/>
      <c r="CU573"/>
      <c r="CV573"/>
      <c r="CW573"/>
    </row>
    <row r="574" spans="9:104" s="583" customFormat="1" outlineLevel="1">
      <c r="I574" s="597"/>
      <c r="J574" s="13" t="s">
        <v>360</v>
      </c>
      <c r="K574" s="28"/>
      <c r="L574" s="28"/>
      <c r="M574" s="28"/>
      <c r="N574" s="1008">
        <f t="shared" ref="N574:AD574" si="629">N570+N573</f>
        <v>0</v>
      </c>
      <c r="O574" s="1008">
        <f t="shared" si="629"/>
        <v>0</v>
      </c>
      <c r="P574" s="1008">
        <f t="shared" si="629"/>
        <v>430.495</v>
      </c>
      <c r="Q574" s="1008">
        <f t="shared" si="629"/>
        <v>1270.944</v>
      </c>
      <c r="R574" s="1008">
        <f t="shared" si="629"/>
        <v>2765.0519999999997</v>
      </c>
      <c r="S574" s="1008">
        <f t="shared" si="629"/>
        <v>4785.6280000000006</v>
      </c>
      <c r="T574" s="1008">
        <f t="shared" si="629"/>
        <v>9490.8860000000004</v>
      </c>
      <c r="U574" s="1008">
        <f t="shared" si="629"/>
        <v>13114.826999999997</v>
      </c>
      <c r="V574" s="1008">
        <f t="shared" si="629"/>
        <v>25684.601999999995</v>
      </c>
      <c r="W574" s="1008">
        <f t="shared" si="629"/>
        <v>33408.560241999992</v>
      </c>
      <c r="X574" s="1008">
        <f t="shared" si="629"/>
        <v>42300.678045507389</v>
      </c>
      <c r="Y574" s="1008">
        <f t="shared" si="629"/>
        <v>52976.554680398374</v>
      </c>
      <c r="Z574" s="1008">
        <f t="shared" si="629"/>
        <v>63105.29263775119</v>
      </c>
      <c r="AA574" s="1008">
        <f t="shared" si="629"/>
        <v>74007.866175045769</v>
      </c>
      <c r="AB574" s="1008">
        <f t="shared" si="629"/>
        <v>85743.396330589647</v>
      </c>
      <c r="AC574" s="1008">
        <f t="shared" si="629"/>
        <v>98375.520990017074</v>
      </c>
      <c r="AD574" s="1008">
        <f t="shared" si="629"/>
        <v>111972.73997342476</v>
      </c>
      <c r="AE574" s="83"/>
      <c r="AF574" s="83"/>
      <c r="AG574" s="83"/>
      <c r="AH574" s="28"/>
      <c r="AI574" s="28"/>
      <c r="AJ574" s="28"/>
      <c r="AK574" s="213"/>
      <c r="AL574" s="663"/>
      <c r="AM574" s="213"/>
      <c r="AN574" s="213"/>
      <c r="AO574" s="1008"/>
      <c r="AP574" s="1081"/>
      <c r="AQ574" s="1008"/>
      <c r="AR574" s="1008"/>
      <c r="AS574" s="1008"/>
      <c r="AT574" s="1081"/>
      <c r="AU574" s="1008"/>
      <c r="AV574" s="1008"/>
      <c r="AW574" s="1008"/>
      <c r="AX574" s="1081">
        <f t="shared" ref="AX574:BQ574" si="630">AX570+AX573</f>
        <v>714.18225000000007</v>
      </c>
      <c r="AY574" s="1008">
        <f t="shared" si="630"/>
        <v>1249.8189375000002</v>
      </c>
      <c r="AZ574" s="1008">
        <f t="shared" si="630"/>
        <v>1651.5464531250002</v>
      </c>
      <c r="BA574" s="1008">
        <f t="shared" si="630"/>
        <v>2856.7290000000003</v>
      </c>
      <c r="BB574" s="1081">
        <f t="shared" si="630"/>
        <v>4198.5202500000005</v>
      </c>
      <c r="BC574" s="1008">
        <f t="shared" si="630"/>
        <v>5204.8636875000002</v>
      </c>
      <c r="BD574" s="1008">
        <f t="shared" si="630"/>
        <v>5959.621265625</v>
      </c>
      <c r="BE574" s="1008">
        <f t="shared" si="630"/>
        <v>8223.8940000000002</v>
      </c>
      <c r="BF574" s="1081">
        <f t="shared" si="630"/>
        <v>8948.5964999999997</v>
      </c>
      <c r="BG574" s="1008">
        <f t="shared" si="630"/>
        <v>9492.1233749999992</v>
      </c>
      <c r="BH574" s="1008">
        <f t="shared" si="630"/>
        <v>9899.7685312499998</v>
      </c>
      <c r="BI574" s="1008">
        <f t="shared" si="630"/>
        <v>11122.703999999998</v>
      </c>
      <c r="BJ574" s="1081">
        <f t="shared" si="630"/>
        <v>13964.049499999997</v>
      </c>
      <c r="BK574" s="1008">
        <f t="shared" si="630"/>
        <v>16095.058624999998</v>
      </c>
      <c r="BL574" s="1008">
        <f t="shared" si="630"/>
        <v>17693.315468749999</v>
      </c>
      <c r="BM574" s="1008">
        <f t="shared" si="630"/>
        <v>22488.085999999996</v>
      </c>
      <c r="BN574" s="1081">
        <f t="shared" si="630"/>
        <v>24419.075560499994</v>
      </c>
      <c r="BO574" s="1008">
        <f t="shared" si="630"/>
        <v>25867.317730874995</v>
      </c>
      <c r="BP574" s="1008">
        <f t="shared" si="630"/>
        <v>26953.499358656245</v>
      </c>
      <c r="BQ574" s="1008">
        <f t="shared" si="630"/>
        <v>30212.044241999993</v>
      </c>
      <c r="BR574" s="83"/>
      <c r="BS574" s="83"/>
      <c r="BT574" s="83"/>
      <c r="BU574" s="83"/>
      <c r="BV574" s="83"/>
      <c r="BW574" s="83"/>
      <c r="CR574"/>
      <c r="CS574"/>
      <c r="CT574"/>
      <c r="CU574"/>
      <c r="CV574"/>
      <c r="CW574"/>
    </row>
    <row r="575" spans="9:104" s="589" customFormat="1" outlineLevel="1">
      <c r="I575" s="601"/>
      <c r="J575" s="13"/>
      <c r="K575" s="13"/>
      <c r="L575" s="13"/>
      <c r="M575" s="13"/>
      <c r="N575" s="1008"/>
      <c r="O575" s="880"/>
      <c r="P575" s="880"/>
      <c r="Q575" s="880"/>
      <c r="R575" s="880"/>
      <c r="S575" s="880"/>
      <c r="T575" s="1008"/>
      <c r="U575" s="1008"/>
      <c r="V575" s="1008"/>
      <c r="W575" s="1008"/>
      <c r="X575" s="1008"/>
      <c r="Y575" s="1008"/>
      <c r="Z575" s="1008"/>
      <c r="AA575" s="1008"/>
      <c r="AB575" s="1008"/>
      <c r="AC575" s="1008"/>
      <c r="AD575" s="1008"/>
      <c r="AE575" s="296"/>
      <c r="AF575" s="296"/>
      <c r="AG575" s="296"/>
      <c r="AH575" s="13"/>
      <c r="AI575" s="13"/>
      <c r="AJ575" s="13"/>
      <c r="AK575" s="13"/>
      <c r="AL575" s="130"/>
      <c r="AM575" s="13"/>
      <c r="AN575" s="13"/>
      <c r="AO575" s="1008"/>
      <c r="AP575" s="1081"/>
      <c r="AQ575" s="1008"/>
      <c r="AR575" s="1008"/>
      <c r="AS575" s="1008"/>
      <c r="AT575" s="1081"/>
      <c r="AU575" s="1008"/>
      <c r="AV575" s="1008"/>
      <c r="AW575" s="1008"/>
      <c r="AX575" s="1081"/>
      <c r="AY575" s="1008"/>
      <c r="AZ575" s="1008"/>
      <c r="BA575" s="1008"/>
      <c r="BB575" s="1081"/>
      <c r="BC575" s="1008"/>
      <c r="BD575" s="1008"/>
      <c r="BE575" s="1008"/>
      <c r="BF575" s="1081"/>
      <c r="BG575" s="1008"/>
      <c r="BH575" s="1008"/>
      <c r="BI575" s="1008"/>
      <c r="BJ575" s="1081"/>
      <c r="BK575" s="1008"/>
      <c r="BL575" s="1008"/>
      <c r="BM575" s="1008"/>
      <c r="BN575" s="1081"/>
      <c r="BO575" s="1008"/>
      <c r="BP575" s="1008"/>
      <c r="BQ575" s="1008"/>
      <c r="BR575" s="296"/>
      <c r="BS575" s="296"/>
      <c r="BT575" s="296"/>
      <c r="BU575" s="296"/>
      <c r="BV575" s="296"/>
      <c r="BW575" s="296"/>
      <c r="CR575"/>
      <c r="CS575"/>
      <c r="CT575"/>
      <c r="CU575"/>
      <c r="CV575"/>
      <c r="CW575"/>
    </row>
    <row r="576" spans="9:104" s="583" customFormat="1" outlineLevel="1">
      <c r="I576" s="597"/>
      <c r="J576" s="13"/>
      <c r="K576" s="28"/>
      <c r="L576" s="28"/>
      <c r="M576" s="28"/>
      <c r="N576" s="528"/>
      <c r="O576" s="1007"/>
      <c r="P576" s="1007"/>
      <c r="Q576" s="1007"/>
      <c r="R576" s="1007"/>
      <c r="S576" s="528"/>
      <c r="T576" s="528"/>
      <c r="U576" s="528"/>
      <c r="V576" s="528"/>
      <c r="W576" s="528"/>
      <c r="X576" s="528"/>
      <c r="Y576" s="528"/>
      <c r="Z576" s="528"/>
      <c r="AA576" s="528"/>
      <c r="AB576" s="528"/>
      <c r="AC576" s="528"/>
      <c r="AD576" s="528"/>
      <c r="AE576" s="83"/>
      <c r="AF576" s="83"/>
      <c r="AG576" s="83"/>
      <c r="AH576" s="28"/>
      <c r="AI576" s="28"/>
      <c r="AJ576" s="28"/>
      <c r="AK576" s="28"/>
      <c r="AL576" s="390"/>
      <c r="AM576" s="28"/>
      <c r="AN576" s="28"/>
      <c r="AO576" s="528"/>
      <c r="AP576" s="757"/>
      <c r="AQ576" s="528"/>
      <c r="AR576" s="528"/>
      <c r="AS576" s="528"/>
      <c r="AT576" s="757"/>
      <c r="AU576" s="528"/>
      <c r="AV576" s="528"/>
      <c r="AW576" s="528"/>
      <c r="AX576" s="757"/>
      <c r="AY576" s="528"/>
      <c r="AZ576" s="528"/>
      <c r="BA576" s="528"/>
      <c r="BB576" s="757"/>
      <c r="BC576" s="528"/>
      <c r="BD576" s="528"/>
      <c r="BE576" s="528"/>
      <c r="BF576" s="757"/>
      <c r="BG576" s="1008"/>
      <c r="BH576" s="1008"/>
      <c r="BI576" s="528"/>
      <c r="BJ576" s="757"/>
      <c r="BK576" s="528"/>
      <c r="BL576" s="528"/>
      <c r="BM576" s="528"/>
      <c r="BN576" s="757"/>
      <c r="BO576" s="528"/>
      <c r="BP576" s="528"/>
      <c r="BQ576" s="528"/>
      <c r="BR576" s="83"/>
      <c r="BS576" s="83"/>
      <c r="BT576" s="83"/>
      <c r="BU576" s="83"/>
      <c r="BV576" s="83"/>
      <c r="BW576" s="83"/>
      <c r="CR576"/>
      <c r="CS576"/>
      <c r="CT576"/>
      <c r="CU576"/>
      <c r="CV576"/>
      <c r="CW576"/>
    </row>
    <row r="577" spans="9:101" s="583" customFormat="1" outlineLevel="1">
      <c r="I577" s="597"/>
      <c r="J577" s="315" t="s">
        <v>244</v>
      </c>
      <c r="K577" s="13"/>
      <c r="L577" s="13"/>
      <c r="M577" s="251"/>
      <c r="N577" s="1077"/>
      <c r="O577" s="1077"/>
      <c r="P577" s="1077"/>
      <c r="Q577" s="1077"/>
      <c r="R577" s="1077"/>
      <c r="S577" s="1070"/>
      <c r="T577" s="1070"/>
      <c r="U577" s="1070"/>
      <c r="V577" s="1070"/>
      <c r="W577" s="1070"/>
      <c r="X577" s="1070"/>
      <c r="Y577" s="1070"/>
      <c r="Z577" s="1070"/>
      <c r="AA577" s="1070"/>
      <c r="AB577" s="1070"/>
      <c r="AC577" s="1070"/>
      <c r="AD577" s="1070"/>
      <c r="AE577" s="83"/>
      <c r="AF577" s="83"/>
      <c r="AG577" s="83"/>
      <c r="AH577" s="282"/>
      <c r="AI577" s="282"/>
      <c r="AJ577" s="282"/>
      <c r="AK577" s="282"/>
      <c r="AL577" s="1524"/>
      <c r="AM577" s="282"/>
      <c r="AN577" s="282"/>
      <c r="AO577" s="1077"/>
      <c r="AP577" s="1640"/>
      <c r="AQ577" s="1077"/>
      <c r="AR577" s="1077"/>
      <c r="AS577" s="1077"/>
      <c r="AT577" s="1640"/>
      <c r="AU577" s="1077"/>
      <c r="AV577" s="1077"/>
      <c r="AW577" s="1077"/>
      <c r="AX577" s="1081"/>
      <c r="AY577" s="1008"/>
      <c r="AZ577" s="1008"/>
      <c r="BA577" s="1008"/>
      <c r="BB577" s="1081"/>
      <c r="BC577" s="1077"/>
      <c r="BD577" s="1077"/>
      <c r="BE577" s="1077"/>
      <c r="BF577" s="1640"/>
      <c r="BG577" s="1077"/>
      <c r="BH577" s="1077"/>
      <c r="BI577" s="1077"/>
      <c r="BJ577" s="1640"/>
      <c r="BK577" s="1077"/>
      <c r="BL577" s="1077"/>
      <c r="BM577" s="1077"/>
      <c r="BN577" s="1640"/>
      <c r="BO577" s="1077"/>
      <c r="BP577" s="1077"/>
      <c r="BQ577" s="1077"/>
      <c r="BR577" s="83"/>
      <c r="BS577" s="83"/>
      <c r="BT577" s="83"/>
      <c r="BU577" s="83"/>
      <c r="BV577" s="83"/>
      <c r="BW577" s="83"/>
      <c r="CR577"/>
      <c r="CS577"/>
      <c r="CT577"/>
      <c r="CU577"/>
      <c r="CV577"/>
      <c r="CW577"/>
    </row>
    <row r="578" spans="9:101" s="589" customFormat="1" outlineLevel="1">
      <c r="I578" s="1554"/>
      <c r="J578" s="316" t="s">
        <v>77</v>
      </c>
      <c r="K578" s="13"/>
      <c r="L578" s="13"/>
      <c r="M578" s="13"/>
      <c r="N578" s="1008"/>
      <c r="O578" s="1008"/>
      <c r="P578" s="1008">
        <f t="shared" ref="P578:U578" si="631">P687</f>
        <v>-623.41000000000008</v>
      </c>
      <c r="Q578" s="1008">
        <f t="shared" si="631"/>
        <v>-1147.7349999999999</v>
      </c>
      <c r="R578" s="1008">
        <f t="shared" si="631"/>
        <v>-1290.9189999999999</v>
      </c>
      <c r="S578" s="1008">
        <f t="shared" si="631"/>
        <v>-2902.0660000000003</v>
      </c>
      <c r="T578" s="1008">
        <f t="shared" si="631"/>
        <v>-5299.7589999999991</v>
      </c>
      <c r="U578" s="1008">
        <f t="shared" si="631"/>
        <v>-4425.607</v>
      </c>
      <c r="V578" s="1008">
        <f>SUM(BJ578:BM578)</f>
        <v>-11365.382</v>
      </c>
      <c r="W578" s="1084">
        <f t="shared" ref="W578:AD578" si="632">-W581*W405</f>
        <v>-7723.9582419999979</v>
      </c>
      <c r="X578" s="1084">
        <f t="shared" si="632"/>
        <v>-8892.1178035073972</v>
      </c>
      <c r="Y578" s="1084">
        <f t="shared" si="632"/>
        <v>-10675.876634890983</v>
      </c>
      <c r="Z578" s="1084">
        <f t="shared" si="632"/>
        <v>-10128.73795735282</v>
      </c>
      <c r="AA578" s="1084">
        <f t="shared" si="632"/>
        <v>-10902.573537294576</v>
      </c>
      <c r="AB578" s="1084">
        <f t="shared" si="632"/>
        <v>-11735.53015554388</v>
      </c>
      <c r="AC578" s="1084">
        <f t="shared" si="632"/>
        <v>-12632.124659427433</v>
      </c>
      <c r="AD578" s="1084">
        <f t="shared" si="632"/>
        <v>-13597.218983407687</v>
      </c>
      <c r="AE578" s="296"/>
      <c r="AF578" s="296"/>
      <c r="AG578" s="296"/>
      <c r="AH578" s="13"/>
      <c r="AI578" s="13"/>
      <c r="AJ578" s="13"/>
      <c r="AK578" s="13"/>
      <c r="AL578" s="1088"/>
      <c r="AM578" s="1087"/>
      <c r="AN578" s="1087"/>
      <c r="AO578" s="1448"/>
      <c r="AP578" s="1745"/>
      <c r="AQ578" s="1448"/>
      <c r="AR578" s="1448"/>
      <c r="AS578" s="1448"/>
      <c r="AT578" s="1745"/>
      <c r="AU578" s="1448"/>
      <c r="AV578" s="1448"/>
      <c r="AW578" s="1448"/>
      <c r="AX578" s="1732"/>
      <c r="AY578" s="1314"/>
      <c r="AZ578" s="1314"/>
      <c r="BA578" s="1314"/>
      <c r="BB578" s="1707"/>
      <c r="BC578" s="1361"/>
      <c r="BD578" s="1361"/>
      <c r="BE578" s="1314"/>
      <c r="BF578" s="1313">
        <v>-1042.011</v>
      </c>
      <c r="BG578" s="1312">
        <v>-1025.018</v>
      </c>
      <c r="BH578" s="1312">
        <f>-496.159-436.274</f>
        <v>-932.43299999999999</v>
      </c>
      <c r="BI578" s="1312">
        <f>-730.165-560.783</f>
        <v>-1290.9479999999999</v>
      </c>
      <c r="BJ578" s="1313">
        <v>-672.88800000000003</v>
      </c>
      <c r="BK578" s="1312">
        <v>-1305.1479999999999</v>
      </c>
      <c r="BL578" s="1312">
        <f>-5384.486-1812.924</f>
        <v>-7197.41</v>
      </c>
      <c r="BM578" s="1312">
        <f>-1377.679-812.257</f>
        <v>-2189.9360000000001</v>
      </c>
      <c r="BN578" s="1082">
        <f>-BN582*BN409</f>
        <v>-1640.8311211147316</v>
      </c>
      <c r="BO578" s="1074">
        <f>-BO582*BO409</f>
        <v>-2003.5283268732314</v>
      </c>
      <c r="BP578" s="1074">
        <f>-BP582*BP409</f>
        <v>-1717.428025318995</v>
      </c>
      <c r="BQ578" s="1074">
        <f>-BQ582*BQ409</f>
        <v>-2362.1707686930408</v>
      </c>
      <c r="BR578" s="296"/>
      <c r="BS578" s="296"/>
      <c r="BT578" s="296"/>
      <c r="BU578" s="296"/>
      <c r="BV578" s="296"/>
      <c r="BW578" s="296"/>
      <c r="CR578"/>
      <c r="CS578"/>
      <c r="CT578"/>
      <c r="CU578"/>
      <c r="CV578"/>
      <c r="CW578"/>
    </row>
    <row r="579" spans="9:101" s="583" customFormat="1" outlineLevel="1">
      <c r="I579" s="597"/>
      <c r="J579" s="186" t="s">
        <v>112</v>
      </c>
      <c r="K579" s="28"/>
      <c r="L579" s="28"/>
      <c r="M579" s="28"/>
      <c r="N579" s="528"/>
      <c r="O579" s="528"/>
      <c r="P579" s="528">
        <f t="shared" ref="P579:AD579" si="633">P578-O578</f>
        <v>-623.41000000000008</v>
      </c>
      <c r="Q579" s="528">
        <f t="shared" si="633"/>
        <v>-524.32499999999982</v>
      </c>
      <c r="R579" s="528">
        <f t="shared" si="633"/>
        <v>-143.18399999999997</v>
      </c>
      <c r="S579" s="528">
        <f t="shared" si="633"/>
        <v>-1611.1470000000004</v>
      </c>
      <c r="T579" s="528">
        <f t="shared" si="633"/>
        <v>-2397.6929999999988</v>
      </c>
      <c r="U579" s="528">
        <f t="shared" si="633"/>
        <v>874.15199999999913</v>
      </c>
      <c r="V579" s="528">
        <f t="shared" si="633"/>
        <v>-6939.7749999999996</v>
      </c>
      <c r="W579" s="528">
        <f t="shared" si="633"/>
        <v>3641.4237580000017</v>
      </c>
      <c r="X579" s="528">
        <f t="shared" si="633"/>
        <v>-1168.1595615073993</v>
      </c>
      <c r="Y579" s="528">
        <f t="shared" si="633"/>
        <v>-1783.7588313835859</v>
      </c>
      <c r="Z579" s="528">
        <f t="shared" si="633"/>
        <v>547.13867753816339</v>
      </c>
      <c r="AA579" s="528">
        <f t="shared" si="633"/>
        <v>-773.83557994175681</v>
      </c>
      <c r="AB579" s="528">
        <f t="shared" si="633"/>
        <v>-832.95661824930357</v>
      </c>
      <c r="AC579" s="528">
        <f t="shared" si="633"/>
        <v>-896.59450388355253</v>
      </c>
      <c r="AD579" s="528">
        <f t="shared" si="633"/>
        <v>-965.09432398025456</v>
      </c>
      <c r="AE579" s="83"/>
      <c r="AF579" s="83"/>
      <c r="AG579" s="83"/>
      <c r="AH579" s="28"/>
      <c r="AI579" s="28"/>
      <c r="AJ579" s="28"/>
      <c r="AK579" s="28"/>
      <c r="AL579" s="1746"/>
      <c r="AM579" s="1555"/>
      <c r="AN579" s="1555"/>
      <c r="AO579" s="1360"/>
      <c r="AP579" s="1641"/>
      <c r="AQ579" s="1360"/>
      <c r="AR579" s="1360"/>
      <c r="AS579" s="1360"/>
      <c r="AT579" s="1641"/>
      <c r="AU579" s="1360"/>
      <c r="AV579" s="1360"/>
      <c r="AW579" s="1360"/>
      <c r="AX579" s="740"/>
      <c r="AY579" s="350"/>
      <c r="AZ579" s="350"/>
      <c r="BA579" s="350"/>
      <c r="BB579" s="740"/>
      <c r="BC579" s="350"/>
      <c r="BD579" s="350"/>
      <c r="BE579" s="350"/>
      <c r="BF579" s="757">
        <f t="shared" ref="BF579:BQ579" si="634">BF578-BE578</f>
        <v>-1042.011</v>
      </c>
      <c r="BG579" s="1008">
        <f t="shared" si="634"/>
        <v>16.992999999999938</v>
      </c>
      <c r="BH579" s="1008">
        <f t="shared" si="634"/>
        <v>92.585000000000036</v>
      </c>
      <c r="BI579" s="528">
        <f t="shared" si="634"/>
        <v>-358.51499999999987</v>
      </c>
      <c r="BJ579" s="757">
        <f t="shared" si="634"/>
        <v>618.05999999999983</v>
      </c>
      <c r="BK579" s="528">
        <f t="shared" si="634"/>
        <v>-632.25999999999988</v>
      </c>
      <c r="BL579" s="528">
        <f t="shared" si="634"/>
        <v>-5892.2619999999997</v>
      </c>
      <c r="BM579" s="528">
        <f t="shared" si="634"/>
        <v>5007.4740000000002</v>
      </c>
      <c r="BN579" s="757">
        <f t="shared" si="634"/>
        <v>549.10487888526859</v>
      </c>
      <c r="BO579" s="528">
        <f t="shared" si="634"/>
        <v>-362.69720575849988</v>
      </c>
      <c r="BP579" s="528">
        <f t="shared" si="634"/>
        <v>286.10030155423647</v>
      </c>
      <c r="BQ579" s="528">
        <f t="shared" si="634"/>
        <v>-644.74274337404586</v>
      </c>
      <c r="BR579" s="83"/>
      <c r="BS579" s="83"/>
      <c r="BT579" s="83"/>
      <c r="BU579" s="83"/>
      <c r="BV579" s="83"/>
      <c r="BW579" s="83"/>
      <c r="CR579"/>
      <c r="CS579"/>
      <c r="CT579"/>
      <c r="CU579"/>
      <c r="CV579"/>
      <c r="CW579"/>
    </row>
    <row r="580" spans="9:101" s="583" customFormat="1" outlineLevel="1">
      <c r="I580" s="597"/>
      <c r="J580" s="186" t="s">
        <v>361</v>
      </c>
      <c r="K580" s="28"/>
      <c r="L580" s="28"/>
      <c r="M580" s="28"/>
      <c r="N580" s="215"/>
      <c r="O580" s="215"/>
      <c r="P580" s="215"/>
      <c r="Q580" s="179">
        <f t="shared" ref="Q580:AD580" si="635">Q578/P578-1</f>
        <v>0.84105965576426378</v>
      </c>
      <c r="R580" s="179">
        <f t="shared" si="635"/>
        <v>0.12475353631282471</v>
      </c>
      <c r="S580" s="179">
        <f t="shared" si="635"/>
        <v>1.2480620395237816</v>
      </c>
      <c r="T580" s="179">
        <f t="shared" si="635"/>
        <v>0.82620209188901939</v>
      </c>
      <c r="U580" s="179">
        <f t="shared" si="635"/>
        <v>-0.16494183980818733</v>
      </c>
      <c r="V580" s="179">
        <f t="shared" si="635"/>
        <v>1.5680956307236498</v>
      </c>
      <c r="W580" s="179">
        <f t="shared" si="635"/>
        <v>-0.32039607274088999</v>
      </c>
      <c r="X580" s="179">
        <f t="shared" si="635"/>
        <v>0.15123846153846143</v>
      </c>
      <c r="Y580" s="179">
        <f t="shared" si="635"/>
        <v>0.20060000000000033</v>
      </c>
      <c r="Z580" s="179">
        <f t="shared" si="635"/>
        <v>-5.1250000000000018E-2</v>
      </c>
      <c r="AA580" s="179">
        <f t="shared" si="635"/>
        <v>7.6400000000000245E-2</v>
      </c>
      <c r="AB580" s="179">
        <f t="shared" si="635"/>
        <v>7.6399999999999801E-2</v>
      </c>
      <c r="AC580" s="179">
        <f t="shared" si="635"/>
        <v>7.6400000000000023E-2</v>
      </c>
      <c r="AD580" s="179">
        <f t="shared" si="635"/>
        <v>7.6399999999999801E-2</v>
      </c>
      <c r="AE580" s="83"/>
      <c r="AF580" s="83"/>
      <c r="AG580" s="83"/>
      <c r="AH580" s="28"/>
      <c r="AI580" s="28"/>
      <c r="AJ580" s="28"/>
      <c r="AK580" s="28"/>
      <c r="AL580" s="1746"/>
      <c r="AM580" s="1555"/>
      <c r="AN580" s="1555"/>
      <c r="AO580" s="1555"/>
      <c r="AP580" s="1746"/>
      <c r="AQ580" s="1555"/>
      <c r="AR580" s="1555"/>
      <c r="AS580" s="1555"/>
      <c r="AT580" s="1746"/>
      <c r="AU580" s="1555"/>
      <c r="AV580" s="1555"/>
      <c r="AW580" s="1555"/>
      <c r="AX580" s="740"/>
      <c r="AY580" s="350"/>
      <c r="AZ580" s="350"/>
      <c r="BA580" s="350"/>
      <c r="BB580" s="740"/>
      <c r="BC580" s="350"/>
      <c r="BD580" s="350"/>
      <c r="BE580" s="350"/>
      <c r="BF580" s="662"/>
      <c r="BG580" s="213"/>
      <c r="BH580" s="213"/>
      <c r="BI580" s="215"/>
      <c r="BJ580" s="662"/>
      <c r="BK580" s="215"/>
      <c r="BL580" s="215"/>
      <c r="BM580" s="215"/>
      <c r="BN580" s="662"/>
      <c r="BO580" s="215"/>
      <c r="BP580" s="215"/>
      <c r="BQ580" s="215"/>
      <c r="BR580" s="83"/>
      <c r="BS580" s="83"/>
      <c r="BT580" s="83"/>
      <c r="BU580" s="83"/>
      <c r="BV580" s="83"/>
      <c r="BW580" s="83"/>
      <c r="CR580"/>
      <c r="CS580"/>
      <c r="CT580"/>
      <c r="CU580"/>
      <c r="CV580"/>
      <c r="CW580"/>
    </row>
    <row r="581" spans="9:101" s="583" customFormat="1" outlineLevel="1">
      <c r="I581" s="1556"/>
      <c r="J581" s="186" t="s">
        <v>377</v>
      </c>
      <c r="K581" s="28"/>
      <c r="L581" s="28"/>
      <c r="M581" s="28"/>
      <c r="N581" s="610"/>
      <c r="O581" s="610"/>
      <c r="P581" s="386">
        <f t="shared" ref="P581:V581" si="636">-P578/P405</f>
        <v>1.9064525993883794E-2</v>
      </c>
      <c r="Q581" s="386">
        <f t="shared" si="636"/>
        <v>1.5658049113233288E-2</v>
      </c>
      <c r="R581" s="386">
        <f t="shared" si="636"/>
        <v>1.028329545417591E-2</v>
      </c>
      <c r="S581" s="386">
        <f t="shared" si="636"/>
        <v>1.1153212913143737E-2</v>
      </c>
      <c r="T581" s="386">
        <f t="shared" si="636"/>
        <v>1.1453985303652473E-2</v>
      </c>
      <c r="U581" s="386">
        <f t="shared" si="636"/>
        <v>6.7238027955028867E-3</v>
      </c>
      <c r="V581" s="386">
        <f t="shared" si="636"/>
        <v>1.2543464153275648E-2</v>
      </c>
      <c r="W581" s="1154">
        <v>6.4999999999999997E-3</v>
      </c>
      <c r="X581" s="1154">
        <v>6.0000000000000001E-3</v>
      </c>
      <c r="Y581" s="1154">
        <f t="shared" ref="Y581:AD581" si="637">X581</f>
        <v>6.0000000000000001E-3</v>
      </c>
      <c r="Z581" s="1154">
        <v>5.0000000000000001E-3</v>
      </c>
      <c r="AA581" s="1154">
        <f t="shared" si="637"/>
        <v>5.0000000000000001E-3</v>
      </c>
      <c r="AB581" s="1154">
        <f t="shared" si="637"/>
        <v>5.0000000000000001E-3</v>
      </c>
      <c r="AC581" s="1154">
        <f t="shared" si="637"/>
        <v>5.0000000000000001E-3</v>
      </c>
      <c r="AD581" s="1154">
        <f t="shared" si="637"/>
        <v>5.0000000000000001E-3</v>
      </c>
      <c r="AE581" s="83"/>
      <c r="AF581" s="83"/>
      <c r="AG581" s="83"/>
      <c r="AH581" s="28"/>
      <c r="AI581" s="28"/>
      <c r="AJ581" s="28"/>
      <c r="AK581" s="28"/>
      <c r="AL581" s="1747"/>
      <c r="AM581" s="239"/>
      <c r="AN581" s="239"/>
      <c r="AO581" s="239"/>
      <c r="AP581" s="1747"/>
      <c r="AQ581" s="239"/>
      <c r="AR581" s="239"/>
      <c r="AS581" s="239"/>
      <c r="AT581" s="1747"/>
      <c r="AU581" s="239"/>
      <c r="AV581" s="239"/>
      <c r="AW581" s="239"/>
      <c r="AX581" s="1708"/>
      <c r="AY581" s="940"/>
      <c r="AZ581" s="940"/>
      <c r="BA581" s="940"/>
      <c r="BB581" s="1708"/>
      <c r="BC581" s="940"/>
      <c r="BD581" s="940"/>
      <c r="BE581" s="940"/>
      <c r="BF581" s="683"/>
      <c r="BG581" s="800"/>
      <c r="BH581" s="800"/>
      <c r="BI581" s="68"/>
      <c r="BJ581" s="683"/>
      <c r="BK581" s="68"/>
      <c r="BL581" s="68"/>
      <c r="BM581" s="68"/>
      <c r="BN581" s="683"/>
      <c r="BO581" s="68"/>
      <c r="BP581" s="68"/>
      <c r="BQ581" s="68"/>
      <c r="BR581" s="83"/>
      <c r="BS581" s="83"/>
      <c r="BT581" s="83"/>
      <c r="BU581" s="83"/>
      <c r="BV581" s="83"/>
      <c r="BW581" s="83"/>
      <c r="CR581"/>
      <c r="CS581"/>
      <c r="CT581"/>
      <c r="CU581"/>
      <c r="CV581"/>
      <c r="CW581"/>
    </row>
    <row r="582" spans="9:101" s="583" customFormat="1" outlineLevel="1">
      <c r="I582" s="597"/>
      <c r="J582" s="186" t="s">
        <v>22</v>
      </c>
      <c r="K582" s="28"/>
      <c r="L582" s="28"/>
      <c r="M582" s="28"/>
      <c r="N582" s="386"/>
      <c r="O582" s="386"/>
      <c r="P582" s="386"/>
      <c r="Q582" s="386"/>
      <c r="R582" s="386"/>
      <c r="S582" s="386">
        <f t="shared" ref="S582:X582" si="638">-S578/S409</f>
        <v>2.5234917653606026E-2</v>
      </c>
      <c r="T582" s="386">
        <f t="shared" si="638"/>
        <v>2.9234081870183736E-2</v>
      </c>
      <c r="U582" s="386">
        <f t="shared" si="638"/>
        <v>1.7134259584636484E-2</v>
      </c>
      <c r="V582" s="386">
        <f t="shared" si="638"/>
        <v>3.1367336355510263E-2</v>
      </c>
      <c r="W582" s="386">
        <f t="shared" si="638"/>
        <v>1.6644040022504917E-2</v>
      </c>
      <c r="X582" s="386">
        <f t="shared" si="638"/>
        <v>1.5417548471260268E-2</v>
      </c>
      <c r="Y582" s="386"/>
      <c r="Z582" s="386"/>
      <c r="AA582" s="386"/>
      <c r="AB582" s="386"/>
      <c r="AC582" s="386"/>
      <c r="AD582" s="386"/>
      <c r="AE582" s="83"/>
      <c r="AF582" s="83"/>
      <c r="AG582" s="83"/>
      <c r="AH582" s="28"/>
      <c r="AI582" s="28"/>
      <c r="AJ582" s="28"/>
      <c r="AK582" s="28"/>
      <c r="AL582" s="670"/>
      <c r="AM582" s="240"/>
      <c r="AN582" s="240"/>
      <c r="AO582" s="240"/>
      <c r="AP582" s="670"/>
      <c r="AQ582" s="240"/>
      <c r="AR582" s="240"/>
      <c r="AS582" s="240"/>
      <c r="AT582" s="670"/>
      <c r="AU582" s="240"/>
      <c r="AV582" s="240"/>
      <c r="AW582" s="240"/>
      <c r="AX582" s="817"/>
      <c r="AY582" s="618"/>
      <c r="AZ582" s="618"/>
      <c r="BA582" s="618"/>
      <c r="BB582" s="817"/>
      <c r="BC582" s="618"/>
      <c r="BD582" s="618"/>
      <c r="BE582" s="618"/>
      <c r="BF582" s="1642">
        <f t="shared" ref="BF582:BM582" si="639">-BF578/AVERAGE(BC409:BF409)</f>
        <v>2.1002512822344669E-2</v>
      </c>
      <c r="BG582" s="1557">
        <f t="shared" si="639"/>
        <v>1.8857600238561929E-2</v>
      </c>
      <c r="BH582" s="1557">
        <f t="shared" si="639"/>
        <v>1.5974089313190807E-2</v>
      </c>
      <c r="BI582" s="1557">
        <f t="shared" si="639"/>
        <v>1.999222989503343E-2</v>
      </c>
      <c r="BJ582" s="1642">
        <f t="shared" si="639"/>
        <v>9.622996927332584E-3</v>
      </c>
      <c r="BK582" s="1557">
        <f t="shared" si="639"/>
        <v>1.6949698043065953E-2</v>
      </c>
      <c r="BL582" s="1557">
        <f t="shared" si="639"/>
        <v>8.682626484709996E-2</v>
      </c>
      <c r="BM582" s="1557">
        <f t="shared" si="639"/>
        <v>2.417603178108425E-2</v>
      </c>
      <c r="BN582" s="1153">
        <f>W582</f>
        <v>1.6644040022504917E-2</v>
      </c>
      <c r="BO582" s="1558">
        <f>BN582</f>
        <v>1.6644040022504917E-2</v>
      </c>
      <c r="BP582" s="1558">
        <f>BO582</f>
        <v>1.6644040022504917E-2</v>
      </c>
      <c r="BQ582" s="1558">
        <f>BP582</f>
        <v>1.6644040022504917E-2</v>
      </c>
      <c r="BR582" s="83"/>
      <c r="BS582" s="83"/>
      <c r="BT582" s="83"/>
      <c r="BU582" s="83"/>
      <c r="BV582" s="83"/>
      <c r="BW582" s="83"/>
      <c r="CR582"/>
      <c r="CS582"/>
      <c r="CT582"/>
      <c r="CU582"/>
      <c r="CV582"/>
      <c r="CW582"/>
    </row>
    <row r="583" spans="9:101" s="583" customFormat="1" outlineLevel="1">
      <c r="I583" s="597"/>
      <c r="J583" s="33"/>
      <c r="K583" s="28"/>
      <c r="L583" s="28"/>
      <c r="M583" s="28"/>
      <c r="N583" s="28"/>
      <c r="O583" s="28"/>
      <c r="P583" s="1559"/>
      <c r="Q583" s="1559"/>
      <c r="R583" s="1559"/>
      <c r="S583" s="517"/>
      <c r="T583" s="285"/>
      <c r="U583" s="285"/>
      <c r="V583" s="285"/>
      <c r="W583" s="517"/>
      <c r="X583" s="517"/>
      <c r="Y583" s="517"/>
      <c r="Z583" s="517"/>
      <c r="AA583" s="517"/>
      <c r="AB583" s="517"/>
      <c r="AC583" s="517"/>
      <c r="AD583" s="517"/>
      <c r="AE583" s="83"/>
      <c r="AF583" s="83"/>
      <c r="AG583" s="83"/>
      <c r="AH583" s="28"/>
      <c r="AI583" s="28"/>
      <c r="AJ583" s="28"/>
      <c r="AK583" s="28"/>
      <c r="AL583" s="1766"/>
      <c r="AM583" s="1559"/>
      <c r="AN583" s="1559"/>
      <c r="AO583" s="1559"/>
      <c r="AP583" s="1766"/>
      <c r="AQ583" s="1559"/>
      <c r="AR583" s="1559"/>
      <c r="AS583" s="1559"/>
      <c r="AT583" s="1747"/>
      <c r="AU583" s="239"/>
      <c r="AV583" s="239"/>
      <c r="AW583" s="239"/>
      <c r="AX583" s="684"/>
      <c r="AY583" s="517"/>
      <c r="AZ583" s="517"/>
      <c r="BA583" s="517"/>
      <c r="BB583" s="684"/>
      <c r="BC583" s="517"/>
      <c r="BD583" s="517"/>
      <c r="BE583" s="517"/>
      <c r="BF583" s="684"/>
      <c r="BG583" s="801"/>
      <c r="BH583" s="801"/>
      <c r="BI583" s="517"/>
      <c r="BJ583" s="684"/>
      <c r="BK583" s="517"/>
      <c r="BL583" s="517"/>
      <c r="BM583" s="517"/>
      <c r="BN583" s="684"/>
      <c r="BO583" s="517"/>
      <c r="BP583" s="517"/>
      <c r="BQ583" s="517"/>
      <c r="BR583" s="83"/>
      <c r="BS583" s="83"/>
      <c r="BT583" s="83"/>
      <c r="BU583" s="83"/>
      <c r="BV583" s="83"/>
      <c r="BW583" s="83"/>
      <c r="CR583"/>
      <c r="CS583"/>
      <c r="CT583"/>
      <c r="CU583"/>
      <c r="CV583"/>
      <c r="CW583"/>
    </row>
    <row r="584" spans="9:101" s="583" customFormat="1" outlineLevel="1">
      <c r="I584" s="597"/>
      <c r="J584" s="315" t="s">
        <v>597</v>
      </c>
      <c r="K584" s="13"/>
      <c r="L584" s="13"/>
      <c r="M584" s="251"/>
      <c r="N584" s="282"/>
      <c r="O584" s="282"/>
      <c r="P584" s="282"/>
      <c r="Q584" s="282"/>
      <c r="R584" s="282"/>
      <c r="S584" s="283"/>
      <c r="T584" s="283"/>
      <c r="U584" s="283"/>
      <c r="V584" s="283"/>
      <c r="W584" s="283"/>
      <c r="X584" s="283"/>
      <c r="Y584" s="283"/>
      <c r="Z584" s="283"/>
      <c r="AA584" s="283"/>
      <c r="AB584" s="283"/>
      <c r="AC584" s="283"/>
      <c r="AD584" s="283"/>
      <c r="AE584" s="83"/>
      <c r="AF584" s="83"/>
      <c r="AG584" s="83"/>
      <c r="AH584" s="282"/>
      <c r="AI584" s="282"/>
      <c r="AJ584" s="282"/>
      <c r="AK584" s="282"/>
      <c r="AL584" s="1524"/>
      <c r="AM584" s="282"/>
      <c r="AN584" s="282"/>
      <c r="AO584" s="282"/>
      <c r="AP584" s="1524"/>
      <c r="AQ584" s="282"/>
      <c r="AR584" s="282"/>
      <c r="AS584" s="282"/>
      <c r="AT584" s="1524"/>
      <c r="AU584" s="282"/>
      <c r="AV584" s="282"/>
      <c r="AW584" s="282"/>
      <c r="AX584" s="130"/>
      <c r="AY584" s="13"/>
      <c r="AZ584" s="13"/>
      <c r="BA584" s="13"/>
      <c r="BB584" s="130"/>
      <c r="BC584" s="282"/>
      <c r="BD584" s="282"/>
      <c r="BE584" s="282"/>
      <c r="BF584" s="1524"/>
      <c r="BG584" s="282"/>
      <c r="BH584" s="282"/>
      <c r="BI584" s="282"/>
      <c r="BJ584" s="1524"/>
      <c r="BK584" s="282"/>
      <c r="BL584" s="282"/>
      <c r="BM584" s="282"/>
      <c r="BN584" s="1524"/>
      <c r="BO584" s="282"/>
      <c r="BP584" s="282"/>
      <c r="BQ584" s="282"/>
      <c r="BR584" s="83"/>
      <c r="BS584" s="83"/>
      <c r="BT584" s="83"/>
      <c r="BU584" s="83"/>
      <c r="BV584" s="83"/>
      <c r="BW584" s="83"/>
      <c r="CR584"/>
      <c r="CS584"/>
      <c r="CT584"/>
      <c r="CU584"/>
      <c r="CV584"/>
      <c r="CW584"/>
    </row>
    <row r="585" spans="9:101" s="589" customFormat="1" outlineLevel="1">
      <c r="I585" s="1554"/>
      <c r="J585" s="316" t="s">
        <v>23</v>
      </c>
      <c r="K585" s="13"/>
      <c r="L585" s="13"/>
      <c r="M585" s="13"/>
      <c r="N585" s="1008"/>
      <c r="O585" s="1008"/>
      <c r="P585" s="1008">
        <f t="shared" ref="P585:V585" si="640">P645</f>
        <v>73.945999999999998</v>
      </c>
      <c r="Q585" s="1008">
        <f t="shared" si="640"/>
        <v>185.73</v>
      </c>
      <c r="R585" s="1008">
        <f t="shared" si="640"/>
        <v>293.14100000000002</v>
      </c>
      <c r="S585" s="1008">
        <f t="shared" si="640"/>
        <v>1650.5329999999999</v>
      </c>
      <c r="T585" s="1008">
        <f t="shared" si="640"/>
        <v>2619.0610000000001</v>
      </c>
      <c r="U585" s="1008">
        <f t="shared" si="640"/>
        <v>3633.346</v>
      </c>
      <c r="V585" s="1008">
        <f t="shared" ca="1" si="640"/>
        <v>2341.8029999999999</v>
      </c>
      <c r="W585" s="1084">
        <f t="shared" ref="W585:AD585" ca="1" si="641">W589</f>
        <v>3979.5510693600063</v>
      </c>
      <c r="X585" s="1084">
        <f t="shared" ca="1" si="641"/>
        <v>4479.9726356099127</v>
      </c>
      <c r="Y585" s="1084">
        <f t="shared" ca="1" si="641"/>
        <v>4464.1958526495509</v>
      </c>
      <c r="Z585" s="1084">
        <f t="shared" ca="1" si="641"/>
        <v>4353.833569815908</v>
      </c>
      <c r="AA585" s="1084">
        <f t="shared" ca="1" si="641"/>
        <v>4312.530982573775</v>
      </c>
      <c r="AB585" s="1084">
        <f t="shared" ca="1" si="641"/>
        <v>4670.5371823063369</v>
      </c>
      <c r="AC585" s="1084">
        <f t="shared" ca="1" si="641"/>
        <v>5004.3080009076693</v>
      </c>
      <c r="AD585" s="1084">
        <f t="shared" ca="1" si="641"/>
        <v>5265.0184393219051</v>
      </c>
      <c r="AE585" s="296"/>
      <c r="AF585" s="296"/>
      <c r="AG585" s="296"/>
      <c r="AH585" s="13"/>
      <c r="AI585" s="13"/>
      <c r="AJ585" s="13"/>
      <c r="AK585" s="13"/>
      <c r="AL585" s="1088"/>
      <c r="AM585" s="1087"/>
      <c r="AN585" s="1087"/>
      <c r="AO585" s="1087"/>
      <c r="AP585" s="1088"/>
      <c r="AQ585" s="1087"/>
      <c r="AR585" s="1087"/>
      <c r="AS585" s="1087"/>
      <c r="AT585" s="1088"/>
      <c r="AU585" s="1087"/>
      <c r="AV585" s="1087"/>
      <c r="AW585" s="1087"/>
      <c r="AX585" s="1088"/>
      <c r="AY585" s="1087"/>
      <c r="AZ585" s="1087"/>
      <c r="BA585" s="1087"/>
      <c r="BB585" s="1088"/>
      <c r="BC585" s="1087"/>
      <c r="BD585" s="1087"/>
      <c r="BE585" s="1087"/>
      <c r="BF585" s="1088"/>
      <c r="BG585" s="1087"/>
      <c r="BH585" s="1087"/>
      <c r="BI585" s="1087"/>
      <c r="BJ585" s="1088">
        <f>(BJ456-BJ454)</f>
        <v>552.74599999999987</v>
      </c>
      <c r="BK585" s="1087">
        <f>(BK456-BK454)</f>
        <v>527.58800000000008</v>
      </c>
      <c r="BL585" s="1087">
        <f>(BL456-BL454)</f>
        <v>527.58899999999994</v>
      </c>
      <c r="BM585" s="1087">
        <f>(BM456-BM454)</f>
        <v>733.88</v>
      </c>
      <c r="BN585" s="1673">
        <v>700</v>
      </c>
      <c r="BO585" s="1560">
        <v>1100</v>
      </c>
      <c r="BP585" s="1560">
        <v>1100</v>
      </c>
      <c r="BQ585" s="1457">
        <f ca="1">W585-SUM(BN585:BP585)</f>
        <v>1079.5510693600063</v>
      </c>
      <c r="BR585" s="296"/>
      <c r="BS585" s="296"/>
      <c r="BT585" s="296"/>
      <c r="BU585" s="296"/>
      <c r="BV585" s="296"/>
      <c r="BW585" s="296"/>
      <c r="CR585"/>
      <c r="CS585"/>
      <c r="CT585"/>
      <c r="CU585"/>
      <c r="CV585"/>
      <c r="CW585"/>
    </row>
    <row r="586" spans="9:101" s="589" customFormat="1" outlineLevel="1">
      <c r="I586" s="1554"/>
      <c r="J586" s="1817" t="s">
        <v>584</v>
      </c>
      <c r="K586" s="334"/>
      <c r="L586" s="334"/>
      <c r="M586" s="334"/>
      <c r="N586" s="1085"/>
      <c r="O586" s="1085"/>
      <c r="P586" s="1085"/>
      <c r="Q586" s="1085"/>
      <c r="R586" s="1085"/>
      <c r="S586" s="1085">
        <f>S591</f>
        <v>293.14100000000002</v>
      </c>
      <c r="T586" s="1085">
        <f>T592</f>
        <v>968.52800000000025</v>
      </c>
      <c r="U586" s="1085">
        <f>U593</f>
        <v>1014.2849999999999</v>
      </c>
      <c r="V586" s="1085">
        <f ca="1">V594</f>
        <v>1014.2849999999999</v>
      </c>
      <c r="W586" s="1084">
        <f t="shared" ref="W586:AD586" ca="1" si="642">-W578*W587</f>
        <v>689.31206936000626</v>
      </c>
      <c r="X586" s="1084">
        <f t="shared" ca="1" si="642"/>
        <v>793.56256624990692</v>
      </c>
      <c r="Y586" s="1084">
        <f t="shared" ca="1" si="642"/>
        <v>952.75121703963839</v>
      </c>
      <c r="Z586" s="1084">
        <f t="shared" ca="1" si="642"/>
        <v>903.92271716635685</v>
      </c>
      <c r="AA586" s="1084">
        <f t="shared" ca="1" si="642"/>
        <v>972.98241275786665</v>
      </c>
      <c r="AB586" s="1084">
        <f t="shared" ca="1" si="642"/>
        <v>1047.3182690925676</v>
      </c>
      <c r="AC586" s="1084">
        <f t="shared" ca="1" si="642"/>
        <v>1127.3333848512398</v>
      </c>
      <c r="AD586" s="1084">
        <f t="shared" ca="1" si="642"/>
        <v>1213.4616554538743</v>
      </c>
      <c r="AE586" s="296"/>
      <c r="AF586" s="296"/>
      <c r="AG586" s="296"/>
      <c r="AH586" s="296"/>
      <c r="AI586" s="296"/>
      <c r="AJ586" s="296"/>
      <c r="AK586" s="296"/>
      <c r="AL586" s="1797"/>
      <c r="AM586" s="244"/>
      <c r="AN586" s="244"/>
      <c r="AO586" s="974"/>
      <c r="AP586" s="975"/>
      <c r="AQ586" s="974"/>
      <c r="AR586" s="974"/>
      <c r="AS586" s="974"/>
      <c r="AT586" s="975"/>
      <c r="AU586" s="974"/>
      <c r="AV586" s="974"/>
      <c r="AW586" s="974"/>
      <c r="AX586" s="975"/>
      <c r="AY586" s="974"/>
      <c r="AZ586" s="974"/>
      <c r="BA586" s="974"/>
      <c r="BB586" s="975"/>
      <c r="BC586" s="974"/>
      <c r="BD586" s="974"/>
      <c r="BE586" s="974"/>
      <c r="BF586" s="1686"/>
      <c r="BG586" s="956"/>
      <c r="BH586" s="956"/>
      <c r="BI586" s="956"/>
      <c r="BJ586" s="975"/>
      <c r="BK586" s="974"/>
      <c r="BL586" s="974"/>
      <c r="BM586" s="974"/>
      <c r="BN586" s="975"/>
      <c r="BO586" s="974"/>
      <c r="BP586" s="974"/>
      <c r="BQ586" s="974"/>
      <c r="BR586" s="296"/>
      <c r="BS586" s="296"/>
      <c r="BT586" s="296"/>
      <c r="BU586" s="296"/>
      <c r="BV586" s="296"/>
      <c r="BW586" s="296"/>
      <c r="CR586"/>
      <c r="CS586"/>
      <c r="CT586"/>
      <c r="CU586"/>
      <c r="CV586"/>
      <c r="CW586"/>
    </row>
    <row r="587" spans="9:101" s="583" customFormat="1" outlineLevel="1">
      <c r="I587" s="597"/>
      <c r="J587" s="1818" t="s">
        <v>585</v>
      </c>
      <c r="K587" s="174"/>
      <c r="L587" s="174"/>
      <c r="M587" s="174"/>
      <c r="N587" s="1561"/>
      <c r="O587" s="1561"/>
      <c r="P587" s="1073"/>
      <c r="Q587" s="302"/>
      <c r="R587" s="302"/>
      <c r="S587" s="85">
        <f>-S586/S578</f>
        <v>0.10101114171765907</v>
      </c>
      <c r="T587" s="85">
        <f>-T586/T578</f>
        <v>0.18274944200292889</v>
      </c>
      <c r="U587" s="85">
        <f>-U586/U578</f>
        <v>0.22918551059775527</v>
      </c>
      <c r="V587" s="85">
        <f ca="1">-V586/V578</f>
        <v>8.9243370790352661E-2</v>
      </c>
      <c r="W587" s="1562">
        <f t="shared" ref="W587:AD587" ca="1" si="643">V587</f>
        <v>8.9243370790352661E-2</v>
      </c>
      <c r="X587" s="1562">
        <f t="shared" ca="1" si="643"/>
        <v>8.9243370790352661E-2</v>
      </c>
      <c r="Y587" s="1562">
        <f t="shared" ca="1" si="643"/>
        <v>8.9243370790352661E-2</v>
      </c>
      <c r="Z587" s="1562">
        <f t="shared" ca="1" si="643"/>
        <v>8.9243370790352661E-2</v>
      </c>
      <c r="AA587" s="1562">
        <f t="shared" ca="1" si="643"/>
        <v>8.9243370790352661E-2</v>
      </c>
      <c r="AB587" s="1562">
        <f t="shared" ca="1" si="643"/>
        <v>8.9243370790352661E-2</v>
      </c>
      <c r="AC587" s="1562">
        <f t="shared" ca="1" si="643"/>
        <v>8.9243370790352661E-2</v>
      </c>
      <c r="AD587" s="1562">
        <f t="shared" ca="1" si="643"/>
        <v>8.9243370790352661E-2</v>
      </c>
      <c r="AE587" s="83"/>
      <c r="AF587" s="83"/>
      <c r="AG587" s="83"/>
      <c r="AH587" s="83"/>
      <c r="AI587" s="83"/>
      <c r="AJ587" s="83"/>
      <c r="AK587" s="83"/>
      <c r="AL587" s="1709"/>
      <c r="AM587" s="83"/>
      <c r="AN587" s="83"/>
      <c r="AO587" s="83"/>
      <c r="AP587" s="1709"/>
      <c r="AQ587" s="83"/>
      <c r="AR587" s="83"/>
      <c r="AS587" s="83"/>
      <c r="AT587" s="1709"/>
      <c r="AU587" s="83"/>
      <c r="AV587" s="83"/>
      <c r="AW587" s="83"/>
      <c r="AX587" s="685"/>
      <c r="AY587" s="538"/>
      <c r="AZ587" s="538"/>
      <c r="BA587" s="538"/>
      <c r="BB587" s="685"/>
      <c r="BC587" s="538"/>
      <c r="BD587" s="538"/>
      <c r="BE587" s="538"/>
      <c r="BF587" s="685"/>
      <c r="BG587" s="296"/>
      <c r="BH587" s="296"/>
      <c r="BI587" s="538"/>
      <c r="BJ587" s="685"/>
      <c r="BK587" s="538"/>
      <c r="BL587" s="538"/>
      <c r="BM587" s="538"/>
      <c r="BN587" s="685"/>
      <c r="BO587" s="538"/>
      <c r="BP587" s="538"/>
      <c r="BQ587" s="538"/>
      <c r="BR587" s="83"/>
      <c r="BS587" s="83"/>
      <c r="BT587" s="83"/>
      <c r="BU587" s="83"/>
      <c r="BV587" s="83"/>
      <c r="BW587" s="83"/>
      <c r="CR587"/>
      <c r="CS587"/>
      <c r="CT587"/>
      <c r="CU587"/>
      <c r="CV587"/>
      <c r="CW587"/>
    </row>
    <row r="588" spans="9:101" s="583" customFormat="1" outlineLevel="1">
      <c r="I588" s="597"/>
      <c r="J588" s="1819"/>
      <c r="K588" s="174"/>
      <c r="L588" s="174"/>
      <c r="M588" s="174"/>
      <c r="N588" s="1561"/>
      <c r="O588" s="1561"/>
      <c r="P588" s="1073"/>
      <c r="Q588" s="302"/>
      <c r="R588" s="302"/>
      <c r="S588" s="302"/>
      <c r="T588" s="1086"/>
      <c r="U588" s="1086"/>
      <c r="V588" s="302"/>
      <c r="W588" s="302"/>
      <c r="X588" s="302"/>
      <c r="Y588" s="302"/>
      <c r="Z588" s="302"/>
      <c r="AA588" s="302"/>
      <c r="AB588" s="302"/>
      <c r="AC588" s="302"/>
      <c r="AD588" s="302"/>
      <c r="AE588" s="83"/>
      <c r="AF588" s="83"/>
      <c r="AG588" s="83"/>
      <c r="AH588" s="83"/>
      <c r="AI588" s="83"/>
      <c r="AJ588" s="83"/>
      <c r="AK588" s="83"/>
      <c r="AL588" s="1709"/>
      <c r="AM588" s="83"/>
      <c r="AN588" s="83"/>
      <c r="AO588" s="83"/>
      <c r="AP588" s="1709"/>
      <c r="AQ588" s="83"/>
      <c r="AR588" s="83"/>
      <c r="AS588" s="83"/>
      <c r="AT588" s="1709"/>
      <c r="AU588" s="83"/>
      <c r="AV588" s="83"/>
      <c r="AW588" s="83"/>
      <c r="AX588" s="685"/>
      <c r="AY588" s="538"/>
      <c r="AZ588" s="538"/>
      <c r="BA588" s="538"/>
      <c r="BB588" s="685"/>
      <c r="BC588" s="538"/>
      <c r="BD588" s="538"/>
      <c r="BE588" s="538"/>
      <c r="BF588" s="685"/>
      <c r="BG588" s="296"/>
      <c r="BH588" s="296"/>
      <c r="BI588" s="538"/>
      <c r="BJ588" s="685"/>
      <c r="BK588" s="538"/>
      <c r="BL588" s="538"/>
      <c r="BM588" s="538"/>
      <c r="BN588" s="685"/>
      <c r="BO588" s="538"/>
      <c r="BP588" s="538"/>
      <c r="BQ588" s="538"/>
      <c r="BR588" s="83"/>
      <c r="BS588" s="83"/>
      <c r="BT588" s="83"/>
      <c r="BU588" s="83"/>
      <c r="BV588" s="83"/>
      <c r="BW588" s="83"/>
      <c r="CR588"/>
      <c r="CS588"/>
      <c r="CT588"/>
      <c r="CU588"/>
      <c r="CV588"/>
      <c r="CW588"/>
    </row>
    <row r="589" spans="9:101" s="589" customFormat="1" outlineLevel="1">
      <c r="I589" s="601"/>
      <c r="J589" s="1820" t="s">
        <v>575</v>
      </c>
      <c r="K589" s="334"/>
      <c r="L589" s="334"/>
      <c r="M589" s="334"/>
      <c r="N589" s="1563"/>
      <c r="O589" s="1563"/>
      <c r="P589" s="1564"/>
      <c r="Q589" s="1085"/>
      <c r="R589" s="1085"/>
      <c r="S589" s="1085">
        <f>S585</f>
        <v>1650.5329999999999</v>
      </c>
      <c r="T589" s="1085">
        <f>T585</f>
        <v>2619.0610000000001</v>
      </c>
      <c r="U589" s="1085">
        <f>U585</f>
        <v>3633.346</v>
      </c>
      <c r="V589" s="1085">
        <f t="shared" ref="V589:AD589" ca="1" si="644">SUM(V590:V602)</f>
        <v>4647.6309999999994</v>
      </c>
      <c r="W589" s="1085">
        <f t="shared" ca="1" si="644"/>
        <v>3979.5510693600063</v>
      </c>
      <c r="X589" s="1085">
        <f t="shared" ca="1" si="644"/>
        <v>4479.9726356099127</v>
      </c>
      <c r="Y589" s="1085">
        <f t="shared" ca="1" si="644"/>
        <v>4464.1958526495509</v>
      </c>
      <c r="Z589" s="1085">
        <f t="shared" ca="1" si="644"/>
        <v>4353.833569815908</v>
      </c>
      <c r="AA589" s="1085">
        <f t="shared" ca="1" si="644"/>
        <v>4312.530982573775</v>
      </c>
      <c r="AB589" s="1085">
        <f t="shared" ca="1" si="644"/>
        <v>4670.5371823063369</v>
      </c>
      <c r="AC589" s="1085">
        <f t="shared" ca="1" si="644"/>
        <v>5004.3080009076693</v>
      </c>
      <c r="AD589" s="1085">
        <f t="shared" ca="1" si="644"/>
        <v>5265.0184393219051</v>
      </c>
      <c r="AE589" s="296"/>
      <c r="AF589" s="296"/>
      <c r="AG589" s="296"/>
      <c r="AH589" s="296"/>
      <c r="AI589" s="296"/>
      <c r="AJ589" s="296"/>
      <c r="AK589" s="296"/>
      <c r="AL589" s="1161"/>
      <c r="AM589" s="296"/>
      <c r="AN589" s="296"/>
      <c r="AO589" s="296"/>
      <c r="AP589" s="1161"/>
      <c r="AQ589" s="296"/>
      <c r="AR589" s="296"/>
      <c r="AS589" s="296"/>
      <c r="AT589" s="1161"/>
      <c r="AU589" s="296"/>
      <c r="AV589" s="296"/>
      <c r="AW589" s="296"/>
      <c r="AX589" s="1161"/>
      <c r="AY589" s="296"/>
      <c r="AZ589" s="296"/>
      <c r="BA589" s="296"/>
      <c r="BB589" s="1161"/>
      <c r="BC589" s="296"/>
      <c r="BD589" s="296"/>
      <c r="BE589" s="296"/>
      <c r="BF589" s="1161"/>
      <c r="BG589" s="296"/>
      <c r="BH589" s="296"/>
      <c r="BI589" s="296"/>
      <c r="BJ589" s="1161"/>
      <c r="BK589" s="296"/>
      <c r="BL589" s="296"/>
      <c r="BM589" s="296"/>
      <c r="BN589" s="1161"/>
      <c r="BO589" s="296"/>
      <c r="BP589" s="296"/>
      <c r="BQ589" s="296"/>
      <c r="BR589" s="296"/>
      <c r="BS589" s="296"/>
      <c r="BT589" s="296"/>
      <c r="BU589" s="296"/>
      <c r="BV589" s="296"/>
      <c r="BW589" s="296"/>
      <c r="CR589"/>
      <c r="CS589"/>
      <c r="CT589"/>
      <c r="CU589"/>
      <c r="CV589"/>
      <c r="CW589"/>
    </row>
    <row r="590" spans="9:101" s="589" customFormat="1" outlineLevel="1">
      <c r="I590" s="601"/>
      <c r="J590" s="1818" t="s">
        <v>576</v>
      </c>
      <c r="K590" s="334"/>
      <c r="L590" s="334"/>
      <c r="M590" s="334"/>
      <c r="N590" s="1563"/>
      <c r="O590" s="1563"/>
      <c r="P590" s="1564"/>
      <c r="Q590" s="1085"/>
      <c r="R590" s="1085"/>
      <c r="S590" s="302">
        <f>S589-S591</f>
        <v>1357.3919999999998</v>
      </c>
      <c r="T590" s="1162">
        <f t="shared" ref="T590:V591" si="645">S590</f>
        <v>1357.3919999999998</v>
      </c>
      <c r="U590" s="1162">
        <f t="shared" si="645"/>
        <v>1357.3919999999998</v>
      </c>
      <c r="V590" s="1162">
        <f t="shared" si="645"/>
        <v>1357.3919999999998</v>
      </c>
      <c r="W590" s="1085"/>
      <c r="X590" s="1085"/>
      <c r="Y590" s="1085"/>
      <c r="Z590" s="1085"/>
      <c r="AA590" s="1085"/>
      <c r="AB590" s="1085"/>
      <c r="AC590" s="1085"/>
      <c r="AD590" s="1085"/>
      <c r="AE590" s="296"/>
      <c r="AF590" s="296"/>
      <c r="AG590" s="296"/>
      <c r="AH590" s="296"/>
      <c r="AI590" s="296"/>
      <c r="AJ590" s="296"/>
      <c r="AK590" s="296"/>
      <c r="AL590" s="1161"/>
      <c r="AM590" s="296"/>
      <c r="AN590" s="296"/>
      <c r="AO590" s="296"/>
      <c r="AP590" s="1161"/>
      <c r="AQ590" s="296"/>
      <c r="AR590" s="296"/>
      <c r="AS590" s="296"/>
      <c r="AT590" s="1161"/>
      <c r="AU590" s="296"/>
      <c r="AV590" s="296"/>
      <c r="AW590" s="296"/>
      <c r="AX590" s="1161"/>
      <c r="AY590" s="296"/>
      <c r="AZ590" s="296"/>
      <c r="BA590" s="296"/>
      <c r="BB590" s="1161"/>
      <c r="BC590" s="296"/>
      <c r="BD590" s="296"/>
      <c r="BE590" s="296"/>
      <c r="BF590" s="1161"/>
      <c r="BG590" s="296"/>
      <c r="BH590" s="296"/>
      <c r="BI590" s="296"/>
      <c r="BJ590" s="1161"/>
      <c r="BK590" s="296"/>
      <c r="BL590" s="296"/>
      <c r="BM590" s="296"/>
      <c r="BN590" s="1161"/>
      <c r="BO590" s="296"/>
      <c r="BP590" s="296"/>
      <c r="BQ590" s="296"/>
      <c r="BR590" s="296"/>
      <c r="BS590" s="296"/>
      <c r="BT590" s="296"/>
      <c r="BU590" s="296"/>
      <c r="BV590" s="296"/>
      <c r="BW590" s="296"/>
      <c r="CR590"/>
      <c r="CS590"/>
      <c r="CT590"/>
      <c r="CU590"/>
      <c r="CV590"/>
      <c r="CW590"/>
    </row>
    <row r="591" spans="9:101" s="583" customFormat="1" outlineLevel="1">
      <c r="I591" s="597"/>
      <c r="J591" s="1819">
        <v>2013</v>
      </c>
      <c r="K591" s="174"/>
      <c r="L591" s="174"/>
      <c r="M591" s="174"/>
      <c r="N591" s="1561"/>
      <c r="O591" s="1561"/>
      <c r="P591" s="1073"/>
      <c r="Q591" s="302"/>
      <c r="R591" s="302"/>
      <c r="S591" s="302">
        <f>R585</f>
        <v>293.14100000000002</v>
      </c>
      <c r="T591" s="1162">
        <f t="shared" si="645"/>
        <v>293.14100000000002</v>
      </c>
      <c r="U591" s="1162">
        <f t="shared" si="645"/>
        <v>293.14100000000002</v>
      </c>
      <c r="V591" s="1162">
        <f t="shared" si="645"/>
        <v>293.14100000000002</v>
      </c>
      <c r="W591" s="1162">
        <f>V591</f>
        <v>293.14100000000002</v>
      </c>
      <c r="X591" s="1162"/>
      <c r="Y591" s="1162"/>
      <c r="Z591" s="1162"/>
      <c r="AA591" s="1162"/>
      <c r="AB591" s="1162"/>
      <c r="AC591" s="302"/>
      <c r="AD591" s="302"/>
      <c r="AE591" s="83"/>
      <c r="AF591" s="83"/>
      <c r="AG591" s="83"/>
      <c r="AH591" s="83"/>
      <c r="AI591" s="83"/>
      <c r="AJ591" s="83"/>
      <c r="AK591" s="83"/>
      <c r="AL591" s="1709"/>
      <c r="AM591" s="83"/>
      <c r="AN591" s="83"/>
      <c r="AO591" s="83"/>
      <c r="AP591" s="1709"/>
      <c r="AQ591" s="83"/>
      <c r="AR591" s="83"/>
      <c r="AS591" s="83"/>
      <c r="AT591" s="1709"/>
      <c r="AU591" s="83"/>
      <c r="AV591" s="83"/>
      <c r="AW591" s="83"/>
      <c r="AX591" s="685"/>
      <c r="AY591" s="538"/>
      <c r="AZ591" s="538"/>
      <c r="BA591" s="538"/>
      <c r="BB591" s="685"/>
      <c r="BC591" s="538"/>
      <c r="BD591" s="538"/>
      <c r="BE591" s="538"/>
      <c r="BF591" s="685"/>
      <c r="BG591" s="296"/>
      <c r="BH591" s="296"/>
      <c r="BI591" s="538"/>
      <c r="BJ591" s="685"/>
      <c r="BK591" s="538"/>
      <c r="BL591" s="538"/>
      <c r="BM591" s="538"/>
      <c r="BN591" s="685"/>
      <c r="BO591" s="538"/>
      <c r="BP591" s="538"/>
      <c r="BQ591" s="538"/>
      <c r="BR591" s="83"/>
      <c r="BS591" s="83"/>
      <c r="BT591" s="83"/>
      <c r="BU591" s="83"/>
      <c r="BV591" s="83"/>
      <c r="BW591" s="83"/>
      <c r="CR591"/>
      <c r="CS591"/>
      <c r="CT591"/>
      <c r="CU591"/>
      <c r="CV591"/>
      <c r="CW591"/>
    </row>
    <row r="592" spans="9:101" s="583" customFormat="1" outlineLevel="1">
      <c r="I592" s="597"/>
      <c r="J592" s="1819">
        <v>2014</v>
      </c>
      <c r="K592" s="174"/>
      <c r="L592" s="174"/>
      <c r="M592" s="174"/>
      <c r="N592" s="1561"/>
      <c r="O592" s="1561"/>
      <c r="P592" s="1073"/>
      <c r="Q592" s="302"/>
      <c r="R592" s="302"/>
      <c r="S592" s="302"/>
      <c r="T592" s="302">
        <f>T$589-SUM(T590:T591)</f>
        <v>968.52800000000025</v>
      </c>
      <c r="U592" s="1162">
        <f>T592</f>
        <v>968.52800000000025</v>
      </c>
      <c r="V592" s="1162">
        <f>U592</f>
        <v>968.52800000000025</v>
      </c>
      <c r="W592" s="1162">
        <f>V592</f>
        <v>968.52800000000025</v>
      </c>
      <c r="X592" s="1162">
        <f>W592</f>
        <v>968.52800000000025</v>
      </c>
      <c r="Y592" s="1162"/>
      <c r="Z592" s="1162"/>
      <c r="AA592" s="1162"/>
      <c r="AB592" s="1162"/>
      <c r="AC592" s="1162"/>
      <c r="AD592" s="302"/>
      <c r="AE592" s="83"/>
      <c r="AF592" s="83"/>
      <c r="AG592" s="83"/>
      <c r="AH592" s="83"/>
      <c r="AI592" s="83"/>
      <c r="AJ592" s="83"/>
      <c r="AK592" s="83"/>
      <c r="AL592" s="1709"/>
      <c r="AM592" s="83"/>
      <c r="AN592" s="83"/>
      <c r="AO592" s="83"/>
      <c r="AP592" s="1709"/>
      <c r="AQ592" s="83"/>
      <c r="AR592" s="83"/>
      <c r="AS592" s="83"/>
      <c r="AT592" s="1709"/>
      <c r="AU592" s="83"/>
      <c r="AV592" s="83"/>
      <c r="AW592" s="83"/>
      <c r="AX592" s="685"/>
      <c r="AY592" s="538"/>
      <c r="AZ592" s="538"/>
      <c r="BA592" s="538"/>
      <c r="BB592" s="685"/>
      <c r="BC592" s="538"/>
      <c r="BD592" s="538"/>
      <c r="BE592" s="538"/>
      <c r="BF592" s="685"/>
      <c r="BG592" s="296"/>
      <c r="BH592" s="296"/>
      <c r="BI592" s="538"/>
      <c r="BJ592" s="685"/>
      <c r="BK592" s="538"/>
      <c r="BL592" s="538"/>
      <c r="BM592" s="538"/>
      <c r="BN592" s="685"/>
      <c r="BO592" s="538"/>
      <c r="BP592" s="538"/>
      <c r="BQ592" s="538"/>
      <c r="BR592" s="83"/>
      <c r="BS592" s="83"/>
      <c r="BT592" s="83"/>
      <c r="BU592" s="83"/>
      <c r="BV592" s="83"/>
      <c r="BW592" s="83"/>
      <c r="CR592"/>
      <c r="CS592"/>
      <c r="CT592"/>
      <c r="CU592"/>
      <c r="CV592"/>
      <c r="CW592"/>
    </row>
    <row r="593" spans="8:101" s="583" customFormat="1" outlineLevel="1">
      <c r="I593" s="597"/>
      <c r="J593" s="1819">
        <v>2015</v>
      </c>
      <c r="K593" s="174"/>
      <c r="L593" s="174"/>
      <c r="M593" s="174"/>
      <c r="N593" s="1561"/>
      <c r="O593" s="1561"/>
      <c r="P593" s="1073"/>
      <c r="Q593" s="302"/>
      <c r="R593" s="302"/>
      <c r="S593" s="302"/>
      <c r="T593" s="1086"/>
      <c r="U593" s="302">
        <f>U$589-SUM(U590:U592)</f>
        <v>1014.2849999999999</v>
      </c>
      <c r="V593" s="1162">
        <f>U593</f>
        <v>1014.2849999999999</v>
      </c>
      <c r="W593" s="1162">
        <f>V593</f>
        <v>1014.2849999999999</v>
      </c>
      <c r="X593" s="1162">
        <f>W593</f>
        <v>1014.2849999999999</v>
      </c>
      <c r="Y593" s="1162">
        <f>X593</f>
        <v>1014.2849999999999</v>
      </c>
      <c r="Z593" s="1162"/>
      <c r="AA593" s="1162"/>
      <c r="AB593" s="1162"/>
      <c r="AC593" s="1162"/>
      <c r="AD593" s="1162"/>
      <c r="AE593" s="83"/>
      <c r="AF593" s="83"/>
      <c r="AG593" s="83"/>
      <c r="AH593" s="83"/>
      <c r="AI593" s="83"/>
      <c r="AJ593" s="83"/>
      <c r="AK593" s="83"/>
      <c r="AL593" s="1709"/>
      <c r="AM593" s="83"/>
      <c r="AN593" s="83"/>
      <c r="AO593" s="83"/>
      <c r="AP593" s="1709"/>
      <c r="AQ593" s="83"/>
      <c r="AR593" s="83"/>
      <c r="AS593" s="83"/>
      <c r="AT593" s="1709"/>
      <c r="AU593" s="83"/>
      <c r="AV593" s="83"/>
      <c r="AW593" s="83"/>
      <c r="AX593" s="685"/>
      <c r="AY593" s="538"/>
      <c r="AZ593" s="538"/>
      <c r="BA593" s="538"/>
      <c r="BB593" s="685"/>
      <c r="BC593" s="538"/>
      <c r="BD593" s="538"/>
      <c r="BE593" s="538"/>
      <c r="BF593" s="685"/>
      <c r="BG593" s="296"/>
      <c r="BH593" s="296"/>
      <c r="BI593" s="538"/>
      <c r="BJ593" s="685"/>
      <c r="BK593" s="538"/>
      <c r="BL593" s="538"/>
      <c r="BM593" s="538"/>
      <c r="BN593" s="685"/>
      <c r="BO593" s="538"/>
      <c r="BP593" s="538"/>
      <c r="BQ593" s="538"/>
      <c r="BR593" s="83"/>
      <c r="BS593" s="83"/>
      <c r="BT593" s="83"/>
      <c r="BU593" s="83"/>
      <c r="BV593" s="83"/>
      <c r="BW593" s="83"/>
      <c r="CR593"/>
      <c r="CS593"/>
      <c r="CT593"/>
      <c r="CU593"/>
      <c r="CV593"/>
      <c r="CW593"/>
    </row>
    <row r="594" spans="8:101" s="583" customFormat="1" outlineLevel="1">
      <c r="I594" s="597"/>
      <c r="J594" s="1819">
        <v>2016</v>
      </c>
      <c r="K594" s="174"/>
      <c r="L594" s="174"/>
      <c r="M594" s="174"/>
      <c r="N594" s="1561"/>
      <c r="O594" s="1561"/>
      <c r="P594" s="1073"/>
      <c r="Q594" s="302"/>
      <c r="R594" s="302"/>
      <c r="S594" s="302"/>
      <c r="T594" s="1086"/>
      <c r="U594" s="1086"/>
      <c r="V594" s="302">
        <f ca="1">V586</f>
        <v>1014.2849999999999</v>
      </c>
      <c r="W594" s="1162">
        <f ca="1">V594</f>
        <v>1014.2849999999999</v>
      </c>
      <c r="X594" s="1162">
        <f ca="1">W594</f>
        <v>1014.2849999999999</v>
      </c>
      <c r="Y594" s="1162">
        <f ca="1">X594</f>
        <v>1014.2849999999999</v>
      </c>
      <c r="Z594" s="1162">
        <f ca="1">Y594</f>
        <v>1014.2849999999999</v>
      </c>
      <c r="AA594" s="302"/>
      <c r="AB594" s="302"/>
      <c r="AC594" s="302"/>
      <c r="AD594" s="302"/>
      <c r="AE594" s="83"/>
      <c r="AF594" s="83"/>
      <c r="AG594" s="83"/>
      <c r="AH594" s="83"/>
      <c r="AI594" s="83"/>
      <c r="AJ594" s="83"/>
      <c r="AK594" s="83"/>
      <c r="AL594" s="1709"/>
      <c r="AM594" s="83"/>
      <c r="AN594" s="83"/>
      <c r="AO594" s="83"/>
      <c r="AP594" s="1709"/>
      <c r="AQ594" s="83"/>
      <c r="AR594" s="83"/>
      <c r="AS594" s="83"/>
      <c r="AT594" s="1709"/>
      <c r="AU594" s="83"/>
      <c r="AV594" s="83"/>
      <c r="AW594" s="83"/>
      <c r="AX594" s="685"/>
      <c r="AY594" s="538"/>
      <c r="AZ594" s="538"/>
      <c r="BA594" s="538"/>
      <c r="BB594" s="685"/>
      <c r="BC594" s="538"/>
      <c r="BD594" s="538"/>
      <c r="BE594" s="538"/>
      <c r="BF594" s="685"/>
      <c r="BG594" s="296"/>
      <c r="BH594" s="296"/>
      <c r="BI594" s="538"/>
      <c r="BJ594" s="685"/>
      <c r="BK594" s="538"/>
      <c r="BL594" s="538"/>
      <c r="BM594" s="538"/>
      <c r="BN594" s="685"/>
      <c r="BO594" s="538"/>
      <c r="BP594" s="538"/>
      <c r="BQ594" s="538"/>
      <c r="BR594" s="83"/>
      <c r="BS594" s="83"/>
      <c r="BT594" s="83"/>
      <c r="BU594" s="83"/>
      <c r="BV594" s="83"/>
      <c r="BW594" s="83"/>
      <c r="CR594"/>
      <c r="CS594"/>
      <c r="CT594"/>
      <c r="CU594"/>
      <c r="CV594"/>
      <c r="CW594"/>
    </row>
    <row r="595" spans="8:101" s="583" customFormat="1" outlineLevel="1">
      <c r="I595" s="597"/>
      <c r="J595" s="1818" t="s">
        <v>505</v>
      </c>
      <c r="K595" s="174"/>
      <c r="L595" s="174"/>
      <c r="M595" s="174"/>
      <c r="N595" s="1561"/>
      <c r="O595" s="1561"/>
      <c r="P595" s="1073"/>
      <c r="Q595" s="302"/>
      <c r="R595" s="302"/>
      <c r="S595" s="302"/>
      <c r="T595" s="1073"/>
      <c r="U595" s="1073"/>
      <c r="V595" s="302"/>
      <c r="W595" s="302">
        <f ca="1">W586</f>
        <v>689.31206936000626</v>
      </c>
      <c r="X595" s="1162">
        <f ca="1">W595</f>
        <v>689.31206936000626</v>
      </c>
      <c r="Y595" s="1162">
        <f ca="1">X595</f>
        <v>689.31206936000626</v>
      </c>
      <c r="Z595" s="1162">
        <f ca="1">Y595</f>
        <v>689.31206936000626</v>
      </c>
      <c r="AA595" s="1162">
        <f ca="1">Z595</f>
        <v>689.31206936000626</v>
      </c>
      <c r="AB595" s="302"/>
      <c r="AC595" s="302"/>
      <c r="AD595" s="302"/>
      <c r="AE595" s="83"/>
      <c r="AF595" s="83"/>
      <c r="AG595" s="83"/>
      <c r="AH595" s="83"/>
      <c r="AI595" s="83"/>
      <c r="AJ595" s="83"/>
      <c r="AK595" s="83"/>
      <c r="AL595" s="1709"/>
      <c r="AM595" s="83"/>
      <c r="AN595" s="83"/>
      <c r="AO595" s="83"/>
      <c r="AP595" s="1709"/>
      <c r="AQ595" s="83"/>
      <c r="AR595" s="83"/>
      <c r="AS595" s="83"/>
      <c r="AT595" s="1709"/>
      <c r="AU595" s="83"/>
      <c r="AV595" s="83"/>
      <c r="AW595" s="83"/>
      <c r="AX595" s="685"/>
      <c r="AY595" s="538"/>
      <c r="AZ595" s="538"/>
      <c r="BA595" s="538"/>
      <c r="BB595" s="685"/>
      <c r="BC595" s="538"/>
      <c r="BD595" s="538"/>
      <c r="BE595" s="538"/>
      <c r="BF595" s="685"/>
      <c r="BG595" s="296"/>
      <c r="BH595" s="296"/>
      <c r="BI595" s="538"/>
      <c r="BJ595" s="685"/>
      <c r="BK595" s="538"/>
      <c r="BL595" s="538"/>
      <c r="BM595" s="538"/>
      <c r="BN595" s="685"/>
      <c r="BO595" s="538"/>
      <c r="BP595" s="538"/>
      <c r="BQ595" s="538"/>
      <c r="BR595" s="83"/>
      <c r="BS595" s="83"/>
      <c r="BT595" s="83"/>
      <c r="BU595" s="83"/>
      <c r="BV595" s="83"/>
      <c r="BW595" s="83"/>
      <c r="CR595"/>
      <c r="CS595"/>
      <c r="CT595"/>
      <c r="CU595"/>
      <c r="CV595"/>
      <c r="CW595"/>
    </row>
    <row r="596" spans="8:101" s="583" customFormat="1" outlineLevel="1">
      <c r="I596" s="597"/>
      <c r="J596" s="1818" t="s">
        <v>506</v>
      </c>
      <c r="K596" s="174"/>
      <c r="L596" s="174"/>
      <c r="M596" s="174"/>
      <c r="N596" s="1565"/>
      <c r="O596" s="1565"/>
      <c r="P596" s="1565"/>
      <c r="Q596" s="224"/>
      <c r="R596" s="1565"/>
      <c r="S596" s="649"/>
      <c r="T596" s="814"/>
      <c r="U596" s="814"/>
      <c r="V596" s="304"/>
      <c r="W596" s="174"/>
      <c r="X596" s="302">
        <f ca="1">X586</f>
        <v>793.56256624990692</v>
      </c>
      <c r="Y596" s="1162">
        <f ca="1">X596</f>
        <v>793.56256624990692</v>
      </c>
      <c r="Z596" s="1162">
        <f ca="1">Y596</f>
        <v>793.56256624990692</v>
      </c>
      <c r="AA596" s="1162">
        <f ca="1">Z596</f>
        <v>793.56256624990692</v>
      </c>
      <c r="AB596" s="1162">
        <f ca="1">AA596</f>
        <v>793.56256624990692</v>
      </c>
      <c r="AC596" s="174"/>
      <c r="AD596" s="174"/>
      <c r="AE596" s="83"/>
      <c r="AF596" s="83"/>
      <c r="AG596" s="83"/>
      <c r="AH596" s="83"/>
      <c r="AI596" s="83"/>
      <c r="AJ596" s="83"/>
      <c r="AK596" s="83"/>
      <c r="AL596" s="1709"/>
      <c r="AM596" s="83"/>
      <c r="AN596" s="83"/>
      <c r="AO596" s="83"/>
      <c r="AP596" s="1709"/>
      <c r="AQ596" s="83"/>
      <c r="AR596" s="83"/>
      <c r="AS596" s="83"/>
      <c r="AT596" s="1709"/>
      <c r="AU596" s="83"/>
      <c r="AV596" s="83"/>
      <c r="AW596" s="83"/>
      <c r="AX596" s="685"/>
      <c r="AY596" s="538"/>
      <c r="AZ596" s="538"/>
      <c r="BA596" s="538"/>
      <c r="BB596" s="685"/>
      <c r="BC596" s="538"/>
      <c r="BD596" s="538"/>
      <c r="BE596" s="538"/>
      <c r="BF596" s="685"/>
      <c r="BG596" s="296"/>
      <c r="BH596" s="296"/>
      <c r="BI596" s="538"/>
      <c r="BJ596" s="685"/>
      <c r="BK596" s="538"/>
      <c r="BL596" s="538"/>
      <c r="BM596" s="538"/>
      <c r="BN596" s="685"/>
      <c r="BO596" s="538"/>
      <c r="BP596" s="538"/>
      <c r="BQ596" s="538"/>
      <c r="BR596" s="83"/>
      <c r="BS596" s="83"/>
      <c r="BT596" s="83"/>
      <c r="BU596" s="83"/>
      <c r="BV596" s="83"/>
      <c r="BW596" s="83"/>
      <c r="CR596"/>
      <c r="CS596"/>
      <c r="CT596"/>
      <c r="CU596"/>
      <c r="CV596"/>
      <c r="CW596"/>
    </row>
    <row r="597" spans="8:101" s="583" customFormat="1" outlineLevel="1">
      <c r="I597" s="597"/>
      <c r="J597" s="1818" t="s">
        <v>507</v>
      </c>
      <c r="K597" s="174"/>
      <c r="L597" s="174"/>
      <c r="M597" s="174"/>
      <c r="N597" s="224"/>
      <c r="O597" s="224"/>
      <c r="P597" s="224"/>
      <c r="Q597" s="224"/>
      <c r="R597" s="224"/>
      <c r="S597" s="1155"/>
      <c r="T597" s="1155"/>
      <c r="U597" s="1155"/>
      <c r="V597" s="1155"/>
      <c r="W597" s="1155"/>
      <c r="X597" s="1155"/>
      <c r="Y597" s="302">
        <f ca="1">Y586</f>
        <v>952.75121703963839</v>
      </c>
      <c r="Z597" s="1162">
        <f ca="1">Y597</f>
        <v>952.75121703963839</v>
      </c>
      <c r="AA597" s="1162">
        <f ca="1">Z597</f>
        <v>952.75121703963839</v>
      </c>
      <c r="AB597" s="1162">
        <f ca="1">AA597</f>
        <v>952.75121703963839</v>
      </c>
      <c r="AC597" s="1162">
        <f ca="1">AB597</f>
        <v>952.75121703963839</v>
      </c>
      <c r="AD597" s="1155"/>
      <c r="AE597" s="83"/>
      <c r="AF597" s="83"/>
      <c r="AG597" s="83"/>
      <c r="AH597" s="83"/>
      <c r="AI597" s="83"/>
      <c r="AJ597" s="83"/>
      <c r="AK597" s="83"/>
      <c r="AL597" s="679"/>
      <c r="AM597" s="224"/>
      <c r="AN597" s="224"/>
      <c r="AO597" s="224"/>
      <c r="AP597" s="679"/>
      <c r="AQ597" s="224"/>
      <c r="AR597" s="224"/>
      <c r="AS597" s="224"/>
      <c r="AT597" s="679"/>
      <c r="AU597" s="224"/>
      <c r="AV597" s="224"/>
      <c r="AW597" s="224"/>
      <c r="AX597" s="679"/>
      <c r="AY597" s="224"/>
      <c r="AZ597" s="224"/>
      <c r="BA597" s="224"/>
      <c r="BB597" s="679"/>
      <c r="BC597" s="224"/>
      <c r="BD597" s="224"/>
      <c r="BE597" s="224"/>
      <c r="BF597" s="679"/>
      <c r="BG597" s="244"/>
      <c r="BH597" s="244"/>
      <c r="BI597" s="224"/>
      <c r="BJ597" s="679"/>
      <c r="BK597" s="224"/>
      <c r="BL597" s="224"/>
      <c r="BM597" s="224"/>
      <c r="BN597" s="679"/>
      <c r="BO597" s="224"/>
      <c r="BP597" s="224"/>
      <c r="BQ597" s="224"/>
      <c r="BR597" s="83"/>
      <c r="BS597" s="83"/>
      <c r="BT597" s="83"/>
      <c r="BU597" s="83"/>
      <c r="BV597" s="83"/>
      <c r="BW597" s="83"/>
      <c r="CR597"/>
      <c r="CS597"/>
      <c r="CT597"/>
      <c r="CU597"/>
      <c r="CV597"/>
      <c r="CW597"/>
    </row>
    <row r="598" spans="8:101" s="256" customFormat="1" outlineLevel="1">
      <c r="I598" s="597"/>
      <c r="J598" s="1499" t="s">
        <v>508</v>
      </c>
      <c r="K598" s="30"/>
      <c r="L598" s="30"/>
      <c r="M598" s="30"/>
      <c r="N598" s="233"/>
      <c r="O598" s="234"/>
      <c r="P598" s="234"/>
      <c r="Q598" s="234"/>
      <c r="R598" s="234"/>
      <c r="S598" s="1156"/>
      <c r="T598" s="1156"/>
      <c r="U598" s="1156"/>
      <c r="V598" s="1157"/>
      <c r="W598" s="1157"/>
      <c r="X598" s="1157"/>
      <c r="Y598" s="1157"/>
      <c r="Z598" s="302">
        <f ca="1">Z586</f>
        <v>903.92271716635685</v>
      </c>
      <c r="AA598" s="1162">
        <f ca="1">Z598</f>
        <v>903.92271716635685</v>
      </c>
      <c r="AB598" s="1162">
        <f ca="1">AA598</f>
        <v>903.92271716635685</v>
      </c>
      <c r="AC598" s="1162">
        <f ca="1">AB598</f>
        <v>903.92271716635685</v>
      </c>
      <c r="AD598" s="1162">
        <f ca="1">AC598</f>
        <v>903.92271716635685</v>
      </c>
      <c r="AE598" s="238"/>
      <c r="AF598" s="238"/>
      <c r="AG598" s="238"/>
      <c r="AH598" s="30"/>
      <c r="AI598" s="30"/>
      <c r="AJ598" s="30"/>
      <c r="AK598" s="30"/>
      <c r="AL598" s="1748"/>
      <c r="AM598" s="237"/>
      <c r="AN598" s="237"/>
      <c r="AO598" s="237"/>
      <c r="AP598" s="1748"/>
      <c r="AQ598" s="237"/>
      <c r="AR598" s="237"/>
      <c r="AS598" s="237"/>
      <c r="AT598" s="1748"/>
      <c r="AU598" s="237"/>
      <c r="AV598" s="237"/>
      <c r="AW598" s="237"/>
      <c r="AX598" s="686"/>
      <c r="AY598" s="425"/>
      <c r="AZ598" s="425"/>
      <c r="BA598" s="425"/>
      <c r="BB598" s="686"/>
      <c r="BC598" s="425"/>
      <c r="BD598" s="425"/>
      <c r="BE598" s="425"/>
      <c r="BF598" s="686"/>
      <c r="BG598" s="802"/>
      <c r="BH598" s="802"/>
      <c r="BI598" s="425"/>
      <c r="BJ598" s="686"/>
      <c r="BK598" s="425"/>
      <c r="BL598" s="425"/>
      <c r="BM598" s="425"/>
      <c r="BN598" s="686"/>
      <c r="BO598" s="425"/>
      <c r="BP598" s="425"/>
      <c r="BQ598" s="425"/>
      <c r="BR598" s="238"/>
      <c r="BS598" s="238"/>
      <c r="BT598" s="238"/>
      <c r="BU598" s="238"/>
      <c r="BV598" s="238"/>
      <c r="BW598" s="238"/>
      <c r="BX598" s="238"/>
      <c r="BY598" s="238"/>
      <c r="BZ598" s="238"/>
      <c r="CA598" s="238"/>
      <c r="CB598" s="238"/>
      <c r="CC598" s="238"/>
      <c r="CD598" s="238"/>
      <c r="CE598" s="238"/>
      <c r="CF598" s="238"/>
      <c r="CG598" s="238"/>
      <c r="CH598" s="238"/>
      <c r="CI598" s="238"/>
      <c r="CJ598" s="238"/>
      <c r="CK598" s="238"/>
      <c r="CL598" s="238"/>
      <c r="CM598" s="238"/>
      <c r="CN598" s="238"/>
      <c r="CO598" s="238"/>
      <c r="CP598" s="238"/>
      <c r="CQ598" s="238"/>
      <c r="CR598"/>
      <c r="CS598"/>
      <c r="CT598"/>
      <c r="CU598"/>
      <c r="CV598"/>
      <c r="CW598"/>
    </row>
    <row r="599" spans="8:101" s="256" customFormat="1" outlineLevel="1">
      <c r="I599" s="597"/>
      <c r="J599" s="1499" t="s">
        <v>509</v>
      </c>
      <c r="K599" s="30"/>
      <c r="L599" s="30"/>
      <c r="M599" s="30"/>
      <c r="N599" s="233"/>
      <c r="O599" s="234"/>
      <c r="P599" s="234"/>
      <c r="Q599" s="234"/>
      <c r="R599" s="234"/>
      <c r="S599" s="1156"/>
      <c r="T599" s="1156"/>
      <c r="U599" s="1156"/>
      <c r="V599" s="1156"/>
      <c r="W599" s="1156"/>
      <c r="X599" s="1156"/>
      <c r="Y599" s="1156"/>
      <c r="Z599" s="1156"/>
      <c r="AA599" s="302">
        <f ca="1">AA586</f>
        <v>972.98241275786665</v>
      </c>
      <c r="AB599" s="1162">
        <f ca="1">AA599</f>
        <v>972.98241275786665</v>
      </c>
      <c r="AC599" s="1162">
        <f ca="1">AB599</f>
        <v>972.98241275786665</v>
      </c>
      <c r="AD599" s="1162">
        <f ca="1">AC599</f>
        <v>972.98241275786665</v>
      </c>
      <c r="AE599" s="238"/>
      <c r="AF599" s="238"/>
      <c r="AG599" s="238"/>
      <c r="AH599" s="30"/>
      <c r="AI599" s="30"/>
      <c r="AJ599" s="30"/>
      <c r="AK599" s="30"/>
      <c r="AL599" s="1748"/>
      <c r="AM599" s="237"/>
      <c r="AN599" s="237"/>
      <c r="AO599" s="237"/>
      <c r="AP599" s="1748"/>
      <c r="AQ599" s="237"/>
      <c r="AR599" s="237"/>
      <c r="AS599" s="237"/>
      <c r="AT599" s="1748"/>
      <c r="AU599" s="237"/>
      <c r="AV599" s="237"/>
      <c r="AW599" s="237"/>
      <c r="AX599" s="687"/>
      <c r="AY599" s="138"/>
      <c r="AZ599" s="138"/>
      <c r="BA599" s="138"/>
      <c r="BB599" s="687"/>
      <c r="BC599" s="138"/>
      <c r="BD599" s="138"/>
      <c r="BE599" s="138"/>
      <c r="BF599" s="687"/>
      <c r="BG599" s="803"/>
      <c r="BH599" s="803"/>
      <c r="BI599" s="138"/>
      <c r="BJ599" s="687"/>
      <c r="BK599" s="138"/>
      <c r="BL599" s="138"/>
      <c r="BM599" s="138"/>
      <c r="BN599" s="687"/>
      <c r="BO599" s="138"/>
      <c r="BP599" s="138"/>
      <c r="BQ599" s="138"/>
      <c r="BR599" s="238"/>
      <c r="BS599" s="238"/>
      <c r="BT599" s="238"/>
      <c r="BU599" s="238"/>
      <c r="BV599" s="238"/>
      <c r="BW599" s="238"/>
      <c r="BX599" s="238"/>
      <c r="BY599" s="238"/>
      <c r="BZ599" s="238"/>
      <c r="CA599" s="238"/>
      <c r="CB599" s="238"/>
      <c r="CC599" s="238"/>
      <c r="CD599" s="238"/>
      <c r="CE599" s="238"/>
      <c r="CF599" s="238"/>
      <c r="CG599" s="238"/>
      <c r="CH599" s="238"/>
      <c r="CI599" s="238"/>
      <c r="CJ599" s="238"/>
      <c r="CK599" s="238"/>
      <c r="CL599" s="238"/>
      <c r="CM599" s="238"/>
      <c r="CN599" s="238"/>
      <c r="CO599" s="238"/>
      <c r="CP599" s="238"/>
      <c r="CQ599" s="238"/>
      <c r="CR599"/>
      <c r="CS599"/>
      <c r="CT599"/>
      <c r="CU599"/>
      <c r="CV599"/>
      <c r="CW599"/>
    </row>
    <row r="600" spans="8:101" s="583" customFormat="1" outlineLevel="1">
      <c r="I600" s="597"/>
      <c r="J600" s="1499" t="s">
        <v>510</v>
      </c>
      <c r="K600" s="28"/>
      <c r="L600" s="28"/>
      <c r="M600" s="28"/>
      <c r="N600" s="610"/>
      <c r="O600" s="610"/>
      <c r="P600" s="610"/>
      <c r="Q600" s="610"/>
      <c r="R600" s="610"/>
      <c r="S600" s="1158"/>
      <c r="T600" s="1158"/>
      <c r="U600" s="1158"/>
      <c r="V600" s="1158"/>
      <c r="W600" s="1158"/>
      <c r="X600" s="1158"/>
      <c r="Y600" s="1158"/>
      <c r="Z600" s="1158"/>
      <c r="AA600" s="1158"/>
      <c r="AB600" s="302">
        <f ca="1">AB586</f>
        <v>1047.3182690925676</v>
      </c>
      <c r="AC600" s="1162">
        <f ca="1">AB600</f>
        <v>1047.3182690925676</v>
      </c>
      <c r="AD600" s="1162">
        <f ca="1">AC600</f>
        <v>1047.3182690925676</v>
      </c>
      <c r="AE600" s="1162"/>
      <c r="AF600" s="83"/>
      <c r="AG600" s="83"/>
      <c r="AH600" s="28"/>
      <c r="AI600" s="28"/>
      <c r="AJ600" s="28"/>
      <c r="AK600" s="28"/>
      <c r="AL600" s="1747"/>
      <c r="AM600" s="239"/>
      <c r="AN600" s="239"/>
      <c r="AO600" s="239"/>
      <c r="AP600" s="1747"/>
      <c r="AQ600" s="239"/>
      <c r="AR600" s="239"/>
      <c r="AS600" s="239"/>
      <c r="AT600" s="1747"/>
      <c r="AU600" s="239"/>
      <c r="AV600" s="239"/>
      <c r="AW600" s="239"/>
      <c r="AX600" s="670"/>
      <c r="AY600" s="240"/>
      <c r="AZ600" s="240"/>
      <c r="BA600" s="240"/>
      <c r="BB600" s="670"/>
      <c r="BC600" s="240"/>
      <c r="BD600" s="240"/>
      <c r="BE600" s="240"/>
      <c r="BF600" s="670"/>
      <c r="BG600" s="539"/>
      <c r="BH600" s="539"/>
      <c r="BI600" s="240"/>
      <c r="BJ600" s="670"/>
      <c r="BK600" s="240"/>
      <c r="BL600" s="240"/>
      <c r="BM600" s="240"/>
      <c r="BN600" s="670"/>
      <c r="BO600" s="240"/>
      <c r="BP600" s="240"/>
      <c r="BQ600" s="240"/>
      <c r="BR600" s="83"/>
      <c r="BS600" s="83"/>
      <c r="BT600" s="83"/>
      <c r="BU600" s="83"/>
      <c r="BV600" s="83"/>
      <c r="BW600" s="83"/>
      <c r="CR600"/>
      <c r="CS600"/>
      <c r="CT600"/>
      <c r="CU600"/>
      <c r="CV600"/>
      <c r="CW600"/>
    </row>
    <row r="601" spans="8:101" s="583" customFormat="1" outlineLevel="1">
      <c r="I601" s="597"/>
      <c r="J601" s="1499" t="s">
        <v>511</v>
      </c>
      <c r="K601" s="28"/>
      <c r="L601" s="28"/>
      <c r="M601" s="28"/>
      <c r="N601" s="610"/>
      <c r="O601" s="610"/>
      <c r="P601" s="610"/>
      <c r="Q601" s="610"/>
      <c r="R601" s="610"/>
      <c r="S601" s="1158"/>
      <c r="T601" s="1158"/>
      <c r="U601" s="1158"/>
      <c r="V601" s="1158"/>
      <c r="W601" s="1158"/>
      <c r="X601" s="1158"/>
      <c r="Y601" s="1158"/>
      <c r="Z601" s="1158"/>
      <c r="AA601" s="1158"/>
      <c r="AB601" s="1158"/>
      <c r="AC601" s="302">
        <f ca="1">AC586</f>
        <v>1127.3333848512398</v>
      </c>
      <c r="AD601" s="1162">
        <f ca="1">AC601</f>
        <v>1127.3333848512398</v>
      </c>
      <c r="AE601" s="1162"/>
      <c r="AF601" s="83"/>
      <c r="AG601" s="83"/>
      <c r="AH601" s="28"/>
      <c r="AI601" s="28"/>
      <c r="AJ601" s="28"/>
      <c r="AK601" s="28"/>
      <c r="AL601" s="1747"/>
      <c r="AM601" s="239"/>
      <c r="AN601" s="239"/>
      <c r="AO601" s="239"/>
      <c r="AP601" s="1747"/>
      <c r="AQ601" s="239"/>
      <c r="AR601" s="239"/>
      <c r="AS601" s="239"/>
      <c r="AT601" s="1747"/>
      <c r="AU601" s="239"/>
      <c r="AV601" s="239"/>
      <c r="AW601" s="239"/>
      <c r="AX601" s="670"/>
      <c r="AY601" s="240"/>
      <c r="AZ601" s="240"/>
      <c r="BA601" s="240"/>
      <c r="BB601" s="670"/>
      <c r="BC601" s="240"/>
      <c r="BD601" s="240"/>
      <c r="BE601" s="240"/>
      <c r="BF601" s="670"/>
      <c r="BG601" s="539"/>
      <c r="BH601" s="539"/>
      <c r="BI601" s="240"/>
      <c r="BJ601" s="670"/>
      <c r="BK601" s="240"/>
      <c r="BL601" s="240"/>
      <c r="BM601" s="240"/>
      <c r="BN601" s="670"/>
      <c r="BO601" s="240"/>
      <c r="BP601" s="240"/>
      <c r="BQ601" s="240"/>
      <c r="BR601" s="83"/>
      <c r="BS601" s="83"/>
      <c r="BT601" s="83"/>
      <c r="BU601" s="83"/>
      <c r="BV601" s="83"/>
      <c r="BW601" s="83"/>
      <c r="CR601"/>
      <c r="CS601"/>
      <c r="CT601"/>
      <c r="CU601"/>
      <c r="CV601"/>
      <c r="CW601"/>
    </row>
    <row r="602" spans="8:101" s="583" customFormat="1" outlineLevel="1">
      <c r="I602" s="597"/>
      <c r="J602" s="1499" t="s">
        <v>512</v>
      </c>
      <c r="K602" s="28"/>
      <c r="L602" s="28"/>
      <c r="M602" s="28"/>
      <c r="N602" s="610"/>
      <c r="O602" s="610"/>
      <c r="P602" s="610"/>
      <c r="Q602" s="610"/>
      <c r="R602" s="610"/>
      <c r="S602" s="945"/>
      <c r="T602" s="945"/>
      <c r="U602" s="945"/>
      <c r="V602" s="945"/>
      <c r="W602" s="945"/>
      <c r="X602" s="945"/>
      <c r="Y602" s="945"/>
      <c r="Z602" s="945"/>
      <c r="AA602" s="945"/>
      <c r="AB602" s="945"/>
      <c r="AC602" s="945"/>
      <c r="AD602" s="302">
        <f ca="1">AD586</f>
        <v>1213.4616554538743</v>
      </c>
      <c r="AE602" s="1162"/>
      <c r="AF602" s="83"/>
      <c r="AG602" s="83"/>
      <c r="AH602" s="28"/>
      <c r="AI602" s="28"/>
      <c r="AJ602" s="28"/>
      <c r="AK602" s="28"/>
      <c r="AL602" s="1747"/>
      <c r="AM602" s="239"/>
      <c r="AN602" s="239"/>
      <c r="AO602" s="239"/>
      <c r="AP602" s="1747"/>
      <c r="AQ602" s="239"/>
      <c r="AR602" s="239"/>
      <c r="AS602" s="239"/>
      <c r="AT602" s="1747"/>
      <c r="AU602" s="239"/>
      <c r="AV602" s="239"/>
      <c r="AW602" s="239"/>
      <c r="AX602" s="670"/>
      <c r="AY602" s="240"/>
      <c r="AZ602" s="240"/>
      <c r="BA602" s="240"/>
      <c r="BB602" s="670"/>
      <c r="BC602" s="240"/>
      <c r="BD602" s="240"/>
      <c r="BE602" s="240"/>
      <c r="BF602" s="670"/>
      <c r="BG602" s="539"/>
      <c r="BH602" s="539"/>
      <c r="BI602" s="240"/>
      <c r="BJ602" s="670"/>
      <c r="BK602" s="240"/>
      <c r="BL602" s="240"/>
      <c r="BM602" s="240"/>
      <c r="BN602" s="670"/>
      <c r="BO602" s="240"/>
      <c r="BP602" s="240"/>
      <c r="BQ602" s="240"/>
      <c r="BR602" s="83"/>
      <c r="BS602" s="83"/>
      <c r="BT602" s="83"/>
      <c r="BU602" s="83"/>
      <c r="BV602" s="83"/>
      <c r="BW602" s="83"/>
      <c r="CR602"/>
      <c r="CS602"/>
      <c r="CT602"/>
      <c r="CU602"/>
      <c r="CV602"/>
      <c r="CW602"/>
    </row>
    <row r="603" spans="8:101" s="589" customFormat="1" outlineLevel="1">
      <c r="I603" s="1554"/>
      <c r="J603" s="1817"/>
      <c r="K603" s="13"/>
      <c r="L603" s="13"/>
      <c r="M603" s="13"/>
      <c r="N603" s="244"/>
      <c r="O603" s="244"/>
      <c r="P603" s="244"/>
      <c r="Q603" s="244"/>
      <c r="R603" s="244"/>
      <c r="S603" s="1159"/>
      <c r="T603" s="1160"/>
      <c r="U603" s="1160"/>
      <c r="V603" s="1160"/>
      <c r="W603" s="1160"/>
      <c r="X603" s="1160"/>
      <c r="Y603" s="1160"/>
      <c r="Z603" s="1160"/>
      <c r="AA603" s="1160"/>
      <c r="AB603" s="1160"/>
      <c r="AC603" s="1160"/>
      <c r="AD603" s="1160"/>
      <c r="AE603" s="296"/>
      <c r="AF603" s="296"/>
      <c r="AG603" s="296"/>
      <c r="AH603" s="13"/>
      <c r="AI603" s="13"/>
      <c r="AJ603" s="13"/>
      <c r="AK603" s="13"/>
      <c r="AL603" s="1749"/>
      <c r="AM603" s="1566"/>
      <c r="AN603" s="1566"/>
      <c r="AO603" s="1566"/>
      <c r="AP603" s="1749"/>
      <c r="AQ603" s="1566"/>
      <c r="AR603" s="1566"/>
      <c r="AS603" s="1566"/>
      <c r="AT603" s="1749"/>
      <c r="AU603" s="1566"/>
      <c r="AV603" s="1566"/>
      <c r="AW603" s="1566"/>
      <c r="AX603" s="688"/>
      <c r="AY603" s="539"/>
      <c r="AZ603" s="539"/>
      <c r="BA603" s="539"/>
      <c r="BB603" s="688"/>
      <c r="BC603" s="539"/>
      <c r="BD603" s="539"/>
      <c r="BE603" s="539"/>
      <c r="BF603" s="688"/>
      <c r="BG603" s="539"/>
      <c r="BH603" s="539"/>
      <c r="BI603" s="539"/>
      <c r="BJ603" s="688"/>
      <c r="BK603" s="539"/>
      <c r="BL603" s="539"/>
      <c r="BM603" s="539"/>
      <c r="BN603" s="688"/>
      <c r="BO603" s="539"/>
      <c r="BP603" s="539"/>
      <c r="BQ603" s="539"/>
      <c r="BR603" s="296"/>
      <c r="BS603" s="296"/>
      <c r="BT603" s="296"/>
      <c r="BU603" s="296"/>
      <c r="BV603" s="296"/>
      <c r="BW603" s="296"/>
      <c r="CR603"/>
      <c r="CS603"/>
      <c r="CT603"/>
      <c r="CU603"/>
      <c r="CV603"/>
      <c r="CW603"/>
    </row>
    <row r="604" spans="8:101" s="583" customFormat="1" outlineLevel="1">
      <c r="I604" s="597"/>
      <c r="J604" s="186"/>
      <c r="K604" s="28"/>
      <c r="L604" s="28"/>
      <c r="M604" s="28"/>
      <c r="N604" s="610"/>
      <c r="O604" s="610"/>
      <c r="P604" s="610"/>
      <c r="Q604" s="610"/>
      <c r="R604" s="610"/>
      <c r="S604" s="1158"/>
      <c r="T604" s="945"/>
      <c r="U604" s="945"/>
      <c r="V604" s="945"/>
      <c r="W604" s="945"/>
      <c r="X604" s="945"/>
      <c r="Y604" s="945"/>
      <c r="Z604" s="945"/>
      <c r="AA604" s="945"/>
      <c r="AB604" s="945"/>
      <c r="AC604" s="945"/>
      <c r="AD604" s="945"/>
      <c r="AE604" s="83"/>
      <c r="AF604" s="83"/>
      <c r="AG604" s="83"/>
      <c r="AH604" s="28"/>
      <c r="AI604" s="28"/>
      <c r="AJ604" s="28"/>
      <c r="AK604" s="28"/>
      <c r="AL604" s="1747"/>
      <c r="AM604" s="239"/>
      <c r="AN604" s="239"/>
      <c r="AO604" s="239"/>
      <c r="AP604" s="1747"/>
      <c r="AQ604" s="239"/>
      <c r="AR604" s="239"/>
      <c r="AS604" s="239"/>
      <c r="AT604" s="1747"/>
      <c r="AU604" s="239"/>
      <c r="AV604" s="239"/>
      <c r="AW604" s="239"/>
      <c r="AX604" s="670"/>
      <c r="AY604" s="240"/>
      <c r="AZ604" s="240"/>
      <c r="BA604" s="240"/>
      <c r="BB604" s="670"/>
      <c r="BC604" s="240"/>
      <c r="BD604" s="240"/>
      <c r="BE604" s="240"/>
      <c r="BF604" s="670"/>
      <c r="BG604" s="539"/>
      <c r="BH604" s="539"/>
      <c r="BI604" s="240"/>
      <c r="BJ604" s="670"/>
      <c r="BK604" s="240"/>
      <c r="BL604" s="240"/>
      <c r="BM604" s="240"/>
      <c r="BN604" s="670"/>
      <c r="BO604" s="240"/>
      <c r="BP604" s="240"/>
      <c r="BQ604" s="240"/>
      <c r="BR604" s="83"/>
      <c r="BS604" s="83"/>
      <c r="BT604" s="83"/>
      <c r="BU604" s="83"/>
      <c r="BV604" s="83"/>
      <c r="BW604" s="83"/>
      <c r="CR604"/>
      <c r="CS604"/>
      <c r="CT604"/>
      <c r="CU604"/>
      <c r="CV604"/>
      <c r="CW604"/>
    </row>
    <row r="605" spans="8:101" s="583" customFormat="1" outlineLevel="1">
      <c r="H605" s="563"/>
      <c r="I605" s="588"/>
      <c r="J605" s="251" t="s">
        <v>248</v>
      </c>
      <c r="K605" s="13"/>
      <c r="L605" s="13"/>
      <c r="M605" s="251"/>
      <c r="N605" s="282"/>
      <c r="O605" s="282"/>
      <c r="P605" s="282"/>
      <c r="Q605" s="282"/>
      <c r="R605" s="282"/>
      <c r="S605" s="283"/>
      <c r="T605" s="283"/>
      <c r="U605" s="283"/>
      <c r="V605" s="283"/>
      <c r="W605" s="283"/>
      <c r="X605" s="283"/>
      <c r="Y605" s="283"/>
      <c r="Z605" s="283"/>
      <c r="AA605" s="283"/>
      <c r="AB605" s="283"/>
      <c r="AC605" s="283"/>
      <c r="AD605" s="283"/>
      <c r="AE605" s="28"/>
      <c r="AF605" s="28"/>
      <c r="AG605" s="28"/>
      <c r="AH605" s="282"/>
      <c r="AI605" s="282"/>
      <c r="AJ605" s="282"/>
      <c r="AK605" s="282"/>
      <c r="AL605" s="1524"/>
      <c r="AM605" s="282"/>
      <c r="AN605" s="282"/>
      <c r="AO605" s="282"/>
      <c r="AP605" s="1524"/>
      <c r="AQ605" s="282"/>
      <c r="AR605" s="282"/>
      <c r="AS605" s="282"/>
      <c r="AT605" s="1524"/>
      <c r="AU605" s="282"/>
      <c r="AV605" s="282"/>
      <c r="AW605" s="282"/>
      <c r="AX605" s="130"/>
      <c r="AY605" s="13"/>
      <c r="AZ605" s="13"/>
      <c r="BA605" s="13"/>
      <c r="BB605" s="130"/>
      <c r="BC605" s="282"/>
      <c r="BD605" s="282"/>
      <c r="BE605" s="282"/>
      <c r="BF605" s="1524"/>
      <c r="BG605" s="282"/>
      <c r="BH605" s="282"/>
      <c r="BI605" s="282"/>
      <c r="BJ605" s="1524"/>
      <c r="BK605" s="282"/>
      <c r="BL605" s="282"/>
      <c r="BM605" s="282"/>
      <c r="BN605" s="1524"/>
      <c r="BO605" s="282"/>
      <c r="BP605" s="282"/>
      <c r="BQ605" s="282"/>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c r="CS605"/>
      <c r="CT605"/>
      <c r="CU605"/>
      <c r="CV605"/>
      <c r="CW605"/>
    </row>
    <row r="606" spans="8:101" s="589" customFormat="1" outlineLevel="1">
      <c r="I606" s="1554"/>
      <c r="J606" s="266" t="s">
        <v>242</v>
      </c>
      <c r="K606" s="13"/>
      <c r="L606" s="13"/>
      <c r="M606" s="13"/>
      <c r="N606" s="213"/>
      <c r="O606" s="213"/>
      <c r="P606" s="213">
        <f t="shared" ref="P606:AD606" si="646">P607+P610-P612</f>
        <v>-11.700522438358441</v>
      </c>
      <c r="Q606" s="213">
        <f t="shared" si="646"/>
        <v>-17.103465034225536</v>
      </c>
      <c r="R606" s="213">
        <f t="shared" si="646"/>
        <v>-20.707793152620432</v>
      </c>
      <c r="S606" s="213">
        <f t="shared" si="646"/>
        <v>-10.953526882380665</v>
      </c>
      <c r="T606" s="213">
        <f t="shared" si="646"/>
        <v>-1.0883595044195218</v>
      </c>
      <c r="U606" s="213">
        <f t="shared" si="646"/>
        <v>-1.8094401731918168</v>
      </c>
      <c r="V606" s="213">
        <f t="shared" si="646"/>
        <v>-12.784029934981362</v>
      </c>
      <c r="W606" s="213">
        <f t="shared" si="646"/>
        <v>-10.520043714748766</v>
      </c>
      <c r="X606" s="213">
        <f t="shared" si="646"/>
        <v>-10.520043714748766</v>
      </c>
      <c r="Y606" s="213">
        <f t="shared" si="646"/>
        <v>-10.520043714748766</v>
      </c>
      <c r="Z606" s="213">
        <f t="shared" si="646"/>
        <v>-12.520043714748766</v>
      </c>
      <c r="AA606" s="213">
        <f t="shared" si="646"/>
        <v>-12.520043714748766</v>
      </c>
      <c r="AB606" s="213">
        <f t="shared" si="646"/>
        <v>-12.520043714748766</v>
      </c>
      <c r="AC606" s="213">
        <f t="shared" si="646"/>
        <v>-12.520043714748766</v>
      </c>
      <c r="AD606" s="213">
        <f t="shared" si="646"/>
        <v>-12.520043714748766</v>
      </c>
      <c r="AE606" s="296"/>
      <c r="AF606" s="1567"/>
      <c r="AG606" s="296"/>
      <c r="AH606" s="13"/>
      <c r="AI606" s="13"/>
      <c r="AJ606" s="13"/>
      <c r="AK606" s="13"/>
      <c r="AL606" s="130"/>
      <c r="AM606" s="13"/>
      <c r="AN606" s="13"/>
      <c r="AO606" s="13"/>
      <c r="AP606" s="1643"/>
      <c r="AQ606" s="298"/>
      <c r="AR606" s="298"/>
      <c r="AS606" s="298"/>
      <c r="AT606" s="1643"/>
      <c r="AU606" s="298"/>
      <c r="AV606" s="298"/>
      <c r="AW606" s="298"/>
      <c r="AX606" s="1643"/>
      <c r="AY606" s="298">
        <f t="shared" ref="AY606:BQ606" si="647">AY607+AY610-AY612</f>
        <v>-12.001178907531397</v>
      </c>
      <c r="AZ606" s="213">
        <f t="shared" si="647"/>
        <v>-14.091985062262886</v>
      </c>
      <c r="BA606" s="213">
        <f t="shared" si="647"/>
        <v>-9.6633728730237465</v>
      </c>
      <c r="BB606" s="1643">
        <f t="shared" si="647"/>
        <v>-7.1669869797715435</v>
      </c>
      <c r="BC606" s="298">
        <f t="shared" si="647"/>
        <v>-6.3431953399461847</v>
      </c>
      <c r="BD606" s="213">
        <f t="shared" si="647"/>
        <v>-4.2293012429735271</v>
      </c>
      <c r="BE606" s="213">
        <f t="shared" si="647"/>
        <v>-0.21432851520798835</v>
      </c>
      <c r="BF606" s="663">
        <f t="shared" si="647"/>
        <v>2.4570625781349307</v>
      </c>
      <c r="BG606" s="213">
        <f t="shared" si="647"/>
        <v>3.7062836583200891</v>
      </c>
      <c r="BH606" s="213">
        <f t="shared" si="647"/>
        <v>4.5432126897925116</v>
      </c>
      <c r="BI606" s="213">
        <f t="shared" si="647"/>
        <v>-0.56353251499893275</v>
      </c>
      <c r="BJ606" s="663">
        <f t="shared" si="647"/>
        <v>6.476469078703488</v>
      </c>
      <c r="BK606" s="213">
        <f t="shared" si="647"/>
        <v>-3.5555083747233169</v>
      </c>
      <c r="BL606" s="213">
        <f t="shared" si="647"/>
        <v>-22.525582262553257</v>
      </c>
      <c r="BM606" s="213">
        <f t="shared" si="647"/>
        <v>-22.525582262553257</v>
      </c>
      <c r="BN606" s="663">
        <f t="shared" si="647"/>
        <v>-22.525582262553257</v>
      </c>
      <c r="BO606" s="213">
        <f t="shared" si="647"/>
        <v>-22.525582262553257</v>
      </c>
      <c r="BP606" s="213">
        <f t="shared" si="647"/>
        <v>-22.525582262553257</v>
      </c>
      <c r="BQ606" s="213">
        <f t="shared" si="647"/>
        <v>-22.525582262553257</v>
      </c>
      <c r="BR606" s="13"/>
      <c r="BS606" s="13"/>
      <c r="BT606" s="13"/>
      <c r="BU606" s="13"/>
      <c r="BV606" s="13"/>
      <c r="BW606" s="296"/>
      <c r="BX606" s="296"/>
      <c r="BY606" s="296"/>
      <c r="BZ606" s="296"/>
      <c r="CA606" s="296"/>
      <c r="CB606" s="296"/>
      <c r="CC606" s="296"/>
      <c r="CD606" s="296"/>
      <c r="CE606" s="296"/>
      <c r="CF606" s="296"/>
      <c r="CG606" s="296"/>
      <c r="CH606" s="296"/>
      <c r="CI606" s="296"/>
      <c r="CJ606" s="296"/>
      <c r="CK606" s="296"/>
      <c r="CL606" s="296"/>
      <c r="CM606" s="296"/>
      <c r="CN606" s="296"/>
      <c r="CO606" s="296"/>
      <c r="CP606" s="296"/>
      <c r="CQ606" s="296"/>
      <c r="CR606"/>
      <c r="CS606"/>
      <c r="CT606"/>
      <c r="CU606"/>
      <c r="CV606"/>
      <c r="CW606"/>
    </row>
    <row r="607" spans="8:101" s="583" customFormat="1" outlineLevel="1">
      <c r="I607" s="597"/>
      <c r="J607" s="254" t="s">
        <v>201</v>
      </c>
      <c r="K607" s="28"/>
      <c r="L607" s="28"/>
      <c r="M607" s="28"/>
      <c r="N607" s="215"/>
      <c r="O607" s="216"/>
      <c r="P607" s="216">
        <f>365/P615/Model!P$750</f>
        <v>4.2415676986263255</v>
      </c>
      <c r="Q607" s="216">
        <f>365/Q615/Model!Q$750</f>
        <v>3.196011959346766</v>
      </c>
      <c r="R607" s="216">
        <f>365/R615/Model!R$750</f>
        <v>2.5825487092587252</v>
      </c>
      <c r="S607" s="216">
        <f>365/S615/Model!S$750</f>
        <v>4.8586828272551781</v>
      </c>
      <c r="T607" s="215">
        <f t="shared" ref="T607:AD607" si="648">SUM(T608:T609)</f>
        <v>14.548450371510368</v>
      </c>
      <c r="U607" s="215">
        <f t="shared" si="648"/>
        <v>19.807397691711166</v>
      </c>
      <c r="V607" s="215">
        <f t="shared" si="648"/>
        <v>16.369744135094493</v>
      </c>
      <c r="W607" s="215">
        <f t="shared" si="648"/>
        <v>20</v>
      </c>
      <c r="X607" s="215">
        <f t="shared" si="648"/>
        <v>20</v>
      </c>
      <c r="Y607" s="215">
        <f t="shared" si="648"/>
        <v>20</v>
      </c>
      <c r="Z607" s="215">
        <f t="shared" si="648"/>
        <v>18</v>
      </c>
      <c r="AA607" s="215">
        <f t="shared" si="648"/>
        <v>18</v>
      </c>
      <c r="AB607" s="215">
        <f t="shared" si="648"/>
        <v>18</v>
      </c>
      <c r="AC607" s="215">
        <f t="shared" si="648"/>
        <v>18</v>
      </c>
      <c r="AD607" s="215">
        <f t="shared" si="648"/>
        <v>18</v>
      </c>
      <c r="AE607" s="83"/>
      <c r="AF607" s="1530"/>
      <c r="AG607" s="83"/>
      <c r="AH607" s="28"/>
      <c r="AI607" s="28"/>
      <c r="AJ607" s="28"/>
      <c r="AK607" s="28"/>
      <c r="AL607" s="390"/>
      <c r="AM607" s="28"/>
      <c r="AN607" s="28"/>
      <c r="AO607" s="28"/>
      <c r="AP607" s="1687"/>
      <c r="AQ607" s="216"/>
      <c r="AR607" s="216"/>
      <c r="AS607" s="216"/>
      <c r="AT607" s="1687"/>
      <c r="AU607" s="216"/>
      <c r="AV607" s="216"/>
      <c r="AW607" s="216"/>
      <c r="AX607" s="1687"/>
      <c r="AY607" s="216">
        <f t="shared" ref="AY607:BQ607" si="649">SUM(AY608:AY609)</f>
        <v>4.7553043475221806</v>
      </c>
      <c r="AZ607" s="215">
        <f t="shared" si="649"/>
        <v>4.7805902956786541</v>
      </c>
      <c r="BA607" s="215">
        <f t="shared" si="649"/>
        <v>5.3526739075936751</v>
      </c>
      <c r="BB607" s="1687">
        <f t="shared" si="649"/>
        <v>7.2202877547636719</v>
      </c>
      <c r="BC607" s="216">
        <f t="shared" si="649"/>
        <v>9.3290586556502255</v>
      </c>
      <c r="BD607" s="216">
        <f t="shared" si="649"/>
        <v>14.763785659309704</v>
      </c>
      <c r="BE607" s="216">
        <f t="shared" si="649"/>
        <v>16.614586834642971</v>
      </c>
      <c r="BF607" s="1687">
        <f t="shared" si="649"/>
        <v>21.43295712830465</v>
      </c>
      <c r="BG607" s="298">
        <f t="shared" si="649"/>
        <v>24.071868417206453</v>
      </c>
      <c r="BH607" s="298">
        <f t="shared" si="649"/>
        <v>34.052046138077714</v>
      </c>
      <c r="BI607" s="215">
        <f t="shared" si="649"/>
        <v>23.061180732755744</v>
      </c>
      <c r="BJ607" s="662">
        <f t="shared" si="649"/>
        <v>30.245846393505868</v>
      </c>
      <c r="BK607" s="215">
        <f t="shared" si="649"/>
        <v>26.172024305278935</v>
      </c>
      <c r="BL607" s="215">
        <f t="shared" si="649"/>
        <v>20.471892368014817</v>
      </c>
      <c r="BM607" s="215">
        <f t="shared" si="649"/>
        <v>20.471892368014817</v>
      </c>
      <c r="BN607" s="662">
        <f t="shared" si="649"/>
        <v>20.471892368014817</v>
      </c>
      <c r="BO607" s="215">
        <f t="shared" si="649"/>
        <v>20.471892368014817</v>
      </c>
      <c r="BP607" s="215">
        <f t="shared" si="649"/>
        <v>20.471892368014817</v>
      </c>
      <c r="BQ607" s="215">
        <f t="shared" si="649"/>
        <v>20.471892368014817</v>
      </c>
      <c r="BR607" s="28"/>
      <c r="BS607" s="28"/>
      <c r="BT607" s="28"/>
      <c r="BU607" s="28"/>
      <c r="BV607" s="28"/>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c r="CS607"/>
      <c r="CT607"/>
      <c r="CU607"/>
      <c r="CV607"/>
      <c r="CW607"/>
    </row>
    <row r="608" spans="8:101" s="642" customFormat="1" outlineLevel="1">
      <c r="H608" s="516"/>
      <c r="I608" s="597"/>
      <c r="J608" s="231" t="s">
        <v>203</v>
      </c>
      <c r="K608" s="28"/>
      <c r="L608" s="28"/>
      <c r="M608" s="28"/>
      <c r="N608" s="216"/>
      <c r="O608" s="216"/>
      <c r="P608" s="216">
        <f>365/P616/Model!P$750</f>
        <v>4.2415676986263255</v>
      </c>
      <c r="Q608" s="216">
        <f>365/Q616/Model!Q$750</f>
        <v>3.196011959346766</v>
      </c>
      <c r="R608" s="216">
        <f>365/R616/Model!R$750</f>
        <v>2.5825487092587252</v>
      </c>
      <c r="S608" s="216">
        <f>365/S616/Model!S$750</f>
        <v>4.6629446661797189</v>
      </c>
      <c r="T608" s="216">
        <f>365/T616/Model!T$750</f>
        <v>12.024461489240817</v>
      </c>
      <c r="U608" s="216">
        <f>365/U616/Model!U$750</f>
        <v>18.123026706494308</v>
      </c>
      <c r="V608" s="216">
        <f>365/V616/Model!V$750</f>
        <v>16.369744135094493</v>
      </c>
      <c r="W608" s="1163">
        <v>16</v>
      </c>
      <c r="X608" s="1163">
        <f>W608</f>
        <v>16</v>
      </c>
      <c r="Y608" s="1163">
        <f>X608</f>
        <v>16</v>
      </c>
      <c r="Z608" s="1163">
        <v>14</v>
      </c>
      <c r="AA608" s="1163">
        <f t="shared" ref="AA608:AD610" si="650">Z608</f>
        <v>14</v>
      </c>
      <c r="AB608" s="1163">
        <f t="shared" si="650"/>
        <v>14</v>
      </c>
      <c r="AC608" s="1163">
        <f t="shared" si="650"/>
        <v>14</v>
      </c>
      <c r="AD608" s="1163">
        <f t="shared" si="650"/>
        <v>14</v>
      </c>
      <c r="AE608" s="437"/>
      <c r="AF608" s="1568"/>
      <c r="AG608" s="437"/>
      <c r="AH608" s="28"/>
      <c r="AI608" s="28"/>
      <c r="AJ608" s="28"/>
      <c r="AK608" s="28"/>
      <c r="AL608" s="1720"/>
      <c r="AM608" s="76"/>
      <c r="AN608" s="76"/>
      <c r="AO608" s="76"/>
      <c r="AP608" s="1687"/>
      <c r="AQ608" s="216"/>
      <c r="AR608" s="216"/>
      <c r="AS608" s="216"/>
      <c r="AT608" s="1687"/>
      <c r="AU608" s="216"/>
      <c r="AV608" s="216"/>
      <c r="AW608" s="216"/>
      <c r="AX608" s="1687"/>
      <c r="AY608" s="216">
        <f t="shared" ref="AY608:BL608" si="651">AVERAGE(AX497:AY497)/AY409*90</f>
        <v>4.7553043475221806</v>
      </c>
      <c r="AZ608" s="216">
        <f t="shared" si="651"/>
        <v>4.7805902956786541</v>
      </c>
      <c r="BA608" s="216">
        <f t="shared" si="651"/>
        <v>5.1928100733040452</v>
      </c>
      <c r="BB608" s="1687">
        <f t="shared" si="651"/>
        <v>6.7110821814341053</v>
      </c>
      <c r="BC608" s="216">
        <f t="shared" si="651"/>
        <v>8.2629524114199047</v>
      </c>
      <c r="BD608" s="216">
        <f t="shared" si="651"/>
        <v>12.321693646473657</v>
      </c>
      <c r="BE608" s="216">
        <f t="shared" si="651"/>
        <v>13.334135359285437</v>
      </c>
      <c r="BF608" s="1687">
        <f t="shared" si="651"/>
        <v>17.143209824368828</v>
      </c>
      <c r="BG608" s="298">
        <f t="shared" si="651"/>
        <v>17.444158572357846</v>
      </c>
      <c r="BH608" s="298">
        <f t="shared" si="651"/>
        <v>21.634979968416449</v>
      </c>
      <c r="BI608" s="298">
        <f t="shared" si="651"/>
        <v>17.512684179476711</v>
      </c>
      <c r="BJ608" s="1643">
        <f t="shared" si="651"/>
        <v>20.471204590453635</v>
      </c>
      <c r="BK608" s="298">
        <f t="shared" si="651"/>
        <v>18.283448607178119</v>
      </c>
      <c r="BL608" s="298">
        <f t="shared" si="651"/>
        <v>20.471892368014817</v>
      </c>
      <c r="BM608" s="1163">
        <f t="shared" ref="BM608:BQ610" si="652">BL608</f>
        <v>20.471892368014817</v>
      </c>
      <c r="BN608" s="1674">
        <f t="shared" si="652"/>
        <v>20.471892368014817</v>
      </c>
      <c r="BO608" s="1163">
        <f t="shared" si="652"/>
        <v>20.471892368014817</v>
      </c>
      <c r="BP608" s="1163">
        <f t="shared" si="652"/>
        <v>20.471892368014817</v>
      </c>
      <c r="BQ608" s="1163">
        <f t="shared" si="652"/>
        <v>20.471892368014817</v>
      </c>
      <c r="BR608" s="28"/>
      <c r="BS608" s="28"/>
      <c r="BT608" s="28"/>
      <c r="BU608" s="28"/>
      <c r="BV608" s="28"/>
      <c r="BW608" s="538"/>
      <c r="BX608" s="538"/>
      <c r="BY608" s="538"/>
      <c r="BZ608" s="538"/>
      <c r="CA608" s="538"/>
      <c r="CB608" s="538"/>
      <c r="CC608" s="538"/>
      <c r="CD608" s="538"/>
      <c r="CE608" s="538"/>
      <c r="CF608" s="538"/>
      <c r="CG608" s="538"/>
      <c r="CH608" s="538"/>
      <c r="CI608" s="538"/>
      <c r="CJ608" s="538"/>
      <c r="CK608" s="538"/>
      <c r="CL608" s="538"/>
      <c r="CM608" s="538"/>
      <c r="CN608" s="538"/>
      <c r="CO608" s="538"/>
      <c r="CP608" s="538"/>
      <c r="CQ608" s="538"/>
      <c r="CR608"/>
      <c r="CS608"/>
      <c r="CT608"/>
      <c r="CU608"/>
      <c r="CV608"/>
      <c r="CW608"/>
    </row>
    <row r="609" spans="8:101" s="583" customFormat="1" outlineLevel="1">
      <c r="I609" s="597"/>
      <c r="J609" s="231" t="s">
        <v>202</v>
      </c>
      <c r="K609" s="1569"/>
      <c r="L609" s="1569"/>
      <c r="M609" s="1569"/>
      <c r="N609" s="1570"/>
      <c r="O609" s="216"/>
      <c r="P609" s="216" t="str">
        <f>IF(ISERROR(365/P617/Model!P$750), "--", 365/P617/Model!P$750)</f>
        <v>--</v>
      </c>
      <c r="Q609" s="216" t="str">
        <f>IF(ISERROR(365/Q617/Model!Q$750), "--", 365/Q617/Model!Q$750)</f>
        <v>--</v>
      </c>
      <c r="R609" s="216" t="str">
        <f>IF(ISERROR(365/R617/Model!R$750), "--", 365/R617/Model!R$750)</f>
        <v>--</v>
      </c>
      <c r="S609" s="216">
        <f>IF(ISERROR(365/S617/Model!S$750), "--", 365/S617/Model!S$750)</f>
        <v>0.19573816107545955</v>
      </c>
      <c r="T609" s="216">
        <f>IF(ISERROR(365/T617/Model!T$750), "--", 365/T617/Model!T$750)</f>
        <v>2.5239888822695509</v>
      </c>
      <c r="U609" s="216">
        <f>IF(ISERROR(365/U617/Model!U$750), "--", 365/U617/Model!U$750)</f>
        <v>1.6843709852168578</v>
      </c>
      <c r="V609" s="216" t="str">
        <f>IF(ISERROR(365/V617/Model!V$750), "--", 365/V617/Model!V$750)</f>
        <v>--</v>
      </c>
      <c r="W609" s="1163">
        <v>4</v>
      </c>
      <c r="X609" s="1163">
        <f>W609</f>
        <v>4</v>
      </c>
      <c r="Y609" s="1163">
        <f>X609</f>
        <v>4</v>
      </c>
      <c r="Z609" s="1163">
        <f>Y609</f>
        <v>4</v>
      </c>
      <c r="AA609" s="1163">
        <f t="shared" si="650"/>
        <v>4</v>
      </c>
      <c r="AB609" s="1163">
        <f t="shared" si="650"/>
        <v>4</v>
      </c>
      <c r="AC609" s="1163">
        <f t="shared" si="650"/>
        <v>4</v>
      </c>
      <c r="AD609" s="1163">
        <f t="shared" si="650"/>
        <v>4</v>
      </c>
      <c r="AE609" s="259"/>
      <c r="AF609" s="1530"/>
      <c r="AG609" s="83"/>
      <c r="AH609" s="1571"/>
      <c r="AI609" s="1571"/>
      <c r="AJ609" s="1571"/>
      <c r="AK609" s="1571"/>
      <c r="AL609" s="1798"/>
      <c r="AM609" s="1572"/>
      <c r="AN609" s="1572"/>
      <c r="AO609" s="232"/>
      <c r="AP609" s="1687"/>
      <c r="AQ609" s="216"/>
      <c r="AR609" s="216"/>
      <c r="AS609" s="216"/>
      <c r="AT609" s="1687"/>
      <c r="AU609" s="1573"/>
      <c r="AV609" s="216"/>
      <c r="AW609" s="216"/>
      <c r="AX609" s="1687"/>
      <c r="AY609" s="216">
        <f t="shared" ref="AY609:BL609" si="653">AVERAGE(AX498:AY498)/AY409*90</f>
        <v>0</v>
      </c>
      <c r="AZ609" s="216">
        <f t="shared" si="653"/>
        <v>0</v>
      </c>
      <c r="BA609" s="216">
        <f t="shared" si="653"/>
        <v>0.15986383428963</v>
      </c>
      <c r="BB609" s="1687">
        <f t="shared" si="653"/>
        <v>0.50920557332956695</v>
      </c>
      <c r="BC609" s="216">
        <f t="shared" si="653"/>
        <v>1.0661062442303217</v>
      </c>
      <c r="BD609" s="216">
        <f t="shared" si="653"/>
        <v>2.4420920128360479</v>
      </c>
      <c r="BE609" s="216">
        <f t="shared" si="653"/>
        <v>3.280451475357534</v>
      </c>
      <c r="BF609" s="1687">
        <f t="shared" si="653"/>
        <v>4.2897473039358207</v>
      </c>
      <c r="BG609" s="298">
        <f t="shared" si="653"/>
        <v>6.6277098448486056</v>
      </c>
      <c r="BH609" s="298">
        <f t="shared" si="653"/>
        <v>12.417066169661261</v>
      </c>
      <c r="BI609" s="298">
        <f t="shared" si="653"/>
        <v>5.5484965532790325</v>
      </c>
      <c r="BJ609" s="1643">
        <f t="shared" si="653"/>
        <v>9.7746418030522335</v>
      </c>
      <c r="BK609" s="298">
        <f t="shared" si="653"/>
        <v>7.8885756981008166</v>
      </c>
      <c r="BL609" s="298">
        <f t="shared" si="653"/>
        <v>0</v>
      </c>
      <c r="BM609" s="1163">
        <f t="shared" si="652"/>
        <v>0</v>
      </c>
      <c r="BN609" s="1674">
        <f t="shared" si="652"/>
        <v>0</v>
      </c>
      <c r="BO609" s="1163">
        <f t="shared" si="652"/>
        <v>0</v>
      </c>
      <c r="BP609" s="1163">
        <f t="shared" si="652"/>
        <v>0</v>
      </c>
      <c r="BQ609" s="1163">
        <f t="shared" si="652"/>
        <v>0</v>
      </c>
      <c r="BR609" s="28"/>
      <c r="BS609" s="28"/>
      <c r="BT609" s="28"/>
      <c r="BU609" s="28"/>
      <c r="BV609" s="28"/>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c r="CS609"/>
      <c r="CT609"/>
      <c r="CU609"/>
      <c r="CV609"/>
      <c r="CW609"/>
    </row>
    <row r="610" spans="8:101" s="583" customFormat="1" outlineLevel="1">
      <c r="I610" s="597"/>
      <c r="J610" s="254" t="s">
        <v>249</v>
      </c>
      <c r="K610" s="28"/>
      <c r="L610" s="28"/>
      <c r="M610" s="28"/>
      <c r="N610" s="216"/>
      <c r="O610" s="216"/>
      <c r="P610" s="216">
        <f>365/P618/Model!P$750</f>
        <v>50.49472335733217</v>
      </c>
      <c r="Q610" s="216">
        <f>365/Q618/Model!Q$750</f>
        <v>36.200179706856652</v>
      </c>
      <c r="R610" s="216">
        <f>365/R618/Model!R$750</f>
        <v>32.530835253456225</v>
      </c>
      <c r="S610" s="216">
        <f>365/S618/Model!S$750</f>
        <v>33.358937086125295</v>
      </c>
      <c r="T610" s="216">
        <f>365/T618/Model!T$750</f>
        <v>38.044529227810045</v>
      </c>
      <c r="U610" s="216">
        <f>365/U618/Model!U$750</f>
        <v>40.48019088213735</v>
      </c>
      <c r="V610" s="216">
        <f>365/V618/Model!V$750</f>
        <v>41.366269644672911</v>
      </c>
      <c r="W610" s="1163">
        <v>40</v>
      </c>
      <c r="X610" s="1163">
        <v>40</v>
      </c>
      <c r="Y610" s="1163">
        <v>40</v>
      </c>
      <c r="Z610" s="1163">
        <f>Y610</f>
        <v>40</v>
      </c>
      <c r="AA610" s="1163">
        <f t="shared" si="650"/>
        <v>40</v>
      </c>
      <c r="AB610" s="1163">
        <f t="shared" si="650"/>
        <v>40</v>
      </c>
      <c r="AC610" s="1163">
        <f t="shared" si="650"/>
        <v>40</v>
      </c>
      <c r="AD610" s="1163">
        <f t="shared" si="650"/>
        <v>40</v>
      </c>
      <c r="AE610" s="259"/>
      <c r="AF610" s="1530"/>
      <c r="AG610" s="83"/>
      <c r="AH610" s="28"/>
      <c r="AI610" s="28"/>
      <c r="AJ610" s="28"/>
      <c r="AK610" s="28"/>
      <c r="AL610" s="682"/>
      <c r="AM610" s="86"/>
      <c r="AN610" s="86"/>
      <c r="AO610" s="76"/>
      <c r="AP610" s="1687"/>
      <c r="AQ610" s="216"/>
      <c r="AR610" s="216"/>
      <c r="AS610" s="216"/>
      <c r="AT610" s="1687"/>
      <c r="AU610" s="361"/>
      <c r="AV610" s="216"/>
      <c r="AW610" s="216"/>
      <c r="AX610" s="1687"/>
      <c r="AY610" s="216">
        <f t="shared" ref="AY610:BL610" si="654">AVERAGE(AX500:AY500)/-AY410*90</f>
        <v>38.115256331296628</v>
      </c>
      <c r="AZ610" s="216">
        <f t="shared" si="654"/>
        <v>38.653703123599954</v>
      </c>
      <c r="BA610" s="216">
        <f t="shared" si="654"/>
        <v>34.571571165488358</v>
      </c>
      <c r="BB610" s="1687">
        <f t="shared" si="654"/>
        <v>35.177071733029351</v>
      </c>
      <c r="BC610" s="216">
        <f t="shared" si="654"/>
        <v>34.478666880297553</v>
      </c>
      <c r="BD610" s="216">
        <f t="shared" si="654"/>
        <v>41.124377440835971</v>
      </c>
      <c r="BE610" s="216">
        <f t="shared" si="654"/>
        <v>36.135253373505563</v>
      </c>
      <c r="BF610" s="1687">
        <f t="shared" si="654"/>
        <v>39.379978573285051</v>
      </c>
      <c r="BG610" s="298">
        <f t="shared" si="654"/>
        <v>35.631594981271228</v>
      </c>
      <c r="BH610" s="298">
        <f t="shared" si="654"/>
        <v>40.682199228142885</v>
      </c>
      <c r="BI610" s="298">
        <f t="shared" si="654"/>
        <v>33.805253374343764</v>
      </c>
      <c r="BJ610" s="1643">
        <f t="shared" si="654"/>
        <v>38.973499918299488</v>
      </c>
      <c r="BK610" s="298">
        <f t="shared" si="654"/>
        <v>32.406116265435145</v>
      </c>
      <c r="BL610" s="298">
        <f t="shared" si="654"/>
        <v>42.898926590807228</v>
      </c>
      <c r="BM610" s="1163">
        <f t="shared" si="652"/>
        <v>42.898926590807228</v>
      </c>
      <c r="BN610" s="1674">
        <f t="shared" si="652"/>
        <v>42.898926590807228</v>
      </c>
      <c r="BO610" s="1163">
        <f t="shared" si="652"/>
        <v>42.898926590807228</v>
      </c>
      <c r="BP610" s="1163">
        <f t="shared" si="652"/>
        <v>42.898926590807228</v>
      </c>
      <c r="BQ610" s="1163">
        <f t="shared" si="652"/>
        <v>42.898926590807228</v>
      </c>
      <c r="BR610" s="28"/>
      <c r="BS610" s="28"/>
      <c r="BT610" s="28"/>
      <c r="BU610" s="28"/>
      <c r="BV610" s="28"/>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c r="CS610"/>
      <c r="CT610"/>
      <c r="CU610"/>
      <c r="CV610"/>
      <c r="CW610"/>
    </row>
    <row r="611" spans="8:101" s="583" customFormat="1" outlineLevel="1">
      <c r="I611" s="597"/>
      <c r="J611" s="305" t="s">
        <v>558</v>
      </c>
      <c r="K611" s="28"/>
      <c r="L611" s="28"/>
      <c r="M611" s="28"/>
      <c r="N611" s="216"/>
      <c r="O611" s="216"/>
      <c r="P611" s="216"/>
      <c r="Q611" s="216"/>
      <c r="R611" s="216">
        <f t="shared" ref="R611:AD611" si="655">(AVERAGE(Q500:R500)/R407)*365</f>
        <v>30.335836342475158</v>
      </c>
      <c r="S611" s="216">
        <f t="shared" si="655"/>
        <v>31.23291909644492</v>
      </c>
      <c r="T611" s="216">
        <f t="shared" si="655"/>
        <v>35.614475497999656</v>
      </c>
      <c r="U611" s="216">
        <f t="shared" si="655"/>
        <v>37.926783684633342</v>
      </c>
      <c r="V611" s="216">
        <f t="shared" si="655"/>
        <v>38.83466327869008</v>
      </c>
      <c r="W611" s="216">
        <f t="shared" si="655"/>
        <v>37.060608785070215</v>
      </c>
      <c r="X611" s="216">
        <f t="shared" si="655"/>
        <v>34.249715440859369</v>
      </c>
      <c r="Y611" s="216">
        <f t="shared" si="655"/>
        <v>34.844869333868338</v>
      </c>
      <c r="Z611" s="216">
        <f t="shared" si="655"/>
        <v>35.887451771190506</v>
      </c>
      <c r="AA611" s="216">
        <f t="shared" si="655"/>
        <v>36.547244292534508</v>
      </c>
      <c r="AB611" s="216">
        <f t="shared" si="655"/>
        <v>36.525069017287706</v>
      </c>
      <c r="AC611" s="216">
        <f t="shared" si="655"/>
        <v>36.532018181053722</v>
      </c>
      <c r="AD611" s="216">
        <f t="shared" si="655"/>
        <v>36.537955888322145</v>
      </c>
      <c r="AE611" s="83"/>
      <c r="AF611" s="1530"/>
      <c r="AG611" s="83"/>
      <c r="AH611" s="28"/>
      <c r="AI611" s="28"/>
      <c r="AJ611" s="28"/>
      <c r="AK611" s="28"/>
      <c r="AL611" s="682"/>
      <c r="AM611" s="86"/>
      <c r="AN611" s="86"/>
      <c r="AO611" s="76"/>
      <c r="AP611" s="1687"/>
      <c r="AQ611" s="216"/>
      <c r="AR611" s="216"/>
      <c r="AS611" s="216"/>
      <c r="AT611" s="1687"/>
      <c r="AU611" s="361"/>
      <c r="AV611" s="216"/>
      <c r="AW611" s="216"/>
      <c r="AX611" s="1687"/>
      <c r="AY611" s="216"/>
      <c r="AZ611" s="216"/>
      <c r="BA611" s="216"/>
      <c r="BB611" s="1687"/>
      <c r="BC611" s="216"/>
      <c r="BD611" s="216"/>
      <c r="BE611" s="216"/>
      <c r="BF611" s="1687"/>
      <c r="BG611" s="298"/>
      <c r="BH611" s="298"/>
      <c r="BI611" s="236"/>
      <c r="BJ611" s="816"/>
      <c r="BK611" s="236"/>
      <c r="BL611" s="236"/>
      <c r="BM611" s="236"/>
      <c r="BN611" s="816"/>
      <c r="BO611" s="236"/>
      <c r="BP611" s="236"/>
      <c r="BQ611" s="236"/>
      <c r="BR611" s="28"/>
      <c r="BS611" s="28"/>
      <c r="BT611" s="28"/>
      <c r="BU611" s="28"/>
      <c r="BV611" s="28"/>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c r="CS611"/>
      <c r="CT611"/>
      <c r="CU611"/>
      <c r="CV611"/>
      <c r="CW611"/>
    </row>
    <row r="612" spans="8:101" s="583" customFormat="1" outlineLevel="1">
      <c r="I612" s="597"/>
      <c r="J612" s="254" t="s">
        <v>250</v>
      </c>
      <c r="K612" s="28"/>
      <c r="L612" s="28"/>
      <c r="M612" s="28"/>
      <c r="N612" s="216"/>
      <c r="O612" s="216"/>
      <c r="P612" s="216">
        <f>365/P619/Model!P$750</f>
        <v>66.436813494316937</v>
      </c>
      <c r="Q612" s="216">
        <f>365/Q619/Model!Q$750</f>
        <v>56.499656700428957</v>
      </c>
      <c r="R612" s="216">
        <f>365/R619/Model!R$750</f>
        <v>55.821177115335381</v>
      </c>
      <c r="S612" s="216">
        <f>365/S619/Model!S$750</f>
        <v>49.171146795761139</v>
      </c>
      <c r="T612" s="216">
        <f>365/T619/Model!T$750</f>
        <v>53.681339103739937</v>
      </c>
      <c r="U612" s="216">
        <f>365/U619/Model!U$750</f>
        <v>62.097028747040333</v>
      </c>
      <c r="V612" s="216">
        <f>365/V619/Model!V$750</f>
        <v>70.520043714748766</v>
      </c>
      <c r="W612" s="1163">
        <f t="shared" ref="W612:AD612" si="656">V612</f>
        <v>70.520043714748766</v>
      </c>
      <c r="X612" s="1163">
        <f t="shared" si="656"/>
        <v>70.520043714748766</v>
      </c>
      <c r="Y612" s="1163">
        <f t="shared" si="656"/>
        <v>70.520043714748766</v>
      </c>
      <c r="Z612" s="1163">
        <f t="shared" si="656"/>
        <v>70.520043714748766</v>
      </c>
      <c r="AA612" s="1163">
        <f t="shared" si="656"/>
        <v>70.520043714748766</v>
      </c>
      <c r="AB612" s="1163">
        <f t="shared" si="656"/>
        <v>70.520043714748766</v>
      </c>
      <c r="AC612" s="1163">
        <f t="shared" si="656"/>
        <v>70.520043714748766</v>
      </c>
      <c r="AD612" s="1163">
        <f t="shared" si="656"/>
        <v>70.520043714748766</v>
      </c>
      <c r="AE612" s="83"/>
      <c r="AF612" s="1530"/>
      <c r="AG612" s="83"/>
      <c r="AH612" s="28"/>
      <c r="AI612" s="28"/>
      <c r="AJ612" s="28"/>
      <c r="AK612" s="28"/>
      <c r="AL612" s="1720"/>
      <c r="AM612" s="76"/>
      <c r="AN612" s="76"/>
      <c r="AO612" s="76"/>
      <c r="AP612" s="1687"/>
      <c r="AQ612" s="216"/>
      <c r="AR612" s="216"/>
      <c r="AS612" s="216"/>
      <c r="AT612" s="1687"/>
      <c r="AU612" s="361"/>
      <c r="AV612" s="216"/>
      <c r="AW612" s="216"/>
      <c r="AX612" s="1687"/>
      <c r="AY612" s="216">
        <f t="shared" ref="AY612:BL612" si="657">AVERAGE(AX521:AY521)/-AY410*90</f>
        <v>54.871739586350202</v>
      </c>
      <c r="AZ612" s="216">
        <f t="shared" si="657"/>
        <v>57.526278481541496</v>
      </c>
      <c r="BA612" s="216">
        <f t="shared" si="657"/>
        <v>49.58761794610578</v>
      </c>
      <c r="BB612" s="1687">
        <f t="shared" si="657"/>
        <v>49.564346467564569</v>
      </c>
      <c r="BC612" s="216">
        <f t="shared" si="657"/>
        <v>50.150920875893966</v>
      </c>
      <c r="BD612" s="216">
        <f t="shared" si="657"/>
        <v>60.117464343119202</v>
      </c>
      <c r="BE612" s="216">
        <f t="shared" si="657"/>
        <v>52.964168723356522</v>
      </c>
      <c r="BF612" s="1687">
        <f t="shared" si="657"/>
        <v>58.355873123454771</v>
      </c>
      <c r="BG612" s="298">
        <f t="shared" si="657"/>
        <v>55.997179740157591</v>
      </c>
      <c r="BH612" s="298">
        <f t="shared" si="657"/>
        <v>70.19103267642808</v>
      </c>
      <c r="BI612" s="298">
        <f t="shared" si="657"/>
        <v>57.429966622098441</v>
      </c>
      <c r="BJ612" s="1643">
        <f t="shared" si="657"/>
        <v>62.742877233101865</v>
      </c>
      <c r="BK612" s="298">
        <f t="shared" si="657"/>
        <v>62.1336489454374</v>
      </c>
      <c r="BL612" s="298">
        <f t="shared" si="657"/>
        <v>85.896401221375299</v>
      </c>
      <c r="BM612" s="1163">
        <f>BL612</f>
        <v>85.896401221375299</v>
      </c>
      <c r="BN612" s="1674">
        <f>BM612</f>
        <v>85.896401221375299</v>
      </c>
      <c r="BO612" s="1163">
        <f>BN612</f>
        <v>85.896401221375299</v>
      </c>
      <c r="BP612" s="1163">
        <f>BO612</f>
        <v>85.896401221375299</v>
      </c>
      <c r="BQ612" s="1163">
        <f>BP612</f>
        <v>85.896401221375299</v>
      </c>
      <c r="BR612" s="1574"/>
      <c r="BS612" s="1574"/>
      <c r="BT612" s="1574"/>
      <c r="BU612" s="1574"/>
      <c r="BV612" s="1574"/>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c r="CS612"/>
      <c r="CT612"/>
      <c r="CU612"/>
      <c r="CV612"/>
      <c r="CW612"/>
    </row>
    <row r="613" spans="8:101" s="583" customFormat="1" outlineLevel="1">
      <c r="I613" s="597"/>
      <c r="J613" s="254"/>
      <c r="K613" s="28"/>
      <c r="L613" s="28"/>
      <c r="M613" s="28"/>
      <c r="N613" s="216"/>
      <c r="O613" s="216"/>
      <c r="P613" s="216"/>
      <c r="Q613" s="216"/>
      <c r="R613" s="216"/>
      <c r="S613" s="216"/>
      <c r="T613" s="236"/>
      <c r="U613" s="236"/>
      <c r="V613" s="236"/>
      <c r="W613" s="236"/>
      <c r="X613" s="236"/>
      <c r="Y613" s="236"/>
      <c r="Z613" s="236"/>
      <c r="AA613" s="236"/>
      <c r="AB613" s="236"/>
      <c r="AC613" s="236"/>
      <c r="AD613" s="236"/>
      <c r="AE613" s="83"/>
      <c r="AF613" s="1530"/>
      <c r="AG613" s="83"/>
      <c r="AH613" s="28"/>
      <c r="AI613" s="28"/>
      <c r="AJ613" s="28"/>
      <c r="AK613" s="28"/>
      <c r="AL613" s="1720"/>
      <c r="AM613" s="76"/>
      <c r="AN613" s="76"/>
      <c r="AO613" s="76"/>
      <c r="AP613" s="1687"/>
      <c r="AQ613" s="216"/>
      <c r="AR613" s="216"/>
      <c r="AS613" s="216"/>
      <c r="AT613" s="1687"/>
      <c r="AU613" s="216"/>
      <c r="AV613" s="216"/>
      <c r="AW613" s="216"/>
      <c r="AX613" s="1687"/>
      <c r="AY613" s="216"/>
      <c r="AZ613" s="216"/>
      <c r="BA613" s="216"/>
      <c r="BB613" s="1687"/>
      <c r="BC613" s="216"/>
      <c r="BD613" s="216"/>
      <c r="BE613" s="216"/>
      <c r="BF613" s="1687"/>
      <c r="BG613" s="798"/>
      <c r="BH613" s="798"/>
      <c r="BI613" s="236"/>
      <c r="BJ613" s="816"/>
      <c r="BK613" s="236"/>
      <c r="BL613" s="236"/>
      <c r="BM613" s="236"/>
      <c r="BN613" s="816"/>
      <c r="BO613" s="236"/>
      <c r="BP613" s="236"/>
      <c r="BQ613" s="236"/>
      <c r="BR613" s="1574"/>
      <c r="BS613" s="1574"/>
      <c r="BT613" s="1574"/>
      <c r="BU613" s="1574"/>
      <c r="BV613" s="1574"/>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c r="CS613"/>
      <c r="CT613"/>
      <c r="CU613"/>
      <c r="CV613"/>
      <c r="CW613"/>
    </row>
    <row r="614" spans="8:101" s="583" customFormat="1" outlineLevel="1">
      <c r="I614" s="597"/>
      <c r="J614" s="251" t="s">
        <v>82</v>
      </c>
      <c r="K614" s="13"/>
      <c r="L614" s="13"/>
      <c r="M614" s="251"/>
      <c r="N614" s="282"/>
      <c r="O614" s="282"/>
      <c r="P614" s="282"/>
      <c r="Q614" s="282"/>
      <c r="R614" s="282"/>
      <c r="S614" s="282"/>
      <c r="T614" s="283"/>
      <c r="U614" s="283"/>
      <c r="V614" s="283"/>
      <c r="W614" s="283"/>
      <c r="X614" s="283"/>
      <c r="Y614" s="283"/>
      <c r="Z614" s="283"/>
      <c r="AA614" s="283"/>
      <c r="AB614" s="283"/>
      <c r="AC614" s="283"/>
      <c r="AD614" s="283"/>
      <c r="AE614" s="83"/>
      <c r="AF614" s="1530"/>
      <c r="AG614" s="83"/>
      <c r="AH614" s="282"/>
      <c r="AI614" s="282"/>
      <c r="AJ614" s="282"/>
      <c r="AK614" s="282"/>
      <c r="AL614" s="1524"/>
      <c r="AM614" s="282"/>
      <c r="AN614" s="282"/>
      <c r="AO614" s="282"/>
      <c r="AP614" s="1524"/>
      <c r="AQ614" s="282"/>
      <c r="AR614" s="282"/>
      <c r="AS614" s="282"/>
      <c r="AT614" s="1524"/>
      <c r="AU614" s="282"/>
      <c r="AV614" s="282"/>
      <c r="AW614" s="282"/>
      <c r="AX614" s="130"/>
      <c r="AY614" s="13"/>
      <c r="AZ614" s="13"/>
      <c r="BA614" s="13"/>
      <c r="BB614" s="130"/>
      <c r="BC614" s="282"/>
      <c r="BD614" s="282"/>
      <c r="BE614" s="282"/>
      <c r="BF614" s="1524"/>
      <c r="BG614" s="282"/>
      <c r="BH614" s="282"/>
      <c r="BI614" s="282"/>
      <c r="BJ614" s="1524"/>
      <c r="BK614" s="282"/>
      <c r="BL614" s="282"/>
      <c r="BM614" s="282"/>
      <c r="BN614" s="1524"/>
      <c r="BO614" s="282"/>
      <c r="BP614" s="282"/>
      <c r="BQ614" s="282"/>
      <c r="BR614" s="28"/>
      <c r="BS614" s="28"/>
      <c r="BT614" s="28"/>
      <c r="BU614" s="28"/>
      <c r="BV614" s="28"/>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c r="CS614"/>
      <c r="CT614"/>
      <c r="CU614"/>
      <c r="CV614"/>
      <c r="CW614"/>
    </row>
    <row r="615" spans="8:101" s="583" customFormat="1" outlineLevel="1">
      <c r="I615" s="597"/>
      <c r="J615" s="254" t="s">
        <v>282</v>
      </c>
      <c r="K615" s="28"/>
      <c r="L615" s="28"/>
      <c r="M615" s="28"/>
      <c r="N615" s="650"/>
      <c r="O615" s="650"/>
      <c r="P615" s="650">
        <f t="shared" ref="P615:W615" si="658">P409/SUM(AVERAGE(O497:P497),AVERAGE(O498:P498))</f>
        <v>86.053088370653356</v>
      </c>
      <c r="Q615" s="650">
        <f t="shared" si="658"/>
        <v>114.20482921928817</v>
      </c>
      <c r="R615" s="650">
        <f t="shared" si="658"/>
        <v>141.3332490850741</v>
      </c>
      <c r="S615" s="650">
        <f t="shared" si="658"/>
        <v>75.123240799441092</v>
      </c>
      <c r="T615" s="517">
        <f t="shared" si="658"/>
        <v>25.088582679208539</v>
      </c>
      <c r="U615" s="517">
        <f t="shared" si="658"/>
        <v>18.42745855265693</v>
      </c>
      <c r="V615" s="517">
        <f t="shared" si="658"/>
        <v>22.297233053111068</v>
      </c>
      <c r="W615" s="517">
        <f t="shared" si="658"/>
        <v>25.288519994939662</v>
      </c>
      <c r="X615" s="517">
        <f t="shared" ref="X615:AD615" si="659">X409/SUM(AVERAGE(W497:X497))</f>
        <v>25.282319038836377</v>
      </c>
      <c r="Y615" s="517">
        <f t="shared" si="659"/>
        <v>24.878835504584661</v>
      </c>
      <c r="Z615" s="517">
        <f t="shared" si="659"/>
        <v>25.905202973349677</v>
      </c>
      <c r="AA615" s="517">
        <f t="shared" si="659"/>
        <v>27.091388593689295</v>
      </c>
      <c r="AB615" s="517">
        <f t="shared" si="659"/>
        <v>27.091107099593042</v>
      </c>
      <c r="AC615" s="517">
        <f t="shared" si="659"/>
        <v>27.090828205301847</v>
      </c>
      <c r="AD615" s="517">
        <f t="shared" si="659"/>
        <v>27.090551874964579</v>
      </c>
      <c r="AE615" s="83"/>
      <c r="AF615" s="1575"/>
      <c r="AG615" s="83"/>
      <c r="AH615" s="28"/>
      <c r="AI615" s="28"/>
      <c r="AJ615" s="28"/>
      <c r="AK615" s="28"/>
      <c r="AL615" s="390"/>
      <c r="AM615" s="28"/>
      <c r="AN615" s="28"/>
      <c r="AO615" s="517"/>
      <c r="AP615" s="684"/>
      <c r="AQ615" s="517"/>
      <c r="AR615" s="517"/>
      <c r="AS615" s="517"/>
      <c r="AT615" s="684"/>
      <c r="AU615" s="517"/>
      <c r="AV615" s="517"/>
      <c r="AW615" s="517"/>
      <c r="AX615" s="684"/>
      <c r="AY615" s="517">
        <f>AY409/SUM(AVERAGE(AX497,AY497),AVERAGE(AX498,AY498))/Model!AY750</f>
        <v>75.704933625874702</v>
      </c>
      <c r="AZ615" s="517">
        <f>AZ409/SUM(AVERAGE(AY497,AZ497),AVERAGE(AY498,AZ498))/Model!AZ750</f>
        <v>75.304507965348307</v>
      </c>
      <c r="BA615" s="517">
        <f>BA409/SUM(AVERAGE(AZ497,BA497),AVERAGE(AZ498,BA498))/Model!BA750</f>
        <v>67.256105306411243</v>
      </c>
      <c r="BB615" s="684">
        <f>BB409/SUM(AVERAGE(BA497,BB497),AVERAGE(BA498,BB498))/Model!BB750</f>
        <v>49.859508682667894</v>
      </c>
      <c r="BC615" s="517">
        <f>BC409/SUM(AVERAGE(BB497,BC497),AVERAGE(BB498,BC498))/Model!BC750</f>
        <v>38.589102425887617</v>
      </c>
      <c r="BD615" s="517">
        <f>BD409/SUM(AVERAGE(BC497,BD497),AVERAGE(BC498,BD498))/Model!BD750</f>
        <v>24.383989872745968</v>
      </c>
      <c r="BE615" s="517">
        <f>BE409/SUM(AVERAGE(BD497,BE497),AVERAGE(BD498,BE498))/Model!BE750</f>
        <v>21.667707032555647</v>
      </c>
      <c r="BF615" s="684">
        <f>BF409/SUM(AVERAGE(BE497,BF497),AVERAGE(BE498,BF498))/Model!BF750</f>
        <v>16.796562314986353</v>
      </c>
      <c r="BG615" s="517">
        <f>BG409/SUM(AVERAGE(BF497,BG497),AVERAGE(BF498,BG498))/Model!BG750</f>
        <v>14.955216344680323</v>
      </c>
      <c r="BH615" s="517">
        <f>BH409/SUM(AVERAGE(BG497,BH497),AVERAGE(BG498,BH498))/Model!BH750</f>
        <v>10.57205192722444</v>
      </c>
      <c r="BI615" s="517">
        <f>BI409/SUM(AVERAGE(BH497,BI497),AVERAGE(BH498,BI498))/Model!BI750</f>
        <v>15.610649089127582</v>
      </c>
      <c r="BJ615" s="684">
        <f>BJ409/SUM(AVERAGE(BI497,BJ497),AVERAGE(BI498,BJ498))/Model!BJ750</f>
        <v>11.902460764903445</v>
      </c>
      <c r="BK615" s="517">
        <f>BK409/SUM(AVERAGE(BJ497,BK497),AVERAGE(BJ498,BK498))/Model!BK750</f>
        <v>13.755145410261118</v>
      </c>
      <c r="BL615" s="517">
        <f>BL409/SUM(AVERAGE(BK497,BL497),AVERAGE(BK498,BL498))/Model!BL750</f>
        <v>17.58508659231045</v>
      </c>
      <c r="BM615" s="517">
        <f>BM409/SUM(AVERAGE(BL497,BM497),AVERAGE(BL498,BM498))/Model!BM750</f>
        <v>25.422540337304845</v>
      </c>
      <c r="BN615" s="684">
        <f>BN409/SUM(AVERAGE(BM497,BN497),AVERAGE(BM498,BN498))/Model!BN750</f>
        <v>17.82932390609254</v>
      </c>
      <c r="BO615" s="517">
        <f>BO409/SUM(AVERAGE(BN497,BO497),AVERAGE(BN498,BO498))/Model!BO750</f>
        <v>17.82932390609254</v>
      </c>
      <c r="BP615" s="517">
        <f>BP409/SUM(AVERAGE(BO497,BP497),AVERAGE(BO498,BP498))/Model!BP750</f>
        <v>17.82932390609254</v>
      </c>
      <c r="BQ615" s="517">
        <f>BQ409/SUM(AVERAGE(BP497,BQ497),AVERAGE(BP498,BQ498))/Model!BQ750</f>
        <v>28.030625412557402</v>
      </c>
      <c r="BR615" s="28"/>
      <c r="BS615" s="28"/>
      <c r="BT615" s="28"/>
      <c r="BU615" s="28"/>
      <c r="BV615" s="28"/>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c r="CS615"/>
      <c r="CT615"/>
      <c r="CU615"/>
      <c r="CV615"/>
      <c r="CW615"/>
    </row>
    <row r="616" spans="8:101" s="583" customFormat="1" outlineLevel="1">
      <c r="I616" s="597"/>
      <c r="J616" s="231" t="s">
        <v>283</v>
      </c>
      <c r="K616" s="28"/>
      <c r="L616" s="28"/>
      <c r="M616" s="28"/>
      <c r="N616" s="650"/>
      <c r="O616" s="650"/>
      <c r="P616" s="650">
        <f t="shared" ref="P616:AD616" si="660">P409/AVERAGE(O497:P497)</f>
        <v>86.053088370653356</v>
      </c>
      <c r="Q616" s="650">
        <f t="shared" si="660"/>
        <v>114.20482921928817</v>
      </c>
      <c r="R616" s="650">
        <f t="shared" si="660"/>
        <v>141.3332490850741</v>
      </c>
      <c r="S616" s="650">
        <f t="shared" si="660"/>
        <v>78.276716995451523</v>
      </c>
      <c r="T616" s="517">
        <f t="shared" si="660"/>
        <v>30.354789719821778</v>
      </c>
      <c r="U616" s="517">
        <f t="shared" si="660"/>
        <v>20.140123717259868</v>
      </c>
      <c r="V616" s="517">
        <f t="shared" si="660"/>
        <v>22.297233053111068</v>
      </c>
      <c r="W616" s="517">
        <f t="shared" si="660"/>
        <v>25.288519994939662</v>
      </c>
      <c r="X616" s="517">
        <f t="shared" si="660"/>
        <v>25.282319038836377</v>
      </c>
      <c r="Y616" s="517">
        <f t="shared" si="660"/>
        <v>24.878835504584661</v>
      </c>
      <c r="Z616" s="517">
        <f t="shared" si="660"/>
        <v>25.905202973349677</v>
      </c>
      <c r="AA616" s="517">
        <f t="shared" si="660"/>
        <v>27.091388593689295</v>
      </c>
      <c r="AB616" s="517">
        <f t="shared" si="660"/>
        <v>27.091107099593042</v>
      </c>
      <c r="AC616" s="517">
        <f t="shared" si="660"/>
        <v>27.090828205301847</v>
      </c>
      <c r="AD616" s="517">
        <f t="shared" si="660"/>
        <v>27.090551874964579</v>
      </c>
      <c r="AE616" s="83"/>
      <c r="AF616" s="1575"/>
      <c r="AG616" s="83"/>
      <c r="AH616" s="28"/>
      <c r="AI616" s="28"/>
      <c r="AJ616" s="28"/>
      <c r="AK616" s="28"/>
      <c r="AL616" s="390"/>
      <c r="AM616" s="28"/>
      <c r="AN616" s="28"/>
      <c r="AO616" s="517"/>
      <c r="AP616" s="684"/>
      <c r="AQ616" s="517"/>
      <c r="AR616" s="517"/>
      <c r="AS616" s="517"/>
      <c r="AT616" s="684"/>
      <c r="AU616" s="517"/>
      <c r="AV616" s="517"/>
      <c r="AW616" s="517"/>
      <c r="AX616" s="684"/>
      <c r="AY616" s="517">
        <f>AY409/AVERAGE(AX497,AY497)/Model!AY750</f>
        <v>75.704933625874702</v>
      </c>
      <c r="AZ616" s="517">
        <f>AZ409/AVERAGE(AY497,AZ497)/Model!AZ750</f>
        <v>75.304507965348307</v>
      </c>
      <c r="BA616" s="517">
        <f>BA409/AVERAGE(AZ497,BA497)/Model!BA750</f>
        <v>69.326625645474778</v>
      </c>
      <c r="BB616" s="684">
        <f>BB409/AVERAGE(BA497,BB497)/Model!BB750</f>
        <v>53.642615343904318</v>
      </c>
      <c r="BC616" s="517">
        <f>BC409/AVERAGE(BB497,BC497)/Model!BC750</f>
        <v>43.567962403179045</v>
      </c>
      <c r="BD616" s="517">
        <f>BD409/AVERAGE(BC497,BD497)/Model!BD750</f>
        <v>29.216762754284861</v>
      </c>
      <c r="BE616" s="517">
        <f>BE409/AVERAGE(BD497,BE497)/Model!BE750</f>
        <v>26.998375995134044</v>
      </c>
      <c r="BF616" s="684">
        <f>BF409/AVERAGE(BE497,BF497)/Model!BF750</f>
        <v>20.999567974036292</v>
      </c>
      <c r="BG616" s="517">
        <f>BG409/AVERAGE(BF497,BG497)/Model!BG750</f>
        <v>20.63728087008214</v>
      </c>
      <c r="BH616" s="517">
        <f>BH409/AVERAGE(BG497,BH497)/Model!BH750</f>
        <v>16.639719589550879</v>
      </c>
      <c r="BI616" s="517">
        <f>BI409/AVERAGE(BH497,BT497)/Model!BI750</f>
        <v>21.515555205743468</v>
      </c>
      <c r="BJ616" s="684">
        <f>BJ409/AVERAGE(BI497,BJ497)/Model!BJ750</f>
        <v>17.58567740404877</v>
      </c>
      <c r="BK616" s="517">
        <f>BK409/AVERAGE(BJ497,BK497)/Model!BK750</f>
        <v>19.689939668092116</v>
      </c>
      <c r="BL616" s="517">
        <f>BL409/AVERAGE(BK497,BL497)/Model!BL750</f>
        <v>17.58508659231045</v>
      </c>
      <c r="BM616" s="517">
        <f>BM409/AVERAGE(BL497,BM497)/Model!BM750</f>
        <v>25.422540337304845</v>
      </c>
      <c r="BN616" s="684">
        <f>BN409/AVERAGE(BM497,BN497)/Model!BN750</f>
        <v>17.82932390609254</v>
      </c>
      <c r="BO616" s="517">
        <f>BO409/AVERAGE(BN497,BO497)/Model!BO750</f>
        <v>17.82932390609254</v>
      </c>
      <c r="BP616" s="517">
        <f>BP409/AVERAGE(BO497,BP497)/Model!BP750</f>
        <v>17.82932390609254</v>
      </c>
      <c r="BQ616" s="517">
        <f>BQ409/AVERAGE(BP497,BQ497)/Model!BQ750</f>
        <v>28.030625412557402</v>
      </c>
      <c r="BR616" s="28"/>
      <c r="BS616" s="28"/>
      <c r="BT616" s="28"/>
      <c r="BU616" s="28"/>
      <c r="BV616" s="28"/>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c r="CS616"/>
      <c r="CT616"/>
      <c r="CU616"/>
      <c r="CV616"/>
      <c r="CW616"/>
    </row>
    <row r="617" spans="8:101" s="583" customFormat="1" outlineLevel="1">
      <c r="I617" s="597"/>
      <c r="J617" s="231" t="s">
        <v>284</v>
      </c>
      <c r="K617" s="28"/>
      <c r="L617" s="28"/>
      <c r="M617" s="28"/>
      <c r="N617" s="650"/>
      <c r="O617" s="650"/>
      <c r="P617" s="517" t="str">
        <f t="shared" ref="P617:AD617" si="661">IF(ISERROR(P409/AVERAGE(O498:P498)),"--",P409/AVERAGE(O498:P498))</f>
        <v>--</v>
      </c>
      <c r="Q617" s="517" t="str">
        <f t="shared" si="661"/>
        <v>--</v>
      </c>
      <c r="R617" s="517" t="str">
        <f t="shared" si="661"/>
        <v>--</v>
      </c>
      <c r="S617" s="517">
        <f t="shared" si="661"/>
        <v>1864.7360228304581</v>
      </c>
      <c r="T617" s="517">
        <f t="shared" si="661"/>
        <v>144.61236440621516</v>
      </c>
      <c r="U617" s="517">
        <f t="shared" si="661"/>
        <v>216.69810463578327</v>
      </c>
      <c r="V617" s="517" t="str">
        <f t="shared" si="661"/>
        <v>--</v>
      </c>
      <c r="W617" s="517" t="str">
        <f t="shared" si="661"/>
        <v>--</v>
      </c>
      <c r="X617" s="517" t="str">
        <f t="shared" si="661"/>
        <v>--</v>
      </c>
      <c r="Y617" s="517" t="str">
        <f t="shared" si="661"/>
        <v>--</v>
      </c>
      <c r="Z617" s="517" t="str">
        <f t="shared" si="661"/>
        <v>--</v>
      </c>
      <c r="AA617" s="517" t="str">
        <f t="shared" si="661"/>
        <v>--</v>
      </c>
      <c r="AB617" s="517" t="str">
        <f t="shared" si="661"/>
        <v>--</v>
      </c>
      <c r="AC617" s="517" t="str">
        <f t="shared" si="661"/>
        <v>--</v>
      </c>
      <c r="AD617" s="517" t="str">
        <f t="shared" si="661"/>
        <v>--</v>
      </c>
      <c r="AE617" s="83"/>
      <c r="AF617" s="1575"/>
      <c r="AG617" s="83"/>
      <c r="AH617" s="28"/>
      <c r="AI617" s="28"/>
      <c r="AJ617" s="28"/>
      <c r="AK617" s="28"/>
      <c r="AL617" s="390"/>
      <c r="AM617" s="28"/>
      <c r="AN617" s="28"/>
      <c r="AO617" s="517"/>
      <c r="AP617" s="684"/>
      <c r="AQ617" s="517"/>
      <c r="AR617" s="517"/>
      <c r="AS617" s="517"/>
      <c r="AT617" s="684"/>
      <c r="AU617" s="517"/>
      <c r="AV617" s="517"/>
      <c r="AW617" s="517"/>
      <c r="AX617" s="684"/>
      <c r="AY617" s="517"/>
      <c r="AZ617" s="517"/>
      <c r="BA617" s="517">
        <f>BA409/AVERAGE(AZ498,BA498)/Model!BA750</f>
        <v>2251.9164612790246</v>
      </c>
      <c r="BB617" s="684">
        <f>BB409/AVERAGE(BA498,BB498)/Model!BB750</f>
        <v>706.98362087054682</v>
      </c>
      <c r="BC617" s="517">
        <f>BC409/AVERAGE(BB498,BC498)/Model!BC750</f>
        <v>337.67741437430834</v>
      </c>
      <c r="BD617" s="517">
        <f>BD409/AVERAGE(BC498,BD498)/Model!BD750</f>
        <v>147.41459294235403</v>
      </c>
      <c r="BE617" s="517">
        <f>BE409/AVERAGE(BD498,BE498)/Model!BE750</f>
        <v>109.7409922702069</v>
      </c>
      <c r="BF617" s="684">
        <f>BF409/AVERAGE(BE498,BF498)/Model!BF750</f>
        <v>83.921027159269229</v>
      </c>
      <c r="BG617" s="517">
        <f>BG409/AVERAGE(BF498,BG498)/Model!BG750</f>
        <v>54.317405020349582</v>
      </c>
      <c r="BH617" s="517">
        <f>BH409/AVERAGE(BG498,BH498)/Model!BH750</f>
        <v>28.99235576915838</v>
      </c>
      <c r="BI617" s="517">
        <f>BI409/AVERAGE(BH498,BI498)/Model!BI750</f>
        <v>64.88244095371175</v>
      </c>
      <c r="BJ617" s="684">
        <f>BJ409/AVERAGE(BI498,BJ498)/Model!BJ750</f>
        <v>36.829994106544781</v>
      </c>
      <c r="BK617" s="517">
        <f>BK409/AVERAGE(BJ498,BK498)/Model!BK750</f>
        <v>45.635614561785893</v>
      </c>
      <c r="BL617" s="517" t="e">
        <f>BL409/AVERAGE(BK498,BL498)/Model!BL750</f>
        <v>#DIV/0!</v>
      </c>
      <c r="BM617" s="517" t="e">
        <f>BM409/AVERAGE(BL498,BM498)/Model!BM750</f>
        <v>#DIV/0!</v>
      </c>
      <c r="BN617" s="684" t="e">
        <f>BN409/AVERAGE(BM498,BN498)/Model!BN750</f>
        <v>#DIV/0!</v>
      </c>
      <c r="BO617" s="517" t="e">
        <f>BO409/AVERAGE(BN498,BO498)/Model!BO750</f>
        <v>#DIV/0!</v>
      </c>
      <c r="BP617" s="517" t="e">
        <f>BP409/AVERAGE(BO498,BP498)/Model!BP750</f>
        <v>#DIV/0!</v>
      </c>
      <c r="BQ617" s="517" t="e">
        <f>BQ409/AVERAGE(BP498,BQ498)/Model!BQ750</f>
        <v>#DIV/0!</v>
      </c>
      <c r="BR617" s="28"/>
      <c r="BS617" s="28"/>
      <c r="BT617" s="28"/>
      <c r="BU617" s="28"/>
      <c r="BV617" s="28"/>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c r="CS617"/>
      <c r="CT617"/>
      <c r="CU617"/>
      <c r="CV617"/>
      <c r="CW617"/>
    </row>
    <row r="618" spans="8:101" s="583" customFormat="1" outlineLevel="1">
      <c r="I618" s="597"/>
      <c r="J618" s="191" t="s">
        <v>285</v>
      </c>
      <c r="K618" s="28"/>
      <c r="L618" s="28"/>
      <c r="M618" s="28"/>
      <c r="N618" s="650"/>
      <c r="O618" s="650"/>
      <c r="P618" s="650">
        <f t="shared" ref="P618:AD618" si="662">-P410/AVERAGE(O500:P500)</f>
        <v>7.228478061302213</v>
      </c>
      <c r="Q618" s="650">
        <f t="shared" si="662"/>
        <v>10.082822874242959</v>
      </c>
      <c r="R618" s="650">
        <f t="shared" si="662"/>
        <v>11.220123835007303</v>
      </c>
      <c r="S618" s="650">
        <f t="shared" si="662"/>
        <v>10.941595622715791</v>
      </c>
      <c r="T618" s="517">
        <f t="shared" si="662"/>
        <v>9.5940206754665223</v>
      </c>
      <c r="U618" s="517">
        <f t="shared" si="662"/>
        <v>9.0167559007500415</v>
      </c>
      <c r="V618" s="517">
        <f t="shared" si="662"/>
        <v>8.8236140975550637</v>
      </c>
      <c r="W618" s="517">
        <f t="shared" si="662"/>
        <v>9.3259892468473495</v>
      </c>
      <c r="X618" s="517">
        <f t="shared" si="662"/>
        <v>10.087005516016438</v>
      </c>
      <c r="Y618" s="517">
        <f t="shared" si="662"/>
        <v>9.9181303404674193</v>
      </c>
      <c r="Z618" s="517">
        <f t="shared" si="662"/>
        <v>9.6377162069284488</v>
      </c>
      <c r="AA618" s="517">
        <f t="shared" si="662"/>
        <v>9.4579847955805167</v>
      </c>
      <c r="AB618" s="517">
        <f t="shared" si="662"/>
        <v>9.457983117136445</v>
      </c>
      <c r="AC618" s="517">
        <f t="shared" si="662"/>
        <v>9.4649907019824404</v>
      </c>
      <c r="AD618" s="517">
        <f t="shared" si="662"/>
        <v>9.4582380471793517</v>
      </c>
      <c r="AE618" s="83"/>
      <c r="AF618" s="1575"/>
      <c r="AG618" s="83"/>
      <c r="AH618" s="28"/>
      <c r="AI618" s="28"/>
      <c r="AJ618" s="28"/>
      <c r="AK618" s="28"/>
      <c r="AL618" s="390"/>
      <c r="AM618" s="28"/>
      <c r="AN618" s="28"/>
      <c r="AO618" s="517"/>
      <c r="AP618" s="684"/>
      <c r="AQ618" s="517"/>
      <c r="AR618" s="517"/>
      <c r="AS618" s="517"/>
      <c r="AT618" s="684"/>
      <c r="AU618" s="517"/>
      <c r="AV618" s="517"/>
      <c r="AW618" s="517"/>
      <c r="AX618" s="684"/>
      <c r="AY618" s="517">
        <f>-AY410/AVERAGE(AX500,AY500)/Model!AY750</f>
        <v>9.4450368343555429</v>
      </c>
      <c r="AZ618" s="517">
        <f>-AZ410/AVERAGE(AY500,AZ500)/Model!AZ750</f>
        <v>9.3134672983040154</v>
      </c>
      <c r="BA618" s="517">
        <f>-BA410/AVERAGE(AZ500,BA500)/Model!BA750</f>
        <v>10.413180190068305</v>
      </c>
      <c r="BB618" s="684">
        <f>-BB410/AVERAGE(BA500,BB500)/Model!BB750</f>
        <v>10.233938820495386</v>
      </c>
      <c r="BC618" s="517">
        <f>-BC410/AVERAGE(BB500,BC500)/Model!BC750</f>
        <v>10.441238962336968</v>
      </c>
      <c r="BD618" s="517">
        <f>-BD410/AVERAGE(BC500,BD500)/Model!BD750</f>
        <v>8.7539319110159877</v>
      </c>
      <c r="BE618" s="517">
        <f>-BE410/AVERAGE(BD500,BE500)/Model!BE750</f>
        <v>9.9625702434939249</v>
      </c>
      <c r="BF618" s="684">
        <f>-BF410/AVERAGE(BE500,BF500)/Model!BF750</f>
        <v>9.1417012665471606</v>
      </c>
      <c r="BG618" s="517">
        <f>-BG410/AVERAGE(BF500,BG500)/Model!BG750</f>
        <v>10.103392794771722</v>
      </c>
      <c r="BH618" s="517">
        <f>-BH410/AVERAGE(BG500,BH500)/Model!BH750</f>
        <v>8.8490791262572994</v>
      </c>
      <c r="BI618" s="517">
        <f>-BI410/AVERAGE(BH500,BT500)/Model!BI750</f>
        <v>12.134947668544115</v>
      </c>
      <c r="BJ618" s="684">
        <f>-BJ410/AVERAGE(BI500,BJ500)/Model!BJ750</f>
        <v>9.2370457042521537</v>
      </c>
      <c r="BK618" s="517">
        <f>-BK410/AVERAGE(BJ500,BK500)/Model!BK750</f>
        <v>11.109014022269045</v>
      </c>
      <c r="BL618" s="517">
        <f>-BL410/AVERAGE(BK500,BL500)/Model!BL750</f>
        <v>8.3918183649178779</v>
      </c>
      <c r="BM618" s="517">
        <f>-BM410/AVERAGE(BL500,BX500)/Model!BM750</f>
        <v>10.554127536633578</v>
      </c>
      <c r="BN618" s="684">
        <f>-BN410/AVERAGE(BM500,BN500)/Model!BN750</f>
        <v>8.5083713977639608</v>
      </c>
      <c r="BO618" s="517">
        <f>-BO410/AVERAGE(BN500,BO500)/Model!BO750</f>
        <v>8.508371397763959</v>
      </c>
      <c r="BP618" s="517">
        <f>-BP410/AVERAGE(BO500,BP500)/Model!BP750</f>
        <v>8.508371397763959</v>
      </c>
      <c r="BQ618" s="517">
        <f>-BQ410/AVERAGE(BP500,CB500)/Model!BQ750</f>
        <v>20.92391093258432</v>
      </c>
      <c r="BR618" s="28"/>
      <c r="BS618" s="28"/>
      <c r="BT618" s="28"/>
      <c r="BU618" s="28"/>
      <c r="BV618" s="28"/>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c r="CS618"/>
      <c r="CT618"/>
      <c r="CU618"/>
      <c r="CV618"/>
      <c r="CW618"/>
    </row>
    <row r="619" spans="8:101" s="583" customFormat="1" outlineLevel="1">
      <c r="I619" s="597"/>
      <c r="J619" s="191" t="s">
        <v>286</v>
      </c>
      <c r="K619" s="28"/>
      <c r="L619" s="28"/>
      <c r="M619" s="28"/>
      <c r="N619" s="650"/>
      <c r="O619" s="650"/>
      <c r="P619" s="650">
        <f t="shared" ref="P619:AD619" si="663">-P410/AVERAGE(O521:P521)</f>
        <v>5.4939419999609465</v>
      </c>
      <c r="Q619" s="650">
        <f t="shared" si="663"/>
        <v>6.4602162440613347</v>
      </c>
      <c r="R619" s="650">
        <f t="shared" si="663"/>
        <v>6.5387370682967196</v>
      </c>
      <c r="S619" s="650">
        <f t="shared" si="663"/>
        <v>7.4230524155980291</v>
      </c>
      <c r="T619" s="517">
        <f t="shared" si="663"/>
        <v>6.7993832883831828</v>
      </c>
      <c r="U619" s="517">
        <f t="shared" si="663"/>
        <v>5.877897982637319</v>
      </c>
      <c r="V619" s="517">
        <f t="shared" si="663"/>
        <v>5.175833433632187</v>
      </c>
      <c r="W619" s="517">
        <f t="shared" si="663"/>
        <v>5.2611466587280429</v>
      </c>
      <c r="X619" s="517">
        <f t="shared" si="663"/>
        <v>5.7214970295923484</v>
      </c>
      <c r="Y619" s="517">
        <f t="shared" si="663"/>
        <v>5.6257085605822521</v>
      </c>
      <c r="Z619" s="517">
        <f t="shared" si="663"/>
        <v>5.4666535635812661</v>
      </c>
      <c r="AA619" s="517">
        <f t="shared" si="663"/>
        <v>5.3647072788767689</v>
      </c>
      <c r="AB619" s="517">
        <f t="shared" si="663"/>
        <v>5.364706326838748</v>
      </c>
      <c r="AC619" s="517">
        <f t="shared" si="663"/>
        <v>5.3686811314343554</v>
      </c>
      <c r="AD619" s="517">
        <f t="shared" si="663"/>
        <v>5.3648509268868922</v>
      </c>
      <c r="AE619" s="83"/>
      <c r="AF619" s="1575"/>
      <c r="AG619" s="83"/>
      <c r="AH619" s="28"/>
      <c r="AI619" s="28"/>
      <c r="AJ619" s="28"/>
      <c r="AK619" s="28"/>
      <c r="AL619" s="390"/>
      <c r="AM619" s="28"/>
      <c r="AN619" s="28"/>
      <c r="AO619" s="517"/>
      <c r="AP619" s="684"/>
      <c r="AQ619" s="517"/>
      <c r="AR619" s="517"/>
      <c r="AS619" s="517"/>
      <c r="AT619" s="684"/>
      <c r="AU619" s="517"/>
      <c r="AV619" s="517"/>
      <c r="AW619" s="517"/>
      <c r="AX619" s="684"/>
      <c r="AY619" s="517">
        <f>-AY410/AVERAGE(AX521,AY521)/Model!AY750</f>
        <v>6.5607542737637754</v>
      </c>
      <c r="AZ619" s="517">
        <f>-AZ410/AVERAGE(AY521,AZ521)/Model!AZ750</f>
        <v>6.2580095480279248</v>
      </c>
      <c r="BA619" s="517">
        <f>-BA410/AVERAGE(AZ521,BA521)/Model!BA750</f>
        <v>7.259876858599366</v>
      </c>
      <c r="BB619" s="684">
        <f>-BB410/AVERAGE(BA521,BB521)/Model!BB750</f>
        <v>7.2632855198764252</v>
      </c>
      <c r="BC619" s="517">
        <f>-BC410/AVERAGE(BB521,BC521)/Model!BC750</f>
        <v>7.1783327945437811</v>
      </c>
      <c r="BD619" s="517">
        <f>-BD410/AVERAGE(BC521,BD521)/Model!BD750</f>
        <v>5.9882765172081669</v>
      </c>
      <c r="BE619" s="517">
        <f>-BE410/AVERAGE(BD521,BE521)/Model!BE750</f>
        <v>6.7970480548908272</v>
      </c>
      <c r="BF619" s="684">
        <f>-BF410/AVERAGE(BE521,BF521)/Model!BF750</f>
        <v>6.1690448746847117</v>
      </c>
      <c r="BG619" s="517">
        <f>-BG410/AVERAGE(BF521,BG521)/Model!BG750</f>
        <v>6.4288951991957388</v>
      </c>
      <c r="BH619" s="517">
        <f>-BH410/AVERAGE(BG521,BH521)/Model!BH750</f>
        <v>5.1288602870334614</v>
      </c>
      <c r="BI619" s="517">
        <f>-BI410/AVERAGE(BH521,BI521)/Model!BI750</f>
        <v>6.2685044267721342</v>
      </c>
      <c r="BJ619" s="684">
        <f>-BJ410/AVERAGE(BI521,BJ521)/Model!BJ750</f>
        <v>5.7377030808219196</v>
      </c>
      <c r="BK619" s="517">
        <f>-BK410/AVERAGE(BJ521,BK521)/Model!BK750</f>
        <v>5.7939619853347679</v>
      </c>
      <c r="BL619" s="517">
        <f>-BL410/AVERAGE(BK521,BL521)/Model!BL750</f>
        <v>4.1910952598839977</v>
      </c>
      <c r="BM619" s="517">
        <f>-BM410/AVERAGE(BL521,BM521)/Model!BM750</f>
        <v>5.3999937858506923</v>
      </c>
      <c r="BN619" s="684">
        <f>-BN410/AVERAGE(BM521,BN521)/Model!BN750</f>
        <v>4.2493049162712753</v>
      </c>
      <c r="BO619" s="517">
        <f>-BO410/AVERAGE(BN521,BO521)/Model!BO750</f>
        <v>4.2493049162712753</v>
      </c>
      <c r="BP619" s="517">
        <f>-BP410/AVERAGE(BO521,BP521)/Model!BP750</f>
        <v>4.2493049162712744</v>
      </c>
      <c r="BQ619" s="517">
        <f>-BQ410/AVERAGE(BP521,BQ521)/Model!BQ750</f>
        <v>7.308637782475917</v>
      </c>
      <c r="BR619" s="28"/>
      <c r="BS619" s="28"/>
      <c r="BT619" s="28"/>
      <c r="BU619" s="28"/>
      <c r="BV619" s="28"/>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c r="CS619"/>
      <c r="CT619"/>
      <c r="CU619"/>
      <c r="CV619"/>
      <c r="CW619"/>
    </row>
    <row r="620" spans="8:101" s="583" customFormat="1" outlineLevel="1">
      <c r="I620" s="597"/>
      <c r="J620" s="191" t="s">
        <v>389</v>
      </c>
      <c r="K620" s="28"/>
      <c r="L620" s="28"/>
      <c r="M620" s="28"/>
      <c r="N620" s="179"/>
      <c r="O620" s="179"/>
      <c r="P620" s="179">
        <f t="shared" ref="P620:V620" si="664">P502/P407</f>
        <v>8.0618973247380994E-3</v>
      </c>
      <c r="Q620" s="179">
        <f t="shared" si="664"/>
        <v>2.7213641227839627E-3</v>
      </c>
      <c r="R620" s="179">
        <f t="shared" si="664"/>
        <v>1.1485944074726192E-2</v>
      </c>
      <c r="S620" s="179">
        <f t="shared" si="664"/>
        <v>8.5677988742411254E-3</v>
      </c>
      <c r="T620" s="179">
        <f t="shared" si="664"/>
        <v>5.5280912944711755E-3</v>
      </c>
      <c r="U620" s="179">
        <f t="shared" si="664"/>
        <v>1.0805794542129204E-3</v>
      </c>
      <c r="V620" s="179">
        <f t="shared" si="664"/>
        <v>1.1891048039533922E-3</v>
      </c>
      <c r="W620" s="1164">
        <v>1E-3</v>
      </c>
      <c r="X620" s="1164">
        <f t="shared" ref="X620:AD620" si="665">W620</f>
        <v>1E-3</v>
      </c>
      <c r="Y620" s="1164">
        <f t="shared" si="665"/>
        <v>1E-3</v>
      </c>
      <c r="Z620" s="1164">
        <f t="shared" si="665"/>
        <v>1E-3</v>
      </c>
      <c r="AA620" s="1164">
        <f t="shared" si="665"/>
        <v>1E-3</v>
      </c>
      <c r="AB620" s="1164">
        <f t="shared" si="665"/>
        <v>1E-3</v>
      </c>
      <c r="AC620" s="1164">
        <f t="shared" si="665"/>
        <v>1E-3</v>
      </c>
      <c r="AD620" s="1164">
        <f t="shared" si="665"/>
        <v>1E-3</v>
      </c>
      <c r="AE620" s="83"/>
      <c r="AF620" s="1576"/>
      <c r="AG620" s="83"/>
      <c r="AH620" s="28"/>
      <c r="AI620" s="28"/>
      <c r="AJ620" s="28"/>
      <c r="AK620" s="28"/>
      <c r="AL620" s="390"/>
      <c r="AM620" s="28"/>
      <c r="AN620" s="28"/>
      <c r="AO620" s="28"/>
      <c r="AP620" s="690"/>
      <c r="AQ620" s="179"/>
      <c r="AR620" s="179"/>
      <c r="AS620" s="179"/>
      <c r="AT620" s="690"/>
      <c r="AU620" s="179"/>
      <c r="AV620" s="179"/>
      <c r="AW620" s="179"/>
      <c r="AX620" s="690"/>
      <c r="AY620" s="179">
        <f t="shared" ref="AY620:BM620" si="666">AY502/AY407</f>
        <v>2.6245837867759497E-2</v>
      </c>
      <c r="AZ620" s="179">
        <f t="shared" si="666"/>
        <v>2.1608162850713236E-2</v>
      </c>
      <c r="BA620" s="179">
        <f t="shared" si="666"/>
        <v>2.8721678900112745E-2</v>
      </c>
      <c r="BB620" s="690">
        <f t="shared" si="666"/>
        <v>2.8269636820290628E-2</v>
      </c>
      <c r="BC620" s="179">
        <f t="shared" si="666"/>
        <v>3.2069660804900042E-2</v>
      </c>
      <c r="BD620" s="179">
        <f t="shared" si="666"/>
        <v>5.0872865484779047E-2</v>
      </c>
      <c r="BE620" s="179">
        <f t="shared" si="666"/>
        <v>1.8575247948247657E-2</v>
      </c>
      <c r="BF620" s="690">
        <f t="shared" si="666"/>
        <v>1.8117155685121063E-2</v>
      </c>
      <c r="BG620" s="179">
        <f t="shared" si="666"/>
        <v>2.2464949753402803E-2</v>
      </c>
      <c r="BH620" s="179">
        <f t="shared" si="666"/>
        <v>3.1133178292885495E-2</v>
      </c>
      <c r="BI620" s="179">
        <f t="shared" si="666"/>
        <v>3.5253232827175537E-3</v>
      </c>
      <c r="BJ620" s="690">
        <f t="shared" si="666"/>
        <v>2.2328177223751189E-2</v>
      </c>
      <c r="BK620" s="179">
        <f t="shared" si="666"/>
        <v>7.1839986251612427E-3</v>
      </c>
      <c r="BL620" s="179">
        <f t="shared" si="666"/>
        <v>8.839832717868033E-3</v>
      </c>
      <c r="BM620" s="179">
        <f t="shared" si="666"/>
        <v>3.9399607867188248E-3</v>
      </c>
      <c r="BN620" s="1166">
        <v>6.5000000000000002E-2</v>
      </c>
      <c r="BO620" s="1167">
        <f t="shared" ref="BO620:BP622" si="667">BN620</f>
        <v>6.5000000000000002E-2</v>
      </c>
      <c r="BP620" s="1167">
        <f t="shared" si="667"/>
        <v>6.5000000000000002E-2</v>
      </c>
      <c r="BQ620" s="179">
        <f>BQ502/BQ407</f>
        <v>3.3172819689673617E-3</v>
      </c>
      <c r="BR620" s="28"/>
      <c r="BS620" s="28"/>
      <c r="BT620" s="28"/>
      <c r="BU620" s="28"/>
      <c r="BV620" s="28"/>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c r="CS620"/>
      <c r="CT620"/>
      <c r="CU620"/>
      <c r="CV620"/>
      <c r="CW620"/>
    </row>
    <row r="621" spans="8:101" s="583" customFormat="1" outlineLevel="1">
      <c r="H621" s="563"/>
      <c r="I621" s="588"/>
      <c r="J621" s="191" t="s">
        <v>387</v>
      </c>
      <c r="K621" s="1569"/>
      <c r="L621" s="1569"/>
      <c r="M621" s="1569"/>
      <c r="N621" s="203"/>
      <c r="O621" s="203"/>
      <c r="P621" s="203">
        <f t="shared" ref="P621:V621" si="668">P522/P405</f>
        <v>8.7545871559633025E-3</v>
      </c>
      <c r="Q621" s="203">
        <f t="shared" si="668"/>
        <v>1.223574351978172E-2</v>
      </c>
      <c r="R621" s="203">
        <f t="shared" si="668"/>
        <v>1.6374845530966978E-2</v>
      </c>
      <c r="S621" s="203">
        <f t="shared" si="668"/>
        <v>1.7934896233666411E-2</v>
      </c>
      <c r="T621" s="203">
        <f t="shared" si="668"/>
        <v>1.5504398098119732E-2</v>
      </c>
      <c r="U621" s="203">
        <f t="shared" si="668"/>
        <v>1.7420744454573079E-2</v>
      </c>
      <c r="V621" s="203">
        <f t="shared" si="668"/>
        <v>1.5015559332509271E-2</v>
      </c>
      <c r="W621" s="926">
        <f>0.01%+V621</f>
        <v>1.5115559332509271E-2</v>
      </c>
      <c r="X621" s="926">
        <f>0.01%+W621</f>
        <v>1.521555933250927E-2</v>
      </c>
      <c r="Y621" s="926">
        <f>0.01%+X621</f>
        <v>1.531555933250927E-2</v>
      </c>
      <c r="Z621" s="926">
        <f>0.01%+Y621</f>
        <v>1.5415559332509269E-2</v>
      </c>
      <c r="AA621" s="926">
        <f t="shared" ref="AA621:AD622" si="669">Z621</f>
        <v>1.5415559332509269E-2</v>
      </c>
      <c r="AB621" s="926">
        <f t="shared" si="669"/>
        <v>1.5415559332509269E-2</v>
      </c>
      <c r="AC621" s="926">
        <f t="shared" si="669"/>
        <v>1.5415559332509269E-2</v>
      </c>
      <c r="AD621" s="926">
        <f t="shared" si="669"/>
        <v>1.5415559332509269E-2</v>
      </c>
      <c r="AE621" s="28"/>
      <c r="AF621" s="610"/>
      <c r="AG621" s="28"/>
      <c r="AH621" s="1571"/>
      <c r="AI621" s="1571"/>
      <c r="AJ621" s="1571"/>
      <c r="AK621" s="1571"/>
      <c r="AL621" s="1798"/>
      <c r="AM621" s="1572"/>
      <c r="AN621" s="1572"/>
      <c r="AO621" s="203"/>
      <c r="AP621" s="1644"/>
      <c r="AQ621" s="203"/>
      <c r="AR621" s="203"/>
      <c r="AS621" s="203"/>
      <c r="AT621" s="1644"/>
      <c r="AU621" s="203"/>
      <c r="AV621" s="203"/>
      <c r="AW621" s="203"/>
      <c r="AX621" s="1644"/>
      <c r="AY621" s="203">
        <f t="shared" ref="AY621:BL621" si="670">AY522/AY405</f>
        <v>5.2369952380952378E-2</v>
      </c>
      <c r="AZ621" s="203">
        <f t="shared" si="670"/>
        <v>5.5781842496285289E-2</v>
      </c>
      <c r="BA621" s="203">
        <f t="shared" si="670"/>
        <v>5.4389976689976686E-2</v>
      </c>
      <c r="BB621" s="1644">
        <f t="shared" si="670"/>
        <v>6.0209612756264241E-2</v>
      </c>
      <c r="BC621" s="203">
        <f t="shared" si="670"/>
        <v>6.1012113537117899E-2</v>
      </c>
      <c r="BD621" s="203">
        <f t="shared" si="670"/>
        <v>6.2301269565217386E-2</v>
      </c>
      <c r="BE621" s="203">
        <f t="shared" si="670"/>
        <v>4.9338961485557088E-2</v>
      </c>
      <c r="BF621" s="1644">
        <f t="shared" si="670"/>
        <v>6.0805197215777262E-2</v>
      </c>
      <c r="BG621" s="203">
        <f t="shared" si="670"/>
        <v>5.9689401496259356E-2</v>
      </c>
      <c r="BH621" s="203">
        <f t="shared" si="670"/>
        <v>6.2855031486146101E-2</v>
      </c>
      <c r="BI621" s="203">
        <f t="shared" si="670"/>
        <v>5.4679704339532668E-2</v>
      </c>
      <c r="BJ621" s="1644">
        <f t="shared" si="670"/>
        <v>6.7163780554046718E-2</v>
      </c>
      <c r="BK621" s="203">
        <f t="shared" si="670"/>
        <v>6.3143424190800684E-2</v>
      </c>
      <c r="BL621" s="203">
        <f t="shared" si="670"/>
        <v>7.1684520539480476E-2</v>
      </c>
      <c r="BM621" s="203">
        <f>BM522/BM409*Model!BM750</f>
        <v>3.0874725982313094E-2</v>
      </c>
      <c r="BN621" s="1166">
        <f>BM621</f>
        <v>3.0874725982313094E-2</v>
      </c>
      <c r="BO621" s="1167">
        <f t="shared" si="667"/>
        <v>3.0874725982313094E-2</v>
      </c>
      <c r="BP621" s="1167">
        <f t="shared" si="667"/>
        <v>3.0874725982313094E-2</v>
      </c>
      <c r="BQ621" s="203">
        <f>BQ522/BQ409*Model!BQ750</f>
        <v>3.1640129479686314E-2</v>
      </c>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c r="CS621"/>
      <c r="CT621"/>
      <c r="CU621"/>
      <c r="CV621"/>
      <c r="CW621"/>
    </row>
    <row r="622" spans="8:101" s="583" customFormat="1" outlineLevel="1">
      <c r="H622" s="563"/>
      <c r="I622" s="588"/>
      <c r="J622" s="191" t="s">
        <v>43</v>
      </c>
      <c r="K622" s="28"/>
      <c r="L622" s="28"/>
      <c r="M622" s="28"/>
      <c r="N622" s="258"/>
      <c r="O622" s="258"/>
      <c r="P622" s="258">
        <f>P523/(-SUM(P412:P415)/Model!P$750)</f>
        <v>0.22356807511737092</v>
      </c>
      <c r="Q622" s="258">
        <f>Q523/(-SUM(Q412:Q415)/Model!Q$750)</f>
        <v>0.24675708502024291</v>
      </c>
      <c r="R622" s="258">
        <f>R523/(-SUM(R412:R415)/Model!R$750)</f>
        <v>0.30577906506803176</v>
      </c>
      <c r="S622" s="258">
        <f>S523/(-SUM(S412:S415)/Model!S$750)</f>
        <v>0.27704751473426176</v>
      </c>
      <c r="T622" s="258">
        <f>T523/(-SUM(T412:T415)/Model!T$750)</f>
        <v>0.25646937973417178</v>
      </c>
      <c r="U622" s="258">
        <f>U523/(-SUM(U412:U415)/Model!U$750)</f>
        <v>0.28717460118174787</v>
      </c>
      <c r="V622" s="258">
        <f>V523/(-SUM(V412:V415)/Model!V$750)</f>
        <v>0.29269551238123059</v>
      </c>
      <c r="W622" s="1164">
        <f>V622</f>
        <v>0.29269551238123059</v>
      </c>
      <c r="X622" s="1164">
        <f>W622</f>
        <v>0.29269551238123059</v>
      </c>
      <c r="Y622" s="1164">
        <f>X622</f>
        <v>0.29269551238123059</v>
      </c>
      <c r="Z622" s="1164">
        <f>Y622</f>
        <v>0.29269551238123059</v>
      </c>
      <c r="AA622" s="1164">
        <f t="shared" si="669"/>
        <v>0.29269551238123059</v>
      </c>
      <c r="AB622" s="1164">
        <f t="shared" si="669"/>
        <v>0.29269551238123059</v>
      </c>
      <c r="AC622" s="1164">
        <f t="shared" si="669"/>
        <v>0.29269551238123059</v>
      </c>
      <c r="AD622" s="1164">
        <f t="shared" si="669"/>
        <v>0.29269551238123059</v>
      </c>
      <c r="AE622" s="28"/>
      <c r="AF622" s="610"/>
      <c r="AG622" s="28"/>
      <c r="AH622" s="28"/>
      <c r="AI622" s="28"/>
      <c r="AJ622" s="28"/>
      <c r="AK622" s="28"/>
      <c r="AL622" s="1617"/>
      <c r="AM622" s="258"/>
      <c r="AN622" s="258"/>
      <c r="AO622" s="258"/>
      <c r="AP622" s="1617"/>
      <c r="AQ622" s="258"/>
      <c r="AR622" s="258"/>
      <c r="AS622" s="258"/>
      <c r="AT622" s="1617"/>
      <c r="AU622" s="258"/>
      <c r="AV622" s="258"/>
      <c r="AW622" s="258"/>
      <c r="AX622" s="1617"/>
      <c r="AY622" s="258">
        <f>AY523/(-SUM(AY412:AY415)/Model!AY$750)</f>
        <v>0.19937479299670771</v>
      </c>
      <c r="AZ622" s="258">
        <f>AZ523/(-SUM(AZ412:AZ415)/Model!AZ$750)</f>
        <v>0.21859231262040718</v>
      </c>
      <c r="BA622" s="258">
        <f>BA523/(-SUM(BA412:BA415)/Model!BA$750)</f>
        <v>0.25703938556353023</v>
      </c>
      <c r="BB622" s="1617">
        <f>BB523/(-SUM(BB412:BB415)/Model!BB$750)</f>
        <v>0.25948059065099482</v>
      </c>
      <c r="BC622" s="258">
        <f>BC523/(-SUM(BC412:BC415)/Model!BC$750)</f>
        <v>0.21472783482306079</v>
      </c>
      <c r="BD622" s="258">
        <f>BD523/(-SUM(BD412:BD415)/Model!BD$750)</f>
        <v>0.21458107429407058</v>
      </c>
      <c r="BE622" s="258">
        <f>BE523/(-SUM(BE412:BE415)/Model!BE$750)</f>
        <v>0.1928470718836458</v>
      </c>
      <c r="BF622" s="1617">
        <f>BF523/(-SUM(BF412:BF415)/Model!BF$750)</f>
        <v>0.26370760687981631</v>
      </c>
      <c r="BG622" s="258">
        <f>BG523/(-SUM(BG412:BG415)/Model!BG$750)</f>
        <v>0.34535148380947839</v>
      </c>
      <c r="BH622" s="258">
        <f>BH523/(-SUM(BH412:BH415)/Model!BH$750)</f>
        <v>0.58756168812831644</v>
      </c>
      <c r="BI622" s="258">
        <f>BI523/(-SUM(BI412:BI415)/Model!BI$750)</f>
        <v>0.23509498270341908</v>
      </c>
      <c r="BJ622" s="1617">
        <f>BJ523/(-SUM(BJ412:BJ415)/Model!BJ$750)</f>
        <v>0.80095958059410399</v>
      </c>
      <c r="BK622" s="258">
        <f>BK523/(-SUM(BK412:BK415)/Model!BK$750)</f>
        <v>0.2355569423582595</v>
      </c>
      <c r="BL622" s="258">
        <f>BL523/(-SUM(BL412:BL415)/Model!BL$750)</f>
        <v>0.26515128084405232</v>
      </c>
      <c r="BM622" s="258">
        <f>BM523/(-SUM(BM412:BM415)/Model!BM$750)</f>
        <v>0.23686624057241079</v>
      </c>
      <c r="BN622" s="1166">
        <f>BM622</f>
        <v>0.23686624057241079</v>
      </c>
      <c r="BO622" s="1167">
        <f t="shared" si="667"/>
        <v>0.23686624057241079</v>
      </c>
      <c r="BP622" s="1167">
        <f t="shared" si="667"/>
        <v>0.23686624057241079</v>
      </c>
      <c r="BQ622" s="258">
        <f>BQ523/(-SUM(BQ412:BQ415)/Model!BQ$750)</f>
        <v>0.24755283493337515</v>
      </c>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c r="CS622"/>
      <c r="CT622"/>
      <c r="CU622"/>
      <c r="CV622"/>
      <c r="CW622"/>
    </row>
    <row r="623" spans="8:101" s="583" customFormat="1" outlineLevel="1">
      <c r="I623" s="597"/>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1709"/>
      <c r="AM623" s="83"/>
      <c r="AN623" s="83"/>
      <c r="AO623" s="83"/>
      <c r="AP623" s="1709"/>
      <c r="AQ623" s="83"/>
      <c r="AR623" s="83"/>
      <c r="AS623" s="83"/>
      <c r="AT623" s="1709"/>
      <c r="AU623" s="83"/>
      <c r="AV623" s="83"/>
      <c r="AW623" s="83"/>
      <c r="AX623" s="1709"/>
      <c r="AY623" s="83"/>
      <c r="AZ623" s="538"/>
      <c r="BA623" s="538"/>
      <c r="BB623" s="1709"/>
      <c r="BC623" s="538"/>
      <c r="BD623" s="538"/>
      <c r="BE623" s="538"/>
      <c r="BF623" s="685"/>
      <c r="BG623" s="296"/>
      <c r="BH623" s="296"/>
      <c r="BI623" s="538"/>
      <c r="BJ623" s="685"/>
      <c r="BK623" s="538"/>
      <c r="BL623" s="538"/>
      <c r="BM623" s="538"/>
      <c r="BN623" s="685"/>
      <c r="BO623" s="538"/>
      <c r="BP623" s="538"/>
      <c r="BQ623" s="538"/>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c r="CS623"/>
      <c r="CT623"/>
      <c r="CU623"/>
      <c r="CV623"/>
      <c r="CW623"/>
    </row>
    <row r="624" spans="8:101" s="583" customFormat="1" outlineLevel="1">
      <c r="I624" s="597"/>
      <c r="J624" s="251" t="s">
        <v>475</v>
      </c>
      <c r="K624" s="13"/>
      <c r="L624" s="13"/>
      <c r="M624" s="251"/>
      <c r="N624" s="282"/>
      <c r="O624" s="282"/>
      <c r="P624" s="282"/>
      <c r="Q624" s="282"/>
      <c r="R624" s="282"/>
      <c r="S624" s="282"/>
      <c r="T624" s="283"/>
      <c r="U624" s="283"/>
      <c r="V624" s="283"/>
      <c r="W624" s="283"/>
      <c r="X624" s="283"/>
      <c r="Y624" s="283"/>
      <c r="Z624" s="283"/>
      <c r="AA624" s="283"/>
      <c r="AB624" s="283"/>
      <c r="AC624" s="283"/>
      <c r="AD624" s="283"/>
      <c r="AE624" s="83"/>
      <c r="AF624" s="83"/>
      <c r="AG624" s="83"/>
      <c r="AH624" s="282"/>
      <c r="AI624" s="282"/>
      <c r="AJ624" s="282"/>
      <c r="AK624" s="282"/>
      <c r="AL624" s="1524"/>
      <c r="AM624" s="282"/>
      <c r="AN624" s="282"/>
      <c r="AO624" s="282"/>
      <c r="AP624" s="1524"/>
      <c r="AQ624" s="282"/>
      <c r="AR624" s="282"/>
      <c r="AS624" s="282"/>
      <c r="AT624" s="1524"/>
      <c r="AU624" s="282"/>
      <c r="AV624" s="282"/>
      <c r="AW624" s="282"/>
      <c r="AX624" s="130"/>
      <c r="AY624" s="13"/>
      <c r="AZ624" s="13"/>
      <c r="BA624" s="13"/>
      <c r="BB624" s="130"/>
      <c r="BC624" s="282"/>
      <c r="BD624" s="282"/>
      <c r="BE624" s="282"/>
      <c r="BF624" s="1524"/>
      <c r="BG624" s="282"/>
      <c r="BH624" s="282"/>
      <c r="BI624" s="282"/>
      <c r="BJ624" s="1524"/>
      <c r="BK624" s="282"/>
      <c r="BL624" s="282"/>
      <c r="BM624" s="282"/>
      <c r="BN624" s="1524"/>
      <c r="BO624" s="282"/>
      <c r="BP624" s="282"/>
      <c r="BQ624" s="282"/>
      <c r="BR624" s="28"/>
      <c r="BS624" s="28"/>
      <c r="BT624" s="28"/>
      <c r="BU624" s="28"/>
      <c r="BV624" s="28"/>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c r="CS624"/>
      <c r="CT624"/>
      <c r="CU624"/>
      <c r="CV624"/>
      <c r="CW624"/>
    </row>
    <row r="625" spans="1:101" s="583" customFormat="1" outlineLevel="1">
      <c r="I625" s="597"/>
      <c r="J625" s="191" t="s">
        <v>204</v>
      </c>
      <c r="K625" s="28"/>
      <c r="L625" s="28"/>
      <c r="M625" s="28"/>
      <c r="N625" s="179"/>
      <c r="O625" s="179"/>
      <c r="P625" s="179">
        <f t="shared" ref="P625:AD625" si="671">P433/AVERAGE(P556+O556)</f>
        <v>-1.0577349714790336</v>
      </c>
      <c r="Q625" s="179">
        <f t="shared" si="671"/>
        <v>-0.74571969932006199</v>
      </c>
      <c r="R625" s="179">
        <f t="shared" si="671"/>
        <v>-0.66608830448758694</v>
      </c>
      <c r="S625" s="179">
        <f t="shared" si="671"/>
        <v>-0.32740453645569101</v>
      </c>
      <c r="T625" s="179">
        <f t="shared" si="671"/>
        <v>-0.13784168932659585</v>
      </c>
      <c r="U625" s="179">
        <f t="shared" si="671"/>
        <v>-5.8709332060070528E-2</v>
      </c>
      <c r="V625" s="179">
        <f t="shared" si="671"/>
        <v>-1.7591478559636571E-3</v>
      </c>
      <c r="W625" s="179">
        <f t="shared" si="671"/>
        <v>2.0162490351816643E-2</v>
      </c>
      <c r="X625" s="179">
        <f t="shared" ca="1" si="671"/>
        <v>5.6232779913056634E-2</v>
      </c>
      <c r="Y625" s="179">
        <f t="shared" ca="1" si="671"/>
        <v>8.2783601627860942E-2</v>
      </c>
      <c r="Z625" s="179">
        <f t="shared" ca="1" si="671"/>
        <v>0.10112001971871841</v>
      </c>
      <c r="AA625" s="179">
        <f t="shared" ca="1" si="671"/>
        <v>0.10641620531203584</v>
      </c>
      <c r="AB625" s="179">
        <f t="shared" ca="1" si="671"/>
        <v>0.10644837647681779</v>
      </c>
      <c r="AC625" s="179">
        <f t="shared" ca="1" si="671"/>
        <v>0.10482883912793257</v>
      </c>
      <c r="AD625" s="179">
        <f t="shared" ca="1" si="671"/>
        <v>9.8804150485634235E-2</v>
      </c>
      <c r="AE625" s="83"/>
      <c r="AF625" s="83"/>
      <c r="AG625" s="83"/>
      <c r="AH625" s="28"/>
      <c r="AI625" s="28"/>
      <c r="AJ625" s="28"/>
      <c r="AK625" s="28"/>
      <c r="AL625" s="390"/>
      <c r="AM625" s="28"/>
      <c r="AN625" s="28"/>
      <c r="AO625" s="93"/>
      <c r="AP625" s="674"/>
      <c r="AQ625" s="93"/>
      <c r="AR625" s="93"/>
      <c r="AS625" s="93"/>
      <c r="AT625" s="674"/>
      <c r="AU625" s="93"/>
      <c r="AV625" s="93"/>
      <c r="AW625" s="93"/>
      <c r="AX625" s="674"/>
      <c r="AY625" s="93">
        <f t="shared" ref="AY625:BQ625" si="672">AY433/AVERAGE(AY556+AX556)</f>
        <v>-0.18623426117673808</v>
      </c>
      <c r="AZ625" s="93">
        <f t="shared" si="672"/>
        <v>-2.1714010660261033E-3</v>
      </c>
      <c r="BA625" s="93">
        <f t="shared" si="672"/>
        <v>-6.0291249031527855E-3</v>
      </c>
      <c r="BB625" s="674">
        <f t="shared" si="672"/>
        <v>-9.5286419470806058E-3</v>
      </c>
      <c r="BC625" s="93">
        <f t="shared" si="672"/>
        <v>-6.9211224828316098E-3</v>
      </c>
      <c r="BD625" s="93">
        <f t="shared" si="672"/>
        <v>-7.2243439002302222E-3</v>
      </c>
      <c r="BE625" s="93">
        <f t="shared" si="672"/>
        <v>-0.11308650752717435</v>
      </c>
      <c r="BF625" s="674">
        <f t="shared" si="672"/>
        <v>-1.5647290849574402E-2</v>
      </c>
      <c r="BG625" s="453">
        <f t="shared" si="672"/>
        <v>-3.0817077304303104E-3</v>
      </c>
      <c r="BH625" s="453">
        <f t="shared" si="672"/>
        <v>-1.2334450102137722E-2</v>
      </c>
      <c r="BI625" s="93">
        <f t="shared" si="672"/>
        <v>-2.4771986462592484E-2</v>
      </c>
      <c r="BJ625" s="674">
        <f t="shared" si="672"/>
        <v>3.4246380729999956E-3</v>
      </c>
      <c r="BK625" s="93">
        <f t="shared" si="672"/>
        <v>-5.7456949773659885E-3</v>
      </c>
      <c r="BL625" s="93">
        <f t="shared" si="672"/>
        <v>9.8974470736045012E-3</v>
      </c>
      <c r="BM625" s="93">
        <f t="shared" si="672"/>
        <v>-8.7246529699000833E-3</v>
      </c>
      <c r="BN625" s="674">
        <f t="shared" si="672"/>
        <v>-3.0936268543027313E-3</v>
      </c>
      <c r="BO625" s="93">
        <f t="shared" si="672"/>
        <v>8.1994919417677464E-4</v>
      </c>
      <c r="BP625" s="93">
        <f t="shared" si="672"/>
        <v>3.034284430127745E-3</v>
      </c>
      <c r="BQ625" s="93">
        <f t="shared" si="672"/>
        <v>1.8078673343796335E-2</v>
      </c>
      <c r="BR625" s="28"/>
      <c r="BS625" s="28"/>
      <c r="BT625" s="28"/>
      <c r="BU625" s="28"/>
      <c r="BV625" s="28"/>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c r="CS625"/>
      <c r="CT625"/>
      <c r="CU625"/>
      <c r="CV625"/>
      <c r="CW625"/>
    </row>
    <row r="626" spans="1:101" s="42" customFormat="1" outlineLevel="1">
      <c r="I626" s="587"/>
      <c r="J626" s="59" t="s">
        <v>220</v>
      </c>
      <c r="K626" s="11"/>
      <c r="L626" s="11"/>
      <c r="M626" s="11"/>
      <c r="N626" s="198"/>
      <c r="O626" s="198"/>
      <c r="P626" s="198">
        <f t="shared" ref="P626:AD626" si="673">P433/P556</f>
        <v>-1.0577349714790336</v>
      </c>
      <c r="Q626" s="198">
        <f t="shared" si="673"/>
        <v>-1.992597892303599</v>
      </c>
      <c r="R626" s="198">
        <f t="shared" si="673"/>
        <v>-1.2026362587191792</v>
      </c>
      <c r="S626" s="651">
        <f t="shared" si="673"/>
        <v>-0.34544820670356158</v>
      </c>
      <c r="T626" s="651">
        <f t="shared" si="673"/>
        <v>-0.30632468761131604</v>
      </c>
      <c r="U626" s="651">
        <f t="shared" si="673"/>
        <v>-0.11143065238503644</v>
      </c>
      <c r="V626" s="651">
        <f t="shared" si="673"/>
        <v>-2.9062945116249414E-3</v>
      </c>
      <c r="W626" s="198">
        <f t="shared" si="673"/>
        <v>3.7319891177246836E-2</v>
      </c>
      <c r="X626" s="198">
        <f t="shared" ca="1" si="673"/>
        <v>0.10384786938182541</v>
      </c>
      <c r="Y626" s="198">
        <f t="shared" ca="1" si="673"/>
        <v>0.146522511202269</v>
      </c>
      <c r="Z626" s="198">
        <f t="shared" ca="1" si="673"/>
        <v>0.17760728724042177</v>
      </c>
      <c r="AA626" s="198">
        <f t="shared" ca="1" si="673"/>
        <v>0.18750743746128465</v>
      </c>
      <c r="AB626" s="198">
        <f t="shared" ca="1" si="673"/>
        <v>0.1884056211986416</v>
      </c>
      <c r="AC626" s="198">
        <f t="shared" ca="1" si="673"/>
        <v>0.18654771798272704</v>
      </c>
      <c r="AD626" s="198">
        <f t="shared" ca="1" si="673"/>
        <v>0.17731144455412717</v>
      </c>
      <c r="AE626" s="2"/>
      <c r="AF626" s="2"/>
      <c r="AG626" s="2"/>
      <c r="AH626" s="11"/>
      <c r="AI626" s="11"/>
      <c r="AJ626" s="11"/>
      <c r="AK626" s="11"/>
      <c r="AL626" s="390"/>
      <c r="AM626" s="11"/>
      <c r="AN626" s="11"/>
      <c r="AO626" s="27"/>
      <c r="AP626" s="674"/>
      <c r="AQ626" s="27"/>
      <c r="AR626" s="27"/>
      <c r="AS626" s="27"/>
      <c r="AT626" s="674"/>
      <c r="AU626" s="27"/>
      <c r="AV626" s="27"/>
      <c r="AW626" s="27"/>
      <c r="AX626" s="674"/>
      <c r="AY626" s="93">
        <f t="shared" ref="AY626:BQ626" si="674">AY433/AY556</f>
        <v>-0.18623426117673808</v>
      </c>
      <c r="AZ626" s="93">
        <f t="shared" si="674"/>
        <v>-4.3416076358279926E-3</v>
      </c>
      <c r="BA626" s="93">
        <f t="shared" si="674"/>
        <v>-1.2115877866451004E-2</v>
      </c>
      <c r="BB626" s="674">
        <f t="shared" si="674"/>
        <v>-1.9176122019548127E-2</v>
      </c>
      <c r="BC626" s="93">
        <f t="shared" si="674"/>
        <v>-1.390330504688385E-2</v>
      </c>
      <c r="BD626" s="93">
        <f t="shared" si="674"/>
        <v>-1.4438956047825505E-2</v>
      </c>
      <c r="BE626" s="93">
        <f t="shared" si="674"/>
        <v>-0.24859738667353698</v>
      </c>
      <c r="BF626" s="674">
        <f t="shared" si="674"/>
        <v>-3.1676438510644341E-2</v>
      </c>
      <c r="BG626" s="453">
        <f t="shared" si="674"/>
        <v>-5.4287569099714566E-3</v>
      </c>
      <c r="BH626" s="453">
        <f t="shared" si="674"/>
        <v>-2.6037197037072659E-2</v>
      </c>
      <c r="BI626" s="93">
        <f t="shared" si="674"/>
        <v>-5.0437225814566319E-2</v>
      </c>
      <c r="BJ626" s="674">
        <f t="shared" si="674"/>
        <v>6.6859537534176439E-3</v>
      </c>
      <c r="BK626" s="27">
        <f t="shared" si="674"/>
        <v>-9.8148663550361153E-3</v>
      </c>
      <c r="BL626" s="27">
        <f t="shared" si="674"/>
        <v>1.9571242959647232E-2</v>
      </c>
      <c r="BM626" s="93">
        <f t="shared" si="674"/>
        <v>-1.7355516512787182E-2</v>
      </c>
      <c r="BN626" s="674">
        <f t="shared" si="674"/>
        <v>-6.0574754504544729E-3</v>
      </c>
      <c r="BO626" s="27">
        <f t="shared" si="674"/>
        <v>1.6068862243591925E-3</v>
      </c>
      <c r="BP626" s="27">
        <f t="shared" si="674"/>
        <v>5.9511329480030576E-3</v>
      </c>
      <c r="BQ626" s="93">
        <f t="shared" si="674"/>
        <v>3.5483719187114918E-2</v>
      </c>
      <c r="BR626" s="28"/>
      <c r="BS626" s="11"/>
      <c r="BT626" s="11"/>
      <c r="BU626" s="11"/>
      <c r="BV626" s="11"/>
      <c r="BW626" s="2"/>
      <c r="BX626" s="2"/>
      <c r="BY626" s="2"/>
      <c r="BZ626" s="2"/>
      <c r="CA626" s="2"/>
      <c r="CB626" s="2"/>
      <c r="CC626" s="2"/>
      <c r="CD626" s="2"/>
      <c r="CE626" s="2"/>
      <c r="CF626" s="2"/>
      <c r="CG626" s="2"/>
      <c r="CH626" s="2"/>
      <c r="CI626" s="2"/>
      <c r="CJ626" s="2"/>
      <c r="CK626" s="2"/>
      <c r="CL626" s="2"/>
      <c r="CM626" s="2"/>
      <c r="CN626" s="2"/>
      <c r="CO626" s="2"/>
      <c r="CP626" s="2"/>
      <c r="CQ626" s="2"/>
      <c r="CR626"/>
      <c r="CS626"/>
      <c r="CT626"/>
      <c r="CU626"/>
      <c r="CV626"/>
      <c r="CW626"/>
    </row>
    <row r="627" spans="1:101" s="42" customFormat="1" outlineLevel="1">
      <c r="I627" s="587"/>
      <c r="J627" s="59" t="s">
        <v>126</v>
      </c>
      <c r="K627" s="11"/>
      <c r="L627" s="11"/>
      <c r="M627" s="11"/>
      <c r="N627" s="198"/>
      <c r="O627" s="198"/>
      <c r="P627" s="198">
        <f t="shared" ref="P627:AD627" si="675">P433/AVERAGE(P518+O518)</f>
        <v>-0.27829649562258851</v>
      </c>
      <c r="Q627" s="198">
        <f t="shared" si="675"/>
        <v>-0.11652897663212848</v>
      </c>
      <c r="R627" s="198">
        <f t="shared" si="675"/>
        <v>-5.6618680219226107E-2</v>
      </c>
      <c r="S627" s="651">
        <f t="shared" si="675"/>
        <v>-0.14003483390330412</v>
      </c>
      <c r="T627" s="651">
        <f t="shared" si="675"/>
        <v>-6.1964966602353885E-2</v>
      </c>
      <c r="U627" s="651">
        <f t="shared" si="675"/>
        <v>-1.5503766606984277E-2</v>
      </c>
      <c r="V627" s="651">
        <f t="shared" si="675"/>
        <v>-4.4205693510542844E-4</v>
      </c>
      <c r="W627" s="198">
        <f t="shared" ca="1" si="675"/>
        <v>5.9587162248224603E-3</v>
      </c>
      <c r="X627" s="198">
        <f t="shared" ca="1" si="675"/>
        <v>1.7130603338496246E-2</v>
      </c>
      <c r="Y627" s="198">
        <f t="shared" ca="1" si="675"/>
        <v>2.6387744153263802E-2</v>
      </c>
      <c r="Z627" s="198">
        <f t="shared" ca="1" si="675"/>
        <v>3.5689335476528979E-2</v>
      </c>
      <c r="AA627" s="198">
        <f t="shared" ca="1" si="675"/>
        <v>4.237643009059474E-2</v>
      </c>
      <c r="AB627" s="198">
        <f t="shared" ca="1" si="675"/>
        <v>4.7663742159827827E-2</v>
      </c>
      <c r="AC627" s="198">
        <f t="shared" ca="1" si="675"/>
        <v>5.193540778227887E-2</v>
      </c>
      <c r="AD627" s="198">
        <f t="shared" ca="1" si="675"/>
        <v>5.322124828399085E-2</v>
      </c>
      <c r="AE627" s="2"/>
      <c r="AF627" s="2"/>
      <c r="AG627" s="2"/>
      <c r="AH627" s="11"/>
      <c r="AI627" s="11"/>
      <c r="AJ627" s="11"/>
      <c r="AK627" s="11"/>
      <c r="AL627" s="390"/>
      <c r="AM627" s="11"/>
      <c r="AN627" s="11"/>
      <c r="AO627" s="27"/>
      <c r="AP627" s="674"/>
      <c r="AQ627" s="27"/>
      <c r="AR627" s="27"/>
      <c r="AS627" s="27"/>
      <c r="AT627" s="674"/>
      <c r="AU627" s="27"/>
      <c r="AV627" s="27"/>
      <c r="AW627" s="27"/>
      <c r="AX627" s="674"/>
      <c r="AY627" s="93">
        <f t="shared" ref="AY627:BQ627" si="676">AY433/AVERAGE(AY518+AX518)</f>
        <v>-0.11031133447843984</v>
      </c>
      <c r="AZ627" s="93">
        <f t="shared" si="676"/>
        <v>-1.2659935790791128E-3</v>
      </c>
      <c r="BA627" s="93">
        <f t="shared" si="676"/>
        <v>-3.4303461176964957E-3</v>
      </c>
      <c r="BB627" s="674">
        <f t="shared" si="676"/>
        <v>-5.1829174846200121E-3</v>
      </c>
      <c r="BC627" s="93">
        <f t="shared" si="676"/>
        <v>-3.3629079245123942E-3</v>
      </c>
      <c r="BD627" s="93">
        <f t="shared" si="676"/>
        <v>-3.2303518922618389E-3</v>
      </c>
      <c r="BE627" s="93">
        <f t="shared" si="676"/>
        <v>-4.5331796742718491E-2</v>
      </c>
      <c r="BF627" s="674">
        <f t="shared" si="676"/>
        <v>-5.1653537080011353E-3</v>
      </c>
      <c r="BG627" s="453">
        <f t="shared" si="676"/>
        <v>-9.0943311094600018E-4</v>
      </c>
      <c r="BH627" s="453">
        <f t="shared" si="676"/>
        <v>-3.2861246594504154E-3</v>
      </c>
      <c r="BI627" s="93">
        <f t="shared" si="676"/>
        <v>-5.6572303761896195E-3</v>
      </c>
      <c r="BJ627" s="674">
        <f t="shared" si="676"/>
        <v>7.2438501470716867E-4</v>
      </c>
      <c r="BK627" s="27">
        <f t="shared" si="676"/>
        <v>-1.4147786512749552E-3</v>
      </c>
      <c r="BL627" s="27">
        <f t="shared" si="676"/>
        <v>2.8088851093323553E-3</v>
      </c>
      <c r="BM627" s="93">
        <f t="shared" si="676"/>
        <v>-2.4945722867407297E-3</v>
      </c>
      <c r="BN627" s="674">
        <f t="shared" si="676"/>
        <v>-8.8534448227279574E-4</v>
      </c>
      <c r="BO627" s="27">
        <f t="shared" si="676"/>
        <v>2.2290965799372694E-4</v>
      </c>
      <c r="BP627" s="27">
        <f t="shared" si="676"/>
        <v>9.1135061505545492E-4</v>
      </c>
      <c r="BQ627" s="93">
        <f t="shared" ca="1" si="676"/>
        <v>5.9375383030763219E-3</v>
      </c>
      <c r="BR627" s="28"/>
      <c r="BS627" s="11"/>
      <c r="BT627" s="11"/>
      <c r="BU627" s="11"/>
      <c r="BV627" s="11"/>
      <c r="BW627" s="2"/>
      <c r="BX627" s="2"/>
      <c r="BY627" s="2"/>
      <c r="BZ627" s="2"/>
      <c r="CA627" s="2"/>
      <c r="CB627" s="2"/>
      <c r="CC627" s="2"/>
      <c r="CD627" s="2"/>
      <c r="CE627" s="2"/>
      <c r="CF627" s="2"/>
      <c r="CG627" s="2"/>
      <c r="CH627" s="2"/>
      <c r="CI627" s="2"/>
      <c r="CJ627" s="2"/>
      <c r="CK627" s="2"/>
      <c r="CL627" s="2"/>
      <c r="CM627" s="2"/>
      <c r="CN627" s="2"/>
      <c r="CO627" s="2"/>
      <c r="CP627" s="2"/>
      <c r="CQ627" s="2"/>
      <c r="CR627"/>
      <c r="CS627"/>
      <c r="CT627"/>
      <c r="CU627"/>
      <c r="CV627"/>
      <c r="CW627"/>
    </row>
    <row r="628" spans="1:101" s="42" customFormat="1" outlineLevel="1">
      <c r="I628" s="587"/>
      <c r="J628" s="59" t="s">
        <v>127</v>
      </c>
      <c r="K628" s="11"/>
      <c r="L628" s="11"/>
      <c r="M628" s="11"/>
      <c r="N628" s="198"/>
      <c r="O628" s="198"/>
      <c r="P628" s="198">
        <f t="shared" ref="P628:AD628" si="677">P433/P518</f>
        <v>-0.27829649562258851</v>
      </c>
      <c r="Q628" s="198">
        <f t="shared" si="677"/>
        <v>-0.18545174916725618</v>
      </c>
      <c r="R628" s="198">
        <f t="shared" si="677"/>
        <v>-9.5553401154918005E-2</v>
      </c>
      <c r="S628" s="651">
        <f t="shared" si="677"/>
        <v>-0.19481158155607314</v>
      </c>
      <c r="T628" s="651">
        <f t="shared" si="677"/>
        <v>-0.11034388549284166</v>
      </c>
      <c r="U628" s="651">
        <f t="shared" si="677"/>
        <v>-2.37370237148503E-2</v>
      </c>
      <c r="V628" s="651">
        <f t="shared" si="677"/>
        <v>-8.2723657670855295E-4</v>
      </c>
      <c r="W628" s="198">
        <f t="shared" ca="1" si="677"/>
        <v>1.1400791760207503E-2</v>
      </c>
      <c r="X628" s="198">
        <f t="shared" ca="1" si="677"/>
        <v>3.1561487359931431E-2</v>
      </c>
      <c r="Y628" s="198">
        <f t="shared" ca="1" si="677"/>
        <v>4.8528760422079827E-2</v>
      </c>
      <c r="Z628" s="198">
        <f t="shared" ca="1" si="677"/>
        <v>6.5959166337746983E-2</v>
      </c>
      <c r="AA628" s="198">
        <f t="shared" ca="1" si="677"/>
        <v>7.9019507754496565E-2</v>
      </c>
      <c r="AB628" s="198">
        <f t="shared" ca="1" si="677"/>
        <v>8.8626706477695605E-2</v>
      </c>
      <c r="AC628" s="198">
        <f t="shared" ca="1" si="677"/>
        <v>9.6420377929683929E-2</v>
      </c>
      <c r="AD628" s="198">
        <f t="shared" ca="1" si="677"/>
        <v>9.8819242770725443E-2</v>
      </c>
      <c r="AE628" s="2"/>
      <c r="AF628" s="2"/>
      <c r="AG628" s="2"/>
      <c r="AH628" s="11"/>
      <c r="AI628" s="11"/>
      <c r="AJ628" s="11"/>
      <c r="AK628" s="11"/>
      <c r="AL628" s="390"/>
      <c r="AM628" s="11"/>
      <c r="AN628" s="11"/>
      <c r="AO628" s="27"/>
      <c r="AP628" s="674"/>
      <c r="AQ628" s="27"/>
      <c r="AR628" s="27"/>
      <c r="AS628" s="27"/>
      <c r="AT628" s="674"/>
      <c r="AU628" s="27"/>
      <c r="AV628" s="27"/>
      <c r="AW628" s="27"/>
      <c r="AX628" s="674"/>
      <c r="AY628" s="93">
        <f t="shared" ref="AY628:BQ628" si="678">AY433/AY518</f>
        <v>-0.11031133447843984</v>
      </c>
      <c r="AZ628" s="93">
        <f t="shared" si="678"/>
        <v>-2.4922039209868381E-3</v>
      </c>
      <c r="BA628" s="93">
        <f t="shared" si="678"/>
        <v>-6.8326113243626979E-3</v>
      </c>
      <c r="BB628" s="674">
        <f t="shared" si="678"/>
        <v>-1.0068783767591068E-2</v>
      </c>
      <c r="BC628" s="93">
        <f t="shared" si="678"/>
        <v>-6.2825713559613782E-3</v>
      </c>
      <c r="BD628" s="93">
        <f t="shared" si="678"/>
        <v>-6.3895881403527172E-3</v>
      </c>
      <c r="BE628" s="93">
        <f t="shared" si="678"/>
        <v>-8.954943130059069E-2</v>
      </c>
      <c r="BF628" s="674">
        <f t="shared" si="678"/>
        <v>-9.632069658747331E-3</v>
      </c>
      <c r="BG628" s="453">
        <f t="shared" si="678"/>
        <v>-1.5668614903544265E-3</v>
      </c>
      <c r="BH628" s="453">
        <f t="shared" si="678"/>
        <v>-6.3906119338747163E-3</v>
      </c>
      <c r="BI628" s="93">
        <f t="shared" si="678"/>
        <v>-1.0744286347824573E-2</v>
      </c>
      <c r="BJ628" s="674">
        <f t="shared" si="678"/>
        <v>1.4047954208116942E-3</v>
      </c>
      <c r="BK628" s="27">
        <f t="shared" si="678"/>
        <v>-2.7517780329598292E-3</v>
      </c>
      <c r="BL628" s="27">
        <f t="shared" si="678"/>
        <v>5.621528946689618E-3</v>
      </c>
      <c r="BM628" s="93">
        <f t="shared" si="678"/>
        <v>-4.9400079756609407E-3</v>
      </c>
      <c r="BN628" s="674">
        <f t="shared" si="678"/>
        <v>-1.7426233948933509E-3</v>
      </c>
      <c r="BO628" s="27">
        <f t="shared" si="678"/>
        <v>4.149403014717751E-4</v>
      </c>
      <c r="BP628" s="27">
        <f t="shared" si="678"/>
        <v>2.1198605661712144E-3</v>
      </c>
      <c r="BQ628" s="93">
        <f t="shared" ca="1" si="678"/>
        <v>1.0839862619337374E-2</v>
      </c>
      <c r="BR628" s="28"/>
      <c r="BS628" s="11"/>
      <c r="BT628" s="11"/>
      <c r="BU628" s="11"/>
      <c r="BV628" s="11"/>
      <c r="BW628" s="2"/>
      <c r="BX628" s="2"/>
      <c r="BY628" s="2"/>
      <c r="BZ628" s="2"/>
      <c r="CA628" s="2"/>
      <c r="CB628" s="2"/>
      <c r="CC628" s="2"/>
      <c r="CD628" s="2"/>
      <c r="CE628" s="2"/>
      <c r="CF628" s="2"/>
      <c r="CG628" s="2"/>
      <c r="CH628" s="2"/>
      <c r="CI628" s="2"/>
      <c r="CJ628" s="2"/>
      <c r="CK628" s="2"/>
      <c r="CL628" s="2"/>
      <c r="CM628" s="2"/>
      <c r="CN628" s="2"/>
      <c r="CO628" s="2"/>
      <c r="CP628" s="2"/>
      <c r="CQ628" s="2"/>
      <c r="CR628"/>
      <c r="CS628"/>
      <c r="CT628"/>
      <c r="CU628"/>
      <c r="CV628"/>
      <c r="CW628"/>
    </row>
    <row r="629" spans="1:101" s="42" customFormat="1">
      <c r="I629" s="587"/>
      <c r="J629" s="255"/>
      <c r="K629" s="11"/>
      <c r="L629" s="11"/>
      <c r="M629" s="11"/>
      <c r="N629" s="196"/>
      <c r="O629" s="196"/>
      <c r="P629" s="196"/>
      <c r="Q629" s="196"/>
      <c r="R629" s="196"/>
      <c r="S629" s="78"/>
      <c r="T629" s="78"/>
      <c r="U629" s="78"/>
      <c r="V629" s="78"/>
      <c r="W629" s="196"/>
      <c r="X629" s="196"/>
      <c r="Y629" s="196"/>
      <c r="Z629" s="196"/>
      <c r="AA629" s="196"/>
      <c r="AB629" s="196"/>
      <c r="AC629" s="196"/>
      <c r="AD629" s="196"/>
      <c r="AE629" s="2"/>
      <c r="AF629" s="2"/>
      <c r="AG629" s="2"/>
      <c r="AH629" s="11"/>
      <c r="AI629" s="11"/>
      <c r="AJ629" s="11"/>
      <c r="AK629" s="11"/>
      <c r="AL629" s="390"/>
      <c r="AM629" s="11"/>
      <c r="AN629" s="11"/>
      <c r="AO629" s="196"/>
      <c r="AP629" s="1750"/>
      <c r="AQ629" s="196"/>
      <c r="AR629" s="196"/>
      <c r="AS629" s="196"/>
      <c r="AT629" s="1750"/>
      <c r="AU629" s="196"/>
      <c r="AV629" s="196"/>
      <c r="AW629" s="196"/>
      <c r="AX629" s="689"/>
      <c r="AY629" s="541"/>
      <c r="AZ629" s="541"/>
      <c r="BA629" s="541"/>
      <c r="BB629" s="689"/>
      <c r="BC629" s="541"/>
      <c r="BD629" s="541"/>
      <c r="BE629" s="541"/>
      <c r="BF629" s="689"/>
      <c r="BG629" s="804"/>
      <c r="BH629" s="804"/>
      <c r="BI629" s="541"/>
      <c r="BJ629" s="689"/>
      <c r="BK629" s="199"/>
      <c r="BL629" s="199"/>
      <c r="BM629" s="541"/>
      <c r="BN629" s="689"/>
      <c r="BO629" s="199"/>
      <c r="BP629" s="199"/>
      <c r="BQ629" s="541"/>
      <c r="BR629" s="28"/>
      <c r="BS629" s="11"/>
      <c r="BT629" s="11"/>
      <c r="BU629" s="11"/>
      <c r="BV629" s="11"/>
      <c r="BW629" s="2"/>
      <c r="BX629" s="2"/>
      <c r="BY629" s="2"/>
      <c r="BZ629" s="2"/>
      <c r="CA629" s="2"/>
      <c r="CB629" s="2"/>
      <c r="CC629" s="2"/>
      <c r="CD629" s="2"/>
      <c r="CE629" s="2"/>
      <c r="CF629" s="2"/>
      <c r="CG629" s="2"/>
      <c r="CH629" s="2"/>
      <c r="CI629" s="2"/>
      <c r="CJ629" s="2"/>
      <c r="CK629" s="2"/>
      <c r="CL629" s="2"/>
      <c r="CM629" s="2"/>
      <c r="CN629" s="2"/>
      <c r="CO629" s="2"/>
      <c r="CP629" s="2"/>
      <c r="CQ629" s="2"/>
      <c r="CR629"/>
      <c r="CS629"/>
      <c r="CT629"/>
      <c r="CU629"/>
      <c r="CV629"/>
      <c r="CW629"/>
    </row>
    <row r="630" spans="1:101" s="42" customFormat="1">
      <c r="I630" s="587"/>
      <c r="J630" s="2"/>
      <c r="K630" s="2"/>
      <c r="L630" s="2"/>
      <c r="M630" s="2"/>
      <c r="N630" s="2"/>
      <c r="O630" s="2"/>
      <c r="P630" s="2"/>
      <c r="Q630" s="2"/>
      <c r="R630" s="2"/>
      <c r="S630" s="652"/>
      <c r="T630" s="652"/>
      <c r="U630" s="652"/>
      <c r="V630" s="652"/>
      <c r="W630" s="54"/>
      <c r="X630" s="54"/>
      <c r="Y630" s="54"/>
      <c r="Z630" s="54"/>
      <c r="AA630" s="54"/>
      <c r="AB630" s="54"/>
      <c r="AC630" s="54"/>
      <c r="AD630" s="54"/>
      <c r="AE630" s="2"/>
      <c r="AF630" s="2"/>
      <c r="AG630" s="2"/>
      <c r="AH630" s="2"/>
      <c r="AI630" s="2"/>
      <c r="AJ630" s="2"/>
      <c r="AK630" s="2"/>
      <c r="AL630" s="1709"/>
      <c r="AM630" s="2"/>
      <c r="AN630" s="2"/>
      <c r="AO630" s="62"/>
      <c r="AP630" s="691"/>
      <c r="AQ630" s="62"/>
      <c r="AR630" s="62"/>
      <c r="AS630" s="62"/>
      <c r="AT630" s="691"/>
      <c r="AU630" s="62"/>
      <c r="AV630" s="62"/>
      <c r="AW630" s="62"/>
      <c r="AX630" s="691"/>
      <c r="AY630" s="542"/>
      <c r="AZ630" s="542"/>
      <c r="BA630" s="542"/>
      <c r="BB630" s="691"/>
      <c r="BC630" s="542"/>
      <c r="BD630" s="542"/>
      <c r="BE630" s="542"/>
      <c r="BF630" s="691"/>
      <c r="BG630" s="805"/>
      <c r="BH630" s="805"/>
      <c r="BI630" s="542"/>
      <c r="BJ630" s="691"/>
      <c r="BK630" s="62"/>
      <c r="BL630" s="62"/>
      <c r="BM630" s="542"/>
      <c r="BN630" s="691"/>
      <c r="BO630" s="62"/>
      <c r="BP630" s="62"/>
      <c r="BQ630" s="542"/>
      <c r="BR630" s="83"/>
      <c r="BS630" s="2"/>
      <c r="BT630" s="2"/>
      <c r="BU630" s="2"/>
      <c r="BV630" s="2"/>
      <c r="BW630" s="2"/>
      <c r="BX630" s="2"/>
      <c r="BY630" s="2"/>
      <c r="BZ630" s="2"/>
      <c r="CA630" s="2"/>
      <c r="CB630" s="2"/>
      <c r="CC630" s="2"/>
      <c r="CD630" s="2"/>
      <c r="CE630" s="2"/>
      <c r="CF630" s="2"/>
      <c r="CG630" s="2"/>
      <c r="CH630" s="2"/>
      <c r="CI630" s="2"/>
      <c r="CJ630" s="2"/>
      <c r="CK630" s="2"/>
      <c r="CL630" s="2"/>
      <c r="CM630" s="2"/>
      <c r="CN630" s="2"/>
      <c r="CO630" s="2"/>
      <c r="CP630" s="2"/>
      <c r="CQ630" s="2"/>
      <c r="CR630"/>
      <c r="CS630"/>
      <c r="CT630"/>
      <c r="CU630"/>
      <c r="CV630"/>
      <c r="CW630"/>
    </row>
    <row r="631" spans="1:101" s="477" customFormat="1">
      <c r="A631" s="583"/>
      <c r="B631" s="583"/>
      <c r="C631" s="583"/>
      <c r="D631" s="583"/>
      <c r="E631" s="583"/>
      <c r="F631" s="583"/>
      <c r="G631" s="583"/>
      <c r="H631" s="563"/>
      <c r="I631" s="1020"/>
      <c r="J631" s="1515" t="s">
        <v>490</v>
      </c>
      <c r="K631" s="1415"/>
      <c r="L631" s="1415"/>
      <c r="M631" s="1415"/>
      <c r="N631" s="1415"/>
      <c r="O631" s="1415"/>
      <c r="P631" s="1415"/>
      <c r="Q631" s="1415"/>
      <c r="R631" s="1415"/>
      <c r="S631" s="1317"/>
      <c r="T631" s="1317"/>
      <c r="U631" s="1317"/>
      <c r="V631" s="1317"/>
      <c r="W631" s="1317"/>
      <c r="X631" s="1317"/>
      <c r="Y631" s="1317"/>
      <c r="Z631" s="1317"/>
      <c r="AA631" s="1317"/>
      <c r="AB631" s="1317"/>
      <c r="AC631" s="1317"/>
      <c r="AD631" s="1317"/>
      <c r="AE631" s="1317"/>
      <c r="AF631" s="1317"/>
      <c r="AG631" s="1317"/>
      <c r="AH631" s="1317"/>
      <c r="AI631" s="1317"/>
      <c r="AJ631" s="1317"/>
      <c r="AK631" s="1317"/>
      <c r="AL631" s="1710"/>
      <c r="AM631" s="1317"/>
      <c r="AN631" s="1317"/>
      <c r="AO631" s="1317"/>
      <c r="AP631" s="1710"/>
      <c r="AQ631" s="1317"/>
      <c r="AR631" s="1317"/>
      <c r="AS631" s="1317"/>
      <c r="AT631" s="1710"/>
      <c r="AU631" s="1317"/>
      <c r="AV631" s="1317"/>
      <c r="AW631" s="1317"/>
      <c r="AX631" s="1710"/>
      <c r="AY631" s="1317"/>
      <c r="AZ631" s="1317"/>
      <c r="BA631" s="1317"/>
      <c r="BB631" s="1710"/>
      <c r="BC631" s="1317"/>
      <c r="BD631" s="1317"/>
      <c r="BE631" s="1317"/>
      <c r="BF631" s="1620"/>
      <c r="BG631" s="1387"/>
      <c r="BH631" s="1387"/>
      <c r="BI631" s="1352"/>
      <c r="BJ631" s="1620"/>
      <c r="BK631" s="1352"/>
      <c r="BL631" s="1352"/>
      <c r="BM631" s="1352"/>
      <c r="BN631" s="1620"/>
      <c r="BO631" s="1352"/>
      <c r="BP631" s="1352"/>
      <c r="BQ631" s="1352"/>
      <c r="CR631"/>
      <c r="CS631"/>
      <c r="CT631"/>
      <c r="CU631"/>
      <c r="CV631"/>
      <c r="CW631"/>
    </row>
    <row r="632" spans="1:101" s="474" customFormat="1" outlineLevel="1">
      <c r="A632" s="42"/>
      <c r="B632" s="42"/>
      <c r="C632" s="42"/>
      <c r="D632" s="42"/>
      <c r="E632" s="42"/>
      <c r="F632" s="42"/>
      <c r="G632" s="42"/>
      <c r="H632" s="42"/>
      <c r="I632" s="1098"/>
      <c r="J632" s="478" t="s">
        <v>72</v>
      </c>
      <c r="K632" s="480"/>
      <c r="L632" s="480"/>
      <c r="M632" s="480"/>
      <c r="N632" s="480"/>
      <c r="O632" s="480"/>
      <c r="P632" s="480"/>
      <c r="Q632" s="480"/>
      <c r="R632" s="480"/>
      <c r="S632" s="480"/>
      <c r="T632" s="480"/>
      <c r="U632" s="480"/>
      <c r="V632" s="480"/>
      <c r="W632" s="480"/>
      <c r="X632" s="480"/>
      <c r="Y632" s="480"/>
      <c r="Z632" s="480"/>
      <c r="AA632" s="480"/>
      <c r="AB632" s="480"/>
      <c r="AC632" s="480"/>
      <c r="AD632" s="480"/>
      <c r="AF632" s="920"/>
      <c r="AH632" s="480"/>
      <c r="AI632" s="480"/>
      <c r="AJ632" s="480"/>
      <c r="AK632" s="480"/>
      <c r="AL632" s="1799"/>
      <c r="AM632" s="1577"/>
      <c r="AN632" s="1577"/>
      <c r="AO632" s="1577"/>
      <c r="AP632" s="1110"/>
      <c r="AQ632" s="912"/>
      <c r="AR632" s="912"/>
      <c r="AS632" s="912"/>
      <c r="AT632" s="1110"/>
      <c r="AU632" s="912"/>
      <c r="AV632" s="912"/>
      <c r="AW632" s="912"/>
      <c r="AX632" s="1110"/>
      <c r="AY632" s="912"/>
      <c r="AZ632" s="912"/>
      <c r="BA632" s="912"/>
      <c r="BB632" s="1110"/>
      <c r="BC632" s="912"/>
      <c r="BD632" s="912"/>
      <c r="BE632" s="912"/>
      <c r="BF632" s="1110"/>
      <c r="BG632" s="635"/>
      <c r="BH632" s="635"/>
      <c r="BI632" s="912"/>
      <c r="BJ632" s="1110"/>
      <c r="BK632" s="912"/>
      <c r="BL632" s="912"/>
      <c r="BM632" s="912"/>
      <c r="BN632" s="1110"/>
      <c r="BO632" s="912"/>
      <c r="BP632" s="912"/>
      <c r="BQ632" s="912"/>
      <c r="BR632" s="477"/>
      <c r="CR632"/>
      <c r="CS632"/>
      <c r="CT632"/>
      <c r="CU632"/>
      <c r="CV632"/>
      <c r="CW632"/>
    </row>
    <row r="633" spans="1:101" s="705" customFormat="1" outlineLevel="1">
      <c r="A633" s="589"/>
      <c r="B633" s="589"/>
      <c r="C633" s="589"/>
      <c r="D633" s="589"/>
      <c r="E633" s="589"/>
      <c r="F633" s="589"/>
      <c r="G633" s="589"/>
      <c r="H633" s="589"/>
      <c r="I633" s="1519"/>
      <c r="J633" s="478" t="s">
        <v>491</v>
      </c>
      <c r="K633" s="478"/>
      <c r="L633" s="478"/>
      <c r="M633" s="478"/>
      <c r="N633" s="1083">
        <f t="shared" ref="N633:AD633" si="679">N684</f>
        <v>25</v>
      </c>
      <c r="O633" s="1083">
        <f t="shared" si="679"/>
        <v>-592</v>
      </c>
      <c r="P633" s="1083">
        <f t="shared" si="679"/>
        <v>-86.390999999999849</v>
      </c>
      <c r="Q633" s="1083">
        <f t="shared" si="679"/>
        <v>1403.6520000000019</v>
      </c>
      <c r="R633" s="1083">
        <f t="shared" si="679"/>
        <v>3569.8189999999945</v>
      </c>
      <c r="S633" s="1083">
        <f t="shared" si="679"/>
        <v>992.1949999999996</v>
      </c>
      <c r="T633" s="1083">
        <f t="shared" si="679"/>
        <v>-1929.2099999999978</v>
      </c>
      <c r="U633" s="1083">
        <f t="shared" si="679"/>
        <v>8484.6640000000007</v>
      </c>
      <c r="V633" s="1083">
        <f t="shared" ca="1" si="679"/>
        <v>22501.349999999948</v>
      </c>
      <c r="W633" s="1083">
        <f t="shared" ca="1" si="679"/>
        <v>14447.9571981264</v>
      </c>
      <c r="X633" s="1083">
        <f t="shared" ca="1" si="679"/>
        <v>26871.387644931903</v>
      </c>
      <c r="Y633" s="1083">
        <f t="shared" ca="1" si="679"/>
        <v>34345.459474234973</v>
      </c>
      <c r="Z633" s="1083">
        <f t="shared" ca="1" si="679"/>
        <v>44629.575602626472</v>
      </c>
      <c r="AA633" s="1083">
        <f t="shared" ca="1" si="679"/>
        <v>45646.478091228993</v>
      </c>
      <c r="AB633" s="1083">
        <f t="shared" ca="1" si="679"/>
        <v>56103.784408065527</v>
      </c>
      <c r="AC633" s="1083">
        <f t="shared" ca="1" si="679"/>
        <v>67552.817616775224</v>
      </c>
      <c r="AD633" s="1083">
        <f t="shared" ca="1" si="679"/>
        <v>79579.812416298155</v>
      </c>
      <c r="AF633" s="440"/>
      <c r="AH633" s="1520"/>
      <c r="AI633" s="1520"/>
      <c r="AJ633" s="1520"/>
      <c r="AK633" s="1520"/>
      <c r="AL633" s="1800"/>
      <c r="AM633" s="1520"/>
      <c r="AN633" s="1520"/>
      <c r="AO633" s="1520"/>
      <c r="AP633" s="1109"/>
      <c r="AQ633" s="1104"/>
      <c r="AR633" s="1104"/>
      <c r="AS633" s="1578"/>
      <c r="AT633" s="1751"/>
      <c r="AU633" s="1579"/>
      <c r="AV633" s="1579"/>
      <c r="AW633" s="1579"/>
      <c r="AX633" s="1645">
        <v>908.23</v>
      </c>
      <c r="AY633" s="1502">
        <v>-78.507000000000005</v>
      </c>
      <c r="AZ633" s="1502">
        <v>1430.337</v>
      </c>
      <c r="BA633" s="1502">
        <v>-1245.0440000000001</v>
      </c>
      <c r="BB633" s="1645">
        <v>2408.7840000000001</v>
      </c>
      <c r="BC633" s="1502">
        <v>737.44799999999998</v>
      </c>
      <c r="BD633" s="1502">
        <v>-2552.6849999999999</v>
      </c>
      <c r="BE633" s="1502">
        <v>-2405.098</v>
      </c>
      <c r="BF633" s="1645">
        <v>2357.442</v>
      </c>
      <c r="BG633" s="1502">
        <v>2187.2779999999998</v>
      </c>
      <c r="BH633" s="1502">
        <v>6590.47</v>
      </c>
      <c r="BI633" s="1502">
        <v>-2983.4009999999998</v>
      </c>
      <c r="BJ633" s="1645">
        <v>4388.5929999999998</v>
      </c>
      <c r="BK633" s="1502">
        <v>0</v>
      </c>
      <c r="BL633" s="1502">
        <v>-244.703</v>
      </c>
      <c r="BM633" s="1580"/>
      <c r="BN633" s="1675"/>
      <c r="BO633" s="1104"/>
      <c r="BP633" s="1104"/>
      <c r="BQ633" s="1104"/>
      <c r="CR633"/>
      <c r="CS633"/>
      <c r="CT633"/>
      <c r="CU633"/>
      <c r="CV633"/>
      <c r="CW633"/>
    </row>
    <row r="634" spans="1:101" s="1103" customFormat="1" outlineLevel="1">
      <c r="A634" s="256"/>
      <c r="B634" s="256"/>
      <c r="C634" s="256"/>
      <c r="D634" s="256"/>
      <c r="E634" s="256"/>
      <c r="F634" s="256"/>
      <c r="G634" s="256"/>
      <c r="H634" s="256"/>
      <c r="I634" s="792"/>
      <c r="J634" s="480" t="s">
        <v>291</v>
      </c>
      <c r="K634" s="480"/>
      <c r="L634" s="480"/>
      <c r="M634" s="480"/>
      <c r="N634" s="1013"/>
      <c r="O634" s="1013"/>
      <c r="P634" s="1013"/>
      <c r="Q634" s="1013"/>
      <c r="R634" s="1402">
        <v>68.736999999999995</v>
      </c>
      <c r="S634" s="1402">
        <v>2751.9389999999999</v>
      </c>
      <c r="T634" s="1402">
        <v>14172.008</v>
      </c>
      <c r="U634" s="1402">
        <v>11304.412</v>
      </c>
      <c r="V634" s="1013"/>
      <c r="W634" s="1013"/>
      <c r="X634" s="1013"/>
      <c r="Y634" s="1013"/>
      <c r="Z634" s="1013"/>
      <c r="AA634" s="1013"/>
      <c r="AB634" s="1013"/>
      <c r="AC634" s="1013"/>
      <c r="AD634" s="1013"/>
      <c r="AF634" s="440"/>
      <c r="AH634" s="616"/>
      <c r="AI634" s="616"/>
      <c r="AJ634" s="616"/>
      <c r="AK634" s="616"/>
      <c r="AL634" s="1801"/>
      <c r="AM634" s="616"/>
      <c r="AN634" s="616"/>
      <c r="AO634" s="616"/>
      <c r="AP634" s="817"/>
      <c r="AQ634" s="618"/>
      <c r="AR634" s="618"/>
      <c r="AS634" s="1100"/>
      <c r="AT634" s="1711"/>
      <c r="AU634" s="1101"/>
      <c r="AV634" s="1101"/>
      <c r="AW634" s="1101"/>
      <c r="AX634" s="1688">
        <v>803.38</v>
      </c>
      <c r="AY634" s="1503">
        <v>911.75699999999995</v>
      </c>
      <c r="AZ634" s="1503">
        <v>251.858</v>
      </c>
      <c r="BA634" s="1503">
        <v>784.94399999999996</v>
      </c>
      <c r="BB634" s="1688">
        <v>1161.623</v>
      </c>
      <c r="BC634" s="1503">
        <v>5082.7830000000004</v>
      </c>
      <c r="BD634" s="1503">
        <v>3642.57</v>
      </c>
      <c r="BE634" s="1503">
        <v>4285.0320000000002</v>
      </c>
      <c r="BF634" s="1688">
        <v>1598.9359999999999</v>
      </c>
      <c r="BG634" s="1504">
        <v>7017.2809999999999</v>
      </c>
      <c r="BH634" s="1504">
        <v>-176.988</v>
      </c>
      <c r="BI634" s="1504">
        <v>3480.4110000000001</v>
      </c>
      <c r="BJ634" s="1646">
        <v>427.33800000000002</v>
      </c>
      <c r="BK634" s="1504">
        <v>0</v>
      </c>
      <c r="BL634" s="1504">
        <v>-1559.3820000000001</v>
      </c>
      <c r="BM634" s="1102"/>
      <c r="BN634" s="1676"/>
      <c r="BO634" s="618"/>
      <c r="BP634" s="618"/>
      <c r="BQ634" s="618"/>
      <c r="CR634"/>
      <c r="CS634"/>
      <c r="CT634"/>
      <c r="CU634"/>
      <c r="CV634"/>
      <c r="CW634"/>
    </row>
    <row r="635" spans="1:101" s="477" customFormat="1" outlineLevel="1">
      <c r="A635" s="583"/>
      <c r="B635" s="583"/>
      <c r="C635" s="583"/>
      <c r="D635" s="583"/>
      <c r="E635" s="583"/>
      <c r="F635" s="583"/>
      <c r="G635" s="583"/>
      <c r="H635" s="583"/>
      <c r="I635" s="792"/>
      <c r="J635" s="480" t="s">
        <v>164</v>
      </c>
      <c r="K635" s="480"/>
      <c r="L635" s="480"/>
      <c r="M635" s="480"/>
      <c r="N635" s="1013">
        <f t="shared" ref="N635:AD635" si="680">SUM(N636:N640)</f>
        <v>0</v>
      </c>
      <c r="O635" s="1013">
        <f t="shared" si="680"/>
        <v>0</v>
      </c>
      <c r="P635" s="1013">
        <f t="shared" si="680"/>
        <v>-623.41000000000008</v>
      </c>
      <c r="Q635" s="1013">
        <f t="shared" si="680"/>
        <v>-1147.7349999999999</v>
      </c>
      <c r="R635" s="1013">
        <f t="shared" si="680"/>
        <v>-1292.0809999999999</v>
      </c>
      <c r="S635" s="1013">
        <f t="shared" si="680"/>
        <v>-2902.0659999999998</v>
      </c>
      <c r="T635" s="1013">
        <f t="shared" si="680"/>
        <v>-5299.7589999999991</v>
      </c>
      <c r="U635" s="1013">
        <f t="shared" si="680"/>
        <v>-4460.165</v>
      </c>
      <c r="V635" s="1013">
        <f t="shared" si="680"/>
        <v>-9747.4419999999991</v>
      </c>
      <c r="W635" s="1013">
        <f t="shared" si="680"/>
        <v>-7723.9582419999979</v>
      </c>
      <c r="X635" s="1013">
        <f t="shared" si="680"/>
        <v>-8892.1178035073972</v>
      </c>
      <c r="Y635" s="1013">
        <f t="shared" si="680"/>
        <v>-10675.876634890983</v>
      </c>
      <c r="Z635" s="1013">
        <f t="shared" si="680"/>
        <v>-10128.73795735282</v>
      </c>
      <c r="AA635" s="1013">
        <f t="shared" si="680"/>
        <v>-10902.573537294576</v>
      </c>
      <c r="AB635" s="1013">
        <f t="shared" si="680"/>
        <v>-11735.53015554388</v>
      </c>
      <c r="AC635" s="1013">
        <f t="shared" si="680"/>
        <v>-12632.124659427433</v>
      </c>
      <c r="AD635" s="1013">
        <f t="shared" si="680"/>
        <v>-13597.218983407687</v>
      </c>
      <c r="AF635" s="440"/>
      <c r="AH635" s="616"/>
      <c r="AI635" s="616"/>
      <c r="AJ635" s="616"/>
      <c r="AK635" s="616"/>
      <c r="AL635" s="1801"/>
      <c r="AM635" s="616"/>
      <c r="AN635" s="616"/>
      <c r="AO635" s="616"/>
      <c r="AP635" s="817"/>
      <c r="AQ635" s="618"/>
      <c r="AR635" s="618"/>
      <c r="AS635" s="1100"/>
      <c r="AT635" s="1711"/>
      <c r="AU635" s="1101"/>
      <c r="AV635" s="1101"/>
      <c r="AW635" s="1101"/>
      <c r="AX635" s="1688">
        <v>-633.33100000000002</v>
      </c>
      <c r="AY635" s="1503">
        <v>-618.375</v>
      </c>
      <c r="AZ635" s="1503">
        <v>-870.02700000000004</v>
      </c>
      <c r="BA635" s="1503">
        <v>-780.33299999999997</v>
      </c>
      <c r="BB635" s="1688">
        <v>-1249.6369999999999</v>
      </c>
      <c r="BC635" s="1503">
        <v>-1094.6110000000001</v>
      </c>
      <c r="BD635" s="1503">
        <v>-1341.4739999999999</v>
      </c>
      <c r="BE635" s="1503">
        <v>-1614.037</v>
      </c>
      <c r="BF635" s="1688">
        <v>-1042.011</v>
      </c>
      <c r="BG635" s="1504">
        <v>-1112.078</v>
      </c>
      <c r="BH635" s="1504">
        <v>-994.74199999999996</v>
      </c>
      <c r="BI635" s="1504">
        <v>-1311.3340000000001</v>
      </c>
      <c r="BJ635" s="1646">
        <v>-672.88800000000003</v>
      </c>
      <c r="BK635" s="1504">
        <v>0</v>
      </c>
      <c r="BL635" s="1504">
        <v>-7197.41</v>
      </c>
      <c r="BM635" s="1102"/>
      <c r="BN635" s="1676"/>
      <c r="BO635" s="618"/>
      <c r="BP635" s="618"/>
      <c r="BQ635" s="618"/>
      <c r="CR635"/>
      <c r="CS635"/>
      <c r="CT635"/>
      <c r="CU635"/>
      <c r="CV635"/>
      <c r="CW635"/>
    </row>
    <row r="636" spans="1:101" s="477" customFormat="1" outlineLevel="1">
      <c r="A636" s="583"/>
      <c r="B636" s="583"/>
      <c r="C636" s="583"/>
      <c r="D636" s="583"/>
      <c r="E636" s="583"/>
      <c r="F636" s="583"/>
      <c r="G636" s="583"/>
      <c r="H636" s="583"/>
      <c r="I636" s="792"/>
      <c r="J636" s="879" t="s">
        <v>292</v>
      </c>
      <c r="K636" s="480"/>
      <c r="L636" s="480"/>
      <c r="M636" s="480"/>
      <c r="N636" s="1013">
        <f t="shared" ref="N636:AD636" si="681">N688</f>
        <v>0</v>
      </c>
      <c r="O636" s="1013">
        <f t="shared" si="681"/>
        <v>0</v>
      </c>
      <c r="P636" s="1013">
        <f t="shared" si="681"/>
        <v>-288.54500000000002</v>
      </c>
      <c r="Q636" s="1013">
        <f t="shared" si="681"/>
        <v>-497.31200000000001</v>
      </c>
      <c r="R636" s="1013">
        <f t="shared" si="681"/>
        <v>-439.88099999999997</v>
      </c>
      <c r="S636" s="1013">
        <f t="shared" si="681"/>
        <v>-1424.5340000000001</v>
      </c>
      <c r="T636" s="1013">
        <f t="shared" si="681"/>
        <v>-2826.83</v>
      </c>
      <c r="U636" s="1013">
        <f t="shared" si="681"/>
        <v>-2372.0349999999999</v>
      </c>
      <c r="V636" s="1013">
        <f t="shared" si="681"/>
        <v>-11365.382</v>
      </c>
      <c r="W636" s="1013">
        <f t="shared" si="681"/>
        <v>-7723.9582419999979</v>
      </c>
      <c r="X636" s="1013">
        <f t="shared" si="681"/>
        <v>-8892.1178035073972</v>
      </c>
      <c r="Y636" s="1013">
        <f t="shared" si="681"/>
        <v>-10675.876634890983</v>
      </c>
      <c r="Z636" s="1013">
        <f t="shared" si="681"/>
        <v>-10128.73795735282</v>
      </c>
      <c r="AA636" s="1013">
        <f t="shared" si="681"/>
        <v>-10902.573537294576</v>
      </c>
      <c r="AB636" s="1013">
        <f t="shared" si="681"/>
        <v>-11735.53015554388</v>
      </c>
      <c r="AC636" s="1013">
        <f t="shared" si="681"/>
        <v>-12632.124659427433</v>
      </c>
      <c r="AD636" s="1013">
        <f t="shared" si="681"/>
        <v>-13597.218983407687</v>
      </c>
      <c r="AF636" s="440"/>
      <c r="AH636" s="616"/>
      <c r="AI636" s="616"/>
      <c r="AJ636" s="616"/>
      <c r="AK636" s="616"/>
      <c r="AL636" s="1801"/>
      <c r="AM636" s="616"/>
      <c r="AN636" s="616"/>
      <c r="AO636" s="616"/>
      <c r="AP636" s="817"/>
      <c r="AQ636" s="618"/>
      <c r="AR636" s="618"/>
      <c r="AS636" s="618"/>
      <c r="AT636" s="1711"/>
      <c r="AU636" s="1101"/>
      <c r="AV636" s="1101"/>
      <c r="AW636" s="1101"/>
      <c r="AX636" s="1711"/>
      <c r="AY636" s="1101"/>
      <c r="AZ636" s="618"/>
      <c r="BA636" s="618"/>
      <c r="BB636" s="1711"/>
      <c r="BC636" s="618"/>
      <c r="BD636" s="618"/>
      <c r="BE636" s="618"/>
      <c r="BF636" s="817"/>
      <c r="BG636" s="1104"/>
      <c r="BH636" s="1104"/>
      <c r="BI636" s="618"/>
      <c r="BJ636" s="817"/>
      <c r="BK636" s="618"/>
      <c r="BL636" s="618"/>
      <c r="BM636" s="618"/>
      <c r="BN636" s="817"/>
      <c r="BO636" s="618"/>
      <c r="BP636" s="618"/>
      <c r="BQ636" s="618"/>
      <c r="CR636"/>
      <c r="CS636"/>
      <c r="CT636"/>
      <c r="CU636"/>
      <c r="CV636"/>
      <c r="CW636"/>
    </row>
    <row r="637" spans="1:101" s="477" customFormat="1" outlineLevel="1">
      <c r="A637" s="583"/>
      <c r="B637" s="583"/>
      <c r="C637" s="583"/>
      <c r="D637" s="583"/>
      <c r="E637" s="583"/>
      <c r="F637" s="583"/>
      <c r="G637" s="583"/>
      <c r="H637" s="583"/>
      <c r="I637" s="792"/>
      <c r="J637" s="879" t="s">
        <v>293</v>
      </c>
      <c r="K637" s="480"/>
      <c r="L637" s="480"/>
      <c r="M637" s="480"/>
      <c r="N637" s="1105">
        <f t="shared" ref="N637:U638" si="682">N692</f>
        <v>0</v>
      </c>
      <c r="O637" s="1105">
        <f t="shared" si="682"/>
        <v>0</v>
      </c>
      <c r="P637" s="1105">
        <f t="shared" si="682"/>
        <v>0</v>
      </c>
      <c r="Q637" s="1105">
        <f t="shared" si="682"/>
        <v>-136.12200000000001</v>
      </c>
      <c r="R637" s="1105">
        <f t="shared" si="682"/>
        <v>-737.41099999999994</v>
      </c>
      <c r="S637" s="1105">
        <f t="shared" si="682"/>
        <v>-1036.5129999999999</v>
      </c>
      <c r="T637" s="1105">
        <f t="shared" si="682"/>
        <v>-1540.615</v>
      </c>
      <c r="U637" s="1105">
        <f t="shared" si="682"/>
        <v>-1359.364</v>
      </c>
      <c r="V637" s="1105">
        <v>0</v>
      </c>
      <c r="W637" s="1105">
        <v>0</v>
      </c>
      <c r="X637" s="1105">
        <v>0</v>
      </c>
      <c r="Y637" s="1105">
        <v>0</v>
      </c>
      <c r="Z637" s="1105">
        <v>0</v>
      </c>
      <c r="AA637" s="1105">
        <v>0</v>
      </c>
      <c r="AB637" s="1105">
        <v>0</v>
      </c>
      <c r="AC637" s="1105">
        <v>0</v>
      </c>
      <c r="AD637" s="1105">
        <v>0</v>
      </c>
      <c r="AF637" s="440"/>
      <c r="AH637" s="615"/>
      <c r="AI637" s="615"/>
      <c r="AJ637" s="615"/>
      <c r="AK637" s="615"/>
      <c r="AL637" s="1802"/>
      <c r="AM637" s="615"/>
      <c r="AN637" s="615"/>
      <c r="AO637" s="615"/>
      <c r="AP637" s="1108"/>
      <c r="AQ637" s="1106"/>
      <c r="AR637" s="1106"/>
      <c r="AS637" s="1106"/>
      <c r="AT637" s="1711"/>
      <c r="AU637" s="1101"/>
      <c r="AV637" s="1101"/>
      <c r="AW637" s="1101"/>
      <c r="AX637" s="1711"/>
      <c r="AY637" s="1101"/>
      <c r="AZ637" s="1106"/>
      <c r="BA637" s="1106"/>
      <c r="BB637" s="1711"/>
      <c r="BC637" s="1106"/>
      <c r="BD637" s="1106"/>
      <c r="BE637" s="1106"/>
      <c r="BF637" s="1108"/>
      <c r="BG637" s="1107"/>
      <c r="BH637" s="1107"/>
      <c r="BI637" s="1106"/>
      <c r="BJ637" s="1108"/>
      <c r="BK637" s="1106"/>
      <c r="BL637" s="1106"/>
      <c r="BM637" s="1106"/>
      <c r="BN637" s="1108"/>
      <c r="BO637" s="1106"/>
      <c r="BP637" s="1106"/>
      <c r="BQ637" s="1106"/>
      <c r="CR637"/>
      <c r="CS637"/>
      <c r="CT637"/>
      <c r="CU637"/>
      <c r="CV637"/>
      <c r="CW637"/>
    </row>
    <row r="638" spans="1:101" s="477" customFormat="1" outlineLevel="1">
      <c r="A638" s="583"/>
      <c r="B638" s="583"/>
      <c r="C638" s="583"/>
      <c r="D638" s="583"/>
      <c r="E638" s="583"/>
      <c r="F638" s="583"/>
      <c r="G638" s="583"/>
      <c r="H638" s="583"/>
      <c r="I638" s="792"/>
      <c r="J638" s="879" t="s">
        <v>294</v>
      </c>
      <c r="K638" s="480"/>
      <c r="L638" s="480"/>
      <c r="M638" s="480"/>
      <c r="N638" s="1013">
        <f t="shared" si="682"/>
        <v>0</v>
      </c>
      <c r="O638" s="1013">
        <f t="shared" si="682"/>
        <v>0</v>
      </c>
      <c r="P638" s="1013">
        <f t="shared" si="682"/>
        <v>-4.6349999999999998</v>
      </c>
      <c r="Q638" s="1013">
        <f t="shared" si="682"/>
        <v>-45.3</v>
      </c>
      <c r="R638" s="1013">
        <f t="shared" si="682"/>
        <v>-10.237</v>
      </c>
      <c r="S638" s="1013">
        <f t="shared" si="682"/>
        <v>-17.934999999999999</v>
      </c>
      <c r="T638" s="1013">
        <f t="shared" si="682"/>
        <v>-6.556</v>
      </c>
      <c r="U638" s="1013">
        <f t="shared" si="682"/>
        <v>-50.438000000000002</v>
      </c>
      <c r="V638" s="1013">
        <f t="shared" ref="V638:AD638" si="683">V693</f>
        <v>1617.9399999999996</v>
      </c>
      <c r="W638" s="1013">
        <f t="shared" si="683"/>
        <v>0</v>
      </c>
      <c r="X638" s="1013">
        <f t="shared" si="683"/>
        <v>0</v>
      </c>
      <c r="Y638" s="1013">
        <f t="shared" si="683"/>
        <v>0</v>
      </c>
      <c r="Z638" s="1013">
        <f t="shared" si="683"/>
        <v>0</v>
      </c>
      <c r="AA638" s="1013">
        <f t="shared" si="683"/>
        <v>0</v>
      </c>
      <c r="AB638" s="1013">
        <f t="shared" si="683"/>
        <v>0</v>
      </c>
      <c r="AC638" s="1013">
        <f t="shared" si="683"/>
        <v>0</v>
      </c>
      <c r="AD638" s="1013">
        <f t="shared" si="683"/>
        <v>0</v>
      </c>
      <c r="AF638" s="440"/>
      <c r="AH638" s="616"/>
      <c r="AI638" s="616"/>
      <c r="AJ638" s="616"/>
      <c r="AK638" s="616"/>
      <c r="AL638" s="1801"/>
      <c r="AM638" s="616"/>
      <c r="AN638" s="616"/>
      <c r="AO638" s="616"/>
      <c r="AP638" s="817"/>
      <c r="AQ638" s="618"/>
      <c r="AR638" s="618"/>
      <c r="AS638" s="618"/>
      <c r="AT638" s="1711"/>
      <c r="AU638" s="1101"/>
      <c r="AV638" s="1101"/>
      <c r="AW638" s="1101"/>
      <c r="AX638" s="1711"/>
      <c r="AY638" s="1101"/>
      <c r="AZ638" s="618"/>
      <c r="BA638" s="618"/>
      <c r="BB638" s="1711"/>
      <c r="BC638" s="618"/>
      <c r="BD638" s="618"/>
      <c r="BE638" s="618"/>
      <c r="BF638" s="817"/>
      <c r="BG638" s="1104"/>
      <c r="BH638" s="1104"/>
      <c r="BI638" s="618"/>
      <c r="BJ638" s="817"/>
      <c r="BK638" s="618"/>
      <c r="BL638" s="618"/>
      <c r="BM638" s="618"/>
      <c r="BN638" s="817"/>
      <c r="BO638" s="618"/>
      <c r="BP638" s="618"/>
      <c r="BQ638" s="618"/>
      <c r="CR638"/>
      <c r="CS638"/>
      <c r="CT638"/>
      <c r="CU638"/>
      <c r="CV638"/>
      <c r="CW638"/>
    </row>
    <row r="639" spans="1:101" s="477" customFormat="1" outlineLevel="1">
      <c r="A639" s="583"/>
      <c r="B639" s="583"/>
      <c r="C639" s="583"/>
      <c r="D639" s="583"/>
      <c r="E639" s="583"/>
      <c r="F639" s="583"/>
      <c r="G639" s="583"/>
      <c r="H639" s="583"/>
      <c r="I639" s="792"/>
      <c r="J639" s="879" t="s">
        <v>20</v>
      </c>
      <c r="K639" s="480"/>
      <c r="L639" s="480"/>
      <c r="M639" s="480"/>
      <c r="N639" s="1105">
        <f t="shared" ref="N639:U640" si="684">N689</f>
        <v>0</v>
      </c>
      <c r="O639" s="1105">
        <f t="shared" si="684"/>
        <v>0</v>
      </c>
      <c r="P639" s="1105">
        <f t="shared" si="684"/>
        <v>-161.4</v>
      </c>
      <c r="Q639" s="1105">
        <f t="shared" si="684"/>
        <v>-100</v>
      </c>
      <c r="R639" s="1105">
        <f t="shared" si="684"/>
        <v>0</v>
      </c>
      <c r="S639" s="1105">
        <f t="shared" si="684"/>
        <v>0</v>
      </c>
      <c r="T639" s="1105">
        <f t="shared" si="684"/>
        <v>0</v>
      </c>
      <c r="U639" s="1105">
        <f t="shared" si="684"/>
        <v>0</v>
      </c>
      <c r="V639" s="1105">
        <v>0</v>
      </c>
      <c r="W639" s="1105">
        <v>0</v>
      </c>
      <c r="X639" s="1105">
        <v>0</v>
      </c>
      <c r="Y639" s="1105">
        <v>0</v>
      </c>
      <c r="Z639" s="1105">
        <v>0</v>
      </c>
      <c r="AA639" s="1105">
        <v>0</v>
      </c>
      <c r="AB639" s="1105">
        <v>0</v>
      </c>
      <c r="AC639" s="1105">
        <v>0</v>
      </c>
      <c r="AD639" s="1105">
        <v>0</v>
      </c>
      <c r="AF639" s="440"/>
      <c r="AH639" s="615"/>
      <c r="AI639" s="615"/>
      <c r="AJ639" s="615"/>
      <c r="AK639" s="615"/>
      <c r="AL639" s="1802"/>
      <c r="AM639" s="615"/>
      <c r="AN639" s="615"/>
      <c r="AO639" s="615"/>
      <c r="AP639" s="1108"/>
      <c r="AQ639" s="1106"/>
      <c r="AR639" s="1106"/>
      <c r="AS639" s="1106"/>
      <c r="AT639" s="1711"/>
      <c r="AU639" s="1101"/>
      <c r="AV639" s="1101"/>
      <c r="AW639" s="1101"/>
      <c r="AX639" s="1711"/>
      <c r="AY639" s="1101"/>
      <c r="AZ639" s="1106"/>
      <c r="BA639" s="1106"/>
      <c r="BB639" s="1711"/>
      <c r="BC639" s="1106"/>
      <c r="BD639" s="1106"/>
      <c r="BE639" s="1106"/>
      <c r="BF639" s="1108"/>
      <c r="BG639" s="1107"/>
      <c r="BH639" s="1107"/>
      <c r="BI639" s="1106"/>
      <c r="BJ639" s="1108"/>
      <c r="BK639" s="1106"/>
      <c r="BL639" s="1106"/>
      <c r="BM639" s="1106"/>
      <c r="BN639" s="1108"/>
      <c r="BO639" s="1106"/>
      <c r="BP639" s="1106"/>
      <c r="BQ639" s="1106"/>
      <c r="CR639"/>
      <c r="CS639"/>
      <c r="CT639"/>
      <c r="CU639"/>
      <c r="CV639"/>
      <c r="CW639"/>
    </row>
    <row r="640" spans="1:101" s="477" customFormat="1" outlineLevel="1">
      <c r="A640" s="583"/>
      <c r="B640" s="583"/>
      <c r="C640" s="583"/>
      <c r="D640" s="583"/>
      <c r="E640" s="583"/>
      <c r="F640" s="583"/>
      <c r="G640" s="583"/>
      <c r="H640" s="583"/>
      <c r="I640" s="792"/>
      <c r="J640" s="879" t="s">
        <v>60</v>
      </c>
      <c r="K640" s="480"/>
      <c r="L640" s="480"/>
      <c r="M640" s="480"/>
      <c r="N640" s="1013">
        <f t="shared" si="684"/>
        <v>0</v>
      </c>
      <c r="O640" s="1013">
        <f t="shared" si="684"/>
        <v>0</v>
      </c>
      <c r="P640" s="1013">
        <f t="shared" si="684"/>
        <v>-168.83</v>
      </c>
      <c r="Q640" s="1013">
        <f t="shared" si="684"/>
        <v>-369.00099999999998</v>
      </c>
      <c r="R640" s="1013">
        <f t="shared" si="684"/>
        <v>-104.55200000000001</v>
      </c>
      <c r="S640" s="1013">
        <f t="shared" si="684"/>
        <v>-423.084</v>
      </c>
      <c r="T640" s="1013">
        <f t="shared" si="684"/>
        <v>-925.75800000000004</v>
      </c>
      <c r="U640" s="1013">
        <f t="shared" si="684"/>
        <v>-678.32799999999997</v>
      </c>
      <c r="V640" s="1013">
        <f t="shared" ref="V640:AD640" si="685">V691</f>
        <v>0</v>
      </c>
      <c r="W640" s="1013">
        <f t="shared" si="685"/>
        <v>0</v>
      </c>
      <c r="X640" s="1013">
        <f t="shared" si="685"/>
        <v>0</v>
      </c>
      <c r="Y640" s="1013">
        <f t="shared" si="685"/>
        <v>0</v>
      </c>
      <c r="Z640" s="1013">
        <f t="shared" si="685"/>
        <v>0</v>
      </c>
      <c r="AA640" s="1013">
        <f t="shared" si="685"/>
        <v>0</v>
      </c>
      <c r="AB640" s="1013">
        <f t="shared" si="685"/>
        <v>0</v>
      </c>
      <c r="AC640" s="1013">
        <f t="shared" si="685"/>
        <v>0</v>
      </c>
      <c r="AD640" s="1013">
        <f t="shared" si="685"/>
        <v>0</v>
      </c>
      <c r="AF640" s="440"/>
      <c r="AH640" s="616"/>
      <c r="AI640" s="616"/>
      <c r="AJ640" s="616"/>
      <c r="AK640" s="616"/>
      <c r="AL640" s="1801"/>
      <c r="AM640" s="616"/>
      <c r="AN640" s="616"/>
      <c r="AO640" s="616"/>
      <c r="AP640" s="817"/>
      <c r="AQ640" s="618"/>
      <c r="AR640" s="618"/>
      <c r="AS640" s="618"/>
      <c r="AT640" s="817"/>
      <c r="AU640" s="618"/>
      <c r="AV640" s="618"/>
      <c r="AW640" s="618"/>
      <c r="AX640" s="817"/>
      <c r="AY640" s="618"/>
      <c r="AZ640" s="618"/>
      <c r="BA640" s="618"/>
      <c r="BB640" s="817"/>
      <c r="BC640" s="618"/>
      <c r="BD640" s="618"/>
      <c r="BE640" s="618"/>
      <c r="BF640" s="817"/>
      <c r="BG640" s="1104"/>
      <c r="BH640" s="1104"/>
      <c r="BI640" s="618"/>
      <c r="BJ640" s="817"/>
      <c r="BK640" s="618"/>
      <c r="BL640" s="618"/>
      <c r="BM640" s="618"/>
      <c r="BN640" s="817"/>
      <c r="BO640" s="618"/>
      <c r="BP640" s="618"/>
      <c r="BQ640" s="618"/>
      <c r="CR640"/>
      <c r="CS640"/>
      <c r="CT640"/>
      <c r="CU640"/>
      <c r="CV640"/>
      <c r="CW640"/>
    </row>
    <row r="641" spans="1:101" s="705" customFormat="1" outlineLevel="1">
      <c r="A641" s="589"/>
      <c r="B641" s="589"/>
      <c r="C641" s="589"/>
      <c r="D641" s="589"/>
      <c r="E641" s="589"/>
      <c r="F641" s="589"/>
      <c r="G641" s="589"/>
      <c r="H641" s="589"/>
      <c r="I641" s="1519"/>
      <c r="J641" s="478" t="s">
        <v>21</v>
      </c>
      <c r="K641" s="478"/>
      <c r="L641" s="478"/>
      <c r="M641" s="478"/>
      <c r="N641" s="1083">
        <f t="shared" ref="N641:Z641" si="686">SUM(N633:N635)</f>
        <v>25</v>
      </c>
      <c r="O641" s="1083">
        <f t="shared" si="686"/>
        <v>-592</v>
      </c>
      <c r="P641" s="1083">
        <f t="shared" si="686"/>
        <v>-709.80099999999993</v>
      </c>
      <c r="Q641" s="1083">
        <f t="shared" si="686"/>
        <v>255.91700000000196</v>
      </c>
      <c r="R641" s="1083">
        <f t="shared" si="686"/>
        <v>2346.4749999999949</v>
      </c>
      <c r="S641" s="1083">
        <f t="shared" si="686"/>
        <v>842.06799999999976</v>
      </c>
      <c r="T641" s="1083">
        <f t="shared" si="686"/>
        <v>6943.0390000000034</v>
      </c>
      <c r="U641" s="1083">
        <f t="shared" si="686"/>
        <v>15328.911</v>
      </c>
      <c r="V641" s="1083">
        <f t="shared" ca="1" si="686"/>
        <v>12753.907999999949</v>
      </c>
      <c r="W641" s="1083">
        <f t="shared" ca="1" si="686"/>
        <v>6723.9989561264019</v>
      </c>
      <c r="X641" s="1083">
        <f t="shared" ca="1" si="686"/>
        <v>17979.269841424506</v>
      </c>
      <c r="Y641" s="1083">
        <f t="shared" ca="1" si="686"/>
        <v>23669.582839343988</v>
      </c>
      <c r="Z641" s="1083">
        <f t="shared" ca="1" si="686"/>
        <v>34500.837645273656</v>
      </c>
      <c r="AA641" s="1083">
        <f ca="1">AA633+AA635</f>
        <v>34743.904553934415</v>
      </c>
      <c r="AB641" s="1083">
        <f ca="1">AB633+AB635</f>
        <v>44368.254252521649</v>
      </c>
      <c r="AC641" s="1083">
        <f ca="1">AC633+AC635</f>
        <v>54920.69295734779</v>
      </c>
      <c r="AD641" s="1083">
        <f ca="1">AD633+AD635</f>
        <v>65982.59343289047</v>
      </c>
      <c r="AF641" s="440"/>
      <c r="AH641" s="1520"/>
      <c r="AI641" s="1520"/>
      <c r="AJ641" s="1520"/>
      <c r="AK641" s="1520"/>
      <c r="AL641" s="1800"/>
      <c r="AM641" s="1520"/>
      <c r="AN641" s="1520"/>
      <c r="AO641" s="1520"/>
      <c r="AP641" s="1109">
        <f t="shared" ref="AP641:BQ641" si="687">SUM(AP633:AP635)</f>
        <v>0</v>
      </c>
      <c r="AQ641" s="1104">
        <f t="shared" si="687"/>
        <v>0</v>
      </c>
      <c r="AR641" s="1104">
        <f t="shared" si="687"/>
        <v>0</v>
      </c>
      <c r="AS641" s="1104">
        <f t="shared" si="687"/>
        <v>0</v>
      </c>
      <c r="AT641" s="1109">
        <f t="shared" si="687"/>
        <v>0</v>
      </c>
      <c r="AU641" s="1104">
        <f t="shared" si="687"/>
        <v>0</v>
      </c>
      <c r="AV641" s="1104">
        <f t="shared" si="687"/>
        <v>0</v>
      </c>
      <c r="AW641" s="1104">
        <f t="shared" si="687"/>
        <v>0</v>
      </c>
      <c r="AX641" s="1109">
        <f t="shared" si="687"/>
        <v>1078.279</v>
      </c>
      <c r="AY641" s="1104">
        <f t="shared" si="687"/>
        <v>214.875</v>
      </c>
      <c r="AZ641" s="1104">
        <f t="shared" si="687"/>
        <v>812.16799999999989</v>
      </c>
      <c r="BA641" s="1104">
        <f t="shared" si="687"/>
        <v>-1240.433</v>
      </c>
      <c r="BB641" s="1109">
        <f t="shared" si="687"/>
        <v>2320.7700000000004</v>
      </c>
      <c r="BC641" s="1104">
        <f t="shared" si="687"/>
        <v>4725.6200000000008</v>
      </c>
      <c r="BD641" s="1104">
        <f t="shared" si="687"/>
        <v>-251.58899999999971</v>
      </c>
      <c r="BE641" s="1104">
        <f t="shared" si="687"/>
        <v>265.89700000000016</v>
      </c>
      <c r="BF641" s="1109">
        <f t="shared" si="687"/>
        <v>2914.3669999999997</v>
      </c>
      <c r="BG641" s="1104">
        <f t="shared" si="687"/>
        <v>8092.4809999999998</v>
      </c>
      <c r="BH641" s="1104">
        <f t="shared" si="687"/>
        <v>5418.74</v>
      </c>
      <c r="BI641" s="1104">
        <f t="shared" si="687"/>
        <v>-814.32399999999984</v>
      </c>
      <c r="BJ641" s="1109">
        <f t="shared" si="687"/>
        <v>4143.0429999999997</v>
      </c>
      <c r="BK641" s="1104">
        <f t="shared" si="687"/>
        <v>0</v>
      </c>
      <c r="BL641" s="1104">
        <f t="shared" si="687"/>
        <v>-9001.494999999999</v>
      </c>
      <c r="BM641" s="1104">
        <f t="shared" si="687"/>
        <v>0</v>
      </c>
      <c r="BN641" s="1109">
        <f t="shared" si="687"/>
        <v>0</v>
      </c>
      <c r="BO641" s="1104">
        <f t="shared" si="687"/>
        <v>0</v>
      </c>
      <c r="BP641" s="1104">
        <f t="shared" si="687"/>
        <v>0</v>
      </c>
      <c r="BQ641" s="1104">
        <f t="shared" si="687"/>
        <v>0</v>
      </c>
      <c r="CR641"/>
      <c r="CS641"/>
      <c r="CT641"/>
      <c r="CU641"/>
      <c r="CV641"/>
      <c r="CW641"/>
    </row>
    <row r="642" spans="1:101" s="477" customFormat="1" outlineLevel="1">
      <c r="A642" s="583"/>
      <c r="B642" s="583"/>
      <c r="C642" s="583"/>
      <c r="D642" s="583"/>
      <c r="E642" s="583"/>
      <c r="F642" s="583"/>
      <c r="G642" s="583"/>
      <c r="H642" s="583"/>
      <c r="I642" s="792"/>
      <c r="J642" s="480"/>
      <c r="K642" s="480"/>
      <c r="L642" s="480"/>
      <c r="M642" s="480"/>
      <c r="N642" s="1013"/>
      <c r="O642" s="1013"/>
      <c r="P642" s="1013"/>
      <c r="Q642" s="1013"/>
      <c r="R642" s="1013"/>
      <c r="S642" s="1013"/>
      <c r="T642" s="1013"/>
      <c r="U642" s="1013"/>
      <c r="V642" s="1013"/>
      <c r="W642" s="1013"/>
      <c r="X642" s="1013"/>
      <c r="Y642" s="1013"/>
      <c r="Z642" s="1013"/>
      <c r="AA642" s="1013"/>
      <c r="AB642" s="1013"/>
      <c r="AC642" s="1013"/>
      <c r="AD642" s="1013"/>
      <c r="AH642" s="480"/>
      <c r="AI642" s="480"/>
      <c r="AJ642" s="480"/>
      <c r="AK642" s="480"/>
      <c r="AL642" s="1799"/>
      <c r="AM642" s="1577"/>
      <c r="AN642" s="1577"/>
      <c r="AO642" s="1577"/>
      <c r="AP642" s="1110"/>
      <c r="AQ642" s="912"/>
      <c r="AR642" s="912"/>
      <c r="AS642" s="912"/>
      <c r="AT642" s="1110"/>
      <c r="AU642" s="912"/>
      <c r="AV642" s="912"/>
      <c r="AW642" s="912"/>
      <c r="AX642" s="1110"/>
      <c r="AY642" s="912"/>
      <c r="AZ642" s="912"/>
      <c r="BA642" s="912"/>
      <c r="BB642" s="1110"/>
      <c r="BC642" s="912"/>
      <c r="BD642" s="912"/>
      <c r="BE642" s="912"/>
      <c r="BF642" s="1110"/>
      <c r="BG642" s="635"/>
      <c r="BH642" s="635"/>
      <c r="BI642" s="912"/>
      <c r="BJ642" s="1110"/>
      <c r="BK642" s="912"/>
      <c r="BL642" s="912"/>
      <c r="BM642" s="912"/>
      <c r="BN642" s="1110"/>
      <c r="BO642" s="912"/>
      <c r="BP642" s="912"/>
      <c r="BQ642" s="912"/>
      <c r="CR642"/>
      <c r="CS642"/>
      <c r="CT642"/>
      <c r="CU642"/>
      <c r="CV642"/>
      <c r="CW642"/>
    </row>
    <row r="643" spans="1:101" s="477" customFormat="1" outlineLevel="1">
      <c r="A643" s="583"/>
      <c r="B643" s="583"/>
      <c r="C643" s="583"/>
      <c r="D643" s="583"/>
      <c r="E643" s="583"/>
      <c r="F643" s="583"/>
      <c r="G643" s="583"/>
      <c r="H643" s="563"/>
      <c r="I643" s="1020"/>
      <c r="J643" s="478" t="s">
        <v>492</v>
      </c>
      <c r="K643" s="478"/>
      <c r="L643" s="478"/>
      <c r="M643" s="1581"/>
      <c r="N643" s="1537"/>
      <c r="O643" s="1537"/>
      <c r="P643" s="1537"/>
      <c r="Q643" s="1537"/>
      <c r="R643" s="1537"/>
      <c r="S643" s="1537"/>
      <c r="T643" s="1537"/>
      <c r="U643" s="1538"/>
      <c r="V643" s="1538"/>
      <c r="W643" s="1538"/>
      <c r="X643" s="1538"/>
      <c r="Y643" s="1538"/>
      <c r="Z643" s="1538"/>
      <c r="AA643" s="1538"/>
      <c r="AB643" s="1538"/>
      <c r="AC643" s="1538"/>
      <c r="AD643" s="1538"/>
      <c r="AE643" s="480"/>
      <c r="AF643" s="1522"/>
      <c r="AG643" s="480"/>
      <c r="AH643" s="1140"/>
      <c r="AI643" s="1140"/>
      <c r="AJ643" s="1140"/>
      <c r="AK643" s="1140"/>
      <c r="AL643" s="1803"/>
      <c r="AM643" s="1582"/>
      <c r="AN643" s="1582"/>
      <c r="AO643" s="1582"/>
      <c r="AP643" s="1134"/>
      <c r="AQ643" s="1132"/>
      <c r="AR643" s="1132"/>
      <c r="AS643" s="1132"/>
      <c r="AT643" s="1134"/>
      <c r="AU643" s="1132"/>
      <c r="AV643" s="1132"/>
      <c r="AW643" s="1132"/>
      <c r="AX643" s="1134"/>
      <c r="AY643" s="1132"/>
      <c r="AZ643" s="1132"/>
      <c r="BA643" s="1132"/>
      <c r="BB643" s="1134"/>
      <c r="BC643" s="1132"/>
      <c r="BD643" s="1132"/>
      <c r="BE643" s="1132"/>
      <c r="BF643" s="1134"/>
      <c r="BG643" s="1133"/>
      <c r="BH643" s="1133"/>
      <c r="BI643" s="1132"/>
      <c r="BJ643" s="1134"/>
      <c r="BK643" s="1132"/>
      <c r="BL643" s="1132"/>
      <c r="BM643" s="1132"/>
      <c r="BN643" s="1134"/>
      <c r="BO643" s="1132"/>
      <c r="BP643" s="1132"/>
      <c r="BQ643" s="1132"/>
      <c r="CR643"/>
      <c r="CS643"/>
      <c r="CT643"/>
      <c r="CU643"/>
      <c r="CV643"/>
      <c r="CW643"/>
    </row>
    <row r="644" spans="1:101" s="705" customFormat="1" outlineLevel="1">
      <c r="A644" s="589"/>
      <c r="B644" s="589"/>
      <c r="C644" s="589"/>
      <c r="D644" s="589"/>
      <c r="E644" s="589"/>
      <c r="F644" s="589"/>
      <c r="G644" s="589"/>
      <c r="H644" s="378"/>
      <c r="I644" s="1583"/>
      <c r="J644" s="1584" t="s">
        <v>114</v>
      </c>
      <c r="K644" s="478"/>
      <c r="L644" s="478"/>
      <c r="M644" s="478"/>
      <c r="N644" s="1585">
        <v>-103</v>
      </c>
      <c r="O644" s="1585">
        <v>-412</v>
      </c>
      <c r="P644" s="1585">
        <v>-1283.7449999999999</v>
      </c>
      <c r="Q644" s="1585">
        <v>-1729.4729999999981</v>
      </c>
      <c r="R644" s="1585">
        <v>-49.899000000004797</v>
      </c>
      <c r="S644" s="1472">
        <v>-4996.3580000000002</v>
      </c>
      <c r="T644" s="1472">
        <v>-9387.5820000000003</v>
      </c>
      <c r="U644" s="1472">
        <v>-3413.7240000000002</v>
      </c>
      <c r="V644" s="1083">
        <f t="shared" ref="V644:AD644" si="688">V425</f>
        <v>-18.633000000049066</v>
      </c>
      <c r="W644" s="1083">
        <f t="shared" si="688"/>
        <v>2211.5802569393732</v>
      </c>
      <c r="X644" s="1083">
        <f t="shared" ca="1" si="688"/>
        <v>7393.4504473872385</v>
      </c>
      <c r="Y644" s="1083">
        <f t="shared" ca="1" si="688"/>
        <v>13786.279041739968</v>
      </c>
      <c r="Z644" s="1083">
        <f t="shared" ca="1" si="688"/>
        <v>22122.963347845853</v>
      </c>
      <c r="AA644" s="1083">
        <f t="shared" ca="1" si="688"/>
        <v>30669.583685002712</v>
      </c>
      <c r="AB644" s="1083">
        <f t="shared" ca="1" si="688"/>
        <v>40040.583353712304</v>
      </c>
      <c r="AC644" s="1083">
        <f t="shared" ca="1" si="688"/>
        <v>50870.989825774843</v>
      </c>
      <c r="AD644" s="1083">
        <f t="shared" ca="1" si="688"/>
        <v>60862.839387145767</v>
      </c>
      <c r="AE644" s="478"/>
      <c r="AF644" s="440"/>
      <c r="AG644" s="478"/>
      <c r="AH644" s="478"/>
      <c r="AI644" s="478"/>
      <c r="AJ644" s="478"/>
      <c r="AK644" s="478"/>
      <c r="AL644" s="1800"/>
      <c r="AM644" s="1520"/>
      <c r="AN644" s="1520"/>
      <c r="AO644" s="1520"/>
      <c r="AP644" s="1109"/>
      <c r="AQ644" s="1104"/>
      <c r="AR644" s="1104"/>
      <c r="AS644" s="1104"/>
      <c r="AT644" s="1109"/>
      <c r="AU644" s="1104"/>
      <c r="AV644" s="1104"/>
      <c r="AW644" s="1104"/>
      <c r="AX644" s="1109"/>
      <c r="AY644" s="1104"/>
      <c r="AZ644" s="1104"/>
      <c r="BA644" s="1104"/>
      <c r="BB644" s="1109"/>
      <c r="BC644" s="1104"/>
      <c r="BD644" s="1104"/>
      <c r="BE644" s="1104"/>
      <c r="BF644" s="1109"/>
      <c r="BG644" s="1104"/>
      <c r="BH644" s="1104"/>
      <c r="BI644" s="1104"/>
      <c r="BJ644" s="1109"/>
      <c r="BK644" s="1104"/>
      <c r="BL644" s="1104"/>
      <c r="BM644" s="1104"/>
      <c r="BN644" s="1109"/>
      <c r="BO644" s="1104"/>
      <c r="BP644" s="1104"/>
      <c r="BQ644" s="1104"/>
      <c r="CR644"/>
      <c r="CS644"/>
      <c r="CT644"/>
      <c r="CU644"/>
      <c r="CV644"/>
      <c r="CW644"/>
    </row>
    <row r="645" spans="1:101" s="477" customFormat="1" outlineLevel="1">
      <c r="A645" s="583"/>
      <c r="B645" s="583"/>
      <c r="C645" s="583"/>
      <c r="D645" s="583"/>
      <c r="E645" s="583"/>
      <c r="F645" s="583"/>
      <c r="G645" s="583"/>
      <c r="H645" s="563"/>
      <c r="I645" s="1020"/>
      <c r="J645" s="1586" t="s">
        <v>162</v>
      </c>
      <c r="K645" s="480"/>
      <c r="L645" s="480"/>
      <c r="M645" s="480"/>
      <c r="N645" s="1091">
        <f>SUM(N646:N648)</f>
        <v>0</v>
      </c>
      <c r="O645" s="1091">
        <f>SUM(O646:O648)</f>
        <v>0</v>
      </c>
      <c r="P645" s="1091">
        <f>SUM(P646:P648)</f>
        <v>73.945999999999998</v>
      </c>
      <c r="Q645" s="1091">
        <f>SUM(Q646:Q648)</f>
        <v>185.73</v>
      </c>
      <c r="R645" s="1091">
        <f>SUM(R646:R648)</f>
        <v>293.14100000000002</v>
      </c>
      <c r="S645" s="1402">
        <v>1650.5329999999999</v>
      </c>
      <c r="T645" s="1402">
        <v>2619.0610000000001</v>
      </c>
      <c r="U645" s="1402">
        <v>3633.346</v>
      </c>
      <c r="V645" s="1091">
        <f t="shared" ref="V645:AD645" ca="1" si="689">V585</f>
        <v>2341.8029999999999</v>
      </c>
      <c r="W645" s="1091">
        <f t="shared" ca="1" si="689"/>
        <v>3979.5510693600063</v>
      </c>
      <c r="X645" s="1091">
        <f t="shared" ca="1" si="689"/>
        <v>4479.9726356099127</v>
      </c>
      <c r="Y645" s="1091">
        <f t="shared" ca="1" si="689"/>
        <v>4464.1958526495509</v>
      </c>
      <c r="Z645" s="1091">
        <f t="shared" ca="1" si="689"/>
        <v>4353.833569815908</v>
      </c>
      <c r="AA645" s="1091">
        <f t="shared" ca="1" si="689"/>
        <v>4312.530982573775</v>
      </c>
      <c r="AB645" s="1091">
        <f t="shared" ca="1" si="689"/>
        <v>4670.5371823063369</v>
      </c>
      <c r="AC645" s="1091">
        <f t="shared" ca="1" si="689"/>
        <v>5004.3080009076693</v>
      </c>
      <c r="AD645" s="1091">
        <f t="shared" ca="1" si="689"/>
        <v>5265.0184393219051</v>
      </c>
      <c r="AE645" s="480"/>
      <c r="AF645" s="480"/>
      <c r="AG645" s="480"/>
      <c r="AH645" s="480"/>
      <c r="AI645" s="480"/>
      <c r="AJ645" s="480"/>
      <c r="AK645" s="480"/>
      <c r="AL645" s="1804"/>
      <c r="AM645" s="1587"/>
      <c r="AN645" s="1587"/>
      <c r="AO645" s="1587"/>
      <c r="AP645" s="1114"/>
      <c r="AQ645" s="1113"/>
      <c r="AR645" s="1113"/>
      <c r="AS645" s="1113"/>
      <c r="AT645" s="1114"/>
      <c r="AU645" s="1113"/>
      <c r="AV645" s="1113"/>
      <c r="AW645" s="1113"/>
      <c r="AX645" s="1114"/>
      <c r="AY645" s="1113"/>
      <c r="AZ645" s="1113"/>
      <c r="BA645" s="1113"/>
      <c r="BB645" s="1114"/>
      <c r="BC645" s="1113"/>
      <c r="BD645" s="1113"/>
      <c r="BE645" s="1113"/>
      <c r="BF645" s="1114"/>
      <c r="BG645" s="809"/>
      <c r="BH645" s="809"/>
      <c r="BI645" s="1113"/>
      <c r="BJ645" s="1114"/>
      <c r="BK645" s="1113"/>
      <c r="BL645" s="1113"/>
      <c r="BM645" s="1113"/>
      <c r="BN645" s="1114"/>
      <c r="BO645" s="1113"/>
      <c r="BP645" s="1113"/>
      <c r="BQ645" s="1113"/>
      <c r="CR645"/>
      <c r="CS645"/>
      <c r="CT645"/>
      <c r="CU645"/>
      <c r="CV645"/>
      <c r="CW645"/>
    </row>
    <row r="646" spans="1:101" s="474" customFormat="1" outlineLevel="2">
      <c r="A646" s="42"/>
      <c r="B646" s="42"/>
      <c r="C646" s="42"/>
      <c r="D646" s="42"/>
      <c r="E646" s="42"/>
      <c r="F646" s="42"/>
      <c r="G646" s="42"/>
      <c r="H646" s="289"/>
      <c r="I646" s="977"/>
      <c r="J646" s="1115" t="s">
        <v>226</v>
      </c>
      <c r="K646" s="521"/>
      <c r="L646" s="521"/>
      <c r="M646" s="521"/>
      <c r="N646" s="1116"/>
      <c r="O646" s="1116"/>
      <c r="P646" s="1040">
        <v>73.441000000000003</v>
      </c>
      <c r="Q646" s="1040">
        <v>169.27699999999999</v>
      </c>
      <c r="R646" s="1040">
        <v>257.21300000000002</v>
      </c>
      <c r="S646" s="1093"/>
      <c r="T646" s="1093"/>
      <c r="U646" s="1093"/>
      <c r="V646" s="1013"/>
      <c r="W646" s="1014"/>
      <c r="X646" s="1014"/>
      <c r="Y646" s="1014"/>
      <c r="Z646" s="1014"/>
      <c r="AA646" s="1014"/>
      <c r="AB646" s="1014"/>
      <c r="AC646" s="1014"/>
      <c r="AD646" s="1014"/>
      <c r="AE646" s="521"/>
      <c r="AF646" s="521"/>
      <c r="AG646" s="521"/>
      <c r="AH646" s="521"/>
      <c r="AI646" s="521"/>
      <c r="AJ646" s="521"/>
      <c r="AK646" s="521"/>
      <c r="AL646" s="1801"/>
      <c r="AM646" s="625"/>
      <c r="AN646" s="625"/>
      <c r="AO646" s="625"/>
      <c r="AP646" s="817"/>
      <c r="AQ646" s="1117"/>
      <c r="AR646" s="1117"/>
      <c r="AS646" s="1117"/>
      <c r="AT646" s="817"/>
      <c r="AU646" s="1117"/>
      <c r="AV646" s="1117"/>
      <c r="AW646" s="1117"/>
      <c r="AX646" s="817"/>
      <c r="AY646" s="618"/>
      <c r="AZ646" s="618"/>
      <c r="BA646" s="618"/>
      <c r="BB646" s="817"/>
      <c r="BC646" s="618"/>
      <c r="BD646" s="618"/>
      <c r="BE646" s="618"/>
      <c r="BF646" s="817"/>
      <c r="BG646" s="1104"/>
      <c r="BH646" s="1104"/>
      <c r="BI646" s="618"/>
      <c r="BJ646" s="817"/>
      <c r="BK646" s="1117"/>
      <c r="BL646" s="1117"/>
      <c r="BM646" s="618"/>
      <c r="BN646" s="817"/>
      <c r="BO646" s="1117"/>
      <c r="BP646" s="1117"/>
      <c r="BQ646" s="618"/>
      <c r="BR646" s="477"/>
      <c r="CR646"/>
      <c r="CS646"/>
      <c r="CT646"/>
      <c r="CU646"/>
      <c r="CV646"/>
      <c r="CW646"/>
    </row>
    <row r="647" spans="1:101" s="474" customFormat="1" outlineLevel="2">
      <c r="A647" s="42"/>
      <c r="B647" s="42"/>
      <c r="C647" s="42"/>
      <c r="D647" s="42"/>
      <c r="E647" s="42"/>
      <c r="F647" s="42"/>
      <c r="G647" s="42"/>
      <c r="H647" s="289"/>
      <c r="I647" s="977"/>
      <c r="J647" s="1115" t="s">
        <v>227</v>
      </c>
      <c r="K647" s="521"/>
      <c r="L647" s="521"/>
      <c r="M647" s="521"/>
      <c r="N647" s="1116"/>
      <c r="O647" s="1116"/>
      <c r="P647" s="1040">
        <v>0.505</v>
      </c>
      <c r="Q647" s="1040">
        <v>16.452999999999999</v>
      </c>
      <c r="R647" s="1040">
        <v>35.927999999999997</v>
      </c>
      <c r="S647" s="1013"/>
      <c r="T647" s="1013"/>
      <c r="U647" s="1013"/>
      <c r="V647" s="1013"/>
      <c r="W647" s="1014"/>
      <c r="X647" s="1014"/>
      <c r="Y647" s="1014"/>
      <c r="Z647" s="1014"/>
      <c r="AA647" s="1014"/>
      <c r="AB647" s="1014"/>
      <c r="AC647" s="1014"/>
      <c r="AD647" s="1014"/>
      <c r="AE647" s="521"/>
      <c r="AF647" s="521"/>
      <c r="AG647" s="521"/>
      <c r="AH647" s="521"/>
      <c r="AI647" s="521"/>
      <c r="AJ647" s="521"/>
      <c r="AK647" s="521"/>
      <c r="AL647" s="1801"/>
      <c r="AM647" s="625"/>
      <c r="AN647" s="625"/>
      <c r="AO647" s="625"/>
      <c r="AP647" s="817"/>
      <c r="AQ647" s="1117"/>
      <c r="AR647" s="1117"/>
      <c r="AS647" s="1117"/>
      <c r="AT647" s="817"/>
      <c r="AU647" s="1117"/>
      <c r="AV647" s="1117"/>
      <c r="AW647" s="1117"/>
      <c r="AX647" s="817"/>
      <c r="AY647" s="618"/>
      <c r="AZ647" s="618"/>
      <c r="BA647" s="618"/>
      <c r="BB647" s="817"/>
      <c r="BC647" s="618"/>
      <c r="BD647" s="618"/>
      <c r="BE647" s="618"/>
      <c r="BF647" s="817"/>
      <c r="BG647" s="1104"/>
      <c r="BH647" s="1104"/>
      <c r="BI647" s="618"/>
      <c r="BJ647" s="817"/>
      <c r="BK647" s="1117"/>
      <c r="BL647" s="1117"/>
      <c r="BM647" s="618"/>
      <c r="BN647" s="817"/>
      <c r="BO647" s="1117"/>
      <c r="BP647" s="1117"/>
      <c r="BQ647" s="618"/>
      <c r="BR647" s="477"/>
      <c r="CR647"/>
      <c r="CS647"/>
      <c r="CT647"/>
      <c r="CU647"/>
      <c r="CV647"/>
      <c r="CW647"/>
    </row>
    <row r="648" spans="1:101" s="474" customFormat="1" outlineLevel="2">
      <c r="A648" s="42"/>
      <c r="B648" s="42"/>
      <c r="C648" s="42"/>
      <c r="D648" s="42"/>
      <c r="E648" s="42"/>
      <c r="F648" s="42"/>
      <c r="G648" s="42"/>
      <c r="H648" s="289"/>
      <c r="I648" s="977"/>
      <c r="J648" s="1118"/>
      <c r="K648" s="521"/>
      <c r="L648" s="521"/>
      <c r="M648" s="521"/>
      <c r="N648" s="1116"/>
      <c r="O648" s="1116"/>
      <c r="P648" s="1040"/>
      <c r="Q648" s="1040"/>
      <c r="R648" s="1040"/>
      <c r="S648" s="1090"/>
      <c r="T648" s="1090"/>
      <c r="U648" s="1090"/>
      <c r="V648" s="1090"/>
      <c r="W648" s="1044"/>
      <c r="X648" s="1044"/>
      <c r="Y648" s="1044"/>
      <c r="Z648" s="1044"/>
      <c r="AA648" s="1044"/>
      <c r="AB648" s="1044"/>
      <c r="AC648" s="1044"/>
      <c r="AD648" s="1044"/>
      <c r="AE648" s="521"/>
      <c r="AF648" s="521"/>
      <c r="AG648" s="521"/>
      <c r="AH648" s="521"/>
      <c r="AI648" s="521"/>
      <c r="AJ648" s="521"/>
      <c r="AK648" s="521"/>
      <c r="AL648" s="1801"/>
      <c r="AM648" s="625"/>
      <c r="AN648" s="625"/>
      <c r="AO648" s="625"/>
      <c r="AP648" s="817"/>
      <c r="AQ648" s="1117"/>
      <c r="AR648" s="1117"/>
      <c r="AS648" s="1117"/>
      <c r="AT648" s="817"/>
      <c r="AU648" s="1117"/>
      <c r="AV648" s="1117"/>
      <c r="AW648" s="1117"/>
      <c r="AX648" s="817"/>
      <c r="AY648" s="618"/>
      <c r="AZ648" s="618"/>
      <c r="BA648" s="618"/>
      <c r="BB648" s="817"/>
      <c r="BC648" s="618"/>
      <c r="BD648" s="618"/>
      <c r="BE648" s="618"/>
      <c r="BF648" s="817"/>
      <c r="BG648" s="1104"/>
      <c r="BH648" s="1104"/>
      <c r="BI648" s="618"/>
      <c r="BJ648" s="817"/>
      <c r="BK648" s="1117"/>
      <c r="BL648" s="1117"/>
      <c r="BM648" s="618"/>
      <c r="BN648" s="817"/>
      <c r="BO648" s="1117"/>
      <c r="BP648" s="1117"/>
      <c r="BQ648" s="618"/>
      <c r="BR648" s="477"/>
      <c r="CR648"/>
      <c r="CS648"/>
      <c r="CT648"/>
      <c r="CU648"/>
      <c r="CV648"/>
      <c r="CW648"/>
    </row>
    <row r="649" spans="1:101" s="474" customFormat="1" outlineLevel="1">
      <c r="A649" s="42"/>
      <c r="B649" s="42"/>
      <c r="C649" s="42"/>
      <c r="D649" s="42"/>
      <c r="E649" s="42"/>
      <c r="F649" s="42"/>
      <c r="G649" s="42"/>
      <c r="H649" s="289"/>
      <c r="I649" s="977"/>
      <c r="J649" s="1019" t="s">
        <v>230</v>
      </c>
      <c r="K649" s="521"/>
      <c r="L649" s="521"/>
      <c r="M649" s="521"/>
      <c r="N649" s="1119"/>
      <c r="O649" s="1119"/>
      <c r="P649" s="1040">
        <v>70.963999999999999</v>
      </c>
      <c r="Q649" s="1040">
        <v>225.03899999999999</v>
      </c>
      <c r="R649" s="1040">
        <v>261.173</v>
      </c>
      <c r="S649" s="1013">
        <f t="shared" ref="S649:AD649" si="690">S357</f>
        <v>4226.7269999999999</v>
      </c>
      <c r="T649" s="1013">
        <f t="shared" si="690"/>
        <v>1076.2860000000001</v>
      </c>
      <c r="U649" s="1013">
        <f t="shared" si="690"/>
        <v>2061.4319999999998</v>
      </c>
      <c r="V649" s="1013">
        <f t="shared" si="690"/>
        <v>2780.0619999999999</v>
      </c>
      <c r="W649" s="1013">
        <f t="shared" si="690"/>
        <v>3016.4388276593472</v>
      </c>
      <c r="X649" s="1013">
        <f t="shared" si="690"/>
        <v>3748.8946981772301</v>
      </c>
      <c r="Y649" s="1013">
        <f t="shared" si="690"/>
        <v>4426.5165333584828</v>
      </c>
      <c r="Z649" s="1013">
        <f t="shared" si="690"/>
        <v>4838.6894435628083</v>
      </c>
      <c r="AA649" s="1013">
        <f t="shared" si="690"/>
        <v>4979.5047066127208</v>
      </c>
      <c r="AB649" s="1013">
        <f t="shared" si="690"/>
        <v>5293.5962317017256</v>
      </c>
      <c r="AC649" s="1013">
        <f t="shared" si="690"/>
        <v>5428.3130569843825</v>
      </c>
      <c r="AD649" s="1013">
        <f t="shared" si="690"/>
        <v>5656.5056256478583</v>
      </c>
      <c r="AE649" s="521"/>
      <c r="AF649" s="521"/>
      <c r="AG649" s="521"/>
      <c r="AH649" s="521"/>
      <c r="AI649" s="521"/>
      <c r="AJ649" s="521"/>
      <c r="AK649" s="521"/>
      <c r="AL649" s="1801"/>
      <c r="AM649" s="625"/>
      <c r="AN649" s="625"/>
      <c r="AO649" s="625"/>
      <c r="AP649" s="1647"/>
      <c r="AQ649" s="1013"/>
      <c r="AR649" s="1013"/>
      <c r="AS649" s="1013"/>
      <c r="AT649" s="1647"/>
      <c r="AU649" s="1013"/>
      <c r="AV649" s="1013"/>
      <c r="AW649" s="1013"/>
      <c r="AX649" s="1647"/>
      <c r="AY649" s="1013"/>
      <c r="AZ649" s="1013"/>
      <c r="BA649" s="1013"/>
      <c r="BB649" s="1647"/>
      <c r="BC649" s="1013"/>
      <c r="BD649" s="1013"/>
      <c r="BE649" s="1013"/>
      <c r="BF649" s="1647"/>
      <c r="BG649" s="1013"/>
      <c r="BH649" s="1013"/>
      <c r="BI649" s="1013"/>
      <c r="BJ649" s="1647"/>
      <c r="BK649" s="1013"/>
      <c r="BL649" s="1013"/>
      <c r="BM649" s="1013"/>
      <c r="BN649" s="1647"/>
      <c r="BO649" s="1013"/>
      <c r="BP649" s="1013"/>
      <c r="BQ649" s="1013"/>
      <c r="BR649" s="477"/>
      <c r="CR649"/>
      <c r="CS649"/>
      <c r="CT649"/>
      <c r="CU649"/>
      <c r="CV649"/>
      <c r="CW649"/>
    </row>
    <row r="650" spans="1:101" s="474" customFormat="1" outlineLevel="1">
      <c r="A650" s="42"/>
      <c r="B650" s="42"/>
      <c r="C650" s="42"/>
      <c r="D650" s="42"/>
      <c r="E650" s="42"/>
      <c r="F650" s="42"/>
      <c r="G650" s="42"/>
      <c r="H650" s="289"/>
      <c r="I650" s="977"/>
      <c r="J650" s="1019" t="s">
        <v>113</v>
      </c>
      <c r="K650" s="521"/>
      <c r="L650" s="521"/>
      <c r="M650" s="521"/>
      <c r="N650" s="1111">
        <f t="shared" ref="N650:AD650" si="691">SUM(N651:N666)</f>
        <v>0</v>
      </c>
      <c r="O650" s="1111">
        <f t="shared" si="691"/>
        <v>0</v>
      </c>
      <c r="P650" s="1111">
        <f t="shared" si="691"/>
        <v>-16.553999999999998</v>
      </c>
      <c r="Q650" s="1111">
        <f t="shared" si="691"/>
        <v>0.94099999999999895</v>
      </c>
      <c r="R650" s="1111">
        <f t="shared" si="691"/>
        <v>-45.190999999999995</v>
      </c>
      <c r="S650" s="655">
        <f t="shared" si="691"/>
        <v>124.548</v>
      </c>
      <c r="T650" s="655">
        <f t="shared" si="691"/>
        <v>6937.2880000000005</v>
      </c>
      <c r="U650" s="655">
        <f t="shared" si="691"/>
        <v>3195.9779999999996</v>
      </c>
      <c r="V650" s="655">
        <f t="shared" si="691"/>
        <v>0</v>
      </c>
      <c r="W650" s="1092">
        <f t="shared" si="691"/>
        <v>0</v>
      </c>
      <c r="X650" s="1092">
        <f t="shared" si="691"/>
        <v>0</v>
      </c>
      <c r="Y650" s="1092">
        <f t="shared" si="691"/>
        <v>0</v>
      </c>
      <c r="Z650" s="1092">
        <f t="shared" si="691"/>
        <v>0</v>
      </c>
      <c r="AA650" s="1092">
        <f t="shared" si="691"/>
        <v>0</v>
      </c>
      <c r="AB650" s="1092">
        <f t="shared" si="691"/>
        <v>0</v>
      </c>
      <c r="AC650" s="1092">
        <f t="shared" si="691"/>
        <v>0</v>
      </c>
      <c r="AD650" s="1092">
        <f t="shared" si="691"/>
        <v>0</v>
      </c>
      <c r="AE650" s="521"/>
      <c r="AF650" s="521"/>
      <c r="AG650" s="521"/>
      <c r="AH650" s="521"/>
      <c r="AI650" s="521"/>
      <c r="AJ650" s="521"/>
      <c r="AK650" s="521"/>
      <c r="AL650" s="1801"/>
      <c r="AM650" s="625"/>
      <c r="AN650" s="625"/>
      <c r="AO650" s="625"/>
      <c r="AP650" s="817"/>
      <c r="AQ650" s="1117"/>
      <c r="AR650" s="1117"/>
      <c r="AS650" s="1117"/>
      <c r="AT650" s="817"/>
      <c r="AU650" s="1117"/>
      <c r="AV650" s="1117"/>
      <c r="AW650" s="1117"/>
      <c r="AX650" s="817"/>
      <c r="AY650" s="618"/>
      <c r="AZ650" s="618"/>
      <c r="BA650" s="618"/>
      <c r="BB650" s="817"/>
      <c r="BC650" s="618"/>
      <c r="BD650" s="618"/>
      <c r="BE650" s="618"/>
      <c r="BF650" s="817"/>
      <c r="BG650" s="1104"/>
      <c r="BH650" s="1104"/>
      <c r="BI650" s="618"/>
      <c r="BJ650" s="817"/>
      <c r="BK650" s="1117"/>
      <c r="BL650" s="1117"/>
      <c r="BM650" s="618"/>
      <c r="BN650" s="817"/>
      <c r="BO650" s="1117"/>
      <c r="BP650" s="1117"/>
      <c r="BQ650" s="618"/>
      <c r="BR650" s="477"/>
      <c r="CR650"/>
      <c r="CS650"/>
      <c r="CT650"/>
      <c r="CU650"/>
      <c r="CV650"/>
      <c r="CW650"/>
    </row>
    <row r="651" spans="1:101" s="474" customFormat="1" outlineLevel="2">
      <c r="A651" s="42"/>
      <c r="B651" s="42"/>
      <c r="C651" s="42"/>
      <c r="D651" s="42"/>
      <c r="E651" s="42"/>
      <c r="F651" s="42"/>
      <c r="G651" s="42"/>
      <c r="H651" s="555"/>
      <c r="I651" s="977"/>
      <c r="J651" s="1115" t="s">
        <v>225</v>
      </c>
      <c r="K651" s="521"/>
      <c r="L651" s="521"/>
      <c r="M651" s="521"/>
      <c r="N651" s="1116"/>
      <c r="O651" s="1116"/>
      <c r="P651" s="1116"/>
      <c r="Q651" s="1116"/>
      <c r="R651" s="1116"/>
      <c r="S651" s="1013"/>
      <c r="T651" s="1013"/>
      <c r="U651" s="1013"/>
      <c r="V651" s="1013"/>
      <c r="W651" s="1014"/>
      <c r="X651" s="1014"/>
      <c r="Y651" s="1014"/>
      <c r="Z651" s="1014"/>
      <c r="AA651" s="1014"/>
      <c r="AB651" s="1014"/>
      <c r="AC651" s="1014"/>
      <c r="AD651" s="1014"/>
      <c r="AE651" s="521"/>
      <c r="AF651" s="521"/>
      <c r="AG651" s="521"/>
      <c r="AH651" s="521"/>
      <c r="AI651" s="521"/>
      <c r="AJ651" s="521"/>
      <c r="AK651" s="521"/>
      <c r="AL651" s="1801"/>
      <c r="AM651" s="625"/>
      <c r="AN651" s="625"/>
      <c r="AO651" s="625"/>
      <c r="AP651" s="817"/>
      <c r="AQ651" s="1117"/>
      <c r="AR651" s="1117"/>
      <c r="AS651" s="1117"/>
      <c r="AT651" s="817"/>
      <c r="AU651" s="1117"/>
      <c r="AV651" s="1117"/>
      <c r="AW651" s="1117"/>
      <c r="AX651" s="817"/>
      <c r="AY651" s="618"/>
      <c r="AZ651" s="618"/>
      <c r="BA651" s="618"/>
      <c r="BB651" s="817"/>
      <c r="BC651" s="618"/>
      <c r="BD651" s="618"/>
      <c r="BE651" s="618"/>
      <c r="BF651" s="817"/>
      <c r="BG651" s="1104"/>
      <c r="BH651" s="1104"/>
      <c r="BI651" s="618"/>
      <c r="BJ651" s="817"/>
      <c r="BK651" s="1117"/>
      <c r="BL651" s="1117"/>
      <c r="BM651" s="618"/>
      <c r="BN651" s="817"/>
      <c r="BO651" s="1117"/>
      <c r="BP651" s="1117"/>
      <c r="BQ651" s="618"/>
      <c r="BR651" s="477"/>
      <c r="CR651"/>
      <c r="CS651"/>
      <c r="CT651"/>
      <c r="CU651"/>
      <c r="CV651"/>
      <c r="CW651"/>
    </row>
    <row r="652" spans="1:101" s="474" customFormat="1" outlineLevel="2">
      <c r="A652" s="42"/>
      <c r="B652" s="42"/>
      <c r="C652" s="42"/>
      <c r="D652" s="42"/>
      <c r="E652" s="42"/>
      <c r="F652" s="42"/>
      <c r="G652" s="42"/>
      <c r="H652" s="289"/>
      <c r="I652" s="977"/>
      <c r="J652" s="1115" t="s">
        <v>462</v>
      </c>
      <c r="K652" s="521"/>
      <c r="L652" s="521"/>
      <c r="M652" s="521"/>
      <c r="N652" s="1116"/>
      <c r="O652" s="1116"/>
      <c r="P652" s="1473">
        <v>0</v>
      </c>
      <c r="Q652" s="1473">
        <v>0</v>
      </c>
      <c r="R652" s="1473">
        <v>0.309</v>
      </c>
      <c r="S652" s="1402">
        <v>-0.63800000000000001</v>
      </c>
      <c r="T652" s="1402">
        <v>3134.2829999999999</v>
      </c>
      <c r="U652" s="1402">
        <v>2785.3429999999998</v>
      </c>
      <c r="V652" s="1090"/>
      <c r="W652" s="1044"/>
      <c r="X652" s="1044"/>
      <c r="Y652" s="1044"/>
      <c r="Z652" s="1044"/>
      <c r="AA652" s="1044"/>
      <c r="AB652" s="1044"/>
      <c r="AC652" s="1044"/>
      <c r="AD652" s="1044"/>
      <c r="AE652" s="521"/>
      <c r="AF652" s="521"/>
      <c r="AG652" s="521"/>
      <c r="AH652" s="521"/>
      <c r="AI652" s="521"/>
      <c r="AJ652" s="521"/>
      <c r="AK652" s="521"/>
      <c r="AL652" s="1801"/>
      <c r="AM652" s="625"/>
      <c r="AN652" s="625"/>
      <c r="AO652" s="625"/>
      <c r="AP652" s="817"/>
      <c r="AQ652" s="1117"/>
      <c r="AR652" s="1117"/>
      <c r="AS652" s="1117"/>
      <c r="AT652" s="817"/>
      <c r="AU652" s="1117"/>
      <c r="AV652" s="1117"/>
      <c r="AW652" s="1117"/>
      <c r="AX652" s="817"/>
      <c r="AY652" s="618"/>
      <c r="AZ652" s="618"/>
      <c r="BA652" s="618"/>
      <c r="BB652" s="817"/>
      <c r="BC652" s="618"/>
      <c r="BD652" s="618"/>
      <c r="BE652" s="618"/>
      <c r="BF652" s="817"/>
      <c r="BG652" s="1104"/>
      <c r="BH652" s="1104"/>
      <c r="BI652" s="618"/>
      <c r="BJ652" s="817"/>
      <c r="BK652" s="1117"/>
      <c r="BL652" s="1117"/>
      <c r="BM652" s="618"/>
      <c r="BN652" s="817"/>
      <c r="BO652" s="1117"/>
      <c r="BP652" s="1117"/>
      <c r="BQ652" s="618"/>
      <c r="BR652" s="477"/>
      <c r="CR652"/>
      <c r="CS652"/>
      <c r="CT652"/>
      <c r="CU652"/>
      <c r="CV652"/>
      <c r="CW652"/>
    </row>
    <row r="653" spans="1:101" s="474" customFormat="1" outlineLevel="2">
      <c r="A653" s="42"/>
      <c r="B653" s="42"/>
      <c r="C653" s="42"/>
      <c r="D653" s="42"/>
      <c r="E653" s="42"/>
      <c r="F653" s="42"/>
      <c r="G653" s="42"/>
      <c r="H653" s="289"/>
      <c r="I653" s="977"/>
      <c r="J653" s="1115" t="s">
        <v>223</v>
      </c>
      <c r="K653" s="521"/>
      <c r="L653" s="521"/>
      <c r="M653" s="521"/>
      <c r="N653" s="1116"/>
      <c r="O653" s="1116"/>
      <c r="P653" s="1473">
        <v>17.920999999999999</v>
      </c>
      <c r="Q653" s="1473">
        <v>-2.4060000000000001</v>
      </c>
      <c r="R653" s="1473">
        <v>-0.107</v>
      </c>
      <c r="S653" s="1402">
        <v>74.331999999999994</v>
      </c>
      <c r="T653" s="1402">
        <v>420.75</v>
      </c>
      <c r="U653" s="1402">
        <v>867.23299999999995</v>
      </c>
      <c r="V653" s="1090"/>
      <c r="W653" s="1044"/>
      <c r="X653" s="1044"/>
      <c r="Y653" s="1044"/>
      <c r="Z653" s="1044"/>
      <c r="AA653" s="1044"/>
      <c r="AB653" s="1044"/>
      <c r="AC653" s="1044"/>
      <c r="AD653" s="1044"/>
      <c r="AE653" s="521"/>
      <c r="AF653" s="521"/>
      <c r="AG653" s="521"/>
      <c r="AH653" s="521"/>
      <c r="AI653" s="521"/>
      <c r="AJ653" s="521"/>
      <c r="AK653" s="521"/>
      <c r="AL653" s="1801"/>
      <c r="AM653" s="625"/>
      <c r="AN653" s="625"/>
      <c r="AO653" s="625"/>
      <c r="AP653" s="817"/>
      <c r="AQ653" s="1117"/>
      <c r="AR653" s="1117"/>
      <c r="AS653" s="1117"/>
      <c r="AT653" s="817"/>
      <c r="AU653" s="1117"/>
      <c r="AV653" s="1117"/>
      <c r="AW653" s="1117"/>
      <c r="AX653" s="817"/>
      <c r="AY653" s="618"/>
      <c r="AZ653" s="618"/>
      <c r="BA653" s="618"/>
      <c r="BB653" s="817"/>
      <c r="BC653" s="618"/>
      <c r="BD653" s="618"/>
      <c r="BE653" s="618"/>
      <c r="BF653" s="817"/>
      <c r="BG653" s="1104"/>
      <c r="BH653" s="1104"/>
      <c r="BI653" s="618"/>
      <c r="BJ653" s="817"/>
      <c r="BK653" s="1117"/>
      <c r="BL653" s="1117"/>
      <c r="BM653" s="618"/>
      <c r="BN653" s="817"/>
      <c r="BO653" s="1117"/>
      <c r="BP653" s="1117"/>
      <c r="BQ653" s="618"/>
      <c r="BR653" s="477"/>
      <c r="CR653"/>
      <c r="CS653"/>
      <c r="CT653"/>
      <c r="CU653"/>
      <c r="CV653"/>
      <c r="CW653"/>
    </row>
    <row r="654" spans="1:101" s="474" customFormat="1" outlineLevel="2">
      <c r="A654" s="42"/>
      <c r="B654" s="42"/>
      <c r="C654" s="42"/>
      <c r="D654" s="42"/>
      <c r="E654" s="42"/>
      <c r="F654" s="42"/>
      <c r="G654" s="42"/>
      <c r="H654" s="289"/>
      <c r="I654" s="977"/>
      <c r="J654" s="1115" t="s">
        <v>224</v>
      </c>
      <c r="K654" s="521"/>
      <c r="L654" s="521"/>
      <c r="M654" s="521"/>
      <c r="N654" s="1116"/>
      <c r="O654" s="1116"/>
      <c r="P654" s="1473"/>
      <c r="Q654" s="1473"/>
      <c r="R654" s="1473"/>
      <c r="S654" s="1402"/>
      <c r="T654" s="1402"/>
      <c r="U654" s="1402"/>
      <c r="V654" s="1090"/>
      <c r="W654" s="1044"/>
      <c r="X654" s="1044"/>
      <c r="Y654" s="1044"/>
      <c r="Z654" s="1044"/>
      <c r="AA654" s="1044"/>
      <c r="AB654" s="1044"/>
      <c r="AC654" s="1044"/>
      <c r="AD654" s="1044"/>
      <c r="AE654" s="521"/>
      <c r="AF654" s="521"/>
      <c r="AG654" s="521"/>
      <c r="AH654" s="521"/>
      <c r="AI654" s="521"/>
      <c r="AJ654" s="521"/>
      <c r="AK654" s="521"/>
      <c r="AL654" s="1801"/>
      <c r="AM654" s="625"/>
      <c r="AN654" s="625"/>
      <c r="AO654" s="625"/>
      <c r="AP654" s="817"/>
      <c r="AQ654" s="1117"/>
      <c r="AR654" s="1117"/>
      <c r="AS654" s="1117"/>
      <c r="AT654" s="817"/>
      <c r="AU654" s="1117"/>
      <c r="AV654" s="1117"/>
      <c r="AW654" s="1117"/>
      <c r="AX654" s="817"/>
      <c r="AY654" s="618"/>
      <c r="AZ654" s="618"/>
      <c r="BA654" s="618"/>
      <c r="BB654" s="817"/>
      <c r="BC654" s="618"/>
      <c r="BD654" s="618"/>
      <c r="BE654" s="618"/>
      <c r="BF654" s="817"/>
      <c r="BG654" s="1104"/>
      <c r="BH654" s="1104"/>
      <c r="BI654" s="618"/>
      <c r="BJ654" s="817"/>
      <c r="BK654" s="1117"/>
      <c r="BL654" s="1117"/>
      <c r="BM654" s="618"/>
      <c r="BN654" s="817"/>
      <c r="BO654" s="1117"/>
      <c r="BP654" s="1117"/>
      <c r="BQ654" s="618"/>
      <c r="BR654" s="477"/>
      <c r="CR654"/>
      <c r="CS654"/>
      <c r="CT654"/>
      <c r="CU654"/>
      <c r="CV654"/>
      <c r="CW654"/>
    </row>
    <row r="655" spans="1:101" s="474" customFormat="1" outlineLevel="2">
      <c r="A655" s="42"/>
      <c r="B655" s="42"/>
      <c r="C655" s="42"/>
      <c r="D655" s="42"/>
      <c r="E655" s="42"/>
      <c r="F655" s="42"/>
      <c r="G655" s="42"/>
      <c r="H655" s="289"/>
      <c r="I655" s="977"/>
      <c r="J655" s="1115" t="s">
        <v>228</v>
      </c>
      <c r="K655" s="521"/>
      <c r="L655" s="521"/>
      <c r="M655" s="521"/>
      <c r="N655" s="1116"/>
      <c r="O655" s="1116"/>
      <c r="P655" s="1473">
        <v>6.8339999999999996</v>
      </c>
      <c r="Q655" s="1473">
        <v>10.981999999999999</v>
      </c>
      <c r="R655" s="1473">
        <v>22.725999999999999</v>
      </c>
      <c r="S655" s="1402">
        <v>26.042999999999999</v>
      </c>
      <c r="T655" s="1402">
        <v>7.7140000000000004</v>
      </c>
      <c r="U655" s="1402">
        <v>18.478000000000002</v>
      </c>
      <c r="V655" s="1090"/>
      <c r="W655" s="1044"/>
      <c r="X655" s="1044"/>
      <c r="Y655" s="1044"/>
      <c r="Z655" s="1044"/>
      <c r="AA655" s="1044"/>
      <c r="AB655" s="1044"/>
      <c r="AC655" s="1044"/>
      <c r="AD655" s="1044"/>
      <c r="AE655" s="521"/>
      <c r="AF655" s="521"/>
      <c r="AG655" s="521"/>
      <c r="AH655" s="521"/>
      <c r="AI655" s="521"/>
      <c r="AJ655" s="521"/>
      <c r="AK655" s="521"/>
      <c r="AL655" s="1801"/>
      <c r="AM655" s="625"/>
      <c r="AN655" s="625"/>
      <c r="AO655" s="625"/>
      <c r="AP655" s="817"/>
      <c r="AQ655" s="1117"/>
      <c r="AR655" s="1117"/>
      <c r="AS655" s="1117"/>
      <c r="AT655" s="817"/>
      <c r="AU655" s="1117"/>
      <c r="AV655" s="1117"/>
      <c r="AW655" s="1117"/>
      <c r="AX655" s="817"/>
      <c r="AY655" s="618"/>
      <c r="AZ655" s="618"/>
      <c r="BA655" s="618"/>
      <c r="BB655" s="817"/>
      <c r="BC655" s="618"/>
      <c r="BD655" s="618"/>
      <c r="BE655" s="618"/>
      <c r="BF655" s="817"/>
      <c r="BG655" s="1104"/>
      <c r="BH655" s="1104"/>
      <c r="BI655" s="618"/>
      <c r="BJ655" s="817"/>
      <c r="BK655" s="1117"/>
      <c r="BL655" s="1117"/>
      <c r="BM655" s="618"/>
      <c r="BN655" s="817"/>
      <c r="BO655" s="1117"/>
      <c r="BP655" s="1117"/>
      <c r="BQ655" s="618"/>
      <c r="BR655" s="477"/>
      <c r="CR655"/>
      <c r="CS655"/>
      <c r="CT655"/>
      <c r="CU655"/>
      <c r="CV655"/>
      <c r="CW655"/>
    </row>
    <row r="656" spans="1:101" s="474" customFormat="1" outlineLevel="2">
      <c r="A656" s="42"/>
      <c r="B656" s="42"/>
      <c r="C656" s="42"/>
      <c r="D656" s="42"/>
      <c r="E656" s="42"/>
      <c r="F656" s="42"/>
      <c r="G656" s="42"/>
      <c r="H656" s="289"/>
      <c r="I656" s="977"/>
      <c r="J656" s="1115" t="s">
        <v>229</v>
      </c>
      <c r="K656" s="521"/>
      <c r="L656" s="521"/>
      <c r="M656" s="521"/>
      <c r="N656" s="1116"/>
      <c r="O656" s="1116"/>
      <c r="P656" s="1116"/>
      <c r="Q656" s="1116"/>
      <c r="R656" s="1116"/>
      <c r="S656" s="1090"/>
      <c r="T656" s="1090"/>
      <c r="U656" s="1090"/>
      <c r="V656" s="1090"/>
      <c r="W656" s="1044"/>
      <c r="X656" s="1044"/>
      <c r="Y656" s="1044"/>
      <c r="Z656" s="1044"/>
      <c r="AA656" s="1044"/>
      <c r="AB656" s="1044"/>
      <c r="AC656" s="1044"/>
      <c r="AD656" s="1044"/>
      <c r="AE656" s="521"/>
      <c r="AF656" s="521"/>
      <c r="AG656" s="521"/>
      <c r="AH656" s="521"/>
      <c r="AI656" s="521"/>
      <c r="AJ656" s="521"/>
      <c r="AK656" s="521"/>
      <c r="AL656" s="1801"/>
      <c r="AM656" s="625"/>
      <c r="AN656" s="625"/>
      <c r="AO656" s="625"/>
      <c r="AP656" s="817"/>
      <c r="AQ656" s="1117"/>
      <c r="AR656" s="1117"/>
      <c r="AS656" s="1117"/>
      <c r="AT656" s="817"/>
      <c r="AU656" s="1117"/>
      <c r="AV656" s="1117"/>
      <c r="AW656" s="1117"/>
      <c r="AX656" s="817"/>
      <c r="AY656" s="618"/>
      <c r="AZ656" s="618"/>
      <c r="BA656" s="618"/>
      <c r="BB656" s="817"/>
      <c r="BC656" s="618"/>
      <c r="BD656" s="618"/>
      <c r="BE656" s="618"/>
      <c r="BF656" s="817"/>
      <c r="BG656" s="1104"/>
      <c r="BH656" s="1104"/>
      <c r="BI656" s="618"/>
      <c r="BJ656" s="817"/>
      <c r="BK656" s="1117"/>
      <c r="BL656" s="1117"/>
      <c r="BM656" s="618"/>
      <c r="BN656" s="817"/>
      <c r="BO656" s="1117"/>
      <c r="BP656" s="1117"/>
      <c r="BQ656" s="618"/>
      <c r="BR656" s="477"/>
      <c r="CR656"/>
      <c r="CS656"/>
      <c r="CT656"/>
      <c r="CU656"/>
      <c r="CV656"/>
      <c r="CW656"/>
    </row>
    <row r="657" spans="1:101" s="474" customFormat="1" outlineLevel="2">
      <c r="A657" s="42"/>
      <c r="B657" s="42"/>
      <c r="C657" s="42"/>
      <c r="D657" s="42"/>
      <c r="E657" s="42"/>
      <c r="F657" s="42"/>
      <c r="G657" s="42"/>
      <c r="H657" s="289"/>
      <c r="I657" s="977"/>
      <c r="J657" s="1115" t="s">
        <v>181</v>
      </c>
      <c r="K657" s="521"/>
      <c r="L657" s="521"/>
      <c r="M657" s="521"/>
      <c r="N657" s="1111">
        <f>N420</f>
        <v>0</v>
      </c>
      <c r="O657" s="1111">
        <f>O420</f>
        <v>0</v>
      </c>
      <c r="P657" s="1111">
        <f>P420</f>
        <v>0</v>
      </c>
      <c r="Q657" s="1111">
        <f>Q420</f>
        <v>0</v>
      </c>
      <c r="R657" s="1111">
        <f>R420</f>
        <v>0</v>
      </c>
      <c r="S657" s="1090"/>
      <c r="T657" s="1090"/>
      <c r="U657" s="1090"/>
      <c r="V657" s="1090"/>
      <c r="W657" s="1044"/>
      <c r="X657" s="1044"/>
      <c r="Y657" s="1044"/>
      <c r="Z657" s="1044"/>
      <c r="AA657" s="1044"/>
      <c r="AB657" s="1044"/>
      <c r="AC657" s="1044"/>
      <c r="AD657" s="1044"/>
      <c r="AE657" s="521"/>
      <c r="AF657" s="521"/>
      <c r="AG657" s="521"/>
      <c r="AH657" s="521"/>
      <c r="AI657" s="521"/>
      <c r="AJ657" s="521"/>
      <c r="AK657" s="521"/>
      <c r="AL657" s="1801"/>
      <c r="AM657" s="625"/>
      <c r="AN657" s="625"/>
      <c r="AO657" s="625"/>
      <c r="AP657" s="817"/>
      <c r="AQ657" s="1117"/>
      <c r="AR657" s="1117"/>
      <c r="AS657" s="1117"/>
      <c r="AT657" s="817"/>
      <c r="AU657" s="1117"/>
      <c r="AV657" s="1117"/>
      <c r="AW657" s="1117"/>
      <c r="AX657" s="817"/>
      <c r="AY657" s="618"/>
      <c r="AZ657" s="618"/>
      <c r="BA657" s="618"/>
      <c r="BB657" s="817"/>
      <c r="BC657" s="618"/>
      <c r="BD657" s="618"/>
      <c r="BE657" s="618"/>
      <c r="BF657" s="817"/>
      <c r="BG657" s="1104"/>
      <c r="BH657" s="1104"/>
      <c r="BI657" s="618"/>
      <c r="BJ657" s="817"/>
      <c r="BK657" s="1117"/>
      <c r="BL657" s="1117"/>
      <c r="BM657" s="618"/>
      <c r="BN657" s="817"/>
      <c r="BO657" s="1117"/>
      <c r="BP657" s="1117"/>
      <c r="BQ657" s="618"/>
      <c r="BR657" s="477"/>
      <c r="CR657"/>
      <c r="CS657"/>
      <c r="CT657"/>
      <c r="CU657"/>
      <c r="CV657"/>
      <c r="CW657"/>
    </row>
    <row r="658" spans="1:101" s="474" customFormat="1" outlineLevel="2">
      <c r="A658" s="42"/>
      <c r="B658" s="42"/>
      <c r="C658" s="42"/>
      <c r="D658" s="42"/>
      <c r="E658" s="42"/>
      <c r="F658" s="42"/>
      <c r="G658" s="42"/>
      <c r="H658" s="289"/>
      <c r="I658" s="977"/>
      <c r="J658" s="1115" t="s">
        <v>182</v>
      </c>
      <c r="K658" s="521"/>
      <c r="L658" s="521"/>
      <c r="M658" s="521"/>
      <c r="N658" s="1111">
        <f>N428</f>
        <v>0</v>
      </c>
      <c r="O658" s="1111">
        <f>O428</f>
        <v>0</v>
      </c>
      <c r="P658" s="1111">
        <f>P428</f>
        <v>0</v>
      </c>
      <c r="Q658" s="1111">
        <f>Q428</f>
        <v>0</v>
      </c>
      <c r="R658" s="1111">
        <f>R428</f>
        <v>0</v>
      </c>
      <c r="S658" s="1090"/>
      <c r="T658" s="1090"/>
      <c r="U658" s="1090"/>
      <c r="V658" s="1090"/>
      <c r="W658" s="1044"/>
      <c r="X658" s="1044"/>
      <c r="Y658" s="1044"/>
      <c r="Z658" s="1044"/>
      <c r="AA658" s="1044"/>
      <c r="AB658" s="1044"/>
      <c r="AC658" s="1044"/>
      <c r="AD658" s="1044"/>
      <c r="AE658" s="521"/>
      <c r="AF658" s="521"/>
      <c r="AG658" s="521"/>
      <c r="AH658" s="521"/>
      <c r="AI658" s="521"/>
      <c r="AJ658" s="521"/>
      <c r="AK658" s="521"/>
      <c r="AL658" s="1801"/>
      <c r="AM658" s="625"/>
      <c r="AN658" s="625"/>
      <c r="AO658" s="625"/>
      <c r="AP658" s="817"/>
      <c r="AQ658" s="1117"/>
      <c r="AR658" s="1117"/>
      <c r="AS658" s="1117"/>
      <c r="AT658" s="817"/>
      <c r="AU658" s="1117"/>
      <c r="AV658" s="1117"/>
      <c r="AW658" s="1117"/>
      <c r="AX658" s="817"/>
      <c r="AY658" s="618"/>
      <c r="AZ658" s="618"/>
      <c r="BA658" s="618"/>
      <c r="BB658" s="817"/>
      <c r="BC658" s="618"/>
      <c r="BD658" s="618"/>
      <c r="BE658" s="618"/>
      <c r="BF658" s="817"/>
      <c r="BG658" s="1104"/>
      <c r="BH658" s="1104"/>
      <c r="BI658" s="618"/>
      <c r="BJ658" s="817"/>
      <c r="BK658" s="1117"/>
      <c r="BL658" s="1117"/>
      <c r="BM658" s="618"/>
      <c r="BN658" s="817"/>
      <c r="BO658" s="1117"/>
      <c r="BP658" s="1117"/>
      <c r="BQ658" s="618"/>
      <c r="BR658" s="477"/>
      <c r="CR658"/>
      <c r="CS658"/>
      <c r="CT658"/>
      <c r="CU658"/>
      <c r="CV658"/>
      <c r="CW658"/>
    </row>
    <row r="659" spans="1:101" s="474" customFormat="1" outlineLevel="2">
      <c r="A659" s="42"/>
      <c r="B659" s="42"/>
      <c r="C659" s="42"/>
      <c r="D659" s="42"/>
      <c r="E659" s="42"/>
      <c r="F659" s="42"/>
      <c r="G659" s="42"/>
      <c r="H659" s="289"/>
      <c r="I659" s="977"/>
      <c r="J659" s="1115" t="s">
        <v>455</v>
      </c>
      <c r="K659" s="521"/>
      <c r="L659" s="521"/>
      <c r="M659" s="521"/>
      <c r="N659" s="1111"/>
      <c r="O659" s="1111"/>
      <c r="P659" s="1473">
        <v>0</v>
      </c>
      <c r="Q659" s="1473">
        <v>0</v>
      </c>
      <c r="R659" s="1473">
        <v>24.681999999999999</v>
      </c>
      <c r="S659" s="1402">
        <v>0</v>
      </c>
      <c r="T659" s="1402">
        <v>0</v>
      </c>
      <c r="U659" s="1402">
        <v>0</v>
      </c>
      <c r="V659" s="1090"/>
      <c r="W659" s="1044"/>
      <c r="X659" s="1044"/>
      <c r="Y659" s="1044"/>
      <c r="Z659" s="1044"/>
      <c r="AA659" s="1044"/>
      <c r="AB659" s="1044"/>
      <c r="AC659" s="1044"/>
      <c r="AD659" s="1044"/>
      <c r="AE659" s="521"/>
      <c r="AF659" s="521"/>
      <c r="AG659" s="521"/>
      <c r="AH659" s="521"/>
      <c r="AI659" s="521"/>
      <c r="AJ659" s="521"/>
      <c r="AK659" s="521"/>
      <c r="AL659" s="1801"/>
      <c r="AM659" s="625"/>
      <c r="AN659" s="625"/>
      <c r="AO659" s="625"/>
      <c r="AP659" s="817"/>
      <c r="AQ659" s="1117"/>
      <c r="AR659" s="1117"/>
      <c r="AS659" s="1117"/>
      <c r="AT659" s="817"/>
      <c r="AU659" s="1117"/>
      <c r="AV659" s="1117"/>
      <c r="AW659" s="1117"/>
      <c r="AX659" s="817"/>
      <c r="AY659" s="618"/>
      <c r="AZ659" s="618"/>
      <c r="BA659" s="618"/>
      <c r="BB659" s="817"/>
      <c r="BC659" s="618"/>
      <c r="BD659" s="618"/>
      <c r="BE659" s="618"/>
      <c r="BF659" s="817"/>
      <c r="BG659" s="1104"/>
      <c r="BH659" s="1104"/>
      <c r="BI659" s="618"/>
      <c r="BJ659" s="817"/>
      <c r="BK659" s="1117"/>
      <c r="BL659" s="1117"/>
      <c r="BM659" s="618"/>
      <c r="BN659" s="817"/>
      <c r="BO659" s="1117"/>
      <c r="BP659" s="1117"/>
      <c r="BQ659" s="618"/>
      <c r="BR659" s="477"/>
      <c r="CR659"/>
      <c r="CS659"/>
      <c r="CT659"/>
      <c r="CU659"/>
      <c r="CV659"/>
      <c r="CW659"/>
    </row>
    <row r="660" spans="1:101" s="474" customFormat="1" outlineLevel="2">
      <c r="A660" s="42"/>
      <c r="B660" s="42"/>
      <c r="C660" s="42"/>
      <c r="D660" s="42"/>
      <c r="E660" s="42"/>
      <c r="F660" s="42"/>
      <c r="G660" s="42"/>
      <c r="H660" s="289"/>
      <c r="I660" s="977"/>
      <c r="J660" s="1115" t="s">
        <v>269</v>
      </c>
      <c r="K660" s="521"/>
      <c r="L660" s="521"/>
      <c r="M660" s="521"/>
      <c r="N660" s="1111"/>
      <c r="O660" s="1111"/>
      <c r="P660" s="1473">
        <v>0</v>
      </c>
      <c r="Q660" s="1473">
        <v>6.1269999999999998</v>
      </c>
      <c r="R660" s="1473">
        <v>-0.04</v>
      </c>
      <c r="S660" s="1402">
        <v>-4.1689999999999996</v>
      </c>
      <c r="T660" s="1402">
        <v>-42.584000000000003</v>
      </c>
      <c r="U660" s="1402">
        <v>-34.781999999999996</v>
      </c>
      <c r="V660" s="1090"/>
      <c r="W660" s="1044"/>
      <c r="X660" s="1044"/>
      <c r="Y660" s="1044"/>
      <c r="Z660" s="1044"/>
      <c r="AA660" s="1044"/>
      <c r="AB660" s="1044"/>
      <c r="AC660" s="1044"/>
      <c r="AD660" s="1044"/>
      <c r="AE660" s="521"/>
      <c r="AF660" s="521"/>
      <c r="AG660" s="521"/>
      <c r="AH660" s="521"/>
      <c r="AI660" s="521"/>
      <c r="AJ660" s="521"/>
      <c r="AK660" s="521"/>
      <c r="AL660" s="1801"/>
      <c r="AM660" s="625"/>
      <c r="AN660" s="625"/>
      <c r="AO660" s="625"/>
      <c r="AP660" s="817"/>
      <c r="AQ660" s="1117"/>
      <c r="AR660" s="1117"/>
      <c r="AS660" s="1117"/>
      <c r="AT660" s="817"/>
      <c r="AU660" s="1117"/>
      <c r="AV660" s="1117"/>
      <c r="AW660" s="1117"/>
      <c r="AX660" s="817"/>
      <c r="AY660" s="618"/>
      <c r="AZ660" s="618"/>
      <c r="BA660" s="618"/>
      <c r="BB660" s="817"/>
      <c r="BC660" s="618"/>
      <c r="BD660" s="618"/>
      <c r="BE660" s="618"/>
      <c r="BF660" s="817"/>
      <c r="BG660" s="1104"/>
      <c r="BH660" s="1104"/>
      <c r="BI660" s="618"/>
      <c r="BJ660" s="817"/>
      <c r="BK660" s="1117"/>
      <c r="BL660" s="1117"/>
      <c r="BM660" s="618"/>
      <c r="BN660" s="817"/>
      <c r="BO660" s="1117"/>
      <c r="BP660" s="1117"/>
      <c r="BQ660" s="618"/>
      <c r="BR660" s="477"/>
      <c r="CR660"/>
      <c r="CS660"/>
      <c r="CT660"/>
      <c r="CU660"/>
      <c r="CV660"/>
      <c r="CW660"/>
    </row>
    <row r="661" spans="1:101" s="474" customFormat="1" outlineLevel="2">
      <c r="A661" s="42"/>
      <c r="B661" s="42"/>
      <c r="C661" s="42"/>
      <c r="D661" s="42"/>
      <c r="E661" s="42"/>
      <c r="F661" s="42"/>
      <c r="G661" s="42"/>
      <c r="H661" s="289"/>
      <c r="I661" s="977"/>
      <c r="J661" s="1115" t="s">
        <v>270</v>
      </c>
      <c r="K661" s="521"/>
      <c r="L661" s="521"/>
      <c r="M661" s="521"/>
      <c r="N661" s="1111"/>
      <c r="O661" s="1111"/>
      <c r="P661" s="1473">
        <v>-41.308999999999997</v>
      </c>
      <c r="Q661" s="1473">
        <v>-13.762</v>
      </c>
      <c r="R661" s="1473">
        <v>-92.760999999999996</v>
      </c>
      <c r="S661" s="1402">
        <v>28.98</v>
      </c>
      <c r="T661" s="1402">
        <v>57.395000000000003</v>
      </c>
      <c r="U661" s="1402">
        <v>146.35400000000001</v>
      </c>
      <c r="V661" s="1090"/>
      <c r="W661" s="1044"/>
      <c r="X661" s="1044"/>
      <c r="Y661" s="1044"/>
      <c r="Z661" s="1044"/>
      <c r="AA661" s="1044"/>
      <c r="AB661" s="1044"/>
      <c r="AC661" s="1044"/>
      <c r="AD661" s="1044"/>
      <c r="AE661" s="521"/>
      <c r="AF661" s="521"/>
      <c r="AG661" s="521"/>
      <c r="AH661" s="521"/>
      <c r="AI661" s="521"/>
      <c r="AJ661" s="521"/>
      <c r="AK661" s="521"/>
      <c r="AL661" s="1801"/>
      <c r="AM661" s="625"/>
      <c r="AN661" s="625"/>
      <c r="AO661" s="625"/>
      <c r="AP661" s="817"/>
      <c r="AQ661" s="1117"/>
      <c r="AR661" s="1117"/>
      <c r="AS661" s="1117"/>
      <c r="AT661" s="817"/>
      <c r="AU661" s="1117"/>
      <c r="AV661" s="1117"/>
      <c r="AW661" s="1117"/>
      <c r="AX661" s="817"/>
      <c r="AY661" s="618"/>
      <c r="AZ661" s="618"/>
      <c r="BA661" s="618"/>
      <c r="BB661" s="817"/>
      <c r="BC661" s="618"/>
      <c r="BD661" s="618"/>
      <c r="BE661" s="618"/>
      <c r="BF661" s="817"/>
      <c r="BG661" s="1104"/>
      <c r="BH661" s="1104"/>
      <c r="BI661" s="618"/>
      <c r="BJ661" s="817"/>
      <c r="BK661" s="1117"/>
      <c r="BL661" s="1117"/>
      <c r="BM661" s="618"/>
      <c r="BN661" s="817"/>
      <c r="BO661" s="1117"/>
      <c r="BP661" s="1117"/>
      <c r="BQ661" s="618"/>
      <c r="BR661" s="477"/>
      <c r="CR661"/>
      <c r="CS661"/>
      <c r="CT661"/>
      <c r="CU661"/>
      <c r="CV661"/>
      <c r="CW661"/>
    </row>
    <row r="662" spans="1:101" s="474" customFormat="1" outlineLevel="2">
      <c r="A662" s="42"/>
      <c r="B662" s="42"/>
      <c r="C662" s="42"/>
      <c r="D662" s="42"/>
      <c r="E662" s="42"/>
      <c r="F662" s="42"/>
      <c r="G662" s="42"/>
      <c r="H662" s="289"/>
      <c r="I662" s="977"/>
      <c r="J662" s="1036" t="s">
        <v>532</v>
      </c>
      <c r="K662" s="521"/>
      <c r="L662" s="521"/>
      <c r="M662" s="521"/>
      <c r="N662" s="1111"/>
      <c r="O662" s="1111"/>
      <c r="P662" s="1473"/>
      <c r="Q662" s="1473"/>
      <c r="R662" s="1473"/>
      <c r="S662" s="1402"/>
      <c r="T662" s="1402"/>
      <c r="U662" s="1402"/>
      <c r="V662" s="1090"/>
      <c r="W662" s="1044"/>
      <c r="X662" s="1044"/>
      <c r="Y662" s="1044"/>
      <c r="Z662" s="1044"/>
      <c r="AA662" s="1044"/>
      <c r="AB662" s="1044"/>
      <c r="AC662" s="1044"/>
      <c r="AD662" s="1044"/>
      <c r="AE662" s="521"/>
      <c r="AF662" s="521"/>
      <c r="AG662" s="521"/>
      <c r="AH662" s="521"/>
      <c r="AI662" s="521"/>
      <c r="AJ662" s="521"/>
      <c r="AK662" s="521"/>
      <c r="AL662" s="1801"/>
      <c r="AM662" s="625"/>
      <c r="AN662" s="625"/>
      <c r="AO662" s="625"/>
      <c r="AP662" s="817"/>
      <c r="AQ662" s="1117"/>
      <c r="AR662" s="1117"/>
      <c r="AS662" s="1117"/>
      <c r="AT662" s="817"/>
      <c r="AU662" s="1117"/>
      <c r="AV662" s="1117"/>
      <c r="AW662" s="1117"/>
      <c r="AX662" s="817"/>
      <c r="AY662" s="618"/>
      <c r="AZ662" s="618"/>
      <c r="BA662" s="618"/>
      <c r="BB662" s="817"/>
      <c r="BC662" s="618"/>
      <c r="BD662" s="618"/>
      <c r="BE662" s="618"/>
      <c r="BF662" s="817"/>
      <c r="BG662" s="1104"/>
      <c r="BH662" s="1104"/>
      <c r="BI662" s="618"/>
      <c r="BJ662" s="817"/>
      <c r="BK662" s="1117"/>
      <c r="BL662" s="1117"/>
      <c r="BM662" s="618"/>
      <c r="BN662" s="817"/>
      <c r="BO662" s="1117"/>
      <c r="BP662" s="1117"/>
      <c r="BQ662" s="618"/>
      <c r="BR662" s="477"/>
      <c r="CR662"/>
      <c r="CS662"/>
      <c r="CT662"/>
      <c r="CU662"/>
      <c r="CV662"/>
      <c r="CW662"/>
    </row>
    <row r="663" spans="1:101" s="474" customFormat="1" outlineLevel="2">
      <c r="A663" s="42"/>
      <c r="B663" s="42"/>
      <c r="C663" s="42"/>
      <c r="D663" s="42"/>
      <c r="E663" s="42"/>
      <c r="F663" s="42"/>
      <c r="G663" s="42"/>
      <c r="H663" s="289"/>
      <c r="I663" s="977"/>
      <c r="J663" s="1036" t="s">
        <v>553</v>
      </c>
      <c r="K663" s="521"/>
      <c r="L663" s="521"/>
      <c r="M663" s="521"/>
      <c r="N663" s="1111"/>
      <c r="O663" s="1111"/>
      <c r="P663" s="1473"/>
      <c r="Q663" s="1473"/>
      <c r="R663" s="1473"/>
      <c r="S663" s="1402"/>
      <c r="T663" s="1402">
        <v>2750.1289999999999</v>
      </c>
      <c r="U663" s="1402">
        <v>0</v>
      </c>
      <c r="V663" s="1090"/>
      <c r="W663" s="1044"/>
      <c r="X663" s="1044"/>
      <c r="Y663" s="1044"/>
      <c r="Z663" s="1044"/>
      <c r="AA663" s="1044"/>
      <c r="AB663" s="1044"/>
      <c r="AC663" s="1044"/>
      <c r="AD663" s="1044"/>
      <c r="AE663" s="521"/>
      <c r="AF663" s="521"/>
      <c r="AG663" s="521"/>
      <c r="AH663" s="521"/>
      <c r="AI663" s="521"/>
      <c r="AJ663" s="521"/>
      <c r="AK663" s="521"/>
      <c r="AL663" s="1801"/>
      <c r="AM663" s="625"/>
      <c r="AN663" s="625"/>
      <c r="AO663" s="625"/>
      <c r="AP663" s="817"/>
      <c r="AQ663" s="1117"/>
      <c r="AR663" s="1117"/>
      <c r="AS663" s="1117"/>
      <c r="AT663" s="817"/>
      <c r="AU663" s="1117"/>
      <c r="AV663" s="1117"/>
      <c r="AW663" s="1117"/>
      <c r="AX663" s="817"/>
      <c r="AY663" s="618"/>
      <c r="AZ663" s="618"/>
      <c r="BA663" s="618"/>
      <c r="BB663" s="817"/>
      <c r="BC663" s="618"/>
      <c r="BD663" s="618"/>
      <c r="BE663" s="618"/>
      <c r="BF663" s="817"/>
      <c r="BG663" s="1104"/>
      <c r="BH663" s="1104"/>
      <c r="BI663" s="618"/>
      <c r="BJ663" s="817"/>
      <c r="BK663" s="1117"/>
      <c r="BL663" s="1117"/>
      <c r="BM663" s="618"/>
      <c r="BN663" s="817"/>
      <c r="BO663" s="1117"/>
      <c r="BP663" s="1117"/>
      <c r="BQ663" s="618"/>
      <c r="BR663" s="477"/>
      <c r="CR663"/>
      <c r="CS663"/>
      <c r="CT663"/>
      <c r="CU663"/>
      <c r="CV663"/>
      <c r="CW663"/>
    </row>
    <row r="664" spans="1:101" s="474" customFormat="1" outlineLevel="2">
      <c r="A664" s="42"/>
      <c r="B664" s="42"/>
      <c r="C664" s="42"/>
      <c r="D664" s="42"/>
      <c r="E664" s="42"/>
      <c r="F664" s="42"/>
      <c r="G664" s="42"/>
      <c r="H664" s="289"/>
      <c r="I664" s="977"/>
      <c r="J664" s="1036" t="s">
        <v>554</v>
      </c>
      <c r="K664" s="521"/>
      <c r="L664" s="521"/>
      <c r="M664" s="521"/>
      <c r="N664" s="1111"/>
      <c r="O664" s="1111"/>
      <c r="P664" s="1473"/>
      <c r="Q664" s="1473"/>
      <c r="R664" s="1473"/>
      <c r="S664" s="1402"/>
      <c r="T664" s="1402">
        <v>611.10799999999995</v>
      </c>
      <c r="U664" s="1402">
        <v>637.58299999999997</v>
      </c>
      <c r="V664" s="1090"/>
      <c r="W664" s="1044"/>
      <c r="X664" s="1044"/>
      <c r="Y664" s="1044"/>
      <c r="Z664" s="1044"/>
      <c r="AA664" s="1044"/>
      <c r="AB664" s="1044"/>
      <c r="AC664" s="1044"/>
      <c r="AD664" s="1044"/>
      <c r="AE664" s="521"/>
      <c r="AF664" s="521"/>
      <c r="AG664" s="521"/>
      <c r="AH664" s="521"/>
      <c r="AI664" s="521"/>
      <c r="AJ664" s="521"/>
      <c r="AK664" s="521"/>
      <c r="AL664" s="1801"/>
      <c r="AM664" s="625"/>
      <c r="AN664" s="625"/>
      <c r="AO664" s="625"/>
      <c r="AP664" s="817"/>
      <c r="AQ664" s="1117"/>
      <c r="AR664" s="1117"/>
      <c r="AS664" s="1117"/>
      <c r="AT664" s="817"/>
      <c r="AU664" s="1117"/>
      <c r="AV664" s="1117"/>
      <c r="AW664" s="1117"/>
      <c r="AX664" s="817"/>
      <c r="AY664" s="618"/>
      <c r="AZ664" s="618"/>
      <c r="BA664" s="618"/>
      <c r="BB664" s="817"/>
      <c r="BC664" s="618"/>
      <c r="BD664" s="618"/>
      <c r="BE664" s="618"/>
      <c r="BF664" s="817"/>
      <c r="BG664" s="1104"/>
      <c r="BH664" s="1104"/>
      <c r="BI664" s="618"/>
      <c r="BJ664" s="817"/>
      <c r="BK664" s="1117"/>
      <c r="BL664" s="1117"/>
      <c r="BM664" s="618"/>
      <c r="BN664" s="817"/>
      <c r="BO664" s="1117"/>
      <c r="BP664" s="1117"/>
      <c r="BQ664" s="618"/>
      <c r="BR664" s="477"/>
      <c r="CR664"/>
      <c r="CS664"/>
      <c r="CT664"/>
      <c r="CU664"/>
      <c r="CV664"/>
      <c r="CW664"/>
    </row>
    <row r="665" spans="1:101" s="474" customFormat="1" outlineLevel="2">
      <c r="A665" s="42"/>
      <c r="B665" s="42"/>
      <c r="C665" s="42"/>
      <c r="D665" s="42"/>
      <c r="E665" s="42"/>
      <c r="F665" s="42"/>
      <c r="G665" s="42"/>
      <c r="H665" s="289"/>
      <c r="I665" s="977"/>
      <c r="J665" s="1036" t="s">
        <v>555</v>
      </c>
      <c r="K665" s="521"/>
      <c r="L665" s="521"/>
      <c r="M665" s="521"/>
      <c r="N665" s="1111"/>
      <c r="O665" s="1111"/>
      <c r="P665" s="1473"/>
      <c r="Q665" s="1473"/>
      <c r="R665" s="1473"/>
      <c r="S665" s="1402"/>
      <c r="T665" s="1402">
        <v>-1.5069999999999999</v>
      </c>
      <c r="U665" s="1402">
        <v>-1232.8530000000001</v>
      </c>
      <c r="V665" s="1090"/>
      <c r="W665" s="1044"/>
      <c r="X665" s="1044"/>
      <c r="Y665" s="1044"/>
      <c r="Z665" s="1044"/>
      <c r="AA665" s="1044"/>
      <c r="AB665" s="1044"/>
      <c r="AC665" s="1044"/>
      <c r="AD665" s="1044"/>
      <c r="AE665" s="521"/>
      <c r="AF665" s="521"/>
      <c r="AG665" s="521"/>
      <c r="AH665" s="521"/>
      <c r="AI665" s="521"/>
      <c r="AJ665" s="521"/>
      <c r="AK665" s="521"/>
      <c r="AL665" s="1801"/>
      <c r="AM665" s="625"/>
      <c r="AN665" s="625"/>
      <c r="AO665" s="625"/>
      <c r="AP665" s="817"/>
      <c r="AQ665" s="1117"/>
      <c r="AR665" s="1117"/>
      <c r="AS665" s="1117"/>
      <c r="AT665" s="817"/>
      <c r="AU665" s="1117"/>
      <c r="AV665" s="1117"/>
      <c r="AW665" s="1117"/>
      <c r="AX665" s="817"/>
      <c r="AY665" s="618"/>
      <c r="AZ665" s="618"/>
      <c r="BA665" s="618"/>
      <c r="BB665" s="817"/>
      <c r="BC665" s="618"/>
      <c r="BD665" s="618"/>
      <c r="BE665" s="618"/>
      <c r="BF665" s="817"/>
      <c r="BG665" s="1104"/>
      <c r="BH665" s="1104"/>
      <c r="BI665" s="618"/>
      <c r="BJ665" s="817"/>
      <c r="BK665" s="1117"/>
      <c r="BL665" s="1117"/>
      <c r="BM665" s="618"/>
      <c r="BN665" s="817"/>
      <c r="BO665" s="1117"/>
      <c r="BP665" s="1117"/>
      <c r="BQ665" s="618"/>
      <c r="BR665" s="477"/>
      <c r="CR665"/>
      <c r="CS665"/>
      <c r="CT665"/>
      <c r="CU665"/>
      <c r="CV665"/>
      <c r="CW665"/>
    </row>
    <row r="666" spans="1:101" s="477" customFormat="1" outlineLevel="2">
      <c r="A666" s="583"/>
      <c r="B666" s="583"/>
      <c r="C666" s="583"/>
      <c r="D666" s="583"/>
      <c r="E666" s="583"/>
      <c r="F666" s="583"/>
      <c r="G666" s="583"/>
      <c r="H666" s="563"/>
      <c r="I666" s="1020"/>
      <c r="J666" s="1542" t="s">
        <v>568</v>
      </c>
      <c r="K666" s="480"/>
      <c r="L666" s="480"/>
      <c r="M666" s="480"/>
      <c r="N666" s="1588"/>
      <c r="O666" s="1588"/>
      <c r="P666" s="1589"/>
      <c r="Q666" s="1589"/>
      <c r="R666" s="1589"/>
      <c r="S666" s="1402"/>
      <c r="T666" s="1402"/>
      <c r="U666" s="1402">
        <v>8.6219999999999999</v>
      </c>
      <c r="V666" s="1089"/>
      <c r="W666" s="1089"/>
      <c r="X666" s="1089"/>
      <c r="Y666" s="1089"/>
      <c r="Z666" s="1089"/>
      <c r="AA666" s="1089"/>
      <c r="AB666" s="1089"/>
      <c r="AC666" s="1089"/>
      <c r="AD666" s="1089"/>
      <c r="AE666" s="480"/>
      <c r="AF666" s="480"/>
      <c r="AG666" s="480"/>
      <c r="AH666" s="480"/>
      <c r="AI666" s="480"/>
      <c r="AJ666" s="480"/>
      <c r="AK666" s="480"/>
      <c r="AL666" s="1805"/>
      <c r="AM666" s="491"/>
      <c r="AN666" s="491"/>
      <c r="AO666" s="491"/>
      <c r="AP666" s="817"/>
      <c r="AQ666" s="618"/>
      <c r="AR666" s="618"/>
      <c r="AS666" s="618"/>
      <c r="AT666" s="817"/>
      <c r="AU666" s="618"/>
      <c r="AV666" s="618"/>
      <c r="AW666" s="618"/>
      <c r="AX666" s="817"/>
      <c r="AY666" s="618"/>
      <c r="AZ666" s="618"/>
      <c r="BA666" s="618"/>
      <c r="BB666" s="817"/>
      <c r="BC666" s="618"/>
      <c r="BD666" s="618"/>
      <c r="BE666" s="618"/>
      <c r="BF666" s="817"/>
      <c r="BG666" s="1104"/>
      <c r="BH666" s="1104"/>
      <c r="BI666" s="618"/>
      <c r="BJ666" s="817"/>
      <c r="BK666" s="618"/>
      <c r="BL666" s="618"/>
      <c r="BM666" s="618"/>
      <c r="BN666" s="817"/>
      <c r="BO666" s="618"/>
      <c r="BP666" s="618"/>
      <c r="BQ666" s="618"/>
      <c r="CR666"/>
      <c r="CS666"/>
      <c r="CT666"/>
      <c r="CU666"/>
      <c r="CV666"/>
      <c r="CW666"/>
    </row>
    <row r="667" spans="1:101" s="477" customFormat="1" outlineLevel="1">
      <c r="A667" s="583"/>
      <c r="B667" s="583"/>
      <c r="C667" s="583"/>
      <c r="D667" s="583"/>
      <c r="E667" s="583"/>
      <c r="F667" s="583"/>
      <c r="G667" s="583"/>
      <c r="H667" s="563"/>
      <c r="I667" s="1020"/>
      <c r="J667" s="820" t="s">
        <v>493</v>
      </c>
      <c r="K667" s="820"/>
      <c r="L667" s="820"/>
      <c r="M667" s="820"/>
      <c r="N667" s="1590">
        <f t="shared" ref="N667:AD667" si="692">SUM(N644,N645,N649,N650)</f>
        <v>-103</v>
      </c>
      <c r="O667" s="1590">
        <f t="shared" si="692"/>
        <v>-412</v>
      </c>
      <c r="P667" s="1590">
        <f t="shared" si="692"/>
        <v>-1155.3890000000001</v>
      </c>
      <c r="Q667" s="1590">
        <f t="shared" si="692"/>
        <v>-1317.7629999999981</v>
      </c>
      <c r="R667" s="1590">
        <f t="shared" si="692"/>
        <v>459.22399999999521</v>
      </c>
      <c r="S667" s="1590">
        <f t="shared" si="692"/>
        <v>1005.4499999999996</v>
      </c>
      <c r="T667" s="1590">
        <f t="shared" si="692"/>
        <v>1245.0529999999999</v>
      </c>
      <c r="U667" s="1590">
        <f t="shared" si="692"/>
        <v>5477.0319999999992</v>
      </c>
      <c r="V667" s="1590">
        <f t="shared" ca="1" si="692"/>
        <v>5103.2319999999509</v>
      </c>
      <c r="W667" s="1590">
        <f t="shared" ca="1" si="692"/>
        <v>9207.5701539587262</v>
      </c>
      <c r="X667" s="1590">
        <f t="shared" ca="1" si="692"/>
        <v>15622.317781174381</v>
      </c>
      <c r="Y667" s="1590">
        <f t="shared" ca="1" si="692"/>
        <v>22676.991427747998</v>
      </c>
      <c r="Z667" s="1590">
        <f t="shared" ca="1" si="692"/>
        <v>31315.486361224572</v>
      </c>
      <c r="AA667" s="1590">
        <f t="shared" ca="1" si="692"/>
        <v>39961.619374189213</v>
      </c>
      <c r="AB667" s="1590">
        <f t="shared" ca="1" si="692"/>
        <v>50004.716767720369</v>
      </c>
      <c r="AC667" s="1590">
        <f t="shared" ca="1" si="692"/>
        <v>61303.610883666894</v>
      </c>
      <c r="AD667" s="1590">
        <f t="shared" ca="1" si="692"/>
        <v>71784.363452115533</v>
      </c>
      <c r="AE667" s="480"/>
      <c r="AF667" s="920">
        <f ca="1">(Y667/V667)^(1/3)-1</f>
        <v>0.64404376526518781</v>
      </c>
      <c r="AG667" s="480"/>
      <c r="AH667" s="478"/>
      <c r="AI667" s="478"/>
      <c r="AJ667" s="478"/>
      <c r="AK667" s="478"/>
      <c r="AL667" s="1806"/>
      <c r="AM667" s="1141"/>
      <c r="AN667" s="1141"/>
      <c r="AO667" s="1141"/>
      <c r="AP667" s="1137"/>
      <c r="AQ667" s="1136"/>
      <c r="AR667" s="1136"/>
      <c r="AS667" s="1136"/>
      <c r="AT667" s="1137"/>
      <c r="AU667" s="1136"/>
      <c r="AV667" s="1136"/>
      <c r="AW667" s="1136"/>
      <c r="AX667" s="1137"/>
      <c r="AY667" s="1136"/>
      <c r="AZ667" s="1136"/>
      <c r="BA667" s="1136"/>
      <c r="BB667" s="1137"/>
      <c r="BC667" s="1136"/>
      <c r="BD667" s="1136"/>
      <c r="BE667" s="1136"/>
      <c r="BF667" s="1137"/>
      <c r="BG667" s="1104"/>
      <c r="BH667" s="1104"/>
      <c r="BI667" s="1136"/>
      <c r="BJ667" s="1137"/>
      <c r="BK667" s="1136"/>
      <c r="BL667" s="1136"/>
      <c r="BM667" s="1136"/>
      <c r="BN667" s="1137"/>
      <c r="BO667" s="1136"/>
      <c r="BP667" s="1136"/>
      <c r="BQ667" s="1136"/>
      <c r="CR667"/>
      <c r="CS667"/>
      <c r="CT667"/>
      <c r="CU667"/>
      <c r="CV667"/>
      <c r="CW667"/>
    </row>
    <row r="668" spans="1:101" s="1103" customFormat="1" outlineLevel="1">
      <c r="A668" s="256"/>
      <c r="B668" s="256"/>
      <c r="C668" s="256"/>
      <c r="D668" s="256"/>
      <c r="E668" s="256"/>
      <c r="F668" s="256"/>
      <c r="G668" s="256"/>
      <c r="H668" s="256"/>
      <c r="I668" s="792"/>
      <c r="J668" s="1120" t="s">
        <v>494</v>
      </c>
      <c r="K668" s="654"/>
      <c r="L668" s="654"/>
      <c r="M668" s="654"/>
      <c r="N668" s="655">
        <f t="shared" ref="N668:AD668" si="693">SUM(N669:N683)</f>
        <v>0</v>
      </c>
      <c r="O668" s="655">
        <f t="shared" si="693"/>
        <v>0</v>
      </c>
      <c r="P668" s="655">
        <f t="shared" si="693"/>
        <v>1068.9980000000003</v>
      </c>
      <c r="Q668" s="655">
        <f t="shared" si="693"/>
        <v>2721.415</v>
      </c>
      <c r="R668" s="655">
        <f t="shared" si="693"/>
        <v>3110.5949999999993</v>
      </c>
      <c r="S668" s="655">
        <f t="shared" si="693"/>
        <v>-13.254999999999995</v>
      </c>
      <c r="T668" s="655">
        <f t="shared" si="693"/>
        <v>-3174.2629999999976</v>
      </c>
      <c r="U668" s="655">
        <f t="shared" si="693"/>
        <v>3007.6320000000019</v>
      </c>
      <c r="V668" s="655">
        <f t="shared" si="693"/>
        <v>17398.117999999999</v>
      </c>
      <c r="W668" s="655">
        <f t="shared" si="693"/>
        <v>5240.3870441676736</v>
      </c>
      <c r="X668" s="655">
        <f t="shared" si="693"/>
        <v>11249.069863757522</v>
      </c>
      <c r="Y668" s="655">
        <f t="shared" si="693"/>
        <v>11668.468046486978</v>
      </c>
      <c r="Z668" s="655">
        <f t="shared" si="693"/>
        <v>13314.089241401896</v>
      </c>
      <c r="AA668" s="655">
        <f t="shared" si="693"/>
        <v>5684.8587170397795</v>
      </c>
      <c r="AB668" s="655">
        <f t="shared" si="693"/>
        <v>6099.0676403451562</v>
      </c>
      <c r="AC668" s="655">
        <f t="shared" si="693"/>
        <v>6249.2067331083254</v>
      </c>
      <c r="AD668" s="655">
        <f t="shared" si="693"/>
        <v>7795.448964182624</v>
      </c>
      <c r="AH668" s="654"/>
      <c r="AI668" s="654"/>
      <c r="AJ668" s="654"/>
      <c r="AK668" s="654"/>
      <c r="AL668" s="1807"/>
      <c r="AM668" s="1121"/>
      <c r="AN668" s="1121"/>
      <c r="AO668" s="1121"/>
      <c r="AP668" s="1752"/>
      <c r="AQ668" s="1122"/>
      <c r="AR668" s="1122"/>
      <c r="AS668" s="1122"/>
      <c r="AT668" s="1752"/>
      <c r="AU668" s="1122"/>
      <c r="AV668" s="1122"/>
      <c r="AW668" s="1122"/>
      <c r="AX668" s="1124"/>
      <c r="AY668" s="1123"/>
      <c r="AZ668" s="1123"/>
      <c r="BA668" s="1123"/>
      <c r="BB668" s="1124"/>
      <c r="BC668" s="1123"/>
      <c r="BD668" s="1123"/>
      <c r="BE668" s="1123"/>
      <c r="BF668" s="1124"/>
      <c r="BG668" s="1104"/>
      <c r="BH668" s="1104"/>
      <c r="BI668" s="1123"/>
      <c r="BJ668" s="1124"/>
      <c r="BK668" s="1123"/>
      <c r="BL668" s="1123"/>
      <c r="BM668" s="1123"/>
      <c r="BN668" s="1124"/>
      <c r="BO668" s="1123"/>
      <c r="BP668" s="1123"/>
      <c r="BQ668" s="1123"/>
      <c r="BT668" s="1125"/>
      <c r="CR668"/>
      <c r="CS668"/>
      <c r="CT668"/>
      <c r="CU668"/>
      <c r="CV668"/>
      <c r="CW668"/>
    </row>
    <row r="669" spans="1:101" s="477" customFormat="1" outlineLevel="2">
      <c r="A669" s="583"/>
      <c r="B669" s="583"/>
      <c r="C669" s="583"/>
      <c r="D669" s="583"/>
      <c r="E669" s="583"/>
      <c r="F669" s="583"/>
      <c r="G669" s="583"/>
      <c r="H669" s="563"/>
      <c r="I669" s="1020"/>
      <c r="J669" s="1591" t="s">
        <v>212</v>
      </c>
      <c r="K669" s="480"/>
      <c r="L669" s="480"/>
      <c r="M669" s="480"/>
      <c r="N669" s="1588"/>
      <c r="O669" s="1588"/>
      <c r="P669" s="1526">
        <v>-183.84800000000001</v>
      </c>
      <c r="Q669" s="1526">
        <v>-226.93100000000001</v>
      </c>
      <c r="R669" s="1526">
        <v>-22.844000000000001</v>
      </c>
      <c r="S669" s="1402">
        <v>-2004.884</v>
      </c>
      <c r="T669" s="1402">
        <v>-7395.424</v>
      </c>
      <c r="U669" s="1402">
        <v>-9697.2209999999995</v>
      </c>
      <c r="V669" s="1013">
        <f t="shared" ref="V669:AD669" si="694">U497-V497</f>
        <v>-218.14000000000124</v>
      </c>
      <c r="W669" s="1013">
        <f t="shared" si="694"/>
        <v>-3983.5384552369032</v>
      </c>
      <c r="X669" s="1013">
        <f t="shared" si="694"/>
        <v>-4939.6391689298762</v>
      </c>
      <c r="Y669" s="1013">
        <f t="shared" si="694"/>
        <v>-5036.2817686995368</v>
      </c>
      <c r="Z669" s="1013">
        <f t="shared" si="694"/>
        <v>384.15998991478409</v>
      </c>
      <c r="AA669" s="1013">
        <f t="shared" si="694"/>
        <v>-2437.5368301936214</v>
      </c>
      <c r="AB669" s="1013">
        <f t="shared" si="694"/>
        <v>-2635.2662915710316</v>
      </c>
      <c r="AC669" s="1013">
        <f t="shared" si="694"/>
        <v>-2848.9810096705405</v>
      </c>
      <c r="AD669" s="1013">
        <f t="shared" si="694"/>
        <v>-3079.9693927624176</v>
      </c>
      <c r="AE669" s="480"/>
      <c r="AF669" s="480"/>
      <c r="AG669" s="480"/>
      <c r="AH669" s="480"/>
      <c r="AI669" s="480"/>
      <c r="AJ669" s="480"/>
      <c r="AK669" s="480"/>
      <c r="AL669" s="1808"/>
      <c r="AM669" s="616"/>
      <c r="AN669" s="616"/>
      <c r="AO669" s="616"/>
      <c r="AP669" s="817"/>
      <c r="AQ669" s="618"/>
      <c r="AR669" s="618"/>
      <c r="AS669" s="618"/>
      <c r="AT669" s="817"/>
      <c r="AU669" s="618"/>
      <c r="AV669" s="618"/>
      <c r="AW669" s="618"/>
      <c r="AX669" s="817"/>
      <c r="AY669" s="618"/>
      <c r="AZ669" s="618"/>
      <c r="BA669" s="618"/>
      <c r="BB669" s="817"/>
      <c r="BC669" s="618"/>
      <c r="BD669" s="618"/>
      <c r="BE669" s="618"/>
      <c r="BF669" s="817"/>
      <c r="BG669" s="1104"/>
      <c r="BH669" s="1104"/>
      <c r="BI669" s="618"/>
      <c r="BJ669" s="817"/>
      <c r="BK669" s="618"/>
      <c r="BL669" s="618"/>
      <c r="BM669" s="618"/>
      <c r="BN669" s="817"/>
      <c r="BO669" s="618"/>
      <c r="BP669" s="618"/>
      <c r="BQ669" s="618"/>
      <c r="BT669" s="1592"/>
      <c r="CR669"/>
      <c r="CS669"/>
      <c r="CT669"/>
      <c r="CU669"/>
      <c r="CV669"/>
      <c r="CW669"/>
    </row>
    <row r="670" spans="1:101" s="477" customFormat="1" outlineLevel="2">
      <c r="A670" s="583"/>
      <c r="B670" s="583"/>
      <c r="C670" s="583"/>
      <c r="D670" s="583"/>
      <c r="E670" s="583"/>
      <c r="F670" s="583"/>
      <c r="G670" s="583"/>
      <c r="H670" s="563"/>
      <c r="I670" s="1020"/>
      <c r="J670" s="1591" t="s">
        <v>257</v>
      </c>
      <c r="K670" s="480"/>
      <c r="L670" s="480"/>
      <c r="M670" s="480"/>
      <c r="N670" s="1588"/>
      <c r="O670" s="1588"/>
      <c r="P670" s="1526">
        <v>-25.062999999999999</v>
      </c>
      <c r="Q670" s="1526">
        <v>-628.35799999999995</v>
      </c>
      <c r="R670" s="1526">
        <v>577.74300000000005</v>
      </c>
      <c r="S670" s="1402">
        <v>-689.49900000000002</v>
      </c>
      <c r="T670" s="1402">
        <v>-1076.6279999999999</v>
      </c>
      <c r="U670" s="1402">
        <v>526.64599999999996</v>
      </c>
      <c r="V670" s="1013">
        <f t="shared" ref="V670:AD670" si="695">U494-V494</f>
        <v>-1816.5700000000002</v>
      </c>
      <c r="W670" s="1013">
        <f t="shared" si="695"/>
        <v>0</v>
      </c>
      <c r="X670" s="1013">
        <f t="shared" si="695"/>
        <v>0</v>
      </c>
      <c r="Y670" s="1013">
        <f t="shared" si="695"/>
        <v>0</v>
      </c>
      <c r="Z670" s="1013">
        <f t="shared" si="695"/>
        <v>0</v>
      </c>
      <c r="AA670" s="1013">
        <f t="shared" si="695"/>
        <v>0</v>
      </c>
      <c r="AB670" s="1013">
        <f t="shared" si="695"/>
        <v>0</v>
      </c>
      <c r="AC670" s="1013">
        <f t="shared" si="695"/>
        <v>0</v>
      </c>
      <c r="AD670" s="1013">
        <f t="shared" si="695"/>
        <v>0</v>
      </c>
      <c r="AE670" s="480"/>
      <c r="AF670" s="480"/>
      <c r="AG670" s="480"/>
      <c r="AH670" s="480"/>
      <c r="AI670" s="480"/>
      <c r="AJ670" s="480"/>
      <c r="AK670" s="480"/>
      <c r="AL670" s="1808"/>
      <c r="AM670" s="616"/>
      <c r="AN670" s="616"/>
      <c r="AO670" s="616"/>
      <c r="AP670" s="817"/>
      <c r="AQ670" s="618"/>
      <c r="AR670" s="618"/>
      <c r="AS670" s="618"/>
      <c r="AT670" s="817"/>
      <c r="AU670" s="618"/>
      <c r="AV670" s="618"/>
      <c r="AW670" s="618"/>
      <c r="AX670" s="817"/>
      <c r="AY670" s="618"/>
      <c r="AZ670" s="618"/>
      <c r="BA670" s="618"/>
      <c r="BB670" s="817"/>
      <c r="BC670" s="618"/>
      <c r="BD670" s="618"/>
      <c r="BE670" s="618"/>
      <c r="BF670" s="817"/>
      <c r="BG670" s="1104"/>
      <c r="BH670" s="1104"/>
      <c r="BI670" s="618"/>
      <c r="BJ670" s="817"/>
      <c r="BK670" s="618"/>
      <c r="BL670" s="618"/>
      <c r="BM670" s="618"/>
      <c r="BN670" s="817"/>
      <c r="BO670" s="618"/>
      <c r="BP670" s="618"/>
      <c r="BQ670" s="618"/>
      <c r="BT670" s="1592"/>
      <c r="CR670"/>
      <c r="CS670"/>
      <c r="CT670"/>
      <c r="CU670"/>
      <c r="CV670"/>
      <c r="CW670"/>
    </row>
    <row r="671" spans="1:101" s="477" customFormat="1" outlineLevel="2">
      <c r="A671" s="583"/>
      <c r="B671" s="583"/>
      <c r="C671" s="583"/>
      <c r="D671" s="583"/>
      <c r="E671" s="583"/>
      <c r="F671" s="583"/>
      <c r="G671" s="583"/>
      <c r="H671" s="563"/>
      <c r="I671" s="1020"/>
      <c r="J671" s="1542" t="s">
        <v>524</v>
      </c>
      <c r="K671" s="480"/>
      <c r="L671" s="480"/>
      <c r="M671" s="480"/>
      <c r="N671" s="1588"/>
      <c r="O671" s="1588"/>
      <c r="P671" s="1526">
        <v>0</v>
      </c>
      <c r="Q671" s="1526">
        <v>0</v>
      </c>
      <c r="R671" s="1526">
        <v>0</v>
      </c>
      <c r="S671" s="1402">
        <v>-125.935</v>
      </c>
      <c r="T671" s="1402">
        <v>-2306.6309999999999</v>
      </c>
      <c r="U671" s="1402">
        <v>-74.457999999999998</v>
      </c>
      <c r="V671" s="1013">
        <v>0</v>
      </c>
      <c r="W671" s="1013">
        <v>0</v>
      </c>
      <c r="X671" s="1013">
        <v>0</v>
      </c>
      <c r="Y671" s="1013">
        <v>0</v>
      </c>
      <c r="Z671" s="1013">
        <v>0</v>
      </c>
      <c r="AA671" s="1013">
        <v>0</v>
      </c>
      <c r="AB671" s="1013">
        <v>0</v>
      </c>
      <c r="AC671" s="1013">
        <v>0</v>
      </c>
      <c r="AD671" s="1013">
        <v>0</v>
      </c>
      <c r="AE671" s="480"/>
      <c r="AF671" s="480"/>
      <c r="AG671" s="480"/>
      <c r="AH671" s="480"/>
      <c r="AI671" s="480"/>
      <c r="AJ671" s="480"/>
      <c r="AK671" s="480"/>
      <c r="AL671" s="1808"/>
      <c r="AM671" s="616"/>
      <c r="AN671" s="616"/>
      <c r="AO671" s="616"/>
      <c r="AP671" s="817"/>
      <c r="AQ671" s="618"/>
      <c r="AR671" s="618"/>
      <c r="AS671" s="618"/>
      <c r="AT671" s="817"/>
      <c r="AU671" s="618"/>
      <c r="AV671" s="618"/>
      <c r="AW671" s="618"/>
      <c r="AX671" s="817"/>
      <c r="AY671" s="618"/>
      <c r="AZ671" s="618"/>
      <c r="BA671" s="618"/>
      <c r="BB671" s="817"/>
      <c r="BC671" s="618"/>
      <c r="BD671" s="618"/>
      <c r="BE671" s="618"/>
      <c r="BF671" s="817"/>
      <c r="BG671" s="1104"/>
      <c r="BH671" s="1104"/>
      <c r="BI671" s="618"/>
      <c r="BJ671" s="817"/>
      <c r="BK671" s="618"/>
      <c r="BL671" s="618"/>
      <c r="BM671" s="618"/>
      <c r="BN671" s="817"/>
      <c r="BO671" s="618"/>
      <c r="BP671" s="618"/>
      <c r="BQ671" s="618"/>
      <c r="BT671" s="1592"/>
      <c r="CR671"/>
      <c r="CS671"/>
      <c r="CT671"/>
      <c r="CU671"/>
      <c r="CV671"/>
      <c r="CW671"/>
    </row>
    <row r="672" spans="1:101" s="477" customFormat="1" outlineLevel="2">
      <c r="A672" s="583"/>
      <c r="B672" s="583"/>
      <c r="C672" s="583"/>
      <c r="D672" s="583"/>
      <c r="E672" s="583"/>
      <c r="F672" s="583"/>
      <c r="G672" s="583"/>
      <c r="H672" s="563"/>
      <c r="I672" s="1020"/>
      <c r="J672" s="1591" t="s">
        <v>209</v>
      </c>
      <c r="K672" s="480"/>
      <c r="L672" s="480"/>
      <c r="M672" s="480"/>
      <c r="N672" s="1588"/>
      <c r="O672" s="1588"/>
      <c r="P672" s="1526">
        <v>-1684.694</v>
      </c>
      <c r="Q672" s="1526">
        <v>-1989.9960000000001</v>
      </c>
      <c r="R672" s="1526">
        <v>-1632.326</v>
      </c>
      <c r="S672" s="1402">
        <v>-5804.6880000000001</v>
      </c>
      <c r="T672" s="1402">
        <v>-8348.7000000000007</v>
      </c>
      <c r="U672" s="1402">
        <v>-8369.8829999999998</v>
      </c>
      <c r="V672" s="1013">
        <f t="shared" ref="V672:AD672" si="696">U500-V500</f>
        <v>-12790.954000000002</v>
      </c>
      <c r="W672" s="1013">
        <f t="shared" si="696"/>
        <v>-1878.3768868718762</v>
      </c>
      <c r="X672" s="1013">
        <f t="shared" si="696"/>
        <v>-10271.476631905323</v>
      </c>
      <c r="Y672" s="1013">
        <f t="shared" si="696"/>
        <v>-10252.261496434279</v>
      </c>
      <c r="Z672" s="1013">
        <f t="shared" si="696"/>
        <v>-7632.4441636661722</v>
      </c>
      <c r="AA672" s="1013">
        <f t="shared" si="696"/>
        <v>-5433.7130157526117</v>
      </c>
      <c r="AB672" s="1013">
        <f t="shared" si="696"/>
        <v>-5845.2703998070356</v>
      </c>
      <c r="AC672" s="1013">
        <f t="shared" si="696"/>
        <v>-6425.48243712775</v>
      </c>
      <c r="AD672" s="1013">
        <f t="shared" si="696"/>
        <v>-6780.1226876488945</v>
      </c>
      <c r="AE672" s="480"/>
      <c r="AF672" s="480"/>
      <c r="AG672" s="480"/>
      <c r="AH672" s="480"/>
      <c r="AI672" s="480"/>
      <c r="AJ672" s="480"/>
      <c r="AK672" s="480"/>
      <c r="AL672" s="1808"/>
      <c r="AM672" s="616"/>
      <c r="AN672" s="616"/>
      <c r="AO672" s="616"/>
      <c r="AP672" s="817"/>
      <c r="AQ672" s="618"/>
      <c r="AR672" s="618"/>
      <c r="AS672" s="618"/>
      <c r="AT672" s="817"/>
      <c r="AU672" s="618"/>
      <c r="AV672" s="618"/>
      <c r="AW672" s="618"/>
      <c r="AX672" s="817"/>
      <c r="AY672" s="618"/>
      <c r="AZ672" s="618"/>
      <c r="BA672" s="618"/>
      <c r="BB672" s="817"/>
      <c r="BC672" s="618"/>
      <c r="BD672" s="618"/>
      <c r="BE672" s="618"/>
      <c r="BF672" s="817"/>
      <c r="BG672" s="1104"/>
      <c r="BH672" s="1104"/>
      <c r="BI672" s="618"/>
      <c r="BJ672" s="817"/>
      <c r="BK672" s="618"/>
      <c r="BL672" s="618"/>
      <c r="BM672" s="618"/>
      <c r="BN672" s="817"/>
      <c r="BO672" s="618"/>
      <c r="BP672" s="618"/>
      <c r="BQ672" s="618"/>
      <c r="BT672" s="1592"/>
      <c r="CR672"/>
      <c r="CS672"/>
      <c r="CT672"/>
      <c r="CU672"/>
      <c r="CV672"/>
      <c r="CW672"/>
    </row>
    <row r="673" spans="1:101" s="477" customFormat="1" outlineLevel="2">
      <c r="A673" s="583"/>
      <c r="B673" s="583"/>
      <c r="C673" s="583"/>
      <c r="D673" s="583"/>
      <c r="E673" s="583"/>
      <c r="F673" s="583"/>
      <c r="G673" s="583"/>
      <c r="H673" s="563"/>
      <c r="I673" s="1020"/>
      <c r="J673" s="1591" t="s">
        <v>232</v>
      </c>
      <c r="K673" s="480"/>
      <c r="L673" s="480"/>
      <c r="M673" s="480"/>
      <c r="N673" s="1588"/>
      <c r="O673" s="1588"/>
      <c r="P673" s="1526">
        <v>-109.288</v>
      </c>
      <c r="Q673" s="1526">
        <v>58.651000000000003</v>
      </c>
      <c r="R673" s="1526">
        <v>-660</v>
      </c>
      <c r="S673" s="1402">
        <v>-160.203</v>
      </c>
      <c r="T673" s="1402">
        <v>-18.010000000000002</v>
      </c>
      <c r="U673" s="1402">
        <v>-487.32</v>
      </c>
      <c r="V673" s="1013">
        <f t="shared" ref="V673:AD673" si="697">U502-V502</f>
        <v>-137.45699999999999</v>
      </c>
      <c r="W673" s="1013">
        <f t="shared" si="697"/>
        <v>-25.371668111199938</v>
      </c>
      <c r="X673" s="1013">
        <f t="shared" si="697"/>
        <v>-99.205809650240269</v>
      </c>
      <c r="Y673" s="1013">
        <f t="shared" si="697"/>
        <v>-98.625916844251265</v>
      </c>
      <c r="Z673" s="1013">
        <f t="shared" si="697"/>
        <v>-73.002534085770776</v>
      </c>
      <c r="AA673" s="1013">
        <f t="shared" si="697"/>
        <v>-52.775586552027789</v>
      </c>
      <c r="AB673" s="1013">
        <f t="shared" si="697"/>
        <v>-56.807641364602546</v>
      </c>
      <c r="AC673" s="1013">
        <f t="shared" si="697"/>
        <v>-61.147745164858179</v>
      </c>
      <c r="AD673" s="1013">
        <f t="shared" si="697"/>
        <v>-65.819432895453474</v>
      </c>
      <c r="AE673" s="480"/>
      <c r="AF673" s="480"/>
      <c r="AG673" s="480"/>
      <c r="AH673" s="480"/>
      <c r="AI673" s="480"/>
      <c r="AJ673" s="480"/>
      <c r="AK673" s="480"/>
      <c r="AL673" s="1808"/>
      <c r="AM673" s="616"/>
      <c r="AN673" s="616"/>
      <c r="AO673" s="616"/>
      <c r="AP673" s="817"/>
      <c r="AQ673" s="618"/>
      <c r="AR673" s="618"/>
      <c r="AS673" s="618"/>
      <c r="AT673" s="817"/>
      <c r="AU673" s="618"/>
      <c r="AV673" s="618"/>
      <c r="AW673" s="618"/>
      <c r="AX673" s="817"/>
      <c r="AY673" s="618"/>
      <c r="AZ673" s="618"/>
      <c r="BA673" s="618"/>
      <c r="BB673" s="817"/>
      <c r="BC673" s="618"/>
      <c r="BD673" s="618"/>
      <c r="BE673" s="618"/>
      <c r="BF673" s="817"/>
      <c r="BG673" s="1104"/>
      <c r="BH673" s="1104"/>
      <c r="BI673" s="618"/>
      <c r="BJ673" s="817"/>
      <c r="BK673" s="618"/>
      <c r="BL673" s="618"/>
      <c r="BM673" s="618"/>
      <c r="BN673" s="817"/>
      <c r="BO673" s="618"/>
      <c r="BP673" s="618"/>
      <c r="BQ673" s="618"/>
      <c r="BT673" s="1592"/>
      <c r="CR673"/>
      <c r="CS673"/>
      <c r="CT673"/>
      <c r="CU673"/>
      <c r="CV673"/>
      <c r="CW673"/>
    </row>
    <row r="674" spans="1:101" s="477" customFormat="1" outlineLevel="2">
      <c r="A674" s="583"/>
      <c r="B674" s="583"/>
      <c r="C674" s="583"/>
      <c r="D674" s="583"/>
      <c r="E674" s="583"/>
      <c r="F674" s="583"/>
      <c r="G674" s="583"/>
      <c r="H674" s="563"/>
      <c r="I674" s="1020"/>
      <c r="J674" s="1591" t="s">
        <v>231</v>
      </c>
      <c r="K674" s="480"/>
      <c r="L674" s="480"/>
      <c r="M674" s="480"/>
      <c r="N674" s="1588"/>
      <c r="O674" s="1588"/>
      <c r="P674" s="1526">
        <v>0</v>
      </c>
      <c r="Q674" s="1526">
        <v>1.5</v>
      </c>
      <c r="R674" s="1526">
        <v>0</v>
      </c>
      <c r="S674" s="1402">
        <v>-412.31400000000002</v>
      </c>
      <c r="T674" s="1402">
        <v>-402.79500000000002</v>
      </c>
      <c r="U674" s="1402">
        <v>-481.774</v>
      </c>
      <c r="V674" s="1013">
        <f t="shared" ref="V674:AD674" si="698">U503-V503</f>
        <v>-1722.2860000000001</v>
      </c>
      <c r="W674" s="1013">
        <f t="shared" si="698"/>
        <v>0</v>
      </c>
      <c r="X674" s="1013">
        <f t="shared" si="698"/>
        <v>0</v>
      </c>
      <c r="Y674" s="1013">
        <f t="shared" si="698"/>
        <v>0</v>
      </c>
      <c r="Z674" s="1013">
        <f t="shared" si="698"/>
        <v>0</v>
      </c>
      <c r="AA674" s="1013">
        <f t="shared" si="698"/>
        <v>0</v>
      </c>
      <c r="AB674" s="1013">
        <f t="shared" si="698"/>
        <v>0</v>
      </c>
      <c r="AC674" s="1013">
        <f t="shared" si="698"/>
        <v>0</v>
      </c>
      <c r="AD674" s="1013">
        <f t="shared" si="698"/>
        <v>0</v>
      </c>
      <c r="AE674" s="480"/>
      <c r="AF674" s="480"/>
      <c r="AG674" s="480"/>
      <c r="AH674" s="480"/>
      <c r="AI674" s="480"/>
      <c r="AJ674" s="480"/>
      <c r="AK674" s="480"/>
      <c r="AL674" s="1808"/>
      <c r="AM674" s="616"/>
      <c r="AN674" s="616"/>
      <c r="AO674" s="616"/>
      <c r="AP674" s="817"/>
      <c r="AQ674" s="618"/>
      <c r="AR674" s="618"/>
      <c r="AS674" s="618"/>
      <c r="AT674" s="817"/>
      <c r="AU674" s="618"/>
      <c r="AV674" s="618"/>
      <c r="AW674" s="618"/>
      <c r="AX674" s="817"/>
      <c r="AY674" s="618"/>
      <c r="AZ674" s="618"/>
      <c r="BA674" s="618"/>
      <c r="BB674" s="817"/>
      <c r="BC674" s="618"/>
      <c r="BD674" s="618"/>
      <c r="BE674" s="618"/>
      <c r="BF674" s="817"/>
      <c r="BG674" s="1104"/>
      <c r="BH674" s="1104"/>
      <c r="BI674" s="618"/>
      <c r="BJ674" s="817"/>
      <c r="BK674" s="618"/>
      <c r="BL674" s="618"/>
      <c r="BM674" s="618"/>
      <c r="BN674" s="817"/>
      <c r="BO674" s="618"/>
      <c r="BP674" s="618"/>
      <c r="BQ674" s="618"/>
      <c r="BT674" s="1592"/>
      <c r="CR674"/>
      <c r="CS674"/>
      <c r="CT674"/>
      <c r="CU674"/>
      <c r="CV674"/>
      <c r="CW674"/>
    </row>
    <row r="675" spans="1:101" s="477" customFormat="1" outlineLevel="2">
      <c r="A675" s="583"/>
      <c r="B675" s="583"/>
      <c r="C675" s="583"/>
      <c r="D675" s="583"/>
      <c r="E675" s="583"/>
      <c r="F675" s="583"/>
      <c r="G675" s="583"/>
      <c r="H675" s="563"/>
      <c r="I675" s="1020"/>
      <c r="J675" s="1591" t="s">
        <v>259</v>
      </c>
      <c r="K675" s="480"/>
      <c r="L675" s="480"/>
      <c r="M675" s="480"/>
      <c r="N675" s="1588"/>
      <c r="O675" s="1588"/>
      <c r="P675" s="1526">
        <v>-76.655000000000001</v>
      </c>
      <c r="Q675" s="1526">
        <v>-30.292000000000002</v>
      </c>
      <c r="R675" s="1526">
        <v>-59.683999999999997</v>
      </c>
      <c r="S675" s="1402">
        <v>-1210.6969999999999</v>
      </c>
      <c r="T675" s="1402">
        <v>252.39699999999999</v>
      </c>
      <c r="U675" s="1402">
        <v>-533.596</v>
      </c>
      <c r="V675" s="1013">
        <f t="shared" ref="V675:AD675" si="699">U504-V504</f>
        <v>-1404.4989999999998</v>
      </c>
      <c r="W675" s="1013">
        <f t="shared" si="699"/>
        <v>0</v>
      </c>
      <c r="X675" s="1013">
        <f t="shared" si="699"/>
        <v>0</v>
      </c>
      <c r="Y675" s="1013">
        <f t="shared" si="699"/>
        <v>0</v>
      </c>
      <c r="Z675" s="1013">
        <f t="shared" si="699"/>
        <v>0</v>
      </c>
      <c r="AA675" s="1013">
        <f t="shared" si="699"/>
        <v>0</v>
      </c>
      <c r="AB675" s="1013">
        <f t="shared" si="699"/>
        <v>0</v>
      </c>
      <c r="AC675" s="1013">
        <f t="shared" si="699"/>
        <v>0</v>
      </c>
      <c r="AD675" s="1013">
        <f t="shared" si="699"/>
        <v>0</v>
      </c>
      <c r="AE675" s="480"/>
      <c r="AF675" s="480"/>
      <c r="AG675" s="480"/>
      <c r="AH675" s="480"/>
      <c r="AI675" s="480"/>
      <c r="AJ675" s="480"/>
      <c r="AK675" s="480"/>
      <c r="AL675" s="1808"/>
      <c r="AM675" s="616"/>
      <c r="AN675" s="616"/>
      <c r="AO675" s="616"/>
      <c r="AP675" s="817"/>
      <c r="AQ675" s="618"/>
      <c r="AR675" s="618"/>
      <c r="AS675" s="618"/>
      <c r="AT675" s="817"/>
      <c r="AU675" s="618"/>
      <c r="AV675" s="618"/>
      <c r="AW675" s="618"/>
      <c r="AX675" s="817"/>
      <c r="AY675" s="618"/>
      <c r="AZ675" s="618"/>
      <c r="BA675" s="618"/>
      <c r="BB675" s="817"/>
      <c r="BC675" s="618"/>
      <c r="BD675" s="618"/>
      <c r="BE675" s="618"/>
      <c r="BF675" s="817"/>
      <c r="BG675" s="1104"/>
      <c r="BH675" s="1104"/>
      <c r="BI675" s="618"/>
      <c r="BJ675" s="817"/>
      <c r="BK675" s="618"/>
      <c r="BL675" s="618"/>
      <c r="BM675" s="618"/>
      <c r="BN675" s="817"/>
      <c r="BO675" s="618"/>
      <c r="BP675" s="618"/>
      <c r="BQ675" s="618"/>
      <c r="BT675" s="1592"/>
      <c r="CR675"/>
      <c r="CS675"/>
      <c r="CT675"/>
      <c r="CU675"/>
      <c r="CV675"/>
      <c r="CW675"/>
    </row>
    <row r="676" spans="1:101" s="477" customFormat="1" outlineLevel="2">
      <c r="A676" s="583"/>
      <c r="B676" s="583"/>
      <c r="C676" s="583"/>
      <c r="D676" s="583"/>
      <c r="E676" s="583"/>
      <c r="F676" s="583"/>
      <c r="G676" s="583"/>
      <c r="H676" s="563"/>
      <c r="I676" s="1020"/>
      <c r="J676" s="1591" t="s">
        <v>261</v>
      </c>
      <c r="K676" s="480"/>
      <c r="L676" s="480"/>
      <c r="M676" s="480"/>
      <c r="N676" s="1588"/>
      <c r="O676" s="1588"/>
      <c r="P676" s="1526">
        <v>-14.663</v>
      </c>
      <c r="Q676" s="1526">
        <v>-101.35</v>
      </c>
      <c r="R676" s="1526">
        <v>-78.644000000000005</v>
      </c>
      <c r="S676" s="1402">
        <v>-66.484999999999999</v>
      </c>
      <c r="T676" s="1402">
        <v>-1170.454</v>
      </c>
      <c r="U676" s="1402">
        <f>169.144-3.703-252.223</f>
        <v>-86.782000000000011</v>
      </c>
      <c r="V676" s="1013">
        <f t="shared" ref="V676:AD676" si="700">-(V513-U513)</f>
        <v>-4.2699999999999818</v>
      </c>
      <c r="W676" s="1013">
        <f t="shared" si="700"/>
        <v>0</v>
      </c>
      <c r="X676" s="1013">
        <f t="shared" si="700"/>
        <v>0</v>
      </c>
      <c r="Y676" s="1013">
        <f t="shared" si="700"/>
        <v>0</v>
      </c>
      <c r="Z676" s="1013">
        <f t="shared" si="700"/>
        <v>0</v>
      </c>
      <c r="AA676" s="1013">
        <f t="shared" si="700"/>
        <v>0</v>
      </c>
      <c r="AB676" s="1013">
        <f t="shared" si="700"/>
        <v>0</v>
      </c>
      <c r="AC676" s="1013">
        <f t="shared" si="700"/>
        <v>0</v>
      </c>
      <c r="AD676" s="1013">
        <f t="shared" si="700"/>
        <v>0</v>
      </c>
      <c r="AE676" s="480"/>
      <c r="AF676" s="480"/>
      <c r="AG676" s="480"/>
      <c r="AH676" s="480"/>
      <c r="AI676" s="480"/>
      <c r="AJ676" s="480"/>
      <c r="AK676" s="480"/>
      <c r="AL676" s="1808"/>
      <c r="AM676" s="616"/>
      <c r="AN676" s="616"/>
      <c r="AO676" s="616"/>
      <c r="AP676" s="817"/>
      <c r="AQ676" s="618"/>
      <c r="AR676" s="618"/>
      <c r="AS676" s="618"/>
      <c r="AT676" s="817"/>
      <c r="AU676" s="618"/>
      <c r="AV676" s="618"/>
      <c r="AW676" s="618"/>
      <c r="AX676" s="817"/>
      <c r="AY676" s="618"/>
      <c r="AZ676" s="618"/>
      <c r="BA676" s="618"/>
      <c r="BB676" s="817"/>
      <c r="BC676" s="618"/>
      <c r="BD676" s="618"/>
      <c r="BE676" s="618"/>
      <c r="BF676" s="817"/>
      <c r="BG676" s="1104"/>
      <c r="BH676" s="1104"/>
      <c r="BI676" s="618"/>
      <c r="BJ676" s="817"/>
      <c r="BK676" s="618"/>
      <c r="BL676" s="618"/>
      <c r="BM676" s="618"/>
      <c r="BN676" s="817"/>
      <c r="BO676" s="618"/>
      <c r="BP676" s="618"/>
      <c r="BQ676" s="618"/>
      <c r="BT676" s="1592"/>
      <c r="CR676"/>
      <c r="CS676"/>
      <c r="CT676"/>
      <c r="CU676"/>
      <c r="CV676"/>
      <c r="CW676"/>
    </row>
    <row r="677" spans="1:101" s="477" customFormat="1" outlineLevel="2">
      <c r="A677" s="583"/>
      <c r="B677" s="583"/>
      <c r="C677" s="583"/>
      <c r="D677" s="583"/>
      <c r="E677" s="583"/>
      <c r="F677" s="583"/>
      <c r="G677" s="583"/>
      <c r="H677" s="563"/>
      <c r="I677" s="1020"/>
      <c r="J677" s="1591" t="s">
        <v>215</v>
      </c>
      <c r="K677" s="480"/>
      <c r="L677" s="480"/>
      <c r="M677" s="480"/>
      <c r="N677" s="1588"/>
      <c r="O677" s="1588"/>
      <c r="P677" s="1526">
        <v>2420.0880000000002</v>
      </c>
      <c r="Q677" s="1526">
        <v>4155.9110000000001</v>
      </c>
      <c r="R677" s="1526">
        <v>2687.3609999999999</v>
      </c>
      <c r="S677" s="1402">
        <v>4902.8440000000001</v>
      </c>
      <c r="T677" s="1402">
        <v>13113.084000000001</v>
      </c>
      <c r="U677" s="1402">
        <v>13693.69</v>
      </c>
      <c r="V677" s="1013">
        <f t="shared" ref="V677:AD677" si="701">V521-U521</f>
        <v>28301.824000000001</v>
      </c>
      <c r="W677" s="1013">
        <f t="shared" si="701"/>
        <v>2491.6862544142496</v>
      </c>
      <c r="X677" s="1013">
        <f t="shared" si="701"/>
        <v>18108.624527424588</v>
      </c>
      <c r="Y677" s="1013">
        <f t="shared" si="701"/>
        <v>18074.748222589536</v>
      </c>
      <c r="Z677" s="1013">
        <f t="shared" si="701"/>
        <v>13456.007401802941</v>
      </c>
      <c r="AA677" s="1013">
        <f t="shared" si="701"/>
        <v>9579.6419851068204</v>
      </c>
      <c r="AB677" s="1013">
        <f t="shared" si="701"/>
        <v>10305.218102972984</v>
      </c>
      <c r="AC677" s="1013">
        <f t="shared" si="701"/>
        <v>11328.132558865007</v>
      </c>
      <c r="AD677" s="1013">
        <f t="shared" si="701"/>
        <v>11953.363708108955</v>
      </c>
      <c r="AE677" s="480"/>
      <c r="AF677" s="480"/>
      <c r="AG677" s="480"/>
      <c r="AH677" s="480"/>
      <c r="AI677" s="480"/>
      <c r="AJ677" s="480"/>
      <c r="AK677" s="480"/>
      <c r="AL677" s="1808"/>
      <c r="AM677" s="616"/>
      <c r="AN677" s="616"/>
      <c r="AO677" s="616"/>
      <c r="AP677" s="817"/>
      <c r="AQ677" s="618"/>
      <c r="AR677" s="618"/>
      <c r="AS677" s="618"/>
      <c r="AT677" s="817"/>
      <c r="AU677" s="618"/>
      <c r="AV677" s="618"/>
      <c r="AW677" s="618"/>
      <c r="AX677" s="817"/>
      <c r="AY677" s="618"/>
      <c r="AZ677" s="618"/>
      <c r="BA677" s="618"/>
      <c r="BB677" s="817"/>
      <c r="BC677" s="618"/>
      <c r="BD677" s="618"/>
      <c r="BE677" s="618"/>
      <c r="BF677" s="817"/>
      <c r="BG677" s="1104"/>
      <c r="BH677" s="1104"/>
      <c r="BI677" s="618"/>
      <c r="BJ677" s="817"/>
      <c r="BK677" s="618"/>
      <c r="BL677" s="618"/>
      <c r="BM677" s="618"/>
      <c r="BN677" s="817"/>
      <c r="BO677" s="618"/>
      <c r="BP677" s="618"/>
      <c r="BQ677" s="618"/>
      <c r="BT677" s="1592"/>
      <c r="CR677"/>
      <c r="CS677"/>
      <c r="CT677"/>
      <c r="CU677"/>
      <c r="CV677"/>
      <c r="CW677"/>
    </row>
    <row r="678" spans="1:101" s="477" customFormat="1" outlineLevel="2">
      <c r="A678" s="583"/>
      <c r="B678" s="583"/>
      <c r="C678" s="583"/>
      <c r="D678" s="583"/>
      <c r="E678" s="583"/>
      <c r="F678" s="583"/>
      <c r="G678" s="583"/>
      <c r="H678" s="563"/>
      <c r="I678" s="1020"/>
      <c r="J678" s="1591" t="s">
        <v>233</v>
      </c>
      <c r="K678" s="480"/>
      <c r="L678" s="480"/>
      <c r="M678" s="480"/>
      <c r="N678" s="1588"/>
      <c r="O678" s="1588"/>
      <c r="P678" s="1526">
        <v>215.99</v>
      </c>
      <c r="Q678" s="1526">
        <v>604.053</v>
      </c>
      <c r="R678" s="1526">
        <v>1158.7449999999999</v>
      </c>
      <c r="S678" s="1402">
        <v>2611.0349999999999</v>
      </c>
      <c r="T678" s="1402">
        <v>2507.2249999999999</v>
      </c>
      <c r="U678" s="1402">
        <v>4454.299</v>
      </c>
      <c r="V678" s="1013">
        <f t="shared" ref="V678:AD678" si="702">V522-U522</f>
        <v>2138.9639999999999</v>
      </c>
      <c r="W678" s="1013">
        <f t="shared" si="702"/>
        <v>4356.540321349994</v>
      </c>
      <c r="X678" s="1013">
        <f t="shared" si="702"/>
        <v>4587.9193504714749</v>
      </c>
      <c r="Y678" s="1013">
        <f t="shared" si="702"/>
        <v>4701.4126662155686</v>
      </c>
      <c r="Z678" s="1013">
        <f t="shared" si="702"/>
        <v>3976.861850965186</v>
      </c>
      <c r="AA678" s="1013">
        <f t="shared" si="702"/>
        <v>2385.821659239773</v>
      </c>
      <c r="AB678" s="1013">
        <f t="shared" si="702"/>
        <v>2568.0984340056893</v>
      </c>
      <c r="AC678" s="1013">
        <f t="shared" si="702"/>
        <v>2764.3011543637185</v>
      </c>
      <c r="AD678" s="1013">
        <f t="shared" si="702"/>
        <v>2975.4937625571038</v>
      </c>
      <c r="AE678" s="480"/>
      <c r="AF678" s="480"/>
      <c r="AG678" s="480"/>
      <c r="AH678" s="480"/>
      <c r="AI678" s="480"/>
      <c r="AJ678" s="480"/>
      <c r="AK678" s="480"/>
      <c r="AL678" s="1808"/>
      <c r="AM678" s="616"/>
      <c r="AN678" s="616"/>
      <c r="AO678" s="616"/>
      <c r="AP678" s="817"/>
      <c r="AQ678" s="618"/>
      <c r="AR678" s="618"/>
      <c r="AS678" s="618"/>
      <c r="AT678" s="817"/>
      <c r="AU678" s="618"/>
      <c r="AV678" s="618"/>
      <c r="AW678" s="618"/>
      <c r="AX678" s="817"/>
      <c r="AY678" s="618"/>
      <c r="AZ678" s="618"/>
      <c r="BA678" s="618"/>
      <c r="BB678" s="817"/>
      <c r="BC678" s="618"/>
      <c r="BD678" s="618"/>
      <c r="BE678" s="618"/>
      <c r="BF678" s="817"/>
      <c r="BG678" s="1104"/>
      <c r="BH678" s="1104"/>
      <c r="BI678" s="618"/>
      <c r="BJ678" s="817"/>
      <c r="BK678" s="618"/>
      <c r="BL678" s="618"/>
      <c r="BM678" s="618"/>
      <c r="BN678" s="817"/>
      <c r="BO678" s="618"/>
      <c r="BP678" s="618"/>
      <c r="BQ678" s="618"/>
      <c r="BT678" s="1592"/>
      <c r="CR678"/>
      <c r="CS678"/>
      <c r="CT678"/>
      <c r="CU678"/>
      <c r="CV678"/>
      <c r="CW678"/>
    </row>
    <row r="679" spans="1:101" s="477" customFormat="1" outlineLevel="2">
      <c r="A679" s="583"/>
      <c r="B679" s="583"/>
      <c r="C679" s="583"/>
      <c r="D679" s="583"/>
      <c r="E679" s="583"/>
      <c r="F679" s="583"/>
      <c r="G679" s="583"/>
      <c r="H679" s="563"/>
      <c r="I679" s="1020"/>
      <c r="J679" s="1591" t="s">
        <v>262</v>
      </c>
      <c r="K679" s="480"/>
      <c r="L679" s="480"/>
      <c r="M679" s="480"/>
      <c r="N679" s="1588"/>
      <c r="O679" s="1588"/>
      <c r="P679" s="1526">
        <v>72.531999999999996</v>
      </c>
      <c r="Q679" s="1526">
        <v>76.22</v>
      </c>
      <c r="R679" s="1526">
        <v>112.95099999999999</v>
      </c>
      <c r="S679" s="1402">
        <v>-42.615000000000002</v>
      </c>
      <c r="T679" s="1402">
        <v>-132.94900000000001</v>
      </c>
      <c r="U679" s="1402">
        <v>494.43799999999999</v>
      </c>
      <c r="V679" s="1013">
        <f>V528-U528</f>
        <v>92.932000000000016</v>
      </c>
      <c r="W679" s="1013">
        <f t="shared" ref="W679:AD679" si="703">W528-V528</f>
        <v>0</v>
      </c>
      <c r="X679" s="1013">
        <f t="shared" si="703"/>
        <v>0</v>
      </c>
      <c r="Y679" s="1013">
        <f t="shared" si="703"/>
        <v>0</v>
      </c>
      <c r="Z679" s="1013">
        <f t="shared" si="703"/>
        <v>0</v>
      </c>
      <c r="AA679" s="1013">
        <f t="shared" si="703"/>
        <v>0</v>
      </c>
      <c r="AB679" s="1013">
        <f t="shared" si="703"/>
        <v>0</v>
      </c>
      <c r="AC679" s="1013">
        <f t="shared" si="703"/>
        <v>0</v>
      </c>
      <c r="AD679" s="1013">
        <f t="shared" si="703"/>
        <v>0</v>
      </c>
      <c r="AE679" s="480"/>
      <c r="AF679" s="480"/>
      <c r="AG679" s="480"/>
      <c r="AH679" s="480"/>
      <c r="AI679" s="480"/>
      <c r="AJ679" s="480"/>
      <c r="AK679" s="480"/>
      <c r="AL679" s="1808"/>
      <c r="AM679" s="616"/>
      <c r="AN679" s="616"/>
      <c r="AO679" s="616"/>
      <c r="AP679" s="817"/>
      <c r="AQ679" s="618"/>
      <c r="AR679" s="618"/>
      <c r="AS679" s="618"/>
      <c r="AT679" s="817"/>
      <c r="AU679" s="618"/>
      <c r="AV679" s="618"/>
      <c r="AW679" s="618"/>
      <c r="AX679" s="817"/>
      <c r="AY679" s="618"/>
      <c r="AZ679" s="618"/>
      <c r="BA679" s="618"/>
      <c r="BB679" s="817"/>
      <c r="BC679" s="618"/>
      <c r="BD679" s="618"/>
      <c r="BE679" s="618"/>
      <c r="BF679" s="817"/>
      <c r="BG679" s="1104"/>
      <c r="BH679" s="1104"/>
      <c r="BI679" s="618"/>
      <c r="BJ679" s="817"/>
      <c r="BK679" s="618"/>
      <c r="BL679" s="618"/>
      <c r="BM679" s="618"/>
      <c r="BN679" s="817"/>
      <c r="BO679" s="618"/>
      <c r="BP679" s="618"/>
      <c r="BQ679" s="618"/>
      <c r="BT679" s="1592"/>
      <c r="CR679"/>
      <c r="CS679"/>
      <c r="CT679"/>
      <c r="CU679"/>
      <c r="CV679"/>
      <c r="CW679"/>
    </row>
    <row r="680" spans="1:101" s="477" customFormat="1" outlineLevel="2">
      <c r="A680" s="583"/>
      <c r="B680" s="583"/>
      <c r="C680" s="583"/>
      <c r="D680" s="583"/>
      <c r="E680" s="583"/>
      <c r="F680" s="583"/>
      <c r="G680" s="583"/>
      <c r="H680" s="563"/>
      <c r="I680" s="1020"/>
      <c r="J680" s="1591" t="s">
        <v>217</v>
      </c>
      <c r="K680" s="480"/>
      <c r="L680" s="480"/>
      <c r="M680" s="480"/>
      <c r="N680" s="1588"/>
      <c r="O680" s="1588"/>
      <c r="P680" s="1526">
        <v>412.04</v>
      </c>
      <c r="Q680" s="1526">
        <v>754.298</v>
      </c>
      <c r="R680" s="1526">
        <v>928.92</v>
      </c>
      <c r="S680" s="1402">
        <v>2988.4989999999998</v>
      </c>
      <c r="T680" s="1402">
        <v>2207.4760000000001</v>
      </c>
      <c r="U680" s="1402">
        <v>4247.9210000000003</v>
      </c>
      <c r="V680" s="1013">
        <f t="shared" ref="V680:AD680" si="704">V523-U523</f>
        <v>4605.25</v>
      </c>
      <c r="W680" s="1013">
        <f t="shared" si="704"/>
        <v>4279.4474786234096</v>
      </c>
      <c r="X680" s="1013">
        <f t="shared" si="704"/>
        <v>3862.8475963468991</v>
      </c>
      <c r="Y680" s="1013">
        <f t="shared" si="704"/>
        <v>4279.476339659941</v>
      </c>
      <c r="Z680" s="1013">
        <f t="shared" si="704"/>
        <v>3202.5066964709295</v>
      </c>
      <c r="AA680" s="1013">
        <f t="shared" si="704"/>
        <v>1643.4205051914469</v>
      </c>
      <c r="AB680" s="1013">
        <f t="shared" si="704"/>
        <v>1763.0954361091535</v>
      </c>
      <c r="AC680" s="1013">
        <f t="shared" si="704"/>
        <v>1492.3842118427492</v>
      </c>
      <c r="AD680" s="1013">
        <f t="shared" si="704"/>
        <v>2792.5030068233318</v>
      </c>
      <c r="AE680" s="480"/>
      <c r="AF680" s="480"/>
      <c r="AG680" s="480"/>
      <c r="AH680" s="480"/>
      <c r="AI680" s="480"/>
      <c r="AJ680" s="480"/>
      <c r="AK680" s="480"/>
      <c r="AL680" s="1808"/>
      <c r="AM680" s="616"/>
      <c r="AN680" s="616"/>
      <c r="AO680" s="616"/>
      <c r="AP680" s="817"/>
      <c r="AQ680" s="618"/>
      <c r="AR680" s="618"/>
      <c r="AS680" s="618"/>
      <c r="AT680" s="817"/>
      <c r="AU680" s="618"/>
      <c r="AV680" s="618"/>
      <c r="AW680" s="618"/>
      <c r="AX680" s="817"/>
      <c r="AY680" s="618"/>
      <c r="AZ680" s="618"/>
      <c r="BA680" s="618"/>
      <c r="BB680" s="817"/>
      <c r="BC680" s="618"/>
      <c r="BD680" s="618"/>
      <c r="BE680" s="618"/>
      <c r="BF680" s="817"/>
      <c r="BG680" s="1104"/>
      <c r="BH680" s="1104"/>
      <c r="BI680" s="618"/>
      <c r="BJ680" s="817"/>
      <c r="BK680" s="618"/>
      <c r="BL680" s="618"/>
      <c r="BM680" s="618"/>
      <c r="BN680" s="817"/>
      <c r="BO680" s="618"/>
      <c r="BP680" s="618"/>
      <c r="BQ680" s="618"/>
      <c r="BT680" s="1592"/>
      <c r="CR680"/>
      <c r="CS680"/>
      <c r="CT680"/>
      <c r="CU680"/>
      <c r="CV680"/>
      <c r="CW680"/>
    </row>
    <row r="681" spans="1:101" s="477" customFormat="1" outlineLevel="2">
      <c r="A681" s="583"/>
      <c r="B681" s="583"/>
      <c r="C681" s="583"/>
      <c r="D681" s="583"/>
      <c r="E681" s="583"/>
      <c r="F681" s="583"/>
      <c r="G681" s="583"/>
      <c r="H681" s="563"/>
      <c r="I681" s="1020"/>
      <c r="J681" s="1591" t="s">
        <v>218</v>
      </c>
      <c r="K681" s="480"/>
      <c r="L681" s="480"/>
      <c r="M681" s="480"/>
      <c r="N681" s="1588"/>
      <c r="O681" s="1588"/>
      <c r="P681" s="1526">
        <v>1.4279999999999999</v>
      </c>
      <c r="Q681" s="1526">
        <v>3.4569999999999999</v>
      </c>
      <c r="R681" s="1526">
        <v>-4.8849999999999998</v>
      </c>
      <c r="S681" s="1402">
        <v>67.412000000000006</v>
      </c>
      <c r="T681" s="1402">
        <v>69.945999999999998</v>
      </c>
      <c r="U681" s="1402">
        <v>29.638000000000002</v>
      </c>
      <c r="V681" s="1013">
        <f t="shared" ref="V681:AD681" si="705">V526-U526</f>
        <v>-100.58200000000001</v>
      </c>
      <c r="W681" s="1013">
        <f t="shared" si="705"/>
        <v>0</v>
      </c>
      <c r="X681" s="1013">
        <f t="shared" si="705"/>
        <v>0</v>
      </c>
      <c r="Y681" s="1013">
        <f t="shared" si="705"/>
        <v>0</v>
      </c>
      <c r="Z681" s="1013">
        <f t="shared" si="705"/>
        <v>0</v>
      </c>
      <c r="AA681" s="1013">
        <f t="shared" si="705"/>
        <v>0</v>
      </c>
      <c r="AB681" s="1013">
        <f t="shared" si="705"/>
        <v>0</v>
      </c>
      <c r="AC681" s="1013">
        <f t="shared" si="705"/>
        <v>0</v>
      </c>
      <c r="AD681" s="1013">
        <f t="shared" si="705"/>
        <v>0</v>
      </c>
      <c r="AE681" s="480"/>
      <c r="AF681" s="480"/>
      <c r="AG681" s="480"/>
      <c r="AH681" s="480"/>
      <c r="AI681" s="480"/>
      <c r="AJ681" s="480"/>
      <c r="AK681" s="480"/>
      <c r="AL681" s="1808"/>
      <c r="AM681" s="616"/>
      <c r="AN681" s="616"/>
      <c r="AO681" s="616"/>
      <c r="AP681" s="817"/>
      <c r="AQ681" s="618"/>
      <c r="AR681" s="618"/>
      <c r="AS681" s="618"/>
      <c r="AT681" s="817"/>
      <c r="AU681" s="618"/>
      <c r="AV681" s="618"/>
      <c r="AW681" s="618"/>
      <c r="AX681" s="817"/>
      <c r="AY681" s="618"/>
      <c r="AZ681" s="618"/>
      <c r="BA681" s="618"/>
      <c r="BB681" s="817"/>
      <c r="BC681" s="618"/>
      <c r="BD681" s="618"/>
      <c r="BE681" s="618"/>
      <c r="BF681" s="817"/>
      <c r="BG681" s="1104"/>
      <c r="BH681" s="1104"/>
      <c r="BI681" s="618"/>
      <c r="BJ681" s="817"/>
      <c r="BK681" s="618"/>
      <c r="BL681" s="618"/>
      <c r="BM681" s="618"/>
      <c r="BN681" s="817"/>
      <c r="BO681" s="618"/>
      <c r="BP681" s="618"/>
      <c r="BQ681" s="618"/>
      <c r="BT681" s="1592"/>
      <c r="CR681"/>
      <c r="CS681"/>
      <c r="CT681"/>
      <c r="CU681"/>
      <c r="CV681"/>
      <c r="CW681"/>
    </row>
    <row r="682" spans="1:101" s="477" customFormat="1" outlineLevel="2">
      <c r="A682" s="583"/>
      <c r="B682" s="583"/>
      <c r="C682" s="583"/>
      <c r="D682" s="583"/>
      <c r="E682" s="583"/>
      <c r="F682" s="583"/>
      <c r="G682" s="583"/>
      <c r="H682" s="563"/>
      <c r="I682" s="1020"/>
      <c r="J682" s="1591" t="s">
        <v>219</v>
      </c>
      <c r="K682" s="480"/>
      <c r="L682" s="480"/>
      <c r="M682" s="480"/>
      <c r="N682" s="1588"/>
      <c r="O682" s="1588"/>
      <c r="P682" s="1526">
        <v>41.131</v>
      </c>
      <c r="Q682" s="1526">
        <v>44.252000000000002</v>
      </c>
      <c r="R682" s="1526">
        <v>103.258</v>
      </c>
      <c r="S682" s="1402">
        <v>-65.724999999999994</v>
      </c>
      <c r="T682" s="1402">
        <v>-472.8</v>
      </c>
      <c r="U682" s="1402">
        <v>-707.96600000000001</v>
      </c>
      <c r="V682" s="1013">
        <f t="shared" ref="V682:AD682" si="706">V527-U527</f>
        <v>453.90600000000018</v>
      </c>
      <c r="W682" s="1013">
        <f t="shared" si="706"/>
        <v>0</v>
      </c>
      <c r="X682" s="1013">
        <f t="shared" si="706"/>
        <v>0</v>
      </c>
      <c r="Y682" s="1013">
        <f t="shared" si="706"/>
        <v>0</v>
      </c>
      <c r="Z682" s="1013">
        <f t="shared" si="706"/>
        <v>0</v>
      </c>
      <c r="AA682" s="1013">
        <f t="shared" si="706"/>
        <v>0</v>
      </c>
      <c r="AB682" s="1013">
        <f t="shared" si="706"/>
        <v>0</v>
      </c>
      <c r="AC682" s="1013">
        <f t="shared" si="706"/>
        <v>0</v>
      </c>
      <c r="AD682" s="1013">
        <f t="shared" si="706"/>
        <v>0</v>
      </c>
      <c r="AE682" s="480"/>
      <c r="AF682" s="480"/>
      <c r="AG682" s="480"/>
      <c r="AH682" s="480"/>
      <c r="AI682" s="480"/>
      <c r="AJ682" s="480"/>
      <c r="AK682" s="480"/>
      <c r="AL682" s="1808"/>
      <c r="AM682" s="543"/>
      <c r="AN682" s="543"/>
      <c r="AO682" s="543"/>
      <c r="AP682" s="1110"/>
      <c r="AQ682" s="912"/>
      <c r="AR682" s="912"/>
      <c r="AS682" s="912"/>
      <c r="AT682" s="1110"/>
      <c r="AU682" s="912"/>
      <c r="AV682" s="912"/>
      <c r="AW682" s="912"/>
      <c r="AX682" s="1110"/>
      <c r="AY682" s="912"/>
      <c r="AZ682" s="912"/>
      <c r="BA682" s="912"/>
      <c r="BB682" s="1110"/>
      <c r="BC682" s="912"/>
      <c r="BD682" s="912"/>
      <c r="BE682" s="912"/>
      <c r="BF682" s="1110"/>
      <c r="BG682" s="635"/>
      <c r="BH682" s="635"/>
      <c r="BI682" s="912"/>
      <c r="BJ682" s="1110"/>
      <c r="BK682" s="912"/>
      <c r="BL682" s="912"/>
      <c r="BM682" s="912"/>
      <c r="BN682" s="1110"/>
      <c r="BO682" s="912"/>
      <c r="BP682" s="912"/>
      <c r="BQ682" s="912"/>
      <c r="BT682" s="1592"/>
      <c r="CR682"/>
      <c r="CS682"/>
      <c r="CT682"/>
      <c r="CU682"/>
      <c r="CV682"/>
      <c r="CW682"/>
    </row>
    <row r="683" spans="1:101" s="477" customFormat="1" outlineLevel="2">
      <c r="A683" s="583"/>
      <c r="B683" s="583"/>
      <c r="C683" s="583"/>
      <c r="D683" s="583"/>
      <c r="E683" s="583"/>
      <c r="F683" s="583"/>
      <c r="G683" s="583"/>
      <c r="H683" s="563"/>
      <c r="I683" s="1020"/>
      <c r="J683" s="1591" t="s">
        <v>89</v>
      </c>
      <c r="K683" s="480"/>
      <c r="L683" s="480"/>
      <c r="M683" s="480"/>
      <c r="N683" s="1588"/>
      <c r="O683" s="1588"/>
      <c r="P683" s="1526"/>
      <c r="Q683" s="1526"/>
      <c r="R683" s="1526"/>
      <c r="S683" s="1038"/>
      <c r="T683" s="1013"/>
      <c r="U683" s="1013"/>
      <c r="V683" s="1013">
        <f t="shared" ref="V683:AD683" si="707">V529-U529</f>
        <v>0</v>
      </c>
      <c r="W683" s="1013">
        <f t="shared" si="707"/>
        <v>0</v>
      </c>
      <c r="X683" s="1013">
        <f t="shared" si="707"/>
        <v>0</v>
      </c>
      <c r="Y683" s="1013">
        <f t="shared" si="707"/>
        <v>0</v>
      </c>
      <c r="Z683" s="1013">
        <f t="shared" si="707"/>
        <v>0</v>
      </c>
      <c r="AA683" s="1013">
        <f t="shared" si="707"/>
        <v>0</v>
      </c>
      <c r="AB683" s="1013">
        <f t="shared" si="707"/>
        <v>0</v>
      </c>
      <c r="AC683" s="1013">
        <f t="shared" si="707"/>
        <v>0</v>
      </c>
      <c r="AD683" s="1013">
        <f t="shared" si="707"/>
        <v>0</v>
      </c>
      <c r="AE683" s="480"/>
      <c r="AF683" s="480"/>
      <c r="AG683" s="480"/>
      <c r="AH683" s="480"/>
      <c r="AI683" s="480"/>
      <c r="AJ683" s="480"/>
      <c r="AK683" s="480"/>
      <c r="AL683" s="1808"/>
      <c r="AM683" s="543"/>
      <c r="AN683" s="543"/>
      <c r="AO683" s="543"/>
      <c r="AP683" s="1110"/>
      <c r="AQ683" s="912"/>
      <c r="AR683" s="912"/>
      <c r="AS683" s="912"/>
      <c r="AT683" s="1110"/>
      <c r="AU683" s="912"/>
      <c r="AV683" s="912"/>
      <c r="AW683" s="912"/>
      <c r="AX683" s="1110"/>
      <c r="AY683" s="912"/>
      <c r="AZ683" s="912"/>
      <c r="BA683" s="912"/>
      <c r="BB683" s="1110"/>
      <c r="BC683" s="912"/>
      <c r="BD683" s="912"/>
      <c r="BE683" s="912"/>
      <c r="BF683" s="1110"/>
      <c r="BG683" s="635"/>
      <c r="BH683" s="635"/>
      <c r="BI683" s="912"/>
      <c r="BJ683" s="1110"/>
      <c r="BK683" s="912"/>
      <c r="BL683" s="912"/>
      <c r="BM683" s="912"/>
      <c r="BN683" s="1110"/>
      <c r="BO683" s="912"/>
      <c r="BP683" s="912"/>
      <c r="BQ683" s="912"/>
      <c r="BT683" s="1592"/>
      <c r="CR683"/>
      <c r="CS683"/>
      <c r="CT683"/>
      <c r="CU683"/>
      <c r="CV683"/>
      <c r="CW683"/>
    </row>
    <row r="684" spans="1:101" s="477" customFormat="1" outlineLevel="1">
      <c r="A684" s="583"/>
      <c r="B684" s="583"/>
      <c r="C684" s="583"/>
      <c r="D684" s="583"/>
      <c r="E684" s="583"/>
      <c r="F684" s="583"/>
      <c r="G684" s="583"/>
      <c r="H684" s="583"/>
      <c r="I684" s="792"/>
      <c r="J684" s="478" t="s">
        <v>491</v>
      </c>
      <c r="K684" s="478"/>
      <c r="L684" s="478"/>
      <c r="M684" s="478"/>
      <c r="N684" s="1593">
        <v>25</v>
      </c>
      <c r="O684" s="1593">
        <v>-592</v>
      </c>
      <c r="P684" s="1083">
        <f t="shared" ref="P684:AD684" si="708">P667+P668</f>
        <v>-86.390999999999849</v>
      </c>
      <c r="Q684" s="1083">
        <f t="shared" si="708"/>
        <v>1403.6520000000019</v>
      </c>
      <c r="R684" s="1083">
        <f t="shared" si="708"/>
        <v>3569.8189999999945</v>
      </c>
      <c r="S684" s="1590">
        <f t="shared" si="708"/>
        <v>992.1949999999996</v>
      </c>
      <c r="T684" s="1590">
        <f t="shared" si="708"/>
        <v>-1929.2099999999978</v>
      </c>
      <c r="U684" s="1590">
        <f t="shared" si="708"/>
        <v>8484.6640000000007</v>
      </c>
      <c r="V684" s="1590">
        <f t="shared" ca="1" si="708"/>
        <v>22501.349999999948</v>
      </c>
      <c r="W684" s="1590">
        <f t="shared" ca="1" si="708"/>
        <v>14447.9571981264</v>
      </c>
      <c r="X684" s="1590">
        <f t="shared" ca="1" si="708"/>
        <v>26871.387644931903</v>
      </c>
      <c r="Y684" s="1590">
        <f t="shared" ca="1" si="708"/>
        <v>34345.459474234973</v>
      </c>
      <c r="Z684" s="1590">
        <f t="shared" ca="1" si="708"/>
        <v>44629.575602626472</v>
      </c>
      <c r="AA684" s="1590">
        <f t="shared" ca="1" si="708"/>
        <v>45646.478091228993</v>
      </c>
      <c r="AB684" s="1590">
        <f t="shared" ca="1" si="708"/>
        <v>56103.784408065527</v>
      </c>
      <c r="AC684" s="1590">
        <f t="shared" ca="1" si="708"/>
        <v>67552.817616775224</v>
      </c>
      <c r="AD684" s="1590">
        <f t="shared" ca="1" si="708"/>
        <v>79579.812416298155</v>
      </c>
      <c r="AF684" s="920">
        <f ca="1">(Y684/V684)^(1/3)-1</f>
        <v>0.15138416397817722</v>
      </c>
      <c r="AH684" s="478"/>
      <c r="AI684" s="478"/>
      <c r="AJ684" s="478"/>
      <c r="AK684" s="478"/>
      <c r="AL684" s="1809"/>
      <c r="AM684" s="1594"/>
      <c r="AN684" s="1520"/>
      <c r="AO684" s="1520"/>
      <c r="AP684" s="1109"/>
      <c r="AQ684" s="1104"/>
      <c r="AR684" s="1104"/>
      <c r="AS684" s="1104"/>
      <c r="AT684" s="1109"/>
      <c r="AU684" s="1104"/>
      <c r="AV684" s="1104"/>
      <c r="AW684" s="1104"/>
      <c r="AX684" s="1137"/>
      <c r="AY684" s="1136"/>
      <c r="AZ684" s="1136"/>
      <c r="BA684" s="1136"/>
      <c r="BB684" s="1137"/>
      <c r="BC684" s="1136"/>
      <c r="BD684" s="1136"/>
      <c r="BE684" s="1136"/>
      <c r="BF684" s="1137"/>
      <c r="BG684" s="1104"/>
      <c r="BH684" s="1104"/>
      <c r="BI684" s="1136"/>
      <c r="BJ684" s="1137"/>
      <c r="BK684" s="1136"/>
      <c r="BL684" s="1136"/>
      <c r="BM684" s="1136"/>
      <c r="BN684" s="1137"/>
      <c r="BO684" s="1136"/>
      <c r="BP684" s="1136"/>
      <c r="BQ684" s="1136"/>
      <c r="CR684"/>
      <c r="CS684"/>
      <c r="CT684"/>
      <c r="CU684"/>
      <c r="CV684"/>
      <c r="CW684"/>
    </row>
    <row r="685" spans="1:101" s="477" customFormat="1" outlineLevel="1">
      <c r="A685" s="583"/>
      <c r="B685" s="583"/>
      <c r="C685" s="583"/>
      <c r="D685" s="583"/>
      <c r="E685" s="583"/>
      <c r="F685" s="583"/>
      <c r="G685" s="583"/>
      <c r="H685" s="583"/>
      <c r="I685" s="792"/>
      <c r="J685" s="480"/>
      <c r="K685" s="480"/>
      <c r="L685" s="480"/>
      <c r="M685" s="480"/>
      <c r="N685" s="655"/>
      <c r="O685" s="655"/>
      <c r="P685" s="655"/>
      <c r="Q685" s="655"/>
      <c r="R685" s="655"/>
      <c r="S685" s="1013"/>
      <c r="T685" s="1013"/>
      <c r="U685" s="1013"/>
      <c r="V685" s="1013"/>
      <c r="W685" s="1013"/>
      <c r="X685" s="1013"/>
      <c r="Y685" s="1013"/>
      <c r="Z685" s="1013"/>
      <c r="AA685" s="1013"/>
      <c r="AB685" s="1013"/>
      <c r="AC685" s="1013"/>
      <c r="AD685" s="1013"/>
      <c r="AH685" s="480"/>
      <c r="AI685" s="480"/>
      <c r="AJ685" s="480"/>
      <c r="AK685" s="480"/>
      <c r="AL685" s="1810"/>
      <c r="AM685" s="480"/>
      <c r="AN685" s="480"/>
      <c r="AO685" s="480"/>
      <c r="AP685" s="817"/>
      <c r="AQ685" s="618"/>
      <c r="AR685" s="618"/>
      <c r="AS685" s="618"/>
      <c r="AT685" s="817"/>
      <c r="AU685" s="618"/>
      <c r="AV685" s="618"/>
      <c r="AW685" s="618"/>
      <c r="AX685" s="817"/>
      <c r="AY685" s="618"/>
      <c r="AZ685" s="618"/>
      <c r="BA685" s="618"/>
      <c r="BB685" s="817"/>
      <c r="BC685" s="618"/>
      <c r="BD685" s="618"/>
      <c r="BE685" s="618"/>
      <c r="BF685" s="817"/>
      <c r="BG685" s="1104"/>
      <c r="BH685" s="1104"/>
      <c r="BI685" s="618"/>
      <c r="BJ685" s="817"/>
      <c r="BK685" s="618"/>
      <c r="BL685" s="618"/>
      <c r="BM685" s="618"/>
      <c r="BN685" s="817"/>
      <c r="BO685" s="618"/>
      <c r="BP685" s="618"/>
      <c r="BQ685" s="618"/>
      <c r="CR685"/>
      <c r="CS685"/>
      <c r="CT685"/>
      <c r="CU685"/>
      <c r="CV685"/>
      <c r="CW685"/>
    </row>
    <row r="686" spans="1:101" s="477" customFormat="1" outlineLevel="1">
      <c r="A686" s="583"/>
      <c r="B686" s="583"/>
      <c r="C686" s="583"/>
      <c r="D686" s="583"/>
      <c r="E686" s="583"/>
      <c r="F686" s="583"/>
      <c r="G686" s="583"/>
      <c r="H686" s="583"/>
      <c r="I686" s="792"/>
      <c r="J686" s="478" t="s">
        <v>0</v>
      </c>
      <c r="K686" s="478"/>
      <c r="L686" s="478"/>
      <c r="M686" s="1581"/>
      <c r="N686" s="1537"/>
      <c r="O686" s="1537"/>
      <c r="P686" s="1537"/>
      <c r="Q686" s="1537"/>
      <c r="R686" s="1537"/>
      <c r="S686" s="1538"/>
      <c r="T686" s="1538"/>
      <c r="U686" s="1538"/>
      <c r="V686" s="1538"/>
      <c r="W686" s="1538"/>
      <c r="X686" s="1538"/>
      <c r="Y686" s="1538"/>
      <c r="Z686" s="1538"/>
      <c r="AA686" s="1538"/>
      <c r="AB686" s="1538"/>
      <c r="AC686" s="1538"/>
      <c r="AD686" s="1538"/>
      <c r="AH686" s="1140"/>
      <c r="AI686" s="1140"/>
      <c r="AJ686" s="1140"/>
      <c r="AK686" s="1140"/>
      <c r="AL686" s="1803"/>
      <c r="AM686" s="1140"/>
      <c r="AN686" s="1140"/>
      <c r="AO686" s="1140"/>
      <c r="AP686" s="1648"/>
      <c r="AQ686" s="1133"/>
      <c r="AR686" s="1133"/>
      <c r="AS686" s="1133"/>
      <c r="AT686" s="1648"/>
      <c r="AU686" s="1133"/>
      <c r="AV686" s="1133"/>
      <c r="AW686" s="1133"/>
      <c r="AX686" s="1109"/>
      <c r="AY686" s="1104"/>
      <c r="AZ686" s="1104"/>
      <c r="BA686" s="1104"/>
      <c r="BB686" s="1109"/>
      <c r="BC686" s="1133"/>
      <c r="BD686" s="1133"/>
      <c r="BE686" s="1133"/>
      <c r="BF686" s="1648"/>
      <c r="BG686" s="1133"/>
      <c r="BH686" s="1133"/>
      <c r="BI686" s="1133"/>
      <c r="BJ686" s="1648"/>
      <c r="BK686" s="1133"/>
      <c r="BL686" s="1133"/>
      <c r="BM686" s="1133"/>
      <c r="BN686" s="1648"/>
      <c r="BO686" s="1133"/>
      <c r="BP686" s="1133"/>
      <c r="BQ686" s="1133"/>
      <c r="CR686"/>
      <c r="CS686"/>
      <c r="CT686"/>
      <c r="CU686"/>
      <c r="CV686"/>
      <c r="CW686"/>
    </row>
    <row r="687" spans="1:101" s="1103" customFormat="1" outlineLevel="1">
      <c r="A687" s="256"/>
      <c r="B687" s="256"/>
      <c r="C687" s="256"/>
      <c r="D687" s="256"/>
      <c r="E687" s="256"/>
      <c r="F687" s="256"/>
      <c r="G687" s="256"/>
      <c r="H687" s="256"/>
      <c r="I687" s="792"/>
      <c r="J687" s="654" t="s">
        <v>61</v>
      </c>
      <c r="K687" s="1595"/>
      <c r="L687" s="1595"/>
      <c r="M687" s="1595"/>
      <c r="N687" s="655">
        <f t="shared" ref="N687:AD687" si="709">SUM(N688:N694)</f>
        <v>0</v>
      </c>
      <c r="O687" s="655">
        <f t="shared" si="709"/>
        <v>0</v>
      </c>
      <c r="P687" s="655">
        <f t="shared" si="709"/>
        <v>-623.41000000000008</v>
      </c>
      <c r="Q687" s="655">
        <f t="shared" si="709"/>
        <v>-1147.7349999999999</v>
      </c>
      <c r="R687" s="655">
        <f t="shared" si="709"/>
        <v>-1290.9189999999999</v>
      </c>
      <c r="S687" s="655">
        <f t="shared" si="709"/>
        <v>-2902.0660000000003</v>
      </c>
      <c r="T687" s="655">
        <f t="shared" si="709"/>
        <v>-5299.7589999999991</v>
      </c>
      <c r="U687" s="655">
        <f t="shared" si="709"/>
        <v>-4425.607</v>
      </c>
      <c r="V687" s="655">
        <f t="shared" si="709"/>
        <v>-15555.133000000002</v>
      </c>
      <c r="W687" s="655">
        <f t="shared" si="709"/>
        <v>-7723.9582419999979</v>
      </c>
      <c r="X687" s="655">
        <f t="shared" si="709"/>
        <v>-8892.1178035073972</v>
      </c>
      <c r="Y687" s="655">
        <f t="shared" si="709"/>
        <v>-10675.876634890983</v>
      </c>
      <c r="Z687" s="655">
        <f t="shared" si="709"/>
        <v>-10128.73795735282</v>
      </c>
      <c r="AA687" s="655">
        <f t="shared" si="709"/>
        <v>-10902.573537294576</v>
      </c>
      <c r="AB687" s="655">
        <f t="shared" si="709"/>
        <v>-11735.53015554388</v>
      </c>
      <c r="AC687" s="655">
        <f t="shared" si="709"/>
        <v>-12632.124659427433</v>
      </c>
      <c r="AD687" s="655">
        <f t="shared" si="709"/>
        <v>-13597.218983407687</v>
      </c>
      <c r="AH687" s="654"/>
      <c r="AI687" s="654"/>
      <c r="AJ687" s="654"/>
      <c r="AK687" s="654"/>
      <c r="AL687" s="1811"/>
      <c r="AM687" s="626"/>
      <c r="AN687" s="626"/>
      <c r="AO687" s="626"/>
      <c r="AP687" s="1124"/>
      <c r="AQ687" s="1123"/>
      <c r="AR687" s="1123"/>
      <c r="AS687" s="1123"/>
      <c r="AT687" s="1124"/>
      <c r="AU687" s="1123"/>
      <c r="AV687" s="1123"/>
      <c r="AW687" s="1123"/>
      <c r="AX687" s="1124"/>
      <c r="AY687" s="1123"/>
      <c r="AZ687" s="1123"/>
      <c r="BA687" s="1123"/>
      <c r="BB687" s="1124"/>
      <c r="BC687" s="1123"/>
      <c r="BD687" s="1123"/>
      <c r="BE687" s="1123"/>
      <c r="BF687" s="1124"/>
      <c r="BG687" s="1104"/>
      <c r="BH687" s="1104"/>
      <c r="BI687" s="1123"/>
      <c r="BJ687" s="1124"/>
      <c r="BK687" s="1123"/>
      <c r="BL687" s="1123"/>
      <c r="BM687" s="1123"/>
      <c r="BN687" s="1124"/>
      <c r="BO687" s="1123"/>
      <c r="BP687" s="1123"/>
      <c r="BQ687" s="1123"/>
      <c r="CR687"/>
      <c r="CS687"/>
      <c r="CT687"/>
      <c r="CU687"/>
      <c r="CV687"/>
      <c r="CW687"/>
    </row>
    <row r="688" spans="1:101" s="477" customFormat="1" outlineLevel="2">
      <c r="A688" s="583"/>
      <c r="B688" s="583"/>
      <c r="C688" s="583"/>
      <c r="D688" s="583"/>
      <c r="E688" s="583"/>
      <c r="F688" s="583"/>
      <c r="G688" s="583"/>
      <c r="H688" s="583"/>
      <c r="I688" s="792"/>
      <c r="J688" s="1591" t="s">
        <v>274</v>
      </c>
      <c r="K688" s="1581"/>
      <c r="L688" s="1581"/>
      <c r="M688" s="1581"/>
      <c r="N688" s="1588"/>
      <c r="O688" s="1588"/>
      <c r="P688" s="1589">
        <v>-288.54500000000002</v>
      </c>
      <c r="Q688" s="1589">
        <v>-497.31200000000001</v>
      </c>
      <c r="R688" s="1589">
        <v>-439.88099999999997</v>
      </c>
      <c r="S688" s="1402">
        <v>-1424.5340000000001</v>
      </c>
      <c r="T688" s="1402">
        <v>-2826.83</v>
      </c>
      <c r="U688" s="1402">
        <v>-2372.0349999999999</v>
      </c>
      <c r="V688" s="655">
        <f>V578</f>
        <v>-11365.382</v>
      </c>
      <c r="W688" s="655">
        <f t="shared" ref="W688:AD688" si="710">W578</f>
        <v>-7723.9582419999979</v>
      </c>
      <c r="X688" s="655">
        <f t="shared" si="710"/>
        <v>-8892.1178035073972</v>
      </c>
      <c r="Y688" s="655">
        <f t="shared" si="710"/>
        <v>-10675.876634890983</v>
      </c>
      <c r="Z688" s="655">
        <f t="shared" si="710"/>
        <v>-10128.73795735282</v>
      </c>
      <c r="AA688" s="655">
        <f t="shared" si="710"/>
        <v>-10902.573537294576</v>
      </c>
      <c r="AB688" s="655">
        <f t="shared" si="710"/>
        <v>-11735.53015554388</v>
      </c>
      <c r="AC688" s="655">
        <f t="shared" si="710"/>
        <v>-12632.124659427433</v>
      </c>
      <c r="AD688" s="655">
        <f t="shared" si="710"/>
        <v>-13597.218983407687</v>
      </c>
      <c r="AH688" s="480"/>
      <c r="AI688" s="480"/>
      <c r="AJ688" s="480"/>
      <c r="AK688" s="480"/>
      <c r="AL688" s="1808"/>
      <c r="AM688" s="543"/>
      <c r="AN688" s="543"/>
      <c r="AO688" s="543"/>
      <c r="AP688" s="1110"/>
      <c r="AQ688" s="912"/>
      <c r="AR688" s="912"/>
      <c r="AS688" s="912"/>
      <c r="AT688" s="1110"/>
      <c r="AU688" s="912"/>
      <c r="AV688" s="912"/>
      <c r="AW688" s="912"/>
      <c r="AX688" s="1124"/>
      <c r="AY688" s="1123"/>
      <c r="AZ688" s="1123"/>
      <c r="BA688" s="1123"/>
      <c r="BB688" s="1124"/>
      <c r="BC688" s="1123"/>
      <c r="BD688" s="1123"/>
      <c r="BE688" s="1123"/>
      <c r="BF688" s="1124"/>
      <c r="BG688" s="1104"/>
      <c r="BH688" s="1104"/>
      <c r="BI688" s="1123"/>
      <c r="BJ688" s="1124"/>
      <c r="BK688" s="1123"/>
      <c r="BL688" s="1123"/>
      <c r="BM688" s="1123"/>
      <c r="BN688" s="1124"/>
      <c r="BO688" s="1123"/>
      <c r="BP688" s="1123"/>
      <c r="BQ688" s="1123"/>
      <c r="BT688" s="1592"/>
      <c r="CR688"/>
      <c r="CS688"/>
      <c r="CT688"/>
      <c r="CU688"/>
      <c r="CV688"/>
      <c r="CW688"/>
    </row>
    <row r="689" spans="1:101" s="474" customFormat="1" outlineLevel="2">
      <c r="A689" s="42"/>
      <c r="B689" s="42"/>
      <c r="C689" s="42"/>
      <c r="D689" s="42"/>
      <c r="E689" s="42"/>
      <c r="F689" s="42"/>
      <c r="G689" s="42"/>
      <c r="H689" s="42"/>
      <c r="I689" s="1098"/>
      <c r="J689" s="1115" t="s">
        <v>275</v>
      </c>
      <c r="K689" s="1128"/>
      <c r="L689" s="1128"/>
      <c r="M689" s="1128"/>
      <c r="N689" s="1116"/>
      <c r="O689" s="1116"/>
      <c r="P689" s="1473">
        <v>-161.4</v>
      </c>
      <c r="Q689" s="1473">
        <v>-100</v>
      </c>
      <c r="R689" s="1473">
        <v>0</v>
      </c>
      <c r="S689" s="1402"/>
      <c r="T689" s="1402"/>
      <c r="U689" s="1402"/>
      <c r="V689" s="655"/>
      <c r="W689" s="655"/>
      <c r="X689" s="655"/>
      <c r="Y689" s="655"/>
      <c r="Z689" s="655"/>
      <c r="AA689" s="655"/>
      <c r="AB689" s="655"/>
      <c r="AC689" s="655"/>
      <c r="AD689" s="655"/>
      <c r="AH689" s="521"/>
      <c r="AI689" s="521"/>
      <c r="AJ689" s="521"/>
      <c r="AK689" s="521"/>
      <c r="AL689" s="1808"/>
      <c r="AM689" s="518"/>
      <c r="AN689" s="518"/>
      <c r="AO689" s="518"/>
      <c r="AP689" s="1110"/>
      <c r="AQ689" s="1095"/>
      <c r="AR689" s="1095"/>
      <c r="AS689" s="1095"/>
      <c r="AT689" s="1110"/>
      <c r="AU689" s="1095"/>
      <c r="AV689" s="1095"/>
      <c r="AW689" s="1095"/>
      <c r="AX689" s="1124"/>
      <c r="AY689" s="1123"/>
      <c r="AZ689" s="1123"/>
      <c r="BA689" s="1123"/>
      <c r="BB689" s="1124"/>
      <c r="BC689" s="1123"/>
      <c r="BD689" s="1123"/>
      <c r="BE689" s="1123"/>
      <c r="BF689" s="1124"/>
      <c r="BG689" s="1104"/>
      <c r="BH689" s="1104"/>
      <c r="BI689" s="1123"/>
      <c r="BJ689" s="1124"/>
      <c r="BK689" s="1123"/>
      <c r="BL689" s="1123"/>
      <c r="BM689" s="1123"/>
      <c r="BN689" s="1124"/>
      <c r="BO689" s="1123"/>
      <c r="BP689" s="1123"/>
      <c r="BQ689" s="1123"/>
      <c r="BR689" s="477"/>
      <c r="BT689" s="1126"/>
      <c r="CR689"/>
      <c r="CS689"/>
      <c r="CT689"/>
      <c r="CU689"/>
      <c r="CV689"/>
      <c r="CW689"/>
    </row>
    <row r="690" spans="1:101" s="474" customFormat="1" outlineLevel="2">
      <c r="A690" s="42"/>
      <c r="B690" s="42"/>
      <c r="C690" s="42"/>
      <c r="D690" s="42"/>
      <c r="E690" s="42"/>
      <c r="F690" s="42"/>
      <c r="G690" s="42"/>
      <c r="H690" s="42"/>
      <c r="I690" s="1098"/>
      <c r="J690" s="1115" t="s">
        <v>60</v>
      </c>
      <c r="K690" s="1128"/>
      <c r="L690" s="1128"/>
      <c r="M690" s="1128"/>
      <c r="N690" s="1116"/>
      <c r="O690" s="1116"/>
      <c r="P690" s="1473">
        <v>-168.83</v>
      </c>
      <c r="Q690" s="1473">
        <v>-369.00099999999998</v>
      </c>
      <c r="R690" s="1473">
        <v>-104.55200000000001</v>
      </c>
      <c r="S690" s="1402">
        <v>-423.084</v>
      </c>
      <c r="T690" s="1402">
        <v>-925.75800000000004</v>
      </c>
      <c r="U690" s="1402">
        <v>-678.32799999999997</v>
      </c>
      <c r="V690" s="655">
        <f t="shared" ref="V690:AD690" si="711">-(V510-U510)</f>
        <v>-4603.2980000000007</v>
      </c>
      <c r="W690" s="655">
        <f t="shared" si="711"/>
        <v>0</v>
      </c>
      <c r="X690" s="655">
        <f t="shared" si="711"/>
        <v>0</v>
      </c>
      <c r="Y690" s="655">
        <f t="shared" si="711"/>
        <v>0</v>
      </c>
      <c r="Z690" s="655">
        <f t="shared" si="711"/>
        <v>0</v>
      </c>
      <c r="AA690" s="655">
        <f t="shared" si="711"/>
        <v>0</v>
      </c>
      <c r="AB690" s="655">
        <f t="shared" si="711"/>
        <v>0</v>
      </c>
      <c r="AC690" s="655">
        <f t="shared" si="711"/>
        <v>0</v>
      </c>
      <c r="AD690" s="655">
        <f t="shared" si="711"/>
        <v>0</v>
      </c>
      <c r="AH690" s="521"/>
      <c r="AI690" s="521"/>
      <c r="AJ690" s="521"/>
      <c r="AK690" s="521"/>
      <c r="AL690" s="1808"/>
      <c r="AM690" s="518"/>
      <c r="AN690" s="518"/>
      <c r="AO690" s="518"/>
      <c r="AP690" s="1110"/>
      <c r="AQ690" s="1095"/>
      <c r="AR690" s="1095"/>
      <c r="AS690" s="1095"/>
      <c r="AT690" s="1110"/>
      <c r="AU690" s="1095"/>
      <c r="AV690" s="1095"/>
      <c r="AW690" s="1095"/>
      <c r="AX690" s="1124"/>
      <c r="AY690" s="1123"/>
      <c r="AZ690" s="1123"/>
      <c r="BA690" s="1123"/>
      <c r="BB690" s="1124"/>
      <c r="BC690" s="1123"/>
      <c r="BD690" s="1123"/>
      <c r="BE690" s="1123"/>
      <c r="BF690" s="1124"/>
      <c r="BG690" s="1104"/>
      <c r="BH690" s="1104"/>
      <c r="BI690" s="1123"/>
      <c r="BJ690" s="1124"/>
      <c r="BK690" s="1123"/>
      <c r="BL690" s="1123"/>
      <c r="BM690" s="1123"/>
      <c r="BN690" s="1124"/>
      <c r="BO690" s="1123"/>
      <c r="BP690" s="1123"/>
      <c r="BQ690" s="1123"/>
      <c r="BR690" s="477"/>
      <c r="BT690" s="1126"/>
      <c r="CR690"/>
      <c r="CS690"/>
      <c r="CT690"/>
      <c r="CU690"/>
      <c r="CV690"/>
      <c r="CW690"/>
    </row>
    <row r="691" spans="1:101" s="474" customFormat="1" outlineLevel="2">
      <c r="A691" s="42"/>
      <c r="B691" s="42"/>
      <c r="C691" s="42"/>
      <c r="D691" s="42"/>
      <c r="E691" s="42"/>
      <c r="F691" s="42"/>
      <c r="G691" s="42"/>
      <c r="H691" s="42"/>
      <c r="I691" s="1098"/>
      <c r="J691" s="1115" t="s">
        <v>234</v>
      </c>
      <c r="K691" s="1128"/>
      <c r="L691" s="1128"/>
      <c r="M691" s="1128"/>
      <c r="N691" s="1116"/>
      <c r="O691" s="1116"/>
      <c r="P691" s="1473">
        <v>0</v>
      </c>
      <c r="Q691" s="1473">
        <v>0</v>
      </c>
      <c r="R691" s="1473">
        <v>1.1619999999999999</v>
      </c>
      <c r="S691" s="1402">
        <v>0</v>
      </c>
      <c r="T691" s="1402">
        <v>0</v>
      </c>
      <c r="U691" s="1402">
        <v>34.558</v>
      </c>
      <c r="V691" s="655"/>
      <c r="W691" s="1092"/>
      <c r="X691" s="1092"/>
      <c r="Y691" s="1092"/>
      <c r="Z691" s="1092"/>
      <c r="AA691" s="1092"/>
      <c r="AB691" s="1092"/>
      <c r="AC691" s="1092"/>
      <c r="AD691" s="1092"/>
      <c r="AH691" s="521"/>
      <c r="AI691" s="521"/>
      <c r="AJ691" s="521"/>
      <c r="AK691" s="521"/>
      <c r="AL691" s="1808"/>
      <c r="AM691" s="518"/>
      <c r="AN691" s="518"/>
      <c r="AO691" s="518"/>
      <c r="AP691" s="1110"/>
      <c r="AQ691" s="1095"/>
      <c r="AR691" s="1095"/>
      <c r="AS691" s="1095"/>
      <c r="AT691" s="1110"/>
      <c r="AU691" s="1095"/>
      <c r="AV691" s="1095"/>
      <c r="AW691" s="1095"/>
      <c r="AX691" s="1110"/>
      <c r="AY691" s="912"/>
      <c r="AZ691" s="912"/>
      <c r="BA691" s="912"/>
      <c r="BB691" s="1110"/>
      <c r="BC691" s="912"/>
      <c r="BD691" s="912"/>
      <c r="BE691" s="912"/>
      <c r="BF691" s="1110"/>
      <c r="BG691" s="635"/>
      <c r="BH691" s="635"/>
      <c r="BI691" s="912"/>
      <c r="BJ691" s="1110"/>
      <c r="BK691" s="1095"/>
      <c r="BL691" s="1095"/>
      <c r="BM691" s="912"/>
      <c r="BN691" s="1110"/>
      <c r="BO691" s="1095"/>
      <c r="BP691" s="1095"/>
      <c r="BQ691" s="912"/>
      <c r="BR691" s="477"/>
      <c r="BT691" s="1126"/>
      <c r="CR691"/>
      <c r="CS691"/>
      <c r="CT691"/>
      <c r="CU691"/>
      <c r="CV691"/>
      <c r="CW691"/>
    </row>
    <row r="692" spans="1:101" s="474" customFormat="1" outlineLevel="2">
      <c r="A692" s="42"/>
      <c r="B692" s="42"/>
      <c r="C692" s="42"/>
      <c r="D692" s="42"/>
      <c r="E692" s="42"/>
      <c r="F692" s="42"/>
      <c r="G692" s="42"/>
      <c r="H692" s="42"/>
      <c r="I692" s="1098"/>
      <c r="J692" s="1115" t="s">
        <v>18</v>
      </c>
      <c r="K692" s="521"/>
      <c r="L692" s="521"/>
      <c r="M692" s="521"/>
      <c r="N692" s="1116"/>
      <c r="O692" s="1116"/>
      <c r="P692" s="1473">
        <v>0</v>
      </c>
      <c r="Q692" s="1473">
        <v>-136.12200000000001</v>
      </c>
      <c r="R692" s="1473">
        <v>-737.41099999999994</v>
      </c>
      <c r="S692" s="1402">
        <v>-1036.5129999999999</v>
      </c>
      <c r="T692" s="1402">
        <v>-1540.615</v>
      </c>
      <c r="U692" s="1402">
        <v>-1359.364</v>
      </c>
      <c r="V692" s="1013">
        <f t="shared" ref="V692:AD692" si="712">-(V507-U507)</f>
        <v>-1204.393</v>
      </c>
      <c r="W692" s="1014">
        <f t="shared" si="712"/>
        <v>0</v>
      </c>
      <c r="X692" s="1014">
        <f t="shared" si="712"/>
        <v>0</v>
      </c>
      <c r="Y692" s="1014">
        <f t="shared" si="712"/>
        <v>0</v>
      </c>
      <c r="Z692" s="1014">
        <f t="shared" si="712"/>
        <v>0</v>
      </c>
      <c r="AA692" s="1014">
        <f t="shared" si="712"/>
        <v>0</v>
      </c>
      <c r="AB692" s="1014">
        <f t="shared" si="712"/>
        <v>0</v>
      </c>
      <c r="AC692" s="1014">
        <f t="shared" si="712"/>
        <v>0</v>
      </c>
      <c r="AD692" s="1014">
        <f t="shared" si="712"/>
        <v>0</v>
      </c>
      <c r="AH692" s="521"/>
      <c r="AI692" s="521"/>
      <c r="AJ692" s="521"/>
      <c r="AK692" s="521"/>
      <c r="AL692" s="1808"/>
      <c r="AM692" s="518"/>
      <c r="AN692" s="518"/>
      <c r="AO692" s="518"/>
      <c r="AP692" s="1110"/>
      <c r="AQ692" s="1095"/>
      <c r="AR692" s="1095"/>
      <c r="AS692" s="1095"/>
      <c r="AT692" s="1110"/>
      <c r="AU692" s="1095"/>
      <c r="AV692" s="1095"/>
      <c r="AW692" s="1095"/>
      <c r="AX692" s="1110"/>
      <c r="AY692" s="912"/>
      <c r="AZ692" s="912"/>
      <c r="BA692" s="912"/>
      <c r="BB692" s="1110"/>
      <c r="BC692" s="912"/>
      <c r="BD692" s="912"/>
      <c r="BE692" s="912"/>
      <c r="BF692" s="1110"/>
      <c r="BG692" s="635"/>
      <c r="BH692" s="635"/>
      <c r="BI692" s="912"/>
      <c r="BJ692" s="1110"/>
      <c r="BK692" s="1095"/>
      <c r="BL692" s="1095"/>
      <c r="BM692" s="912"/>
      <c r="BN692" s="1110"/>
      <c r="BO692" s="1095"/>
      <c r="BP692" s="1095"/>
      <c r="BQ692" s="912"/>
      <c r="BR692" s="477"/>
      <c r="BT692" s="1126"/>
      <c r="CR692"/>
      <c r="CS692"/>
      <c r="CT692"/>
      <c r="CU692"/>
      <c r="CV692"/>
      <c r="CW692"/>
    </row>
    <row r="693" spans="1:101" s="474" customFormat="1" outlineLevel="2">
      <c r="A693" s="42"/>
      <c r="B693" s="42"/>
      <c r="C693" s="42"/>
      <c r="D693" s="42"/>
      <c r="E693" s="42"/>
      <c r="F693" s="42"/>
      <c r="G693" s="42"/>
      <c r="H693" s="42"/>
      <c r="I693" s="1098"/>
      <c r="J693" s="1115" t="s">
        <v>19</v>
      </c>
      <c r="K693" s="521"/>
      <c r="L693" s="521"/>
      <c r="M693" s="521"/>
      <c r="N693" s="1116"/>
      <c r="O693" s="1116"/>
      <c r="P693" s="1473">
        <v>-4.6349999999999998</v>
      </c>
      <c r="Q693" s="1473">
        <v>-45.3</v>
      </c>
      <c r="R693" s="1473">
        <v>-10.237</v>
      </c>
      <c r="S693" s="1402">
        <v>-17.934999999999999</v>
      </c>
      <c r="T693" s="1402">
        <v>-6.556</v>
      </c>
      <c r="U693" s="1402">
        <v>-50.438000000000002</v>
      </c>
      <c r="V693" s="1013">
        <f t="shared" ref="V693:AD693" si="713">U508-V508</f>
        <v>1617.9399999999996</v>
      </c>
      <c r="W693" s="1013">
        <f t="shared" si="713"/>
        <v>0</v>
      </c>
      <c r="X693" s="1013">
        <f t="shared" si="713"/>
        <v>0</v>
      </c>
      <c r="Y693" s="1013">
        <f t="shared" si="713"/>
        <v>0</v>
      </c>
      <c r="Z693" s="1013">
        <f t="shared" si="713"/>
        <v>0</v>
      </c>
      <c r="AA693" s="1013">
        <f t="shared" si="713"/>
        <v>0</v>
      </c>
      <c r="AB693" s="1013">
        <f t="shared" si="713"/>
        <v>0</v>
      </c>
      <c r="AC693" s="1013">
        <f t="shared" si="713"/>
        <v>0</v>
      </c>
      <c r="AD693" s="1013">
        <f t="shared" si="713"/>
        <v>0</v>
      </c>
      <c r="AH693" s="521"/>
      <c r="AI693" s="521"/>
      <c r="AJ693" s="521"/>
      <c r="AK693" s="521"/>
      <c r="AL693" s="1808"/>
      <c r="AM693" s="518"/>
      <c r="AN693" s="518"/>
      <c r="AO693" s="518"/>
      <c r="AP693" s="1110"/>
      <c r="AQ693" s="1095"/>
      <c r="AR693" s="1095"/>
      <c r="AS693" s="1095"/>
      <c r="AT693" s="1110"/>
      <c r="AU693" s="1095"/>
      <c r="AV693" s="1095"/>
      <c r="AW693" s="1095"/>
      <c r="AX693" s="817"/>
      <c r="AY693" s="618"/>
      <c r="AZ693" s="618"/>
      <c r="BA693" s="618"/>
      <c r="BB693" s="817"/>
      <c r="BC693" s="618"/>
      <c r="BD693" s="618"/>
      <c r="BE693" s="618"/>
      <c r="BF693" s="817"/>
      <c r="BG693" s="1104"/>
      <c r="BH693" s="1104"/>
      <c r="BI693" s="618"/>
      <c r="BJ693" s="817"/>
      <c r="BK693" s="618"/>
      <c r="BL693" s="618"/>
      <c r="BM693" s="618"/>
      <c r="BN693" s="817"/>
      <c r="BO693" s="618"/>
      <c r="BP693" s="618"/>
      <c r="BQ693" s="618"/>
      <c r="BR693" s="477"/>
      <c r="BT693" s="1126"/>
      <c r="CR693"/>
      <c r="CS693"/>
      <c r="CT693"/>
      <c r="CU693"/>
      <c r="CV693"/>
      <c r="CW693"/>
    </row>
    <row r="694" spans="1:101" s="474" customFormat="1" outlineLevel="2">
      <c r="A694" s="42"/>
      <c r="B694" s="42"/>
      <c r="C694" s="42"/>
      <c r="D694" s="42"/>
      <c r="E694" s="42"/>
      <c r="F694" s="42"/>
      <c r="G694" s="42"/>
      <c r="H694" s="42"/>
      <c r="I694" s="1098"/>
      <c r="J694" s="1118"/>
      <c r="K694" s="521"/>
      <c r="L694" s="521"/>
      <c r="M694" s="521"/>
      <c r="N694" s="1116"/>
      <c r="O694" s="1116"/>
      <c r="P694" s="1116"/>
      <c r="Q694" s="1116"/>
      <c r="R694" s="1116"/>
      <c r="S694" s="1090"/>
      <c r="T694" s="1090"/>
      <c r="U694" s="1090"/>
      <c r="V694" s="1090"/>
      <c r="W694" s="1044"/>
      <c r="X694" s="1044"/>
      <c r="Y694" s="1044"/>
      <c r="Z694" s="1044"/>
      <c r="AA694" s="1044"/>
      <c r="AB694" s="1044"/>
      <c r="AC694" s="1044"/>
      <c r="AD694" s="1044"/>
      <c r="AH694" s="521"/>
      <c r="AI694" s="521"/>
      <c r="AJ694" s="521"/>
      <c r="AK694" s="521"/>
      <c r="AL694" s="1808"/>
      <c r="AM694" s="518"/>
      <c r="AN694" s="518"/>
      <c r="AO694" s="518"/>
      <c r="AP694" s="1110"/>
      <c r="AQ694" s="1095"/>
      <c r="AR694" s="1095"/>
      <c r="AS694" s="1095"/>
      <c r="AT694" s="1110"/>
      <c r="AU694" s="1095"/>
      <c r="AV694" s="1095"/>
      <c r="AW694" s="1095"/>
      <c r="AX694" s="1110"/>
      <c r="AY694" s="912"/>
      <c r="AZ694" s="912"/>
      <c r="BA694" s="912"/>
      <c r="BB694" s="1110"/>
      <c r="BC694" s="912"/>
      <c r="BD694" s="912"/>
      <c r="BE694" s="912"/>
      <c r="BF694" s="1110"/>
      <c r="BG694" s="635"/>
      <c r="BH694" s="635"/>
      <c r="BI694" s="912"/>
      <c r="BJ694" s="1110"/>
      <c r="BK694" s="1095"/>
      <c r="BL694" s="1095"/>
      <c r="BM694" s="912"/>
      <c r="BN694" s="1110"/>
      <c r="BO694" s="1095"/>
      <c r="BP694" s="1095"/>
      <c r="BQ694" s="912"/>
      <c r="BR694" s="477"/>
      <c r="BT694" s="1126"/>
      <c r="CR694"/>
      <c r="CS694"/>
      <c r="CT694"/>
      <c r="CU694"/>
      <c r="CV694"/>
      <c r="CW694"/>
    </row>
    <row r="695" spans="1:101" s="474" customFormat="1" outlineLevel="1">
      <c r="A695" s="42"/>
      <c r="B695" s="42"/>
      <c r="C695" s="42"/>
      <c r="D695" s="42"/>
      <c r="E695" s="42"/>
      <c r="F695" s="42"/>
      <c r="G695" s="42"/>
      <c r="H695" s="42"/>
      <c r="I695" s="1098"/>
      <c r="J695" s="1019" t="s">
        <v>63</v>
      </c>
      <c r="K695" s="1128"/>
      <c r="L695" s="1128"/>
      <c r="M695" s="1128"/>
      <c r="N695" s="1111">
        <f t="shared" ref="N695:AD695" si="714">SUM(N696:N700)</f>
        <v>0</v>
      </c>
      <c r="O695" s="1111">
        <f t="shared" si="714"/>
        <v>0</v>
      </c>
      <c r="P695" s="1111">
        <f t="shared" si="714"/>
        <v>-0.84</v>
      </c>
      <c r="Q695" s="1111">
        <f t="shared" si="714"/>
        <v>-141.71899999999999</v>
      </c>
      <c r="R695" s="1111">
        <f t="shared" si="714"/>
        <v>-35.133000000000003</v>
      </c>
      <c r="S695" s="1091">
        <f t="shared" si="714"/>
        <v>825.75199999999995</v>
      </c>
      <c r="T695" s="1091">
        <f t="shared" si="714"/>
        <v>-7447.1279999999997</v>
      </c>
      <c r="U695" s="1091">
        <f t="shared" si="714"/>
        <v>-8276.3619999999992</v>
      </c>
      <c r="V695" s="1091">
        <f t="shared" si="714"/>
        <v>-13014.264999999999</v>
      </c>
      <c r="W695" s="1111">
        <f t="shared" si="714"/>
        <v>0</v>
      </c>
      <c r="X695" s="1111">
        <f t="shared" si="714"/>
        <v>0</v>
      </c>
      <c r="Y695" s="1111">
        <f t="shared" si="714"/>
        <v>0</v>
      </c>
      <c r="Z695" s="1111">
        <f t="shared" si="714"/>
        <v>0</v>
      </c>
      <c r="AA695" s="1111">
        <f t="shared" si="714"/>
        <v>0</v>
      </c>
      <c r="AB695" s="1111">
        <f t="shared" si="714"/>
        <v>0</v>
      </c>
      <c r="AC695" s="1111">
        <f t="shared" si="714"/>
        <v>0</v>
      </c>
      <c r="AD695" s="1111">
        <f t="shared" si="714"/>
        <v>0</v>
      </c>
      <c r="AH695" s="521"/>
      <c r="AI695" s="521"/>
      <c r="AJ695" s="521"/>
      <c r="AK695" s="521"/>
      <c r="AL695" s="1808"/>
      <c r="AM695" s="518"/>
      <c r="AN695" s="518"/>
      <c r="AO695" s="518"/>
      <c r="AP695" s="1110"/>
      <c r="AQ695" s="1095"/>
      <c r="AR695" s="1095"/>
      <c r="AS695" s="1095"/>
      <c r="AT695" s="1110"/>
      <c r="AU695" s="1095"/>
      <c r="AV695" s="1095"/>
      <c r="AW695" s="1095"/>
      <c r="AX695" s="1114"/>
      <c r="AY695" s="1113"/>
      <c r="AZ695" s="1113"/>
      <c r="BA695" s="1113"/>
      <c r="BB695" s="1114"/>
      <c r="BC695" s="1113"/>
      <c r="BD695" s="1113"/>
      <c r="BE695" s="1113"/>
      <c r="BF695" s="1114"/>
      <c r="BG695" s="809"/>
      <c r="BH695" s="809"/>
      <c r="BI695" s="1113"/>
      <c r="BJ695" s="1114"/>
      <c r="BK695" s="1112"/>
      <c r="BL695" s="1112"/>
      <c r="BM695" s="1113"/>
      <c r="BN695" s="1114"/>
      <c r="BO695" s="1112"/>
      <c r="BP695" s="1112"/>
      <c r="BQ695" s="1113"/>
      <c r="BR695" s="477"/>
      <c r="BT695" s="1126"/>
      <c r="CR695"/>
      <c r="CS695"/>
      <c r="CT695"/>
      <c r="CU695"/>
      <c r="CV695"/>
      <c r="CW695"/>
    </row>
    <row r="696" spans="1:101" s="474" customFormat="1" outlineLevel="2">
      <c r="A696" s="42"/>
      <c r="B696" s="42"/>
      <c r="C696" s="42"/>
      <c r="D696" s="42"/>
      <c r="E696" s="42"/>
      <c r="F696" s="42"/>
      <c r="G696" s="42"/>
      <c r="H696" s="42"/>
      <c r="I696" s="1098"/>
      <c r="J696" s="1115" t="s">
        <v>62</v>
      </c>
      <c r="K696" s="521"/>
      <c r="L696" s="521"/>
      <c r="M696" s="521"/>
      <c r="N696" s="1116"/>
      <c r="O696" s="1116"/>
      <c r="P696" s="1473">
        <v>0</v>
      </c>
      <c r="Q696" s="1473">
        <v>-139.71899999999999</v>
      </c>
      <c r="R696" s="1473">
        <v>0</v>
      </c>
      <c r="S696" s="1402">
        <v>1260.337</v>
      </c>
      <c r="T696" s="1402">
        <v>-290.339</v>
      </c>
      <c r="U696" s="1402">
        <v>-615.84900000000005</v>
      </c>
      <c r="V696" s="1090"/>
      <c r="W696" s="1044"/>
      <c r="X696" s="1044"/>
      <c r="Y696" s="1044"/>
      <c r="Z696" s="1044"/>
      <c r="AA696" s="1044"/>
      <c r="AB696" s="1044"/>
      <c r="AC696" s="1044"/>
      <c r="AD696" s="1044"/>
      <c r="AH696" s="521"/>
      <c r="AI696" s="521"/>
      <c r="AJ696" s="521"/>
      <c r="AK696" s="521"/>
      <c r="AL696" s="1808"/>
      <c r="AM696" s="518"/>
      <c r="AN696" s="518"/>
      <c r="AO696" s="518"/>
      <c r="AP696" s="1110"/>
      <c r="AQ696" s="1095"/>
      <c r="AR696" s="1095"/>
      <c r="AS696" s="1095"/>
      <c r="AT696" s="1110"/>
      <c r="AU696" s="1095"/>
      <c r="AV696" s="1095"/>
      <c r="AW696" s="1095"/>
      <c r="AX696" s="1110"/>
      <c r="AY696" s="912"/>
      <c r="AZ696" s="912"/>
      <c r="BA696" s="912"/>
      <c r="BB696" s="1110"/>
      <c r="BC696" s="912"/>
      <c r="BD696" s="912"/>
      <c r="BE696" s="912"/>
      <c r="BF696" s="1110"/>
      <c r="BG696" s="635"/>
      <c r="BH696" s="635"/>
      <c r="BI696" s="912"/>
      <c r="BJ696" s="1110"/>
      <c r="BK696" s="1095"/>
      <c r="BL696" s="1095"/>
      <c r="BM696" s="912"/>
      <c r="BN696" s="1110"/>
      <c r="BO696" s="1095"/>
      <c r="BP696" s="1095"/>
      <c r="BQ696" s="912"/>
      <c r="BR696" s="477"/>
      <c r="BT696" s="1126"/>
      <c r="CR696"/>
      <c r="CS696"/>
      <c r="CT696"/>
      <c r="CU696"/>
      <c r="CV696"/>
      <c r="CW696"/>
    </row>
    <row r="697" spans="1:101" s="474" customFormat="1" outlineLevel="2">
      <c r="A697" s="42"/>
      <c r="B697" s="42"/>
      <c r="C697" s="42"/>
      <c r="D697" s="42"/>
      <c r="E697" s="42"/>
      <c r="F697" s="42"/>
      <c r="G697" s="42"/>
      <c r="H697" s="42"/>
      <c r="I697" s="1098"/>
      <c r="J697" s="1115" t="s">
        <v>273</v>
      </c>
      <c r="K697" s="521"/>
      <c r="L697" s="521"/>
      <c r="M697" s="521"/>
      <c r="N697" s="1116"/>
      <c r="O697" s="1116"/>
      <c r="P697" s="1473">
        <v>-0.84</v>
      </c>
      <c r="Q697" s="1473">
        <v>-2</v>
      </c>
      <c r="R697" s="1473">
        <v>-35.133000000000003</v>
      </c>
      <c r="S697" s="1402">
        <v>-434.58499999999998</v>
      </c>
      <c r="T697" s="1402">
        <v>-7156.7889999999998</v>
      </c>
      <c r="U697" s="1402">
        <v>-7660.5129999999999</v>
      </c>
      <c r="V697" s="1013">
        <f t="shared" ref="V697:AD697" si="715">-(V515-U515)</f>
        <v>-3922.5329999999994</v>
      </c>
      <c r="W697" s="1013">
        <f t="shared" si="715"/>
        <v>0</v>
      </c>
      <c r="X697" s="1013">
        <f t="shared" si="715"/>
        <v>0</v>
      </c>
      <c r="Y697" s="1013">
        <f t="shared" si="715"/>
        <v>0</v>
      </c>
      <c r="Z697" s="1013">
        <f t="shared" si="715"/>
        <v>0</v>
      </c>
      <c r="AA697" s="1013">
        <f t="shared" si="715"/>
        <v>0</v>
      </c>
      <c r="AB697" s="1013">
        <f t="shared" si="715"/>
        <v>0</v>
      </c>
      <c r="AC697" s="1013">
        <f t="shared" si="715"/>
        <v>0</v>
      </c>
      <c r="AD697" s="1013">
        <f t="shared" si="715"/>
        <v>0</v>
      </c>
      <c r="AH697" s="521"/>
      <c r="AI697" s="521"/>
      <c r="AJ697" s="521"/>
      <c r="AK697" s="521"/>
      <c r="AL697" s="1808"/>
      <c r="AM697" s="518"/>
      <c r="AN697" s="518"/>
      <c r="AO697" s="518"/>
      <c r="AP697" s="1110"/>
      <c r="AQ697" s="1095"/>
      <c r="AR697" s="1095"/>
      <c r="AS697" s="1095"/>
      <c r="AT697" s="1110"/>
      <c r="AU697" s="1095"/>
      <c r="AV697" s="1095"/>
      <c r="AW697" s="1095"/>
      <c r="AX697" s="1110"/>
      <c r="AY697" s="912"/>
      <c r="AZ697" s="912"/>
      <c r="BA697" s="912"/>
      <c r="BB697" s="1110"/>
      <c r="BC697" s="912"/>
      <c r="BD697" s="912"/>
      <c r="BE697" s="912"/>
      <c r="BF697" s="1110"/>
      <c r="BG697" s="635"/>
      <c r="BH697" s="635"/>
      <c r="BI697" s="912"/>
      <c r="BJ697" s="1110"/>
      <c r="BK697" s="1095"/>
      <c r="BL697" s="1095"/>
      <c r="BM697" s="912"/>
      <c r="BN697" s="1110"/>
      <c r="BO697" s="1095"/>
      <c r="BP697" s="1095"/>
      <c r="BQ697" s="912"/>
      <c r="BR697" s="477"/>
      <c r="BT697" s="1126"/>
      <c r="CR697"/>
      <c r="CS697"/>
      <c r="CT697"/>
      <c r="CU697"/>
      <c r="CV697"/>
      <c r="CW697"/>
    </row>
    <row r="698" spans="1:101" s="474" customFormat="1" outlineLevel="2">
      <c r="A698" s="42"/>
      <c r="B698" s="42"/>
      <c r="C698" s="42"/>
      <c r="D698" s="42"/>
      <c r="E698" s="42"/>
      <c r="F698" s="42"/>
      <c r="G698" s="42"/>
      <c r="H698" s="42"/>
      <c r="I698" s="1098"/>
      <c r="J698" s="1036" t="s">
        <v>681</v>
      </c>
      <c r="K698" s="521"/>
      <c r="L698" s="521"/>
      <c r="M698" s="521"/>
      <c r="N698" s="1116"/>
      <c r="O698" s="1116"/>
      <c r="P698" s="1116"/>
      <c r="Q698" s="1116"/>
      <c r="R698" s="1116"/>
      <c r="S698" s="1090"/>
      <c r="T698" s="1013"/>
      <c r="U698" s="1013"/>
      <c r="V698" s="1013">
        <f t="shared" ref="V698:AD698" si="716">-(V516-U516)</f>
        <v>-8968.1810000000005</v>
      </c>
      <c r="W698" s="1013">
        <f t="shared" si="716"/>
        <v>0</v>
      </c>
      <c r="X698" s="1013">
        <f t="shared" si="716"/>
        <v>0</v>
      </c>
      <c r="Y698" s="1013">
        <f t="shared" si="716"/>
        <v>0</v>
      </c>
      <c r="Z698" s="1013">
        <f t="shared" si="716"/>
        <v>0</v>
      </c>
      <c r="AA698" s="1013">
        <f t="shared" si="716"/>
        <v>0</v>
      </c>
      <c r="AB698" s="1013">
        <f t="shared" si="716"/>
        <v>0</v>
      </c>
      <c r="AC698" s="1013">
        <f t="shared" si="716"/>
        <v>0</v>
      </c>
      <c r="AD698" s="1013">
        <f t="shared" si="716"/>
        <v>0</v>
      </c>
      <c r="AH698" s="521"/>
      <c r="AI698" s="521"/>
      <c r="AJ698" s="521"/>
      <c r="AK698" s="521"/>
      <c r="AL698" s="1808"/>
      <c r="AM698" s="518"/>
      <c r="AN698" s="518"/>
      <c r="AO698" s="518"/>
      <c r="AP698" s="1110"/>
      <c r="AQ698" s="1095"/>
      <c r="AR698" s="1095"/>
      <c r="AS698" s="1095"/>
      <c r="AT698" s="1110"/>
      <c r="AU698" s="1095"/>
      <c r="AV698" s="1095"/>
      <c r="AW698" s="1095"/>
      <c r="AX698" s="1110"/>
      <c r="AY698" s="912"/>
      <c r="AZ698" s="912"/>
      <c r="BA698" s="912"/>
      <c r="BB698" s="1110"/>
      <c r="BC698" s="912"/>
      <c r="BD698" s="912"/>
      <c r="BE698" s="912"/>
      <c r="BF698" s="1110"/>
      <c r="BG698" s="635"/>
      <c r="BH698" s="635"/>
      <c r="BI698" s="912"/>
      <c r="BJ698" s="1110"/>
      <c r="BK698" s="1095"/>
      <c r="BL698" s="1095"/>
      <c r="BM698" s="912"/>
      <c r="BN698" s="1110"/>
      <c r="BO698" s="1095"/>
      <c r="BP698" s="1095"/>
      <c r="BQ698" s="912"/>
      <c r="BR698" s="477"/>
      <c r="BT698" s="1126"/>
      <c r="CR698"/>
      <c r="CS698"/>
      <c r="CT698"/>
      <c r="CU698"/>
      <c r="CV698"/>
      <c r="CW698"/>
    </row>
    <row r="699" spans="1:101" s="474" customFormat="1" outlineLevel="2">
      <c r="A699" s="42"/>
      <c r="B699" s="42"/>
      <c r="C699" s="42"/>
      <c r="D699" s="42"/>
      <c r="E699" s="42"/>
      <c r="F699" s="42"/>
      <c r="G699" s="42"/>
      <c r="H699" s="42"/>
      <c r="I699" s="1098"/>
      <c r="J699" s="1115" t="s">
        <v>88</v>
      </c>
      <c r="K699" s="521"/>
      <c r="L699" s="521"/>
      <c r="M699" s="521"/>
      <c r="N699" s="1116"/>
      <c r="O699" s="1116"/>
      <c r="P699" s="1116"/>
      <c r="Q699" s="1116"/>
      <c r="R699" s="1116"/>
      <c r="S699" s="1090"/>
      <c r="T699" s="1013"/>
      <c r="U699" s="1013"/>
      <c r="V699" s="1013">
        <f t="shared" ref="V699:AD699" si="717">-(V511-U511)</f>
        <v>-123.55099999999948</v>
      </c>
      <c r="W699" s="1013">
        <f t="shared" si="717"/>
        <v>0</v>
      </c>
      <c r="X699" s="1013">
        <f t="shared" si="717"/>
        <v>0</v>
      </c>
      <c r="Y699" s="1013">
        <f t="shared" si="717"/>
        <v>0</v>
      </c>
      <c r="Z699" s="1013">
        <f t="shared" si="717"/>
        <v>0</v>
      </c>
      <c r="AA699" s="1013">
        <f t="shared" si="717"/>
        <v>0</v>
      </c>
      <c r="AB699" s="1013">
        <f t="shared" si="717"/>
        <v>0</v>
      </c>
      <c r="AC699" s="1013">
        <f t="shared" si="717"/>
        <v>0</v>
      </c>
      <c r="AD699" s="1013">
        <f t="shared" si="717"/>
        <v>0</v>
      </c>
      <c r="AH699" s="521"/>
      <c r="AI699" s="521"/>
      <c r="AJ699" s="521"/>
      <c r="AK699" s="521"/>
      <c r="AL699" s="1808"/>
      <c r="AM699" s="518"/>
      <c r="AN699" s="518"/>
      <c r="AO699" s="518"/>
      <c r="AP699" s="1110"/>
      <c r="AQ699" s="1095"/>
      <c r="AR699" s="1095"/>
      <c r="AS699" s="1095"/>
      <c r="AT699" s="1110"/>
      <c r="AU699" s="1095"/>
      <c r="AV699" s="1095"/>
      <c r="AW699" s="1095"/>
      <c r="AX699" s="1110"/>
      <c r="AY699" s="912"/>
      <c r="AZ699" s="912"/>
      <c r="BA699" s="912"/>
      <c r="BB699" s="1110"/>
      <c r="BC699" s="912"/>
      <c r="BD699" s="912"/>
      <c r="BE699" s="912"/>
      <c r="BF699" s="1110"/>
      <c r="BG699" s="635"/>
      <c r="BH699" s="635"/>
      <c r="BI699" s="912"/>
      <c r="BJ699" s="1110"/>
      <c r="BK699" s="1095"/>
      <c r="BL699" s="1095"/>
      <c r="BM699" s="912"/>
      <c r="BN699" s="1110"/>
      <c r="BO699" s="1095"/>
      <c r="BP699" s="1095"/>
      <c r="BQ699" s="912"/>
      <c r="BR699" s="477"/>
      <c r="BT699" s="1126"/>
      <c r="CR699"/>
      <c r="CS699"/>
      <c r="CT699"/>
      <c r="CU699"/>
      <c r="CV699"/>
      <c r="CW699"/>
    </row>
    <row r="700" spans="1:101" s="474" customFormat="1" outlineLevel="2">
      <c r="A700" s="42"/>
      <c r="B700" s="42"/>
      <c r="C700" s="42"/>
      <c r="D700" s="42"/>
      <c r="E700" s="42"/>
      <c r="F700" s="42"/>
      <c r="G700" s="42"/>
      <c r="H700" s="42"/>
      <c r="I700" s="1098"/>
      <c r="J700" s="1118"/>
      <c r="K700" s="1128"/>
      <c r="L700" s="1128"/>
      <c r="M700" s="1128"/>
      <c r="N700" s="1116"/>
      <c r="O700" s="1116"/>
      <c r="P700" s="1116"/>
      <c r="Q700" s="1116"/>
      <c r="R700" s="1116"/>
      <c r="S700" s="655"/>
      <c r="T700" s="655"/>
      <c r="U700" s="655"/>
      <c r="V700" s="655"/>
      <c r="W700" s="1092"/>
      <c r="X700" s="1092"/>
      <c r="Y700" s="1092"/>
      <c r="Z700" s="1092"/>
      <c r="AA700" s="1092"/>
      <c r="AB700" s="1092"/>
      <c r="AC700" s="1092"/>
      <c r="AD700" s="1092"/>
      <c r="AH700" s="521"/>
      <c r="AI700" s="521"/>
      <c r="AJ700" s="521"/>
      <c r="AK700" s="521"/>
      <c r="AL700" s="1808"/>
      <c r="AM700" s="518"/>
      <c r="AN700" s="518"/>
      <c r="AO700" s="518"/>
      <c r="AP700" s="1110"/>
      <c r="AQ700" s="1095"/>
      <c r="AR700" s="1095"/>
      <c r="AS700" s="1095"/>
      <c r="AT700" s="1110"/>
      <c r="AU700" s="1095"/>
      <c r="AV700" s="1095"/>
      <c r="AW700" s="1095"/>
      <c r="AX700" s="1110"/>
      <c r="AY700" s="912"/>
      <c r="AZ700" s="912"/>
      <c r="BA700" s="912"/>
      <c r="BB700" s="1110"/>
      <c r="BC700" s="912"/>
      <c r="BD700" s="912"/>
      <c r="BE700" s="912"/>
      <c r="BF700" s="1110"/>
      <c r="BG700" s="635"/>
      <c r="BH700" s="635"/>
      <c r="BI700" s="912"/>
      <c r="BJ700" s="1110"/>
      <c r="BK700" s="1095"/>
      <c r="BL700" s="1095"/>
      <c r="BM700" s="912"/>
      <c r="BN700" s="1110"/>
      <c r="BO700" s="1095"/>
      <c r="BP700" s="1095"/>
      <c r="BQ700" s="912"/>
      <c r="BR700" s="477"/>
      <c r="BT700" s="1126"/>
      <c r="CR700"/>
      <c r="CS700"/>
      <c r="CT700"/>
      <c r="CU700"/>
      <c r="CV700"/>
      <c r="CW700"/>
    </row>
    <row r="701" spans="1:101" s="474" customFormat="1" outlineLevel="1">
      <c r="A701" s="42"/>
      <c r="B701" s="42"/>
      <c r="C701" s="42"/>
      <c r="D701" s="42"/>
      <c r="E701" s="42"/>
      <c r="F701" s="42"/>
      <c r="G701" s="42"/>
      <c r="H701" s="42"/>
      <c r="I701" s="1098"/>
      <c r="J701" s="1019" t="s">
        <v>64</v>
      </c>
      <c r="K701" s="1128"/>
      <c r="L701" s="1128"/>
      <c r="M701" s="1128"/>
      <c r="N701" s="1091">
        <f t="shared" ref="N701:AD701" si="718">SUM(N702:N705)</f>
        <v>0</v>
      </c>
      <c r="O701" s="1091">
        <f t="shared" si="718"/>
        <v>0</v>
      </c>
      <c r="P701" s="1091">
        <f t="shared" si="718"/>
        <v>0</v>
      </c>
      <c r="Q701" s="1091">
        <f t="shared" si="718"/>
        <v>-2080</v>
      </c>
      <c r="R701" s="1091">
        <f t="shared" si="718"/>
        <v>-800</v>
      </c>
      <c r="S701" s="1091">
        <f t="shared" si="718"/>
        <v>-11671.933999999999</v>
      </c>
      <c r="T701" s="1091">
        <f t="shared" si="718"/>
        <v>10464.234999999999</v>
      </c>
      <c r="U701" s="1091">
        <f t="shared" si="718"/>
        <v>-5346.9379999999992</v>
      </c>
      <c r="V701" s="1091">
        <f t="shared" si="718"/>
        <v>0</v>
      </c>
      <c r="W701" s="1111">
        <f t="shared" si="718"/>
        <v>0</v>
      </c>
      <c r="X701" s="1111">
        <f t="shared" si="718"/>
        <v>0</v>
      </c>
      <c r="Y701" s="1111">
        <f t="shared" si="718"/>
        <v>0</v>
      </c>
      <c r="Z701" s="1111">
        <f t="shared" si="718"/>
        <v>0</v>
      </c>
      <c r="AA701" s="1111">
        <f t="shared" si="718"/>
        <v>0</v>
      </c>
      <c r="AB701" s="1111">
        <f t="shared" si="718"/>
        <v>0</v>
      </c>
      <c r="AC701" s="1111">
        <f t="shared" si="718"/>
        <v>0</v>
      </c>
      <c r="AD701" s="1111">
        <f t="shared" si="718"/>
        <v>0</v>
      </c>
      <c r="AH701" s="521"/>
      <c r="AI701" s="521"/>
      <c r="AJ701" s="521"/>
      <c r="AK701" s="521"/>
      <c r="AL701" s="1808"/>
      <c r="AM701" s="518"/>
      <c r="AN701" s="518"/>
      <c r="AO701" s="518"/>
      <c r="AP701" s="1110"/>
      <c r="AQ701" s="1095"/>
      <c r="AR701" s="1095"/>
      <c r="AS701" s="1095"/>
      <c r="AT701" s="1110"/>
      <c r="AU701" s="1095"/>
      <c r="AV701" s="1095"/>
      <c r="AW701" s="1095"/>
      <c r="AX701" s="1114"/>
      <c r="AY701" s="1113"/>
      <c r="AZ701" s="1113"/>
      <c r="BA701" s="1113"/>
      <c r="BB701" s="1114"/>
      <c r="BC701" s="1113"/>
      <c r="BD701" s="1113"/>
      <c r="BE701" s="1113"/>
      <c r="BF701" s="1114"/>
      <c r="BG701" s="809"/>
      <c r="BH701" s="809"/>
      <c r="BI701" s="1113"/>
      <c r="BJ701" s="1114"/>
      <c r="BK701" s="1112"/>
      <c r="BL701" s="1112"/>
      <c r="BM701" s="1113"/>
      <c r="BN701" s="1114"/>
      <c r="BO701" s="1112"/>
      <c r="BP701" s="1112"/>
      <c r="BQ701" s="1113"/>
      <c r="BR701" s="477"/>
      <c r="BT701" s="1126"/>
      <c r="CR701"/>
      <c r="CS701"/>
      <c r="CT701"/>
      <c r="CU701"/>
      <c r="CV701"/>
      <c r="CW701"/>
    </row>
    <row r="702" spans="1:101" s="474" customFormat="1" outlineLevel="2">
      <c r="A702" s="42"/>
      <c r="B702" s="42"/>
      <c r="C702" s="42"/>
      <c r="D702" s="42"/>
      <c r="E702" s="42"/>
      <c r="F702" s="42"/>
      <c r="G702" s="42"/>
      <c r="H702" s="42"/>
      <c r="I702" s="1098"/>
      <c r="J702" s="1115" t="s">
        <v>271</v>
      </c>
      <c r="K702" s="521"/>
      <c r="L702" s="521"/>
      <c r="M702" s="521"/>
      <c r="N702" s="1116"/>
      <c r="O702" s="1116"/>
      <c r="P702" s="1473">
        <v>-300</v>
      </c>
      <c r="Q702" s="1473">
        <v>-2590</v>
      </c>
      <c r="R702" s="1473">
        <v>-9966.2000000000007</v>
      </c>
      <c r="S702" s="1402">
        <v>-19104.407999999999</v>
      </c>
      <c r="T702" s="1402">
        <v>-5022</v>
      </c>
      <c r="U702" s="1402">
        <v>-16969.213</v>
      </c>
      <c r="V702" s="1090"/>
      <c r="W702" s="1044"/>
      <c r="X702" s="1044"/>
      <c r="Y702" s="1044"/>
      <c r="Z702" s="1044"/>
      <c r="AA702" s="1044"/>
      <c r="AB702" s="1044"/>
      <c r="AC702" s="1044"/>
      <c r="AD702" s="1044"/>
      <c r="AH702" s="521"/>
      <c r="AI702" s="521"/>
      <c r="AJ702" s="521"/>
      <c r="AK702" s="521"/>
      <c r="AL702" s="1808"/>
      <c r="AM702" s="518"/>
      <c r="AN702" s="518"/>
      <c r="AO702" s="518"/>
      <c r="AP702" s="1110"/>
      <c r="AQ702" s="1095"/>
      <c r="AR702" s="1095"/>
      <c r="AS702" s="1095"/>
      <c r="AT702" s="1110"/>
      <c r="AU702" s="1095"/>
      <c r="AV702" s="1095"/>
      <c r="AW702" s="1095"/>
      <c r="AX702" s="1110"/>
      <c r="AY702" s="912"/>
      <c r="AZ702" s="912"/>
      <c r="BA702" s="912"/>
      <c r="BB702" s="1110"/>
      <c r="BC702" s="912"/>
      <c r="BD702" s="912"/>
      <c r="BE702" s="912"/>
      <c r="BF702" s="1110"/>
      <c r="BG702" s="635"/>
      <c r="BH702" s="635"/>
      <c r="BI702" s="912"/>
      <c r="BJ702" s="1110"/>
      <c r="BK702" s="1095"/>
      <c r="BL702" s="1095"/>
      <c r="BM702" s="912"/>
      <c r="BN702" s="1110"/>
      <c r="BO702" s="1095"/>
      <c r="BP702" s="1095"/>
      <c r="BQ702" s="912"/>
      <c r="BR702" s="477"/>
      <c r="BT702" s="1126"/>
      <c r="CR702"/>
      <c r="CS702"/>
      <c r="CT702"/>
      <c r="CU702"/>
      <c r="CV702"/>
      <c r="CW702"/>
    </row>
    <row r="703" spans="1:101" s="474" customFormat="1" outlineLevel="2">
      <c r="A703" s="42"/>
      <c r="B703" s="42"/>
      <c r="C703" s="42"/>
      <c r="D703" s="42"/>
      <c r="E703" s="42"/>
      <c r="F703" s="42"/>
      <c r="G703" s="42"/>
      <c r="H703" s="42"/>
      <c r="I703" s="1098"/>
      <c r="J703" s="1115" t="s">
        <v>272</v>
      </c>
      <c r="K703" s="521"/>
      <c r="L703" s="521"/>
      <c r="M703" s="521"/>
      <c r="N703" s="1116"/>
      <c r="O703" s="1116"/>
      <c r="P703" s="1473">
        <v>300</v>
      </c>
      <c r="Q703" s="1473">
        <v>510</v>
      </c>
      <c r="R703" s="1473">
        <v>9166.2000000000007</v>
      </c>
      <c r="S703" s="1402">
        <v>7853.607</v>
      </c>
      <c r="T703" s="1402">
        <v>16625.620999999999</v>
      </c>
      <c r="U703" s="1402">
        <v>12738.475</v>
      </c>
      <c r="V703" s="1090"/>
      <c r="W703" s="1044"/>
      <c r="X703" s="1044"/>
      <c r="Y703" s="1044"/>
      <c r="Z703" s="1044"/>
      <c r="AA703" s="1044"/>
      <c r="AB703" s="1044"/>
      <c r="AC703" s="1044"/>
      <c r="AD703" s="1044"/>
      <c r="AH703" s="521"/>
      <c r="AI703" s="521"/>
      <c r="AJ703" s="521"/>
      <c r="AK703" s="521"/>
      <c r="AL703" s="1808"/>
      <c r="AM703" s="518"/>
      <c r="AN703" s="518"/>
      <c r="AO703" s="518"/>
      <c r="AP703" s="1110"/>
      <c r="AQ703" s="1095"/>
      <c r="AR703" s="1095"/>
      <c r="AS703" s="1095"/>
      <c r="AT703" s="1110"/>
      <c r="AU703" s="1095"/>
      <c r="AV703" s="1095"/>
      <c r="AW703" s="1095"/>
      <c r="AX703" s="1110"/>
      <c r="AY703" s="912"/>
      <c r="AZ703" s="912"/>
      <c r="BA703" s="912"/>
      <c r="BB703" s="1110"/>
      <c r="BC703" s="912"/>
      <c r="BD703" s="912"/>
      <c r="BE703" s="912"/>
      <c r="BF703" s="1110"/>
      <c r="BG703" s="635"/>
      <c r="BH703" s="635"/>
      <c r="BI703" s="912"/>
      <c r="BJ703" s="1110"/>
      <c r="BK703" s="1095"/>
      <c r="BL703" s="1095"/>
      <c r="BM703" s="912"/>
      <c r="BN703" s="1110"/>
      <c r="BO703" s="1095"/>
      <c r="BP703" s="1095"/>
      <c r="BQ703" s="912"/>
      <c r="BR703" s="477"/>
      <c r="BT703" s="1126"/>
      <c r="CR703"/>
      <c r="CS703"/>
      <c r="CT703"/>
      <c r="CU703"/>
      <c r="CV703"/>
      <c r="CW703"/>
    </row>
    <row r="704" spans="1:101" s="474" customFormat="1" outlineLevel="2">
      <c r="A704" s="42"/>
      <c r="B704" s="42"/>
      <c r="C704" s="42"/>
      <c r="D704" s="42"/>
      <c r="E704" s="42"/>
      <c r="F704" s="42"/>
      <c r="G704" s="42"/>
      <c r="H704" s="42"/>
      <c r="I704" s="1098"/>
      <c r="J704" s="1115" t="s">
        <v>525</v>
      </c>
      <c r="K704" s="521"/>
      <c r="L704" s="521"/>
      <c r="M704" s="521"/>
      <c r="N704" s="1116"/>
      <c r="O704" s="1116"/>
      <c r="P704" s="1116"/>
      <c r="Q704" s="1116"/>
      <c r="R704" s="1116"/>
      <c r="S704" s="1402">
        <v>-421.13299999999998</v>
      </c>
      <c r="T704" s="1402">
        <v>-1139.386</v>
      </c>
      <c r="U704" s="1402">
        <v>-1116.2</v>
      </c>
      <c r="V704" s="1090"/>
      <c r="W704" s="1044"/>
      <c r="X704" s="1044"/>
      <c r="Y704" s="1044"/>
      <c r="Z704" s="1044"/>
      <c r="AA704" s="1044"/>
      <c r="AB704" s="1044"/>
      <c r="AC704" s="1044"/>
      <c r="AD704" s="1044"/>
      <c r="AH704" s="521"/>
      <c r="AI704" s="521"/>
      <c r="AJ704" s="521"/>
      <c r="AK704" s="521"/>
      <c r="AL704" s="1808"/>
      <c r="AM704" s="518"/>
      <c r="AN704" s="518"/>
      <c r="AO704" s="518"/>
      <c r="AP704" s="1110"/>
      <c r="AQ704" s="1095"/>
      <c r="AR704" s="1095"/>
      <c r="AS704" s="1095"/>
      <c r="AT704" s="1110"/>
      <c r="AU704" s="1095"/>
      <c r="AV704" s="1095"/>
      <c r="AW704" s="1095"/>
      <c r="AX704" s="1110"/>
      <c r="AY704" s="912"/>
      <c r="AZ704" s="912"/>
      <c r="BA704" s="912"/>
      <c r="BB704" s="1110"/>
      <c r="BC704" s="912"/>
      <c r="BD704" s="912"/>
      <c r="BE704" s="912"/>
      <c r="BF704" s="1110"/>
      <c r="BG704" s="635"/>
      <c r="BH704" s="635"/>
      <c r="BI704" s="912"/>
      <c r="BJ704" s="1110"/>
      <c r="BK704" s="1095"/>
      <c r="BL704" s="1095"/>
      <c r="BM704" s="912"/>
      <c r="BN704" s="1110"/>
      <c r="BO704" s="1095"/>
      <c r="BP704" s="1095"/>
      <c r="BQ704" s="912"/>
      <c r="BR704" s="477"/>
      <c r="BT704" s="1126"/>
      <c r="CR704"/>
      <c r="CS704"/>
      <c r="CT704"/>
      <c r="CU704"/>
      <c r="CV704"/>
      <c r="CW704"/>
    </row>
    <row r="705" spans="1:101" s="474" customFormat="1" outlineLevel="2">
      <c r="A705" s="42"/>
      <c r="B705" s="42"/>
      <c r="C705" s="42"/>
      <c r="D705" s="42"/>
      <c r="E705" s="42"/>
      <c r="F705" s="42"/>
      <c r="G705" s="42"/>
      <c r="H705" s="42"/>
      <c r="I705" s="1098"/>
      <c r="J705" s="1118"/>
      <c r="K705" s="1128"/>
      <c r="L705" s="1128"/>
      <c r="M705" s="1128"/>
      <c r="N705" s="1116"/>
      <c r="O705" s="1116"/>
      <c r="P705" s="1116"/>
      <c r="Q705" s="1116"/>
      <c r="R705" s="1116"/>
      <c r="S705" s="655"/>
      <c r="T705" s="655"/>
      <c r="U705" s="655"/>
      <c r="V705" s="655"/>
      <c r="W705" s="1092"/>
      <c r="X705" s="1092"/>
      <c r="Y705" s="1092"/>
      <c r="Z705" s="1092"/>
      <c r="AA705" s="1092"/>
      <c r="AB705" s="1092"/>
      <c r="AC705" s="1092"/>
      <c r="AD705" s="1092"/>
      <c r="AH705" s="521"/>
      <c r="AI705" s="521"/>
      <c r="AJ705" s="521"/>
      <c r="AK705" s="521"/>
      <c r="AL705" s="1808"/>
      <c r="AM705" s="518"/>
      <c r="AN705" s="518"/>
      <c r="AO705" s="518"/>
      <c r="AP705" s="1110"/>
      <c r="AQ705" s="1095"/>
      <c r="AR705" s="1095"/>
      <c r="AS705" s="1095"/>
      <c r="AT705" s="1110"/>
      <c r="AU705" s="1095"/>
      <c r="AV705" s="1095"/>
      <c r="AW705" s="1095"/>
      <c r="AX705" s="1110"/>
      <c r="AY705" s="912"/>
      <c r="AZ705" s="912"/>
      <c r="BA705" s="912"/>
      <c r="BB705" s="1110"/>
      <c r="BC705" s="912"/>
      <c r="BD705" s="912"/>
      <c r="BE705" s="912"/>
      <c r="BF705" s="1110"/>
      <c r="BG705" s="635"/>
      <c r="BH705" s="635"/>
      <c r="BI705" s="912"/>
      <c r="BJ705" s="1110"/>
      <c r="BK705" s="1095"/>
      <c r="BL705" s="1095"/>
      <c r="BM705" s="912"/>
      <c r="BN705" s="1110"/>
      <c r="BO705" s="1095"/>
      <c r="BP705" s="1095"/>
      <c r="BQ705" s="912"/>
      <c r="BR705" s="477"/>
      <c r="BT705" s="1126"/>
      <c r="CR705"/>
      <c r="CS705"/>
      <c r="CT705"/>
      <c r="CU705"/>
      <c r="CV705"/>
      <c r="CW705"/>
    </row>
    <row r="706" spans="1:101" s="474" customFormat="1" outlineLevel="1">
      <c r="A706" s="42"/>
      <c r="B706" s="42"/>
      <c r="C706" s="42"/>
      <c r="D706" s="42"/>
      <c r="E706" s="42"/>
      <c r="F706" s="42"/>
      <c r="G706" s="42"/>
      <c r="H706" s="42"/>
      <c r="I706" s="1098"/>
      <c r="J706" s="1019" t="s">
        <v>65</v>
      </c>
      <c r="K706" s="1128"/>
      <c r="L706" s="1128"/>
      <c r="M706" s="1128"/>
      <c r="N706" s="1111">
        <f t="shared" ref="N706:AD706" si="719">SUM(N707:N710)</f>
        <v>0</v>
      </c>
      <c r="O706" s="1111">
        <f t="shared" si="719"/>
        <v>0</v>
      </c>
      <c r="P706" s="1111">
        <f t="shared" si="719"/>
        <v>0</v>
      </c>
      <c r="Q706" s="1111">
        <f t="shared" si="719"/>
        <v>0</v>
      </c>
      <c r="R706" s="1111">
        <f t="shared" si="719"/>
        <v>-545</v>
      </c>
      <c r="S706" s="1091">
        <f t="shared" si="719"/>
        <v>545</v>
      </c>
      <c r="T706" s="1091">
        <f t="shared" si="719"/>
        <v>0</v>
      </c>
      <c r="U706" s="1091">
        <f t="shared" si="719"/>
        <v>-30219.67</v>
      </c>
      <c r="V706" s="1091">
        <f t="shared" si="719"/>
        <v>-2039.8510000000006</v>
      </c>
      <c r="W706" s="1111">
        <f t="shared" si="719"/>
        <v>0</v>
      </c>
      <c r="X706" s="1111">
        <f t="shared" si="719"/>
        <v>0</v>
      </c>
      <c r="Y706" s="1111">
        <f t="shared" si="719"/>
        <v>0</v>
      </c>
      <c r="Z706" s="1111">
        <f t="shared" si="719"/>
        <v>0</v>
      </c>
      <c r="AA706" s="1111">
        <f t="shared" si="719"/>
        <v>0</v>
      </c>
      <c r="AB706" s="1111">
        <f t="shared" si="719"/>
        <v>0</v>
      </c>
      <c r="AC706" s="1111">
        <f t="shared" si="719"/>
        <v>0</v>
      </c>
      <c r="AD706" s="1111">
        <f t="shared" si="719"/>
        <v>0</v>
      </c>
      <c r="AH706" s="521"/>
      <c r="AI706" s="521"/>
      <c r="AJ706" s="521"/>
      <c r="AK706" s="521"/>
      <c r="AL706" s="1808"/>
      <c r="AM706" s="518"/>
      <c r="AN706" s="518"/>
      <c r="AO706" s="518"/>
      <c r="AP706" s="1110"/>
      <c r="AQ706" s="1095"/>
      <c r="AR706" s="1095"/>
      <c r="AS706" s="1095"/>
      <c r="AT706" s="1110"/>
      <c r="AU706" s="1095"/>
      <c r="AV706" s="1095"/>
      <c r="AW706" s="1095"/>
      <c r="AX706" s="1114"/>
      <c r="AY706" s="1113"/>
      <c r="AZ706" s="1113"/>
      <c r="BA706" s="1113"/>
      <c r="BB706" s="1114"/>
      <c r="BC706" s="1113"/>
      <c r="BD706" s="1113"/>
      <c r="BE706" s="1113"/>
      <c r="BF706" s="1114"/>
      <c r="BG706" s="809"/>
      <c r="BH706" s="809"/>
      <c r="BI706" s="1113"/>
      <c r="BJ706" s="1114"/>
      <c r="BK706" s="1112"/>
      <c r="BL706" s="1112"/>
      <c r="BM706" s="1113"/>
      <c r="BN706" s="1114"/>
      <c r="BO706" s="1112"/>
      <c r="BP706" s="1112"/>
      <c r="BQ706" s="1113"/>
      <c r="BR706" s="477"/>
      <c r="BT706" s="1126"/>
      <c r="CR706"/>
      <c r="CS706"/>
      <c r="CT706"/>
      <c r="CU706"/>
      <c r="CV706"/>
      <c r="CW706"/>
    </row>
    <row r="707" spans="1:101" s="474" customFormat="1" outlineLevel="2">
      <c r="A707" s="42"/>
      <c r="B707" s="42"/>
      <c r="C707" s="42"/>
      <c r="D707" s="42"/>
      <c r="E707" s="42"/>
      <c r="F707" s="42"/>
      <c r="G707" s="42"/>
      <c r="H707" s="42"/>
      <c r="I707" s="1098"/>
      <c r="J707" s="1036" t="s">
        <v>562</v>
      </c>
      <c r="K707" s="1128"/>
      <c r="L707" s="1128"/>
      <c r="M707" s="1128"/>
      <c r="N707" s="1116"/>
      <c r="O707" s="1116"/>
      <c r="P707" s="1473">
        <v>0</v>
      </c>
      <c r="Q707" s="1473">
        <v>0</v>
      </c>
      <c r="R707" s="1473">
        <v>-545</v>
      </c>
      <c r="S707" s="1402">
        <v>545</v>
      </c>
      <c r="T707" s="1402">
        <v>0</v>
      </c>
      <c r="U707" s="1402">
        <v>0</v>
      </c>
      <c r="V707" s="655"/>
      <c r="W707" s="1092"/>
      <c r="X707" s="1092"/>
      <c r="Y707" s="1092"/>
      <c r="Z707" s="1092"/>
      <c r="AA707" s="1092"/>
      <c r="AB707" s="1092"/>
      <c r="AC707" s="1092"/>
      <c r="AD707" s="1092"/>
      <c r="AH707" s="521"/>
      <c r="AI707" s="521"/>
      <c r="AJ707" s="521"/>
      <c r="AK707" s="521"/>
      <c r="AL707" s="1808"/>
      <c r="AM707" s="518"/>
      <c r="AN707" s="518"/>
      <c r="AO707" s="518"/>
      <c r="AP707" s="1110"/>
      <c r="AQ707" s="1095"/>
      <c r="AR707" s="1095"/>
      <c r="AS707" s="1095"/>
      <c r="AT707" s="1110"/>
      <c r="AU707" s="1095"/>
      <c r="AV707" s="1095"/>
      <c r="AW707" s="1095"/>
      <c r="AX707" s="1110"/>
      <c r="AY707" s="912"/>
      <c r="AZ707" s="912"/>
      <c r="BA707" s="912"/>
      <c r="BB707" s="1110"/>
      <c r="BC707" s="912"/>
      <c r="BD707" s="912"/>
      <c r="BE707" s="912"/>
      <c r="BF707" s="1110"/>
      <c r="BG707" s="635"/>
      <c r="BH707" s="635"/>
      <c r="BI707" s="912"/>
      <c r="BJ707" s="1110"/>
      <c r="BK707" s="1095"/>
      <c r="BL707" s="1095"/>
      <c r="BM707" s="912"/>
      <c r="BN707" s="1110"/>
      <c r="BO707" s="1095"/>
      <c r="BP707" s="1095"/>
      <c r="BQ707" s="912"/>
      <c r="BR707" s="477"/>
      <c r="BT707" s="1126"/>
      <c r="CR707"/>
      <c r="CS707"/>
      <c r="CT707"/>
      <c r="CU707"/>
      <c r="CV707"/>
      <c r="CW707"/>
    </row>
    <row r="708" spans="1:101" s="474" customFormat="1" outlineLevel="2">
      <c r="A708" s="42"/>
      <c r="B708" s="42"/>
      <c r="C708" s="42"/>
      <c r="D708" s="42"/>
      <c r="E708" s="42"/>
      <c r="F708" s="42"/>
      <c r="G708" s="42"/>
      <c r="H708" s="42"/>
      <c r="I708" s="1098"/>
      <c r="J708" s="1036" t="s">
        <v>563</v>
      </c>
      <c r="K708" s="1128"/>
      <c r="L708" s="1128"/>
      <c r="M708" s="1128"/>
      <c r="N708" s="1116"/>
      <c r="O708" s="1116"/>
      <c r="P708" s="1116"/>
      <c r="Q708" s="1116"/>
      <c r="R708" s="1116"/>
      <c r="S708" s="1038"/>
      <c r="T708" s="1038"/>
      <c r="U708" s="1038"/>
      <c r="V708" s="655"/>
      <c r="W708" s="1092"/>
      <c r="X708" s="1092"/>
      <c r="Y708" s="1092"/>
      <c r="Z708" s="1092"/>
      <c r="AA708" s="1092"/>
      <c r="AB708" s="1092"/>
      <c r="AC708" s="1092"/>
      <c r="AD708" s="1092"/>
      <c r="AH708" s="521"/>
      <c r="AI708" s="521"/>
      <c r="AJ708" s="521"/>
      <c r="AK708" s="521"/>
      <c r="AL708" s="1808"/>
      <c r="AM708" s="518"/>
      <c r="AN708" s="518"/>
      <c r="AO708" s="518"/>
      <c r="AP708" s="1110"/>
      <c r="AQ708" s="1095"/>
      <c r="AR708" s="1095"/>
      <c r="AS708" s="1095"/>
      <c r="AT708" s="1110"/>
      <c r="AU708" s="1095"/>
      <c r="AV708" s="1095"/>
      <c r="AW708" s="1095"/>
      <c r="AX708" s="1110"/>
      <c r="AY708" s="912"/>
      <c r="AZ708" s="912"/>
      <c r="BA708" s="912"/>
      <c r="BB708" s="1110"/>
      <c r="BC708" s="912"/>
      <c r="BD708" s="912"/>
      <c r="BE708" s="912"/>
      <c r="BF708" s="1110"/>
      <c r="BG708" s="635"/>
      <c r="BH708" s="635"/>
      <c r="BI708" s="912"/>
      <c r="BJ708" s="1110"/>
      <c r="BK708" s="1095"/>
      <c r="BL708" s="1095"/>
      <c r="BM708" s="912"/>
      <c r="BN708" s="1110"/>
      <c r="BO708" s="1095"/>
      <c r="BP708" s="1095"/>
      <c r="BQ708" s="912"/>
      <c r="BR708" s="477"/>
      <c r="BT708" s="1126"/>
      <c r="CR708"/>
      <c r="CS708"/>
      <c r="CT708"/>
      <c r="CU708"/>
      <c r="CV708"/>
      <c r="CW708"/>
    </row>
    <row r="709" spans="1:101" s="474" customFormat="1" outlineLevel="2">
      <c r="A709" s="42"/>
      <c r="B709" s="42"/>
      <c r="C709" s="42"/>
      <c r="D709" s="42"/>
      <c r="E709" s="42"/>
      <c r="F709" s="42"/>
      <c r="G709" s="42"/>
      <c r="H709" s="42"/>
      <c r="I709" s="1098"/>
      <c r="J709" s="1036" t="s">
        <v>680</v>
      </c>
      <c r="K709" s="1128"/>
      <c r="L709" s="1128"/>
      <c r="M709" s="1128"/>
      <c r="N709" s="1116"/>
      <c r="O709" s="1116"/>
      <c r="P709" s="1116"/>
      <c r="Q709" s="1116"/>
      <c r="R709" s="1116"/>
      <c r="S709" s="1038"/>
      <c r="T709" s="1038"/>
      <c r="U709" s="1038"/>
      <c r="V709" s="655">
        <f>U495-V495</f>
        <v>-2039.8510000000006</v>
      </c>
      <c r="W709" s="655">
        <f t="shared" ref="W709:AD709" si="720">V495-W495</f>
        <v>0</v>
      </c>
      <c r="X709" s="655">
        <f t="shared" si="720"/>
        <v>0</v>
      </c>
      <c r="Y709" s="655">
        <f t="shared" si="720"/>
        <v>0</v>
      </c>
      <c r="Z709" s="655">
        <f t="shared" si="720"/>
        <v>0</v>
      </c>
      <c r="AA709" s="655">
        <f t="shared" si="720"/>
        <v>0</v>
      </c>
      <c r="AB709" s="655">
        <f t="shared" si="720"/>
        <v>0</v>
      </c>
      <c r="AC709" s="655">
        <f t="shared" si="720"/>
        <v>0</v>
      </c>
      <c r="AD709" s="655">
        <f t="shared" si="720"/>
        <v>0</v>
      </c>
      <c r="AH709" s="521"/>
      <c r="AI709" s="521"/>
      <c r="AJ709" s="521"/>
      <c r="AK709" s="521"/>
      <c r="AL709" s="1808"/>
      <c r="AM709" s="518"/>
      <c r="AN709" s="518"/>
      <c r="AO709" s="518"/>
      <c r="AP709" s="1110"/>
      <c r="AQ709" s="1095"/>
      <c r="AR709" s="1095"/>
      <c r="AS709" s="1095"/>
      <c r="AT709" s="1110"/>
      <c r="AU709" s="1095"/>
      <c r="AV709" s="1095"/>
      <c r="AW709" s="1095"/>
      <c r="AX709" s="1110"/>
      <c r="AY709" s="912"/>
      <c r="AZ709" s="912"/>
      <c r="BA709" s="912"/>
      <c r="BB709" s="1110"/>
      <c r="BC709" s="912"/>
      <c r="BD709" s="912"/>
      <c r="BE709" s="912"/>
      <c r="BF709" s="1110"/>
      <c r="BG709" s="635"/>
      <c r="BH709" s="635"/>
      <c r="BI709" s="912"/>
      <c r="BJ709" s="1110"/>
      <c r="BK709" s="1095"/>
      <c r="BL709" s="1095"/>
      <c r="BM709" s="912"/>
      <c r="BN709" s="1110"/>
      <c r="BO709" s="1095"/>
      <c r="BP709" s="1095"/>
      <c r="BQ709" s="912"/>
      <c r="BR709" s="477"/>
      <c r="BT709" s="1126"/>
      <c r="CR709"/>
      <c r="CS709"/>
      <c r="CT709"/>
      <c r="CU709"/>
      <c r="CV709"/>
      <c r="CW709"/>
    </row>
    <row r="710" spans="1:101" s="477" customFormat="1" outlineLevel="2">
      <c r="A710" s="583"/>
      <c r="B710" s="583"/>
      <c r="C710" s="583"/>
      <c r="D710" s="583"/>
      <c r="E710" s="583"/>
      <c r="F710" s="583"/>
      <c r="G710" s="583"/>
      <c r="H710" s="583"/>
      <c r="I710" s="792"/>
      <c r="J710" s="1542" t="s">
        <v>474</v>
      </c>
      <c r="K710" s="480"/>
      <c r="L710" s="480"/>
      <c r="M710" s="480"/>
      <c r="N710" s="1588"/>
      <c r="O710" s="1588"/>
      <c r="P710" s="1588"/>
      <c r="Q710" s="1588"/>
      <c r="R710" s="1588"/>
      <c r="S710" s="1013"/>
      <c r="T710" s="1050"/>
      <c r="U710" s="1469">
        <f>-2803.688-24165.716+6703.594+361.893-45152.496+34836.743</f>
        <v>-30219.67</v>
      </c>
      <c r="V710" s="1050"/>
      <c r="W710" s="1050"/>
      <c r="X710" s="1050"/>
      <c r="Y710" s="1050"/>
      <c r="Z710" s="1050"/>
      <c r="AA710" s="1050"/>
      <c r="AB710" s="1050"/>
      <c r="AC710" s="1050"/>
      <c r="AD710" s="1050"/>
      <c r="AH710" s="480"/>
      <c r="AI710" s="480"/>
      <c r="AJ710" s="480"/>
      <c r="AK710" s="480"/>
      <c r="AL710" s="1808"/>
      <c r="AM710" s="543"/>
      <c r="AN710" s="543"/>
      <c r="AO710" s="543"/>
      <c r="AP710" s="1110"/>
      <c r="AQ710" s="912"/>
      <c r="AR710" s="912"/>
      <c r="AS710" s="912"/>
      <c r="AT710" s="1110"/>
      <c r="AU710" s="912"/>
      <c r="AV710" s="912"/>
      <c r="AW710" s="912"/>
      <c r="AX710" s="1110"/>
      <c r="AY710" s="912"/>
      <c r="AZ710" s="912"/>
      <c r="BA710" s="912"/>
      <c r="BB710" s="1110"/>
      <c r="BC710" s="912"/>
      <c r="BD710" s="912"/>
      <c r="BE710" s="912"/>
      <c r="BF710" s="1110"/>
      <c r="BG710" s="635"/>
      <c r="BH710" s="635"/>
      <c r="BI710" s="912"/>
      <c r="BJ710" s="1110"/>
      <c r="BK710" s="912"/>
      <c r="BL710" s="912"/>
      <c r="BM710" s="912"/>
      <c r="BN710" s="1110"/>
      <c r="BO710" s="912"/>
      <c r="BP710" s="912"/>
      <c r="BQ710" s="912"/>
      <c r="BT710" s="1592"/>
      <c r="CR710"/>
      <c r="CS710"/>
      <c r="CT710"/>
      <c r="CU710"/>
      <c r="CV710"/>
      <c r="CW710"/>
    </row>
    <row r="711" spans="1:101" s="477" customFormat="1" outlineLevel="1">
      <c r="A711" s="583"/>
      <c r="B711" s="583"/>
      <c r="C711" s="583"/>
      <c r="D711" s="583"/>
      <c r="E711" s="583"/>
      <c r="F711" s="583"/>
      <c r="G711" s="583"/>
      <c r="H711" s="583"/>
      <c r="I711" s="792"/>
      <c r="J711" s="820" t="s">
        <v>1</v>
      </c>
      <c r="K711" s="820"/>
      <c r="L711" s="820"/>
      <c r="M711" s="820"/>
      <c r="N711" s="1593">
        <v>-31</v>
      </c>
      <c r="O711" s="1593">
        <v>-107</v>
      </c>
      <c r="P711" s="1590">
        <f t="shared" ref="P711:AD711" si="721">P687+P695+P701+P706</f>
        <v>-624.25000000000011</v>
      </c>
      <c r="Q711" s="1590">
        <f t="shared" si="721"/>
        <v>-3369.4539999999997</v>
      </c>
      <c r="R711" s="1590">
        <f t="shared" si="721"/>
        <v>-2671.0519999999997</v>
      </c>
      <c r="S711" s="1590">
        <f t="shared" si="721"/>
        <v>-13203.248</v>
      </c>
      <c r="T711" s="1590">
        <f t="shared" si="721"/>
        <v>-2282.652</v>
      </c>
      <c r="U711" s="1590">
        <f t="shared" si="721"/>
        <v>-48268.576999999997</v>
      </c>
      <c r="V711" s="1590">
        <f t="shared" si="721"/>
        <v>-30609.249000000003</v>
      </c>
      <c r="W711" s="1590">
        <f t="shared" si="721"/>
        <v>-7723.9582419999979</v>
      </c>
      <c r="X711" s="1590">
        <f t="shared" si="721"/>
        <v>-8892.1178035073972</v>
      </c>
      <c r="Y711" s="1590">
        <f t="shared" si="721"/>
        <v>-10675.876634890983</v>
      </c>
      <c r="Z711" s="1590">
        <f t="shared" si="721"/>
        <v>-10128.73795735282</v>
      </c>
      <c r="AA711" s="1590">
        <f t="shared" si="721"/>
        <v>-10902.573537294576</v>
      </c>
      <c r="AB711" s="1590">
        <f t="shared" si="721"/>
        <v>-11735.53015554388</v>
      </c>
      <c r="AC711" s="1590">
        <f t="shared" si="721"/>
        <v>-12632.124659427433</v>
      </c>
      <c r="AD711" s="1590">
        <f t="shared" si="721"/>
        <v>-13597.218983407687</v>
      </c>
      <c r="AH711" s="478"/>
      <c r="AI711" s="478"/>
      <c r="AJ711" s="478"/>
      <c r="AK711" s="478"/>
      <c r="AL711" s="1809"/>
      <c r="AM711" s="1594"/>
      <c r="AN711" s="1594"/>
      <c r="AO711" s="1594"/>
      <c r="AP711" s="1649"/>
      <c r="AQ711" s="1362"/>
      <c r="AR711" s="1362"/>
      <c r="AS711" s="1362"/>
      <c r="AT711" s="1649"/>
      <c r="AU711" s="1362"/>
      <c r="AV711" s="1362"/>
      <c r="AW711" s="1362"/>
      <c r="AX711" s="1649"/>
      <c r="AY711" s="1362"/>
      <c r="AZ711" s="1362"/>
      <c r="BA711" s="1362"/>
      <c r="BB711" s="1649"/>
      <c r="BC711" s="1362"/>
      <c r="BD711" s="1362"/>
      <c r="BE711" s="1362"/>
      <c r="BF711" s="1649"/>
      <c r="BG711" s="1362"/>
      <c r="BH711" s="1362"/>
      <c r="BI711" s="1362"/>
      <c r="BJ711" s="1649"/>
      <c r="BK711" s="1362"/>
      <c r="BL711" s="1362"/>
      <c r="BM711" s="1362"/>
      <c r="BN711" s="1649"/>
      <c r="BO711" s="1362"/>
      <c r="BP711" s="1362"/>
      <c r="BQ711" s="1362"/>
      <c r="CR711"/>
      <c r="CS711"/>
      <c r="CT711"/>
      <c r="CU711"/>
      <c r="CV711"/>
      <c r="CW711"/>
    </row>
    <row r="712" spans="1:101" s="477" customFormat="1" outlineLevel="1">
      <c r="A712" s="583"/>
      <c r="B712" s="583"/>
      <c r="C712" s="583"/>
      <c r="D712" s="583"/>
      <c r="E712" s="583"/>
      <c r="F712" s="583"/>
      <c r="G712" s="583"/>
      <c r="H712" s="583"/>
      <c r="I712" s="792"/>
      <c r="J712" s="480"/>
      <c r="K712" s="480"/>
      <c r="L712" s="480"/>
      <c r="M712" s="480"/>
      <c r="N712" s="1013"/>
      <c r="O712" s="1013"/>
      <c r="P712" s="1013"/>
      <c r="Q712" s="1013"/>
      <c r="R712" s="1013"/>
      <c r="S712" s="1013"/>
      <c r="T712" s="1013"/>
      <c r="U712" s="1013"/>
      <c r="V712" s="1013"/>
      <c r="W712" s="1013"/>
      <c r="X712" s="1013"/>
      <c r="Y712" s="1013"/>
      <c r="Z712" s="1013"/>
      <c r="AA712" s="1013"/>
      <c r="AB712" s="1013"/>
      <c r="AC712" s="1013"/>
      <c r="AD712" s="1013"/>
      <c r="AH712" s="480"/>
      <c r="AI712" s="480"/>
      <c r="AJ712" s="480"/>
      <c r="AK712" s="480"/>
      <c r="AL712" s="1810"/>
      <c r="AM712" s="480"/>
      <c r="AN712" s="480"/>
      <c r="AO712" s="480"/>
      <c r="AP712" s="817"/>
      <c r="AQ712" s="618"/>
      <c r="AR712" s="618"/>
      <c r="AS712" s="618"/>
      <c r="AT712" s="817"/>
      <c r="AU712" s="618"/>
      <c r="AV712" s="618"/>
      <c r="AW712" s="618"/>
      <c r="AX712" s="817"/>
      <c r="AY712" s="618"/>
      <c r="AZ712" s="618"/>
      <c r="BA712" s="618"/>
      <c r="BB712" s="817"/>
      <c r="BC712" s="618"/>
      <c r="BD712" s="618"/>
      <c r="BE712" s="618"/>
      <c r="BF712" s="817"/>
      <c r="BG712" s="1104"/>
      <c r="BH712" s="1104"/>
      <c r="BI712" s="618"/>
      <c r="BJ712" s="817"/>
      <c r="BK712" s="618"/>
      <c r="BL712" s="618"/>
      <c r="BM712" s="618"/>
      <c r="BN712" s="817"/>
      <c r="BO712" s="618"/>
      <c r="BP712" s="618"/>
      <c r="BQ712" s="618"/>
      <c r="CR712"/>
      <c r="CS712"/>
      <c r="CT712"/>
      <c r="CU712"/>
      <c r="CV712"/>
      <c r="CW712"/>
    </row>
    <row r="713" spans="1:101" s="477" customFormat="1" outlineLevel="1">
      <c r="A713" s="583"/>
      <c r="B713" s="583"/>
      <c r="C713" s="583"/>
      <c r="D713" s="583"/>
      <c r="E713" s="583"/>
      <c r="F713" s="583"/>
      <c r="G713" s="583"/>
      <c r="H713" s="583"/>
      <c r="I713" s="792"/>
      <c r="J713" s="478" t="s">
        <v>7</v>
      </c>
      <c r="K713" s="478"/>
      <c r="L713" s="478"/>
      <c r="M713" s="1581"/>
      <c r="N713" s="1537"/>
      <c r="O713" s="1537"/>
      <c r="P713" s="1537"/>
      <c r="Q713" s="1537"/>
      <c r="R713" s="1537"/>
      <c r="S713" s="1538"/>
      <c r="T713" s="1538"/>
      <c r="U713" s="1538"/>
      <c r="V713" s="1538"/>
      <c r="W713" s="1538"/>
      <c r="X713" s="1538"/>
      <c r="Y713" s="1538"/>
      <c r="Z713" s="1538"/>
      <c r="AA713" s="1538"/>
      <c r="AB713" s="1538"/>
      <c r="AC713" s="1538"/>
      <c r="AD713" s="1538"/>
      <c r="AH713" s="1140"/>
      <c r="AI713" s="1140"/>
      <c r="AJ713" s="1140"/>
      <c r="AK713" s="1140"/>
      <c r="AL713" s="1803"/>
      <c r="AM713" s="1140"/>
      <c r="AN713" s="1140"/>
      <c r="AO713" s="1140"/>
      <c r="AP713" s="1648"/>
      <c r="AQ713" s="1133"/>
      <c r="AR713" s="1133"/>
      <c r="AS713" s="1133"/>
      <c r="AT713" s="1648"/>
      <c r="AU713" s="1133"/>
      <c r="AV713" s="1133"/>
      <c r="AW713" s="1133"/>
      <c r="AX713" s="1109"/>
      <c r="AY713" s="1104"/>
      <c r="AZ713" s="1104"/>
      <c r="BA713" s="1104"/>
      <c r="BB713" s="1109"/>
      <c r="BC713" s="1133"/>
      <c r="BD713" s="1133"/>
      <c r="BE713" s="1133"/>
      <c r="BF713" s="1648"/>
      <c r="BG713" s="1133"/>
      <c r="BH713" s="1133"/>
      <c r="BI713" s="1133"/>
      <c r="BJ713" s="1648"/>
      <c r="BK713" s="1133"/>
      <c r="BL713" s="1133"/>
      <c r="BM713" s="1133"/>
      <c r="BN713" s="1648"/>
      <c r="BO713" s="1133"/>
      <c r="BP713" s="1133"/>
      <c r="BQ713" s="1133"/>
      <c r="CR713"/>
      <c r="CS713"/>
      <c r="CT713"/>
      <c r="CU713"/>
      <c r="CV713"/>
      <c r="CW713"/>
    </row>
    <row r="714" spans="1:101" s="1103" customFormat="1" outlineLevel="1">
      <c r="A714" s="256"/>
      <c r="B714" s="256"/>
      <c r="C714" s="256"/>
      <c r="D714" s="256"/>
      <c r="E714" s="256"/>
      <c r="F714" s="256"/>
      <c r="G714" s="256"/>
      <c r="H714" s="256"/>
      <c r="I714" s="792"/>
      <c r="J714" s="654" t="s">
        <v>66</v>
      </c>
      <c r="K714" s="654"/>
      <c r="L714" s="654"/>
      <c r="M714" s="654"/>
      <c r="N714" s="655">
        <f t="shared" ref="N714:AD714" si="722">SUM(N715:N720)</f>
        <v>0</v>
      </c>
      <c r="O714" s="655">
        <f t="shared" si="722"/>
        <v>0</v>
      </c>
      <c r="P714" s="655">
        <f t="shared" si="722"/>
        <v>0</v>
      </c>
      <c r="Q714" s="655">
        <f t="shared" si="722"/>
        <v>872.03599999999994</v>
      </c>
      <c r="R714" s="655">
        <f t="shared" si="722"/>
        <v>75.108000000000061</v>
      </c>
      <c r="S714" s="655">
        <f t="shared" si="722"/>
        <v>944.375</v>
      </c>
      <c r="T714" s="655">
        <f t="shared" si="722"/>
        <v>4478.375</v>
      </c>
      <c r="U714" s="1013">
        <f t="shared" si="722"/>
        <v>21782.375</v>
      </c>
      <c r="V714" s="655">
        <f t="shared" si="722"/>
        <v>1633.6599999999989</v>
      </c>
      <c r="W714" s="655">
        <f t="shared" si="722"/>
        <v>-674.50799999999981</v>
      </c>
      <c r="X714" s="655">
        <f t="shared" si="722"/>
        <v>0</v>
      </c>
      <c r="Y714" s="655">
        <f t="shared" si="722"/>
        <v>-2894.7139999999999</v>
      </c>
      <c r="Z714" s="655">
        <f t="shared" si="722"/>
        <v>0</v>
      </c>
      <c r="AA714" s="655">
        <f t="shared" si="722"/>
        <v>0</v>
      </c>
      <c r="AB714" s="655">
        <f t="shared" si="722"/>
        <v>0</v>
      </c>
      <c r="AC714" s="655">
        <f t="shared" si="722"/>
        <v>0</v>
      </c>
      <c r="AD714" s="655">
        <f t="shared" si="722"/>
        <v>0</v>
      </c>
      <c r="AH714" s="654"/>
      <c r="AI714" s="654"/>
      <c r="AJ714" s="654"/>
      <c r="AK714" s="654"/>
      <c r="AL714" s="1811"/>
      <c r="AM714" s="626"/>
      <c r="AN714" s="626"/>
      <c r="AO714" s="626"/>
      <c r="AP714" s="1124"/>
      <c r="AQ714" s="1123"/>
      <c r="AR714" s="1123"/>
      <c r="AS714" s="1123"/>
      <c r="AT714" s="1124"/>
      <c r="AU714" s="1123"/>
      <c r="AV714" s="1123"/>
      <c r="AW714" s="1123"/>
      <c r="AX714" s="1124"/>
      <c r="AY714" s="1123"/>
      <c r="AZ714" s="1123"/>
      <c r="BA714" s="1123"/>
      <c r="BB714" s="1124"/>
      <c r="BC714" s="1123"/>
      <c r="BD714" s="1123"/>
      <c r="BE714" s="1123"/>
      <c r="BF714" s="1124"/>
      <c r="BG714" s="1104"/>
      <c r="BH714" s="1104"/>
      <c r="BI714" s="1123"/>
      <c r="BJ714" s="1124"/>
      <c r="BK714" s="1123"/>
      <c r="BL714" s="1123"/>
      <c r="BM714" s="1123"/>
      <c r="BN714" s="1124"/>
      <c r="BO714" s="1123"/>
      <c r="BP714" s="1123"/>
      <c r="BQ714" s="1123"/>
      <c r="CR714"/>
      <c r="CS714"/>
      <c r="CT714"/>
      <c r="CU714"/>
      <c r="CV714"/>
      <c r="CW714"/>
    </row>
    <row r="715" spans="1:101" s="477" customFormat="1" outlineLevel="2">
      <c r="A715" s="583"/>
      <c r="B715" s="583"/>
      <c r="C715" s="583"/>
      <c r="D715" s="583"/>
      <c r="E715" s="583"/>
      <c r="F715" s="583"/>
      <c r="G715" s="583"/>
      <c r="H715" s="583"/>
      <c r="I715" s="792"/>
      <c r="J715" s="1591" t="s">
        <v>235</v>
      </c>
      <c r="K715" s="1581"/>
      <c r="L715" s="1581"/>
      <c r="M715" s="1581"/>
      <c r="N715" s="1588"/>
      <c r="O715" s="1588"/>
      <c r="P715" s="1589">
        <v>0</v>
      </c>
      <c r="Q715" s="1589">
        <v>872.03599999999994</v>
      </c>
      <c r="R715" s="1589">
        <v>940.21600000000001</v>
      </c>
      <c r="S715" s="1402">
        <v>1890.771</v>
      </c>
      <c r="T715" s="1402">
        <v>4871.0039999999999</v>
      </c>
      <c r="U715" s="1402">
        <v>18443.37</v>
      </c>
      <c r="V715" s="1011"/>
      <c r="W715" s="1011"/>
      <c r="X715" s="1011"/>
      <c r="Y715" s="1011"/>
      <c r="Z715" s="1011"/>
      <c r="AA715" s="1011"/>
      <c r="AB715" s="1011"/>
      <c r="AC715" s="1011"/>
      <c r="AD715" s="1011"/>
      <c r="AH715" s="1581"/>
      <c r="AI715" s="1581"/>
      <c r="AJ715" s="1581"/>
      <c r="AK715" s="1581"/>
      <c r="AL715" s="1803"/>
      <c r="AM715" s="1140"/>
      <c r="AN715" s="1140"/>
      <c r="AO715" s="1140"/>
      <c r="AP715" s="1648"/>
      <c r="AQ715" s="1133"/>
      <c r="AR715" s="1133"/>
      <c r="AS715" s="1133"/>
      <c r="AT715" s="1648"/>
      <c r="AU715" s="1133"/>
      <c r="AV715" s="1133"/>
      <c r="AW715" s="1133"/>
      <c r="AX715" s="1134"/>
      <c r="AY715" s="1132"/>
      <c r="AZ715" s="1132"/>
      <c r="BA715" s="1132"/>
      <c r="BB715" s="1134"/>
      <c r="BC715" s="1132"/>
      <c r="BD715" s="1132"/>
      <c r="BE715" s="1132"/>
      <c r="BF715" s="1134"/>
      <c r="BG715" s="1133"/>
      <c r="BH715" s="1133"/>
      <c r="BI715" s="1132"/>
      <c r="BJ715" s="1134"/>
      <c r="BK715" s="1132"/>
      <c r="BL715" s="1132"/>
      <c r="BM715" s="1132"/>
      <c r="BN715" s="1134"/>
      <c r="BO715" s="1132"/>
      <c r="BP715" s="1132"/>
      <c r="BQ715" s="1132"/>
      <c r="CR715"/>
      <c r="CS715"/>
      <c r="CT715"/>
      <c r="CU715"/>
      <c r="CV715"/>
      <c r="CW715"/>
    </row>
    <row r="716" spans="1:101" s="477" customFormat="1" outlineLevel="2">
      <c r="A716" s="583"/>
      <c r="B716" s="583"/>
      <c r="C716" s="583"/>
      <c r="D716" s="583"/>
      <c r="E716" s="583"/>
      <c r="F716" s="583"/>
      <c r="G716" s="583"/>
      <c r="H716" s="583"/>
      <c r="I716" s="792"/>
      <c r="J716" s="1591" t="s">
        <v>236</v>
      </c>
      <c r="K716" s="1581"/>
      <c r="L716" s="1581"/>
      <c r="M716" s="1581"/>
      <c r="N716" s="1588"/>
      <c r="O716" s="1588"/>
      <c r="P716" s="1589">
        <v>0</v>
      </c>
      <c r="Q716" s="1589">
        <v>0</v>
      </c>
      <c r="R716" s="1589">
        <v>-865.10799999999995</v>
      </c>
      <c r="S716" s="1402">
        <v>-946.39599999999996</v>
      </c>
      <c r="T716" s="1402">
        <v>-3726.1709999999998</v>
      </c>
      <c r="U716" s="1402">
        <v>-13150.262000000001</v>
      </c>
      <c r="V716" s="1011"/>
      <c r="W716" s="1011"/>
      <c r="X716" s="1011"/>
      <c r="Y716" s="1011"/>
      <c r="Z716" s="1011"/>
      <c r="AA716" s="1011"/>
      <c r="AB716" s="1011"/>
      <c r="AC716" s="1011"/>
      <c r="AD716" s="1011"/>
      <c r="AH716" s="1581"/>
      <c r="AI716" s="1581"/>
      <c r="AJ716" s="1581"/>
      <c r="AK716" s="1581"/>
      <c r="AL716" s="1803"/>
      <c r="AM716" s="1140"/>
      <c r="AN716" s="1140"/>
      <c r="AO716" s="1140"/>
      <c r="AP716" s="1648"/>
      <c r="AQ716" s="1133"/>
      <c r="AR716" s="1133"/>
      <c r="AS716" s="1133"/>
      <c r="AT716" s="1648"/>
      <c r="AU716" s="1133"/>
      <c r="AV716" s="1133"/>
      <c r="AW716" s="1133"/>
      <c r="AX716" s="1134"/>
      <c r="AY716" s="1132"/>
      <c r="AZ716" s="1132"/>
      <c r="BA716" s="1132"/>
      <c r="BB716" s="1134"/>
      <c r="BC716" s="1132"/>
      <c r="BD716" s="1132"/>
      <c r="BE716" s="1132"/>
      <c r="BF716" s="1134"/>
      <c r="BG716" s="1133"/>
      <c r="BH716" s="1133"/>
      <c r="BI716" s="1132"/>
      <c r="BJ716" s="1134"/>
      <c r="BK716" s="1132"/>
      <c r="BL716" s="1132"/>
      <c r="BM716" s="1132"/>
      <c r="BN716" s="1134"/>
      <c r="BO716" s="1132"/>
      <c r="BP716" s="1132"/>
      <c r="BQ716" s="1132"/>
      <c r="CR716"/>
      <c r="CS716"/>
      <c r="CT716"/>
      <c r="CU716"/>
      <c r="CV716"/>
      <c r="CW716"/>
    </row>
    <row r="717" spans="1:101" s="474" customFormat="1" outlineLevel="2">
      <c r="A717" s="42"/>
      <c r="B717" s="42"/>
      <c r="C717" s="42"/>
      <c r="D717" s="42"/>
      <c r="E717" s="42"/>
      <c r="F717" s="42"/>
      <c r="G717" s="42"/>
      <c r="H717" s="42"/>
      <c r="I717" s="1098"/>
      <c r="J717" s="1115" t="s">
        <v>183</v>
      </c>
      <c r="K717" s="1128"/>
      <c r="L717" s="1128"/>
      <c r="M717" s="1128"/>
      <c r="N717" s="1116"/>
      <c r="O717" s="1116"/>
      <c r="P717" s="1116"/>
      <c r="Q717" s="1116"/>
      <c r="R717" s="1116"/>
      <c r="S717" s="1402"/>
      <c r="T717" s="1402"/>
      <c r="U717" s="1402"/>
      <c r="V717" s="1013">
        <f>V524-U524</f>
        <v>-1678.2860000000001</v>
      </c>
      <c r="W717" s="1013">
        <f t="shared" ref="W717:AD717" si="723">W524-V524</f>
        <v>0</v>
      </c>
      <c r="X717" s="1013">
        <f t="shared" si="723"/>
        <v>0</v>
      </c>
      <c r="Y717" s="1013">
        <f t="shared" si="723"/>
        <v>0</v>
      </c>
      <c r="Z717" s="1013">
        <f t="shared" si="723"/>
        <v>0</v>
      </c>
      <c r="AA717" s="1013">
        <f t="shared" si="723"/>
        <v>0</v>
      </c>
      <c r="AB717" s="1013">
        <f t="shared" si="723"/>
        <v>0</v>
      </c>
      <c r="AC717" s="1013">
        <f t="shared" si="723"/>
        <v>0</v>
      </c>
      <c r="AD717" s="1013">
        <f t="shared" si="723"/>
        <v>0</v>
      </c>
      <c r="AH717" s="1128"/>
      <c r="AI717" s="1128"/>
      <c r="AJ717" s="1128"/>
      <c r="AK717" s="1128"/>
      <c r="AL717" s="1803"/>
      <c r="AM717" s="1129"/>
      <c r="AN717" s="1129"/>
      <c r="AO717" s="1129"/>
      <c r="AP717" s="1648"/>
      <c r="AQ717" s="1130"/>
      <c r="AR717" s="1130"/>
      <c r="AS717" s="1130"/>
      <c r="AT717" s="1648"/>
      <c r="AU717" s="1130"/>
      <c r="AV717" s="1130"/>
      <c r="AW717" s="1130"/>
      <c r="AX717" s="1134"/>
      <c r="AY717" s="1132"/>
      <c r="AZ717" s="1132"/>
      <c r="BA717" s="1132"/>
      <c r="BB717" s="1134"/>
      <c r="BC717" s="1132"/>
      <c r="BD717" s="1132"/>
      <c r="BE717" s="1132"/>
      <c r="BF717" s="1134"/>
      <c r="BG717" s="1133"/>
      <c r="BH717" s="1133"/>
      <c r="BI717" s="1132"/>
      <c r="BJ717" s="1134"/>
      <c r="BK717" s="1131"/>
      <c r="BL717" s="1131"/>
      <c r="BM717" s="1132"/>
      <c r="BN717" s="1134"/>
      <c r="BO717" s="1131"/>
      <c r="BP717" s="1131"/>
      <c r="BQ717" s="1132"/>
      <c r="BR717" s="477"/>
      <c r="CR717"/>
      <c r="CS717"/>
      <c r="CT717"/>
      <c r="CU717"/>
      <c r="CV717"/>
      <c r="CW717"/>
    </row>
    <row r="718" spans="1:101" s="474" customFormat="1" outlineLevel="2">
      <c r="A718" s="42"/>
      <c r="B718" s="42"/>
      <c r="C718" s="42"/>
      <c r="D718" s="42"/>
      <c r="E718" s="42"/>
      <c r="F718" s="42"/>
      <c r="G718" s="42"/>
      <c r="H718" s="42"/>
      <c r="I718" s="1098"/>
      <c r="J718" s="1115" t="s">
        <v>184</v>
      </c>
      <c r="K718" s="1128"/>
      <c r="L718" s="1128"/>
      <c r="M718" s="1128"/>
      <c r="N718" s="1116"/>
      <c r="O718" s="1116"/>
      <c r="P718" s="1116"/>
      <c r="Q718" s="1116"/>
      <c r="R718" s="1116"/>
      <c r="S718" s="1402"/>
      <c r="T718" s="1402"/>
      <c r="U718" s="1402">
        <v>6355.9690000000001</v>
      </c>
      <c r="V718" s="1013">
        <f>V536-U536</f>
        <v>-2298.683</v>
      </c>
      <c r="W718" s="1013">
        <f t="shared" ref="W718:AD718" si="724">W536-V536</f>
        <v>-337.25399999999991</v>
      </c>
      <c r="X718" s="1013">
        <f t="shared" si="724"/>
        <v>0</v>
      </c>
      <c r="Y718" s="1013">
        <f t="shared" si="724"/>
        <v>-1447.357</v>
      </c>
      <c r="Z718" s="1013">
        <f t="shared" si="724"/>
        <v>0</v>
      </c>
      <c r="AA718" s="1013">
        <f t="shared" si="724"/>
        <v>0</v>
      </c>
      <c r="AB718" s="1013">
        <f t="shared" si="724"/>
        <v>0</v>
      </c>
      <c r="AC718" s="1013">
        <f t="shared" si="724"/>
        <v>0</v>
      </c>
      <c r="AD718" s="1013">
        <f t="shared" si="724"/>
        <v>0</v>
      </c>
      <c r="AH718" s="1128"/>
      <c r="AI718" s="1128"/>
      <c r="AJ718" s="1128"/>
      <c r="AK718" s="1128"/>
      <c r="AL718" s="1803"/>
      <c r="AM718" s="1129"/>
      <c r="AN718" s="1129"/>
      <c r="AO718" s="1129"/>
      <c r="AP718" s="1648"/>
      <c r="AQ718" s="1130"/>
      <c r="AR718" s="1130"/>
      <c r="AS718" s="1130"/>
      <c r="AT718" s="1648"/>
      <c r="AU718" s="1130"/>
      <c r="AV718" s="1130"/>
      <c r="AW718" s="1130"/>
      <c r="AX718" s="1134"/>
      <c r="AY718" s="1132"/>
      <c r="AZ718" s="1132"/>
      <c r="BA718" s="1132"/>
      <c r="BB718" s="1134"/>
      <c r="BC718" s="1132"/>
      <c r="BD718" s="1132"/>
      <c r="BE718" s="1132"/>
      <c r="BF718" s="1134"/>
      <c r="BG718" s="1133"/>
      <c r="BH718" s="1133"/>
      <c r="BI718" s="1132"/>
      <c r="BJ718" s="1134"/>
      <c r="BK718" s="1131"/>
      <c r="BL718" s="1131"/>
      <c r="BM718" s="1132"/>
      <c r="BN718" s="1134"/>
      <c r="BO718" s="1131"/>
      <c r="BP718" s="1131"/>
      <c r="BQ718" s="1132"/>
      <c r="BR718" s="477"/>
      <c r="CR718"/>
      <c r="CS718"/>
      <c r="CT718"/>
      <c r="CU718"/>
      <c r="CV718"/>
      <c r="CW718"/>
    </row>
    <row r="719" spans="1:101" s="474" customFormat="1" outlineLevel="2">
      <c r="A719" s="42"/>
      <c r="B719" s="42"/>
      <c r="C719" s="42"/>
      <c r="D719" s="42"/>
      <c r="E719" s="42"/>
      <c r="F719" s="42"/>
      <c r="G719" s="42"/>
      <c r="H719" s="42"/>
      <c r="I719" s="1098"/>
      <c r="J719" s="1115" t="s">
        <v>557</v>
      </c>
      <c r="K719" s="1128"/>
      <c r="L719" s="1128"/>
      <c r="M719" s="1128"/>
      <c r="N719" s="1116"/>
      <c r="O719" s="1116"/>
      <c r="P719" s="1116"/>
      <c r="Q719" s="1116"/>
      <c r="R719" s="1116"/>
      <c r="S719" s="1402"/>
      <c r="T719" s="1402">
        <v>3333.5419999999999</v>
      </c>
      <c r="U719" s="1402">
        <v>10133.298000000001</v>
      </c>
      <c r="V719" s="1013">
        <f t="shared" ref="V719:AD719" si="725">(V531-U531)+(V533-U533)</f>
        <v>5610.628999999999</v>
      </c>
      <c r="W719" s="1013">
        <f t="shared" si="725"/>
        <v>-337.25399999999991</v>
      </c>
      <c r="X719" s="1013">
        <f t="shared" si="725"/>
        <v>0</v>
      </c>
      <c r="Y719" s="1013">
        <f t="shared" si="725"/>
        <v>-1447.357</v>
      </c>
      <c r="Z719" s="1013">
        <f t="shared" si="725"/>
        <v>0</v>
      </c>
      <c r="AA719" s="1013">
        <f t="shared" si="725"/>
        <v>0</v>
      </c>
      <c r="AB719" s="1013">
        <f t="shared" si="725"/>
        <v>0</v>
      </c>
      <c r="AC719" s="1013">
        <f t="shared" si="725"/>
        <v>0</v>
      </c>
      <c r="AD719" s="1013">
        <f t="shared" si="725"/>
        <v>0</v>
      </c>
      <c r="AH719" s="1128"/>
      <c r="AI719" s="1128"/>
      <c r="AJ719" s="1128"/>
      <c r="AK719" s="1128"/>
      <c r="AL719" s="1803"/>
      <c r="AM719" s="1129"/>
      <c r="AN719" s="1129"/>
      <c r="AO719" s="1129"/>
      <c r="AP719" s="1648"/>
      <c r="AQ719" s="1130"/>
      <c r="AR719" s="1130"/>
      <c r="AS719" s="1130"/>
      <c r="AT719" s="1648"/>
      <c r="AU719" s="1130"/>
      <c r="AV719" s="1130"/>
      <c r="AW719" s="1130"/>
      <c r="AX719" s="1134"/>
      <c r="AY719" s="1132"/>
      <c r="AZ719" s="1132"/>
      <c r="BA719" s="1132"/>
      <c r="BB719" s="1134"/>
      <c r="BC719" s="1132"/>
      <c r="BD719" s="1132"/>
      <c r="BE719" s="1132"/>
      <c r="BF719" s="1134"/>
      <c r="BG719" s="1133"/>
      <c r="BH719" s="1133"/>
      <c r="BI719" s="1132"/>
      <c r="BJ719" s="1134"/>
      <c r="BK719" s="1131"/>
      <c r="BL719" s="1131"/>
      <c r="BM719" s="1132"/>
      <c r="BN719" s="1134"/>
      <c r="BO719" s="1131"/>
      <c r="BP719" s="1131"/>
      <c r="BQ719" s="1132"/>
      <c r="BR719" s="477"/>
      <c r="CR719"/>
      <c r="CS719"/>
      <c r="CT719"/>
      <c r="CU719"/>
      <c r="CV719"/>
      <c r="CW719"/>
    </row>
    <row r="720" spans="1:101" s="474" customFormat="1" outlineLevel="2">
      <c r="A720" s="42"/>
      <c r="B720" s="42"/>
      <c r="C720" s="42"/>
      <c r="D720" s="42"/>
      <c r="E720" s="42"/>
      <c r="F720" s="42"/>
      <c r="G720" s="42"/>
      <c r="H720" s="42"/>
      <c r="I720" s="1098"/>
      <c r="J720" s="1118"/>
      <c r="K720" s="1128"/>
      <c r="L720" s="1128"/>
      <c r="M720" s="1128"/>
      <c r="N720" s="1116"/>
      <c r="O720" s="1116"/>
      <c r="P720" s="1116"/>
      <c r="Q720" s="1116"/>
      <c r="R720" s="1116"/>
      <c r="S720" s="655"/>
      <c r="T720" s="655"/>
      <c r="U720" s="655"/>
      <c r="V720" s="655"/>
      <c r="W720" s="1092"/>
      <c r="X720" s="1092"/>
      <c r="Y720" s="1092"/>
      <c r="Z720" s="1092"/>
      <c r="AA720" s="1092"/>
      <c r="AB720" s="1092"/>
      <c r="AC720" s="1092"/>
      <c r="AD720" s="1092"/>
      <c r="AH720" s="1128"/>
      <c r="AI720" s="1128"/>
      <c r="AJ720" s="1128"/>
      <c r="AK720" s="1128"/>
      <c r="AL720" s="1803"/>
      <c r="AM720" s="1129"/>
      <c r="AN720" s="1129"/>
      <c r="AO720" s="1129"/>
      <c r="AP720" s="1648"/>
      <c r="AQ720" s="1130"/>
      <c r="AR720" s="1130"/>
      <c r="AS720" s="1130"/>
      <c r="AT720" s="1648"/>
      <c r="AU720" s="1130"/>
      <c r="AV720" s="1130"/>
      <c r="AW720" s="1130"/>
      <c r="AX720" s="1134"/>
      <c r="AY720" s="1132"/>
      <c r="AZ720" s="1132"/>
      <c r="BA720" s="1132"/>
      <c r="BB720" s="1134"/>
      <c r="BC720" s="1132"/>
      <c r="BD720" s="1132"/>
      <c r="BE720" s="1132"/>
      <c r="BF720" s="1134"/>
      <c r="BG720" s="1133"/>
      <c r="BH720" s="1133"/>
      <c r="BI720" s="1132"/>
      <c r="BJ720" s="1134"/>
      <c r="BK720" s="1131"/>
      <c r="BL720" s="1131"/>
      <c r="BM720" s="1132"/>
      <c r="BN720" s="1134"/>
      <c r="BO720" s="1131"/>
      <c r="BP720" s="1131"/>
      <c r="BQ720" s="1132"/>
      <c r="BR720" s="477"/>
      <c r="CR720"/>
      <c r="CS720"/>
      <c r="CT720"/>
      <c r="CU720"/>
      <c r="CV720"/>
      <c r="CW720"/>
    </row>
    <row r="721" spans="1:101" s="1099" customFormat="1" outlineLevel="1">
      <c r="A721" s="227"/>
      <c r="B721" s="227"/>
      <c r="C721" s="227"/>
      <c r="D721" s="227"/>
      <c r="E721" s="227"/>
      <c r="F721" s="227"/>
      <c r="G721" s="227"/>
      <c r="H721" s="227"/>
      <c r="I721" s="1098"/>
      <c r="J721" s="475" t="s">
        <v>67</v>
      </c>
      <c r="K721" s="475"/>
      <c r="L721" s="475"/>
      <c r="M721" s="475"/>
      <c r="N721" s="1092">
        <f t="shared" ref="N721:AD721" si="726">SUM(N722:N731)</f>
        <v>0</v>
      </c>
      <c r="O721" s="1092">
        <f t="shared" si="726"/>
        <v>0</v>
      </c>
      <c r="P721" s="1092">
        <f t="shared" si="726"/>
        <v>6236.8979999999992</v>
      </c>
      <c r="Q721" s="1092">
        <f t="shared" si="726"/>
        <v>1981.595</v>
      </c>
      <c r="R721" s="1092">
        <f t="shared" si="726"/>
        <v>2720.076</v>
      </c>
      <c r="S721" s="655">
        <f t="shared" si="726"/>
        <v>17447.652999999998</v>
      </c>
      <c r="T721" s="655">
        <f t="shared" si="726"/>
        <v>221.898</v>
      </c>
      <c r="U721" s="655">
        <f t="shared" si="726"/>
        <v>1534.1859999999997</v>
      </c>
      <c r="V721" s="655">
        <f t="shared" si="726"/>
        <v>77.927000000000021</v>
      </c>
      <c r="W721" s="1092">
        <f t="shared" si="726"/>
        <v>0</v>
      </c>
      <c r="X721" s="1092">
        <f t="shared" si="726"/>
        <v>0</v>
      </c>
      <c r="Y721" s="1092">
        <f t="shared" si="726"/>
        <v>0</v>
      </c>
      <c r="Z721" s="1092">
        <f t="shared" si="726"/>
        <v>0</v>
      </c>
      <c r="AA721" s="1092">
        <f t="shared" si="726"/>
        <v>0</v>
      </c>
      <c r="AB721" s="1092">
        <f t="shared" si="726"/>
        <v>0</v>
      </c>
      <c r="AC721" s="1092">
        <f t="shared" si="726"/>
        <v>0</v>
      </c>
      <c r="AD721" s="1092">
        <f t="shared" si="726"/>
        <v>0</v>
      </c>
      <c r="AH721" s="475"/>
      <c r="AI721" s="475"/>
      <c r="AJ721" s="475"/>
      <c r="AK721" s="475"/>
      <c r="AL721" s="1811"/>
      <c r="AM721" s="617"/>
      <c r="AN721" s="617"/>
      <c r="AO721" s="617"/>
      <c r="AP721" s="1124"/>
      <c r="AQ721" s="1127"/>
      <c r="AR721" s="1127"/>
      <c r="AS721" s="1127"/>
      <c r="AT721" s="1124"/>
      <c r="AU721" s="1127"/>
      <c r="AV721" s="1127"/>
      <c r="AW721" s="1127"/>
      <c r="AX721" s="1124"/>
      <c r="AY721" s="1123"/>
      <c r="AZ721" s="1123"/>
      <c r="BA721" s="1123"/>
      <c r="BB721" s="1124"/>
      <c r="BC721" s="1123"/>
      <c r="BD721" s="1123"/>
      <c r="BE721" s="1123"/>
      <c r="BF721" s="1124"/>
      <c r="BG721" s="1104"/>
      <c r="BH721" s="1104"/>
      <c r="BI721" s="1123"/>
      <c r="BJ721" s="1124"/>
      <c r="BK721" s="1127"/>
      <c r="BL721" s="1127"/>
      <c r="BM721" s="1123"/>
      <c r="BN721" s="1124"/>
      <c r="BO721" s="1127"/>
      <c r="BP721" s="1127"/>
      <c r="BQ721" s="1123"/>
      <c r="BR721" s="1103"/>
      <c r="CR721"/>
      <c r="CS721"/>
      <c r="CT721"/>
      <c r="CU721"/>
      <c r="CV721"/>
      <c r="CW721"/>
    </row>
    <row r="722" spans="1:101" s="474" customFormat="1" outlineLevel="2">
      <c r="A722" s="42"/>
      <c r="B722" s="42"/>
      <c r="C722" s="42"/>
      <c r="D722" s="42"/>
      <c r="E722" s="42"/>
      <c r="F722" s="42"/>
      <c r="G722" s="42"/>
      <c r="H722" s="42"/>
      <c r="I722" s="1098"/>
      <c r="J722" s="1115" t="s">
        <v>241</v>
      </c>
      <c r="K722" s="1128"/>
      <c r="L722" s="1128"/>
      <c r="M722" s="1128"/>
      <c r="N722" s="1116"/>
      <c r="O722" s="1116"/>
      <c r="P722" s="1116"/>
      <c r="Q722" s="1116"/>
      <c r="R722" s="1116"/>
      <c r="S722" s="1011"/>
      <c r="T722" s="1013">
        <f>T547-S547</f>
        <v>0</v>
      </c>
      <c r="U722" s="1013">
        <f>U547-T547</f>
        <v>0</v>
      </c>
      <c r="V722" s="1011"/>
      <c r="W722" s="1012"/>
      <c r="X722" s="1012"/>
      <c r="Y722" s="1012"/>
      <c r="Z722" s="1012"/>
      <c r="AA722" s="1012"/>
      <c r="AB722" s="1012"/>
      <c r="AC722" s="1012"/>
      <c r="AD722" s="1012"/>
      <c r="AH722" s="1128"/>
      <c r="AI722" s="1128"/>
      <c r="AJ722" s="1128"/>
      <c r="AK722" s="1128"/>
      <c r="AL722" s="1803"/>
      <c r="AM722" s="1129"/>
      <c r="AN722" s="1129"/>
      <c r="AO722" s="1129"/>
      <c r="AP722" s="1648"/>
      <c r="AQ722" s="1130"/>
      <c r="AR722" s="1130"/>
      <c r="AS722" s="1130"/>
      <c r="AT722" s="1648"/>
      <c r="AU722" s="1130"/>
      <c r="AV722" s="1130"/>
      <c r="AW722" s="1130"/>
      <c r="AX722" s="1134"/>
      <c r="AY722" s="1132"/>
      <c r="AZ722" s="1132"/>
      <c r="BA722" s="1132"/>
      <c r="BB722" s="1134"/>
      <c r="BC722" s="1132"/>
      <c r="BD722" s="1132"/>
      <c r="BE722" s="1132"/>
      <c r="BF722" s="1134"/>
      <c r="BG722" s="1133"/>
      <c r="BH722" s="1133"/>
      <c r="BI722" s="1132"/>
      <c r="BJ722" s="1134"/>
      <c r="BK722" s="1131"/>
      <c r="BL722" s="1131"/>
      <c r="BM722" s="1132"/>
      <c r="BN722" s="1134"/>
      <c r="BO722" s="1131"/>
      <c r="BP722" s="1131"/>
      <c r="BQ722" s="1132"/>
      <c r="BR722" s="477"/>
      <c r="CR722"/>
      <c r="CS722"/>
      <c r="CT722"/>
      <c r="CU722"/>
      <c r="CV722"/>
      <c r="CW722"/>
    </row>
    <row r="723" spans="1:101" s="474" customFormat="1" outlineLevel="2">
      <c r="A723" s="42"/>
      <c r="B723" s="42"/>
      <c r="C723" s="42"/>
      <c r="D723" s="42"/>
      <c r="E723" s="42"/>
      <c r="F723" s="42"/>
      <c r="G723" s="42"/>
      <c r="H723" s="42"/>
      <c r="I723" s="1098"/>
      <c r="J723" s="1115" t="s">
        <v>237</v>
      </c>
      <c r="K723" s="1128"/>
      <c r="L723" s="1128"/>
      <c r="M723" s="1128"/>
      <c r="N723" s="1116"/>
      <c r="O723" s="1116"/>
      <c r="P723" s="1116"/>
      <c r="Q723" s="1116"/>
      <c r="R723" s="1116"/>
      <c r="S723" s="1011"/>
      <c r="T723" s="1013">
        <f>T548-S548</f>
        <v>0</v>
      </c>
      <c r="U723" s="1013">
        <f>U548-T548</f>
        <v>0</v>
      </c>
      <c r="V723" s="1011"/>
      <c r="W723" s="1012"/>
      <c r="X723" s="1012"/>
      <c r="Y723" s="1012"/>
      <c r="Z723" s="1012"/>
      <c r="AA723" s="1012"/>
      <c r="AB723" s="1012"/>
      <c r="AC723" s="1012"/>
      <c r="AD723" s="1012"/>
      <c r="AH723" s="1128"/>
      <c r="AI723" s="1128"/>
      <c r="AJ723" s="1128"/>
      <c r="AK723" s="1128"/>
      <c r="AL723" s="1803"/>
      <c r="AM723" s="1129"/>
      <c r="AN723" s="1129"/>
      <c r="AO723" s="1129"/>
      <c r="AP723" s="1648"/>
      <c r="AQ723" s="1130"/>
      <c r="AR723" s="1130"/>
      <c r="AS723" s="1130"/>
      <c r="AT723" s="1648"/>
      <c r="AU723" s="1130"/>
      <c r="AV723" s="1130"/>
      <c r="AW723" s="1130"/>
      <c r="AX723" s="1134"/>
      <c r="AY723" s="1132"/>
      <c r="AZ723" s="1132"/>
      <c r="BA723" s="1132"/>
      <c r="BB723" s="1134"/>
      <c r="BC723" s="1132"/>
      <c r="BD723" s="1132"/>
      <c r="BE723" s="1132"/>
      <c r="BF723" s="1134"/>
      <c r="BG723" s="1133"/>
      <c r="BH723" s="1133"/>
      <c r="BI723" s="1132"/>
      <c r="BJ723" s="1134"/>
      <c r="BK723" s="1131"/>
      <c r="BL723" s="1131"/>
      <c r="BM723" s="1132"/>
      <c r="BN723" s="1134"/>
      <c r="BO723" s="1131"/>
      <c r="BP723" s="1131"/>
      <c r="BQ723" s="1132"/>
      <c r="BR723" s="477"/>
      <c r="CR723"/>
      <c r="CS723"/>
      <c r="CT723"/>
      <c r="CU723"/>
      <c r="CV723"/>
      <c r="CW723"/>
    </row>
    <row r="724" spans="1:101" s="474" customFormat="1" outlineLevel="2">
      <c r="A724" s="42"/>
      <c r="B724" s="42"/>
      <c r="C724" s="42"/>
      <c r="D724" s="42"/>
      <c r="E724" s="42"/>
      <c r="F724" s="42"/>
      <c r="G724" s="42"/>
      <c r="H724" s="42"/>
      <c r="I724" s="1098"/>
      <c r="J724" s="1115" t="s">
        <v>238</v>
      </c>
      <c r="K724" s="1128"/>
      <c r="L724" s="1128"/>
      <c r="M724" s="1128"/>
      <c r="N724" s="1116"/>
      <c r="O724" s="1116"/>
      <c r="P724" s="1116"/>
      <c r="Q724" s="1116"/>
      <c r="R724" s="1116"/>
      <c r="S724" s="1011"/>
      <c r="T724" s="1011"/>
      <c r="U724" s="1011"/>
      <c r="V724" s="1011"/>
      <c r="W724" s="1012"/>
      <c r="X724" s="1012"/>
      <c r="Y724" s="1012"/>
      <c r="Z724" s="1012"/>
      <c r="AA724" s="1012"/>
      <c r="AB724" s="1012"/>
      <c r="AC724" s="1012"/>
      <c r="AD724" s="1012"/>
      <c r="AH724" s="1128"/>
      <c r="AI724" s="1128"/>
      <c r="AJ724" s="1128"/>
      <c r="AK724" s="1128"/>
      <c r="AL724" s="1803"/>
      <c r="AM724" s="1129"/>
      <c r="AN724" s="1129"/>
      <c r="AO724" s="1129"/>
      <c r="AP724" s="1648"/>
      <c r="AQ724" s="1130"/>
      <c r="AR724" s="1130"/>
      <c r="AS724" s="1130"/>
      <c r="AT724" s="1648"/>
      <c r="AU724" s="1130"/>
      <c r="AV724" s="1130"/>
      <c r="AW724" s="1130"/>
      <c r="AX724" s="1134"/>
      <c r="AY724" s="1132"/>
      <c r="AZ724" s="1132"/>
      <c r="BA724" s="1132"/>
      <c r="BB724" s="1134"/>
      <c r="BC724" s="1132"/>
      <c r="BD724" s="1132"/>
      <c r="BE724" s="1132"/>
      <c r="BF724" s="1134"/>
      <c r="BG724" s="1133"/>
      <c r="BH724" s="1133"/>
      <c r="BI724" s="1132"/>
      <c r="BJ724" s="1134"/>
      <c r="BK724" s="1131"/>
      <c r="BL724" s="1131"/>
      <c r="BM724" s="1132"/>
      <c r="BN724" s="1134"/>
      <c r="BO724" s="1131"/>
      <c r="BP724" s="1131"/>
      <c r="BQ724" s="1132"/>
      <c r="BR724" s="477"/>
      <c r="CR724"/>
      <c r="CS724"/>
      <c r="CT724"/>
      <c r="CU724"/>
      <c r="CV724"/>
      <c r="CW724"/>
    </row>
    <row r="725" spans="1:101" s="474" customFormat="1" outlineLevel="2">
      <c r="A725" s="42"/>
      <c r="B725" s="42"/>
      <c r="C725" s="42"/>
      <c r="D725" s="42"/>
      <c r="E725" s="42"/>
      <c r="F725" s="42"/>
      <c r="G725" s="42"/>
      <c r="H725" s="42"/>
      <c r="I725" s="1098"/>
      <c r="J725" s="1115" t="s">
        <v>239</v>
      </c>
      <c r="K725" s="1128"/>
      <c r="L725" s="1128"/>
      <c r="M725" s="1128"/>
      <c r="N725" s="1116"/>
      <c r="O725" s="1116"/>
      <c r="P725" s="1116"/>
      <c r="Q725" s="1116"/>
      <c r="R725" s="1116"/>
      <c r="S725" s="1093"/>
      <c r="T725" s="1093"/>
      <c r="U725" s="1093"/>
      <c r="V725" s="1011"/>
      <c r="W725" s="1012"/>
      <c r="X725" s="1012"/>
      <c r="Y725" s="1012"/>
      <c r="Z725" s="1012"/>
      <c r="AA725" s="1012"/>
      <c r="AB725" s="1012"/>
      <c r="AC725" s="1012"/>
      <c r="AD725" s="1012"/>
      <c r="AH725" s="1128"/>
      <c r="AI725" s="1128"/>
      <c r="AJ725" s="1128"/>
      <c r="AK725" s="1128"/>
      <c r="AL725" s="1803"/>
      <c r="AM725" s="1129"/>
      <c r="AN725" s="1129"/>
      <c r="AO725" s="1129"/>
      <c r="AP725" s="1648"/>
      <c r="AQ725" s="1130"/>
      <c r="AR725" s="1130"/>
      <c r="AS725" s="1130"/>
      <c r="AT725" s="1648"/>
      <c r="AU725" s="1130"/>
      <c r="AV725" s="1130"/>
      <c r="AW725" s="1130"/>
      <c r="AX725" s="1134"/>
      <c r="AY725" s="1132"/>
      <c r="AZ725" s="1132"/>
      <c r="BA725" s="1132"/>
      <c r="BB725" s="1134"/>
      <c r="BC725" s="1132"/>
      <c r="BD725" s="1132"/>
      <c r="BE725" s="1132"/>
      <c r="BF725" s="1134"/>
      <c r="BG725" s="1133"/>
      <c r="BH725" s="1133"/>
      <c r="BI725" s="1132"/>
      <c r="BJ725" s="1134"/>
      <c r="BK725" s="1131"/>
      <c r="BL725" s="1131"/>
      <c r="BM725" s="1132"/>
      <c r="BN725" s="1134"/>
      <c r="BO725" s="1131"/>
      <c r="BP725" s="1131"/>
      <c r="BQ725" s="1132"/>
      <c r="BR725" s="477"/>
      <c r="CR725"/>
      <c r="CS725"/>
      <c r="CT725"/>
      <c r="CU725"/>
      <c r="CV725"/>
      <c r="CW725"/>
    </row>
    <row r="726" spans="1:101" s="474" customFormat="1" outlineLevel="2">
      <c r="A726" s="42"/>
      <c r="B726" s="42"/>
      <c r="C726" s="42"/>
      <c r="D726" s="42"/>
      <c r="E726" s="42"/>
      <c r="F726" s="42"/>
      <c r="G726" s="42"/>
      <c r="H726" s="42"/>
      <c r="I726" s="1098"/>
      <c r="J726" s="1115" t="s">
        <v>240</v>
      </c>
      <c r="K726" s="1128"/>
      <c r="L726" s="1128"/>
      <c r="M726" s="1128"/>
      <c r="N726" s="1116"/>
      <c r="O726" s="1116"/>
      <c r="P726" s="1473">
        <v>-11.712</v>
      </c>
      <c r="Q726" s="1473">
        <v>0</v>
      </c>
      <c r="R726" s="1473">
        <v>0</v>
      </c>
      <c r="S726" s="1011"/>
      <c r="T726" s="1011"/>
      <c r="U726" s="1402">
        <v>-5338.2740000000003</v>
      </c>
      <c r="V726" s="1011"/>
      <c r="W726" s="1012"/>
      <c r="X726" s="1012"/>
      <c r="Y726" s="1012"/>
      <c r="Z726" s="1012"/>
      <c r="AA726" s="1012"/>
      <c r="AB726" s="1012"/>
      <c r="AC726" s="1012"/>
      <c r="AD726" s="1012"/>
      <c r="AH726" s="521"/>
      <c r="AI726" s="521"/>
      <c r="AJ726" s="521"/>
      <c r="AK726" s="521"/>
      <c r="AL726" s="1812"/>
      <c r="AM726" s="617"/>
      <c r="AN726" s="617"/>
      <c r="AO726" s="617"/>
      <c r="AP726" s="1124"/>
      <c r="AQ726" s="1127"/>
      <c r="AR726" s="1127"/>
      <c r="AS726" s="1127"/>
      <c r="AT726" s="1124"/>
      <c r="AU726" s="1127"/>
      <c r="AV726" s="1127"/>
      <c r="AW726" s="1127"/>
      <c r="AX726" s="817"/>
      <c r="AY726" s="618"/>
      <c r="AZ726" s="618"/>
      <c r="BA726" s="618"/>
      <c r="BB726" s="817"/>
      <c r="BC726" s="618"/>
      <c r="BD726" s="618"/>
      <c r="BE726" s="618"/>
      <c r="BF726" s="817"/>
      <c r="BG726" s="1104"/>
      <c r="BH726" s="1104"/>
      <c r="BI726" s="618"/>
      <c r="BJ726" s="817"/>
      <c r="BK726" s="1117"/>
      <c r="BL726" s="1117"/>
      <c r="BM726" s="618"/>
      <c r="BN726" s="817"/>
      <c r="BO726" s="1117"/>
      <c r="BP726" s="1117"/>
      <c r="BQ726" s="618"/>
      <c r="BR726" s="477"/>
      <c r="CR726"/>
      <c r="CS726"/>
      <c r="CT726"/>
      <c r="CU726"/>
      <c r="CV726"/>
      <c r="CW726"/>
    </row>
    <row r="727" spans="1:101" s="474" customFormat="1" outlineLevel="2">
      <c r="A727" s="42"/>
      <c r="B727" s="42"/>
      <c r="C727" s="42"/>
      <c r="D727" s="42"/>
      <c r="E727" s="42"/>
      <c r="F727" s="42"/>
      <c r="G727" s="42"/>
      <c r="H727" s="42"/>
      <c r="I727" s="1098"/>
      <c r="J727" s="1115" t="s">
        <v>276</v>
      </c>
      <c r="K727" s="1128"/>
      <c r="L727" s="1128"/>
      <c r="M727" s="1128"/>
      <c r="N727" s="1116"/>
      <c r="O727" s="1116"/>
      <c r="P727" s="1473">
        <v>6248.61</v>
      </c>
      <c r="Q727" s="1473">
        <v>1571.431</v>
      </c>
      <c r="R727" s="1473">
        <v>2720.076</v>
      </c>
      <c r="S727" s="1416">
        <v>17447.652999999998</v>
      </c>
      <c r="T727" s="1416">
        <v>0</v>
      </c>
      <c r="U727" s="1416">
        <v>0</v>
      </c>
      <c r="V727" s="1011"/>
      <c r="W727" s="1012"/>
      <c r="X727" s="1012"/>
      <c r="Y727" s="1012"/>
      <c r="Z727" s="1012"/>
      <c r="AA727" s="1012"/>
      <c r="AB727" s="1012"/>
      <c r="AC727" s="1012"/>
      <c r="AD727" s="1012"/>
      <c r="AH727" s="521"/>
      <c r="AI727" s="521"/>
      <c r="AJ727" s="521"/>
      <c r="AK727" s="521"/>
      <c r="AL727" s="1812"/>
      <c r="AM727" s="617"/>
      <c r="AN727" s="617"/>
      <c r="AO727" s="617"/>
      <c r="AP727" s="1124"/>
      <c r="AQ727" s="1127"/>
      <c r="AR727" s="1127"/>
      <c r="AS727" s="1127"/>
      <c r="AT727" s="1124"/>
      <c r="AU727" s="1127"/>
      <c r="AV727" s="1127"/>
      <c r="AW727" s="1127"/>
      <c r="AX727" s="817"/>
      <c r="AY727" s="618"/>
      <c r="AZ727" s="618"/>
      <c r="BA727" s="618"/>
      <c r="BB727" s="817"/>
      <c r="BC727" s="618"/>
      <c r="BD727" s="618"/>
      <c r="BE727" s="618"/>
      <c r="BF727" s="817"/>
      <c r="BG727" s="1104"/>
      <c r="BH727" s="1104"/>
      <c r="BI727" s="618"/>
      <c r="BJ727" s="817"/>
      <c r="BK727" s="1117"/>
      <c r="BL727" s="1117"/>
      <c r="BM727" s="618"/>
      <c r="BN727" s="817"/>
      <c r="BO727" s="1117"/>
      <c r="BP727" s="1117"/>
      <c r="BQ727" s="618"/>
      <c r="BR727" s="477"/>
      <c r="BT727" s="1126"/>
      <c r="CR727"/>
      <c r="CS727"/>
      <c r="CT727"/>
      <c r="CU727"/>
      <c r="CV727"/>
      <c r="CW727"/>
    </row>
    <row r="728" spans="1:101" s="474" customFormat="1" outlineLevel="2">
      <c r="A728" s="42"/>
      <c r="B728" s="42"/>
      <c r="C728" s="42"/>
      <c r="D728" s="42"/>
      <c r="E728" s="42"/>
      <c r="F728" s="42"/>
      <c r="G728" s="42"/>
      <c r="H728" s="42"/>
      <c r="I728" s="1098"/>
      <c r="J728" s="1115" t="s">
        <v>277</v>
      </c>
      <c r="K728" s="521"/>
      <c r="L728" s="521"/>
      <c r="M728" s="521"/>
      <c r="N728" s="1116"/>
      <c r="O728" s="1116"/>
      <c r="P728" s="1473">
        <v>0</v>
      </c>
      <c r="Q728" s="1473">
        <v>410.16399999999999</v>
      </c>
      <c r="R728" s="1473">
        <v>0</v>
      </c>
      <c r="S728" s="1402"/>
      <c r="T728" s="1402">
        <v>75.712999999999994</v>
      </c>
      <c r="U728" s="1402">
        <v>82.396000000000001</v>
      </c>
      <c r="V728" s="1011"/>
      <c r="W728" s="1012"/>
      <c r="X728" s="1012"/>
      <c r="Y728" s="1012"/>
      <c r="Z728" s="1012"/>
      <c r="AA728" s="1012"/>
      <c r="AB728" s="1012"/>
      <c r="AC728" s="1012"/>
      <c r="AD728" s="1012"/>
      <c r="AH728" s="521"/>
      <c r="AI728" s="521"/>
      <c r="AJ728" s="521"/>
      <c r="AK728" s="521"/>
      <c r="AL728" s="1811"/>
      <c r="AM728" s="617"/>
      <c r="AN728" s="617"/>
      <c r="AO728" s="617"/>
      <c r="AP728" s="1124"/>
      <c r="AQ728" s="1127"/>
      <c r="AR728" s="1127"/>
      <c r="AS728" s="1127"/>
      <c r="AT728" s="1124"/>
      <c r="AU728" s="1127"/>
      <c r="AV728" s="1127"/>
      <c r="AW728" s="1127"/>
      <c r="AX728" s="1137"/>
      <c r="AY728" s="1136"/>
      <c r="AZ728" s="1136"/>
      <c r="BA728" s="1136"/>
      <c r="BB728" s="1137"/>
      <c r="BC728" s="1136"/>
      <c r="BD728" s="1136"/>
      <c r="BE728" s="1136"/>
      <c r="BF728" s="1137"/>
      <c r="BG728" s="1104"/>
      <c r="BH728" s="1104"/>
      <c r="BI728" s="1136"/>
      <c r="BJ728" s="1137"/>
      <c r="BK728" s="1135"/>
      <c r="BL728" s="1135"/>
      <c r="BM728" s="1136"/>
      <c r="BN728" s="1137"/>
      <c r="BO728" s="1135"/>
      <c r="BP728" s="1135"/>
      <c r="BQ728" s="1136"/>
      <c r="BR728" s="477"/>
      <c r="BT728" s="1126"/>
      <c r="CR728"/>
      <c r="CS728"/>
      <c r="CT728"/>
      <c r="CU728"/>
      <c r="CV728"/>
      <c r="CW728"/>
    </row>
    <row r="729" spans="1:101" s="474" customFormat="1" outlineLevel="2">
      <c r="A729" s="42"/>
      <c r="B729" s="42"/>
      <c r="C729" s="42"/>
      <c r="D729" s="42"/>
      <c r="E729" s="42"/>
      <c r="F729" s="42"/>
      <c r="G729" s="42"/>
      <c r="H729" s="42"/>
      <c r="I729" s="1098"/>
      <c r="J729" s="1036" t="s">
        <v>556</v>
      </c>
      <c r="K729" s="521"/>
      <c r="L729" s="521"/>
      <c r="M729" s="521"/>
      <c r="N729" s="1116"/>
      <c r="O729" s="1116"/>
      <c r="P729" s="1116"/>
      <c r="Q729" s="1116"/>
      <c r="R729" s="1116"/>
      <c r="S729" s="1011"/>
      <c r="T729" s="1402">
        <v>146.185</v>
      </c>
      <c r="U729" s="1402">
        <f>6612.264+177.8</f>
        <v>6790.0640000000003</v>
      </c>
      <c r="V729" s="1013">
        <f>V555-U555</f>
        <v>77.927000000000021</v>
      </c>
      <c r="W729" s="1013">
        <f t="shared" ref="W729:AD729" si="727">W555-V555</f>
        <v>0</v>
      </c>
      <c r="X729" s="1013">
        <f t="shared" si="727"/>
        <v>0</v>
      </c>
      <c r="Y729" s="1013">
        <f t="shared" si="727"/>
        <v>0</v>
      </c>
      <c r="Z729" s="1013">
        <f t="shared" si="727"/>
        <v>0</v>
      </c>
      <c r="AA729" s="1013">
        <f t="shared" si="727"/>
        <v>0</v>
      </c>
      <c r="AB729" s="1013">
        <f t="shared" si="727"/>
        <v>0</v>
      </c>
      <c r="AC729" s="1013">
        <f t="shared" si="727"/>
        <v>0</v>
      </c>
      <c r="AD729" s="1013">
        <f t="shared" si="727"/>
        <v>0</v>
      </c>
      <c r="AH729" s="521"/>
      <c r="AI729" s="521"/>
      <c r="AJ729" s="521"/>
      <c r="AK729" s="521"/>
      <c r="AL729" s="1811"/>
      <c r="AM729" s="617"/>
      <c r="AN729" s="617"/>
      <c r="AO729" s="617"/>
      <c r="AP729" s="1124"/>
      <c r="AQ729" s="1127"/>
      <c r="AR729" s="1127"/>
      <c r="AS729" s="1127"/>
      <c r="AT729" s="1124"/>
      <c r="AU729" s="1127"/>
      <c r="AV729" s="1127"/>
      <c r="AW729" s="1127"/>
      <c r="AX729" s="1137"/>
      <c r="AY729" s="1136"/>
      <c r="AZ729" s="1136"/>
      <c r="BA729" s="1136"/>
      <c r="BB729" s="1137"/>
      <c r="BC729" s="1136"/>
      <c r="BD729" s="1136"/>
      <c r="BE729" s="1136"/>
      <c r="BF729" s="1137"/>
      <c r="BG729" s="1104"/>
      <c r="BH729" s="1104"/>
      <c r="BI729" s="1136"/>
      <c r="BJ729" s="1137"/>
      <c r="BK729" s="1135"/>
      <c r="BL729" s="1135"/>
      <c r="BM729" s="1136"/>
      <c r="BN729" s="1137"/>
      <c r="BO729" s="1135"/>
      <c r="BP729" s="1135"/>
      <c r="BQ729" s="1136"/>
      <c r="BR729" s="477"/>
      <c r="BT729" s="1126"/>
      <c r="CR729"/>
      <c r="CS729"/>
      <c r="CT729"/>
      <c r="CU729"/>
      <c r="CV729"/>
      <c r="CW729"/>
    </row>
    <row r="730" spans="1:101" s="474" customFormat="1" outlineLevel="2">
      <c r="A730" s="42"/>
      <c r="B730" s="42"/>
      <c r="C730" s="42"/>
      <c r="D730" s="42"/>
      <c r="E730" s="42"/>
      <c r="F730" s="42"/>
      <c r="G730" s="42"/>
      <c r="H730" s="42"/>
      <c r="I730" s="1098"/>
      <c r="J730" s="1036" t="s">
        <v>682</v>
      </c>
      <c r="K730" s="521"/>
      <c r="L730" s="521"/>
      <c r="M730" s="521"/>
      <c r="N730" s="1116"/>
      <c r="O730" s="1116"/>
      <c r="P730" s="1116"/>
      <c r="Q730" s="1116"/>
      <c r="R730" s="1116"/>
      <c r="S730" s="1011"/>
      <c r="T730" s="1402"/>
      <c r="U730" s="1402"/>
      <c r="V730" s="1013">
        <f t="shared" ref="V730:AD730" si="728">V552-U552+V553-U553+V549-U549+V550-U550</f>
        <v>0</v>
      </c>
      <c r="W730" s="1013">
        <f t="shared" si="728"/>
        <v>0</v>
      </c>
      <c r="X730" s="1013">
        <f t="shared" si="728"/>
        <v>0</v>
      </c>
      <c r="Y730" s="1013">
        <f t="shared" si="728"/>
        <v>0</v>
      </c>
      <c r="Z730" s="1013">
        <f t="shared" si="728"/>
        <v>0</v>
      </c>
      <c r="AA730" s="1013">
        <f t="shared" si="728"/>
        <v>0</v>
      </c>
      <c r="AB730" s="1013">
        <f t="shared" si="728"/>
        <v>0</v>
      </c>
      <c r="AC730" s="1013">
        <f t="shared" si="728"/>
        <v>0</v>
      </c>
      <c r="AD730" s="1013">
        <f t="shared" si="728"/>
        <v>0</v>
      </c>
      <c r="AH730" s="521"/>
      <c r="AI730" s="521"/>
      <c r="AJ730" s="521"/>
      <c r="AK730" s="521"/>
      <c r="AL730" s="1811"/>
      <c r="AM730" s="617"/>
      <c r="AN730" s="617"/>
      <c r="AO730" s="617"/>
      <c r="AP730" s="1124"/>
      <c r="AQ730" s="1127"/>
      <c r="AR730" s="1127"/>
      <c r="AS730" s="1127"/>
      <c r="AT730" s="1124"/>
      <c r="AU730" s="1127"/>
      <c r="AV730" s="1127"/>
      <c r="AW730" s="1127"/>
      <c r="AX730" s="1137"/>
      <c r="AY730" s="1136"/>
      <c r="AZ730" s="1136"/>
      <c r="BA730" s="1136"/>
      <c r="BB730" s="1137"/>
      <c r="BC730" s="1136"/>
      <c r="BD730" s="1136"/>
      <c r="BE730" s="1136"/>
      <c r="BF730" s="1137"/>
      <c r="BG730" s="1104"/>
      <c r="BH730" s="1104"/>
      <c r="BI730" s="1136"/>
      <c r="BJ730" s="1137"/>
      <c r="BK730" s="1135"/>
      <c r="BL730" s="1135"/>
      <c r="BM730" s="1136"/>
      <c r="BN730" s="1137"/>
      <c r="BO730" s="1135"/>
      <c r="BP730" s="1135"/>
      <c r="BQ730" s="1136"/>
      <c r="BR730" s="477"/>
      <c r="BT730" s="1126"/>
      <c r="CR730"/>
      <c r="CS730"/>
      <c r="CT730"/>
      <c r="CU730"/>
      <c r="CV730"/>
      <c r="CW730"/>
    </row>
    <row r="731" spans="1:101" s="474" customFormat="1" outlineLevel="2">
      <c r="A731" s="42"/>
      <c r="B731" s="42"/>
      <c r="C731" s="42"/>
      <c r="D731" s="42"/>
      <c r="E731" s="42"/>
      <c r="F731" s="42"/>
      <c r="G731" s="42"/>
      <c r="H731" s="42"/>
      <c r="I731" s="1098"/>
      <c r="J731" s="1118"/>
      <c r="K731" s="521"/>
      <c r="L731" s="521"/>
      <c r="M731" s="521"/>
      <c r="N731" s="1116"/>
      <c r="O731" s="1116"/>
      <c r="P731" s="1116"/>
      <c r="Q731" s="1116"/>
      <c r="R731" s="1116"/>
      <c r="S731" s="1094"/>
      <c r="T731" s="1094"/>
      <c r="U731" s="1094"/>
      <c r="V731" s="1094"/>
      <c r="W731" s="1138"/>
      <c r="X731" s="1138"/>
      <c r="Y731" s="1138"/>
      <c r="Z731" s="1138"/>
      <c r="AA731" s="1138"/>
      <c r="AB731" s="1138"/>
      <c r="AC731" s="1138"/>
      <c r="AD731" s="1138"/>
      <c r="AH731" s="521"/>
      <c r="AI731" s="521"/>
      <c r="AJ731" s="521"/>
      <c r="AK731" s="521"/>
      <c r="AL731" s="1811"/>
      <c r="AM731" s="617"/>
      <c r="AN731" s="617"/>
      <c r="AO731" s="617"/>
      <c r="AP731" s="1124"/>
      <c r="AQ731" s="1127"/>
      <c r="AR731" s="1127"/>
      <c r="AS731" s="1127"/>
      <c r="AT731" s="1124"/>
      <c r="AU731" s="1127"/>
      <c r="AV731" s="1127"/>
      <c r="AW731" s="1127"/>
      <c r="AX731" s="1137"/>
      <c r="AY731" s="1136"/>
      <c r="AZ731" s="1136"/>
      <c r="BA731" s="1136"/>
      <c r="BB731" s="1137"/>
      <c r="BC731" s="1136"/>
      <c r="BD731" s="1136"/>
      <c r="BE731" s="1136"/>
      <c r="BF731" s="1137"/>
      <c r="BG731" s="1104"/>
      <c r="BH731" s="1104"/>
      <c r="BI731" s="1136"/>
      <c r="BJ731" s="1137"/>
      <c r="BK731" s="1135"/>
      <c r="BL731" s="1135"/>
      <c r="BM731" s="1136"/>
      <c r="BN731" s="1137"/>
      <c r="BO731" s="1135"/>
      <c r="BP731" s="1135"/>
      <c r="BQ731" s="1136"/>
      <c r="BR731" s="477"/>
      <c r="BT731" s="1126"/>
      <c r="CR731"/>
      <c r="CS731"/>
      <c r="CT731"/>
      <c r="CU731"/>
      <c r="CV731"/>
      <c r="CW731"/>
    </row>
    <row r="732" spans="1:101" s="1099" customFormat="1" outlineLevel="1">
      <c r="A732" s="227"/>
      <c r="B732" s="227"/>
      <c r="C732" s="227"/>
      <c r="D732" s="227"/>
      <c r="E732" s="227"/>
      <c r="F732" s="227"/>
      <c r="G732" s="227"/>
      <c r="H732" s="227"/>
      <c r="I732" s="1098"/>
      <c r="J732" s="475" t="s">
        <v>68</v>
      </c>
      <c r="K732" s="475"/>
      <c r="L732" s="475"/>
      <c r="M732" s="475"/>
      <c r="N732" s="1092">
        <f t="shared" ref="N732:AD732" si="729">SUM(N733:N734)</f>
        <v>0</v>
      </c>
      <c r="O732" s="1092">
        <f t="shared" si="729"/>
        <v>0</v>
      </c>
      <c r="P732" s="1092">
        <f t="shared" si="729"/>
        <v>0</v>
      </c>
      <c r="Q732" s="1092">
        <f t="shared" si="729"/>
        <v>0</v>
      </c>
      <c r="R732" s="1092">
        <f t="shared" si="729"/>
        <v>0</v>
      </c>
      <c r="S732" s="655">
        <f t="shared" si="729"/>
        <v>0</v>
      </c>
      <c r="T732" s="655">
        <f t="shared" si="729"/>
        <v>0</v>
      </c>
      <c r="U732" s="655">
        <f t="shared" si="729"/>
        <v>17382.91</v>
      </c>
      <c r="V732" s="655">
        <f t="shared" si="729"/>
        <v>-7056.9210000000003</v>
      </c>
      <c r="W732" s="1092">
        <f t="shared" si="729"/>
        <v>0</v>
      </c>
      <c r="X732" s="1092">
        <f t="shared" si="729"/>
        <v>0</v>
      </c>
      <c r="Y732" s="1092">
        <f t="shared" si="729"/>
        <v>0</v>
      </c>
      <c r="Z732" s="1092">
        <f t="shared" si="729"/>
        <v>0</v>
      </c>
      <c r="AA732" s="1092">
        <f t="shared" si="729"/>
        <v>0</v>
      </c>
      <c r="AB732" s="1092">
        <f t="shared" si="729"/>
        <v>0</v>
      </c>
      <c r="AC732" s="1092">
        <f t="shared" si="729"/>
        <v>0</v>
      </c>
      <c r="AD732" s="1092">
        <f t="shared" si="729"/>
        <v>0</v>
      </c>
      <c r="AH732" s="475"/>
      <c r="AI732" s="475"/>
      <c r="AJ732" s="475"/>
      <c r="AK732" s="475"/>
      <c r="AL732" s="1811"/>
      <c r="AM732" s="617"/>
      <c r="AN732" s="617"/>
      <c r="AO732" s="617"/>
      <c r="AP732" s="1124"/>
      <c r="AQ732" s="1127"/>
      <c r="AR732" s="1127"/>
      <c r="AS732" s="1127"/>
      <c r="AT732" s="1124"/>
      <c r="AU732" s="1127"/>
      <c r="AV732" s="1127"/>
      <c r="AW732" s="1127"/>
      <c r="AX732" s="1124"/>
      <c r="AY732" s="1123"/>
      <c r="AZ732" s="1123"/>
      <c r="BA732" s="1123"/>
      <c r="BB732" s="1124"/>
      <c r="BC732" s="1123"/>
      <c r="BD732" s="1123"/>
      <c r="BE732" s="1123"/>
      <c r="BF732" s="1124"/>
      <c r="BG732" s="1104"/>
      <c r="BH732" s="1104"/>
      <c r="BI732" s="1123"/>
      <c r="BJ732" s="1124"/>
      <c r="BK732" s="1127"/>
      <c r="BL732" s="1127"/>
      <c r="BM732" s="1123"/>
      <c r="BN732" s="1124"/>
      <c r="BO732" s="1127"/>
      <c r="BP732" s="1127"/>
      <c r="BQ732" s="1123"/>
      <c r="BR732" s="1103"/>
      <c r="CR732"/>
      <c r="CS732"/>
      <c r="CT732"/>
      <c r="CU732"/>
      <c r="CV732"/>
      <c r="CW732"/>
    </row>
    <row r="733" spans="1:101" s="474" customFormat="1" outlineLevel="2">
      <c r="A733" s="42"/>
      <c r="B733" s="42"/>
      <c r="C733" s="42"/>
      <c r="D733" s="42"/>
      <c r="E733" s="42"/>
      <c r="F733" s="42"/>
      <c r="G733" s="42"/>
      <c r="H733" s="42"/>
      <c r="I733" s="1098"/>
      <c r="J733" s="1139" t="s">
        <v>263</v>
      </c>
      <c r="K733" s="1128"/>
      <c r="L733" s="1128"/>
      <c r="M733" s="1128"/>
      <c r="N733" s="1116"/>
      <c r="O733" s="1116"/>
      <c r="P733" s="1116"/>
      <c r="Q733" s="1116"/>
      <c r="R733" s="1116"/>
      <c r="S733" s="1046"/>
      <c r="T733" s="1094"/>
      <c r="U733" s="1094"/>
      <c r="V733" s="1013">
        <f>V543-U543</f>
        <v>-7056.9210000000003</v>
      </c>
      <c r="W733" s="1013">
        <f t="shared" ref="W733:AD733" si="730">W543-V543</f>
        <v>0</v>
      </c>
      <c r="X733" s="1013">
        <f t="shared" si="730"/>
        <v>0</v>
      </c>
      <c r="Y733" s="1013">
        <f t="shared" si="730"/>
        <v>0</v>
      </c>
      <c r="Z733" s="1013">
        <f t="shared" si="730"/>
        <v>0</v>
      </c>
      <c r="AA733" s="1013">
        <f t="shared" si="730"/>
        <v>0</v>
      </c>
      <c r="AB733" s="1013">
        <f t="shared" si="730"/>
        <v>0</v>
      </c>
      <c r="AC733" s="1013">
        <f t="shared" si="730"/>
        <v>0</v>
      </c>
      <c r="AD733" s="1013">
        <f t="shared" si="730"/>
        <v>0</v>
      </c>
      <c r="AH733" s="1128"/>
      <c r="AI733" s="1128"/>
      <c r="AJ733" s="1128"/>
      <c r="AK733" s="1128"/>
      <c r="AL733" s="1803"/>
      <c r="AM733" s="1129"/>
      <c r="AN733" s="1129"/>
      <c r="AO733" s="1129"/>
      <c r="AP733" s="1648"/>
      <c r="AQ733" s="1130"/>
      <c r="AR733" s="1130"/>
      <c r="AS733" s="1130"/>
      <c r="AT733" s="1648"/>
      <c r="AU733" s="1130"/>
      <c r="AV733" s="1130"/>
      <c r="AW733" s="1130"/>
      <c r="AX733" s="1134"/>
      <c r="AY733" s="1132"/>
      <c r="AZ733" s="1132"/>
      <c r="BA733" s="1132"/>
      <c r="BB733" s="1134"/>
      <c r="BC733" s="1132"/>
      <c r="BD733" s="1132"/>
      <c r="BE733" s="1132"/>
      <c r="BF733" s="1134"/>
      <c r="BG733" s="1133"/>
      <c r="BH733" s="1133"/>
      <c r="BI733" s="1132"/>
      <c r="BJ733" s="1134"/>
      <c r="BK733" s="1131"/>
      <c r="BL733" s="1131"/>
      <c r="BM733" s="1132"/>
      <c r="BN733" s="1134"/>
      <c r="BO733" s="1131"/>
      <c r="BP733" s="1131"/>
      <c r="BQ733" s="1132"/>
      <c r="BR733" s="477"/>
      <c r="CR733"/>
      <c r="CS733"/>
      <c r="CT733"/>
      <c r="CU733"/>
      <c r="CV733"/>
      <c r="CW733"/>
    </row>
    <row r="734" spans="1:101" s="474" customFormat="1" outlineLevel="2">
      <c r="A734" s="42"/>
      <c r="B734" s="42"/>
      <c r="C734" s="42"/>
      <c r="D734" s="42"/>
      <c r="E734" s="42"/>
      <c r="F734" s="42"/>
      <c r="G734" s="42"/>
      <c r="H734" s="42"/>
      <c r="I734" s="1098"/>
      <c r="J734" s="1036" t="s">
        <v>569</v>
      </c>
      <c r="K734" s="1128"/>
      <c r="L734" s="1128"/>
      <c r="M734" s="1128"/>
      <c r="N734" s="1116"/>
      <c r="O734" s="1116"/>
      <c r="P734" s="1116"/>
      <c r="Q734" s="1116"/>
      <c r="R734" s="1116"/>
      <c r="S734" s="1094"/>
      <c r="T734" s="1094"/>
      <c r="U734" s="1402">
        <f>17926.792-543.882</f>
        <v>17382.91</v>
      </c>
      <c r="V734" s="1094"/>
      <c r="W734" s="1138"/>
      <c r="X734" s="1138"/>
      <c r="Y734" s="1138"/>
      <c r="Z734" s="1138"/>
      <c r="AA734" s="1138"/>
      <c r="AB734" s="1138"/>
      <c r="AC734" s="1138"/>
      <c r="AD734" s="1138"/>
      <c r="AH734" s="1128"/>
      <c r="AI734" s="1128"/>
      <c r="AJ734" s="1128"/>
      <c r="AK734" s="1128"/>
      <c r="AL734" s="1803"/>
      <c r="AM734" s="1140"/>
      <c r="AN734" s="1140"/>
      <c r="AO734" s="1140"/>
      <c r="AP734" s="1648"/>
      <c r="AQ734" s="1130"/>
      <c r="AR734" s="1130"/>
      <c r="AS734" s="1130"/>
      <c r="AT734" s="1648"/>
      <c r="AU734" s="1130"/>
      <c r="AV734" s="1130"/>
      <c r="AW734" s="1130"/>
      <c r="AX734" s="1134"/>
      <c r="AY734" s="1132"/>
      <c r="AZ734" s="1132"/>
      <c r="BA734" s="1132"/>
      <c r="BB734" s="1134"/>
      <c r="BC734" s="1132"/>
      <c r="BD734" s="1132"/>
      <c r="BE734" s="1132"/>
      <c r="BF734" s="1134"/>
      <c r="BG734" s="1133"/>
      <c r="BH734" s="1133"/>
      <c r="BI734" s="1132"/>
      <c r="BJ734" s="1134"/>
      <c r="BK734" s="1131"/>
      <c r="BL734" s="1131"/>
      <c r="BM734" s="1132"/>
      <c r="BN734" s="1134"/>
      <c r="BO734" s="1131"/>
      <c r="BP734" s="1131"/>
      <c r="BQ734" s="1132"/>
      <c r="BR734" s="477"/>
      <c r="CR734"/>
      <c r="CS734"/>
      <c r="CT734"/>
      <c r="CU734"/>
      <c r="CV734"/>
      <c r="CW734"/>
    </row>
    <row r="735" spans="1:101" s="1099" customFormat="1" outlineLevel="1">
      <c r="A735" s="227"/>
      <c r="B735" s="227"/>
      <c r="C735" s="227"/>
      <c r="D735" s="227"/>
      <c r="E735" s="227"/>
      <c r="F735" s="227"/>
      <c r="G735" s="227"/>
      <c r="H735" s="227"/>
      <c r="I735" s="1098"/>
      <c r="J735" s="475" t="s">
        <v>69</v>
      </c>
      <c r="K735" s="475"/>
      <c r="L735" s="475"/>
      <c r="M735" s="475"/>
      <c r="N735" s="1092">
        <f t="shared" ref="N735:AD735" si="731">SUM(N736:N737)</f>
        <v>0</v>
      </c>
      <c r="O735" s="1092">
        <f t="shared" si="731"/>
        <v>0</v>
      </c>
      <c r="P735" s="1092">
        <f t="shared" si="731"/>
        <v>0</v>
      </c>
      <c r="Q735" s="1092">
        <f t="shared" si="731"/>
        <v>0</v>
      </c>
      <c r="R735" s="1092">
        <f t="shared" si="731"/>
        <v>0</v>
      </c>
      <c r="S735" s="655">
        <f t="shared" si="731"/>
        <v>0</v>
      </c>
      <c r="T735" s="655">
        <f t="shared" si="731"/>
        <v>0</v>
      </c>
      <c r="U735" s="655">
        <f t="shared" si="731"/>
        <v>0</v>
      </c>
      <c r="V735" s="655">
        <f t="shared" si="731"/>
        <v>0</v>
      </c>
      <c r="W735" s="1092">
        <f t="shared" si="731"/>
        <v>0</v>
      </c>
      <c r="X735" s="1092">
        <f t="shared" si="731"/>
        <v>0</v>
      </c>
      <c r="Y735" s="1092">
        <f t="shared" si="731"/>
        <v>0</v>
      </c>
      <c r="Z735" s="1092">
        <f t="shared" si="731"/>
        <v>0</v>
      </c>
      <c r="AA735" s="1092">
        <f t="shared" si="731"/>
        <v>0</v>
      </c>
      <c r="AB735" s="1092">
        <f t="shared" si="731"/>
        <v>0</v>
      </c>
      <c r="AC735" s="1092">
        <f t="shared" si="731"/>
        <v>0</v>
      </c>
      <c r="AD735" s="1092">
        <f t="shared" si="731"/>
        <v>0</v>
      </c>
      <c r="AH735" s="475"/>
      <c r="AI735" s="475"/>
      <c r="AJ735" s="475"/>
      <c r="AK735" s="475"/>
      <c r="AL735" s="1811"/>
      <c r="AM735" s="626"/>
      <c r="AN735" s="626"/>
      <c r="AO735" s="626"/>
      <c r="AP735" s="1124"/>
      <c r="AQ735" s="1127"/>
      <c r="AR735" s="1127"/>
      <c r="AS735" s="1127"/>
      <c r="AT735" s="1124"/>
      <c r="AU735" s="1127"/>
      <c r="AV735" s="1127"/>
      <c r="AW735" s="1127"/>
      <c r="AX735" s="1124"/>
      <c r="AY735" s="1123"/>
      <c r="AZ735" s="1123"/>
      <c r="BA735" s="1123"/>
      <c r="BB735" s="1124"/>
      <c r="BC735" s="1123"/>
      <c r="BD735" s="1123"/>
      <c r="BE735" s="1123"/>
      <c r="BF735" s="1124"/>
      <c r="BG735" s="1104"/>
      <c r="BH735" s="1104"/>
      <c r="BI735" s="1123"/>
      <c r="BJ735" s="1124"/>
      <c r="BK735" s="1127"/>
      <c r="BL735" s="1127"/>
      <c r="BM735" s="1123"/>
      <c r="BN735" s="1124"/>
      <c r="BO735" s="1127"/>
      <c r="BP735" s="1127"/>
      <c r="BQ735" s="1123"/>
      <c r="BR735" s="1103"/>
      <c r="CR735"/>
      <c r="CS735"/>
      <c r="CT735"/>
      <c r="CU735"/>
      <c r="CV735"/>
      <c r="CW735"/>
    </row>
    <row r="736" spans="1:101" s="1099" customFormat="1" outlineLevel="2">
      <c r="A736" s="227"/>
      <c r="B736" s="227"/>
      <c r="C736" s="227"/>
      <c r="D736" s="227"/>
      <c r="E736" s="227"/>
      <c r="F736" s="227"/>
      <c r="G736" s="227"/>
      <c r="H736" s="227"/>
      <c r="I736" s="1098"/>
      <c r="J736" s="1139" t="s">
        <v>70</v>
      </c>
      <c r="K736" s="475"/>
      <c r="L736" s="475"/>
      <c r="M736" s="475"/>
      <c r="N736" s="1092"/>
      <c r="O736" s="1092"/>
      <c r="P736" s="1092"/>
      <c r="Q736" s="1092"/>
      <c r="R736" s="1092"/>
      <c r="S736" s="655"/>
      <c r="T736" s="655"/>
      <c r="U736" s="655"/>
      <c r="V736" s="655"/>
      <c r="W736" s="1092"/>
      <c r="X736" s="1092"/>
      <c r="Y736" s="1092"/>
      <c r="Z736" s="1092"/>
      <c r="AA736" s="1092"/>
      <c r="AB736" s="1092"/>
      <c r="AC736" s="1092"/>
      <c r="AD736" s="1092"/>
      <c r="AH736" s="475"/>
      <c r="AI736" s="475"/>
      <c r="AJ736" s="475"/>
      <c r="AK736" s="475"/>
      <c r="AL736" s="1813"/>
      <c r="AM736" s="654"/>
      <c r="AN736" s="654"/>
      <c r="AO736" s="654"/>
      <c r="AP736" s="1124"/>
      <c r="AQ736" s="1127"/>
      <c r="AR736" s="1127"/>
      <c r="AS736" s="1127"/>
      <c r="AT736" s="1124"/>
      <c r="AU736" s="1127"/>
      <c r="AV736" s="1127"/>
      <c r="AW736" s="1127"/>
      <c r="AX736" s="1124"/>
      <c r="AY736" s="1123"/>
      <c r="AZ736" s="1123"/>
      <c r="BA736" s="1123"/>
      <c r="BB736" s="1124"/>
      <c r="BC736" s="1123"/>
      <c r="BD736" s="1123"/>
      <c r="BE736" s="1123"/>
      <c r="BF736" s="1124"/>
      <c r="BG736" s="1104"/>
      <c r="BH736" s="1104"/>
      <c r="BI736" s="1123"/>
      <c r="BJ736" s="1124"/>
      <c r="BK736" s="1127"/>
      <c r="BL736" s="1127"/>
      <c r="BM736" s="1123"/>
      <c r="BN736" s="1124"/>
      <c r="BO736" s="1127"/>
      <c r="BP736" s="1127"/>
      <c r="BQ736" s="1123"/>
      <c r="BR736" s="1103"/>
      <c r="CR736"/>
      <c r="CS736"/>
      <c r="CT736"/>
      <c r="CU736"/>
      <c r="CV736"/>
      <c r="CW736"/>
    </row>
    <row r="737" spans="1:101" s="1099" customFormat="1" outlineLevel="2">
      <c r="A737" s="227"/>
      <c r="B737" s="227"/>
      <c r="C737" s="227"/>
      <c r="D737" s="227"/>
      <c r="E737" s="227"/>
      <c r="F737" s="227"/>
      <c r="G737" s="227"/>
      <c r="H737" s="227"/>
      <c r="I737" s="1098"/>
      <c r="J737" s="1139" t="s">
        <v>71</v>
      </c>
      <c r="K737" s="475"/>
      <c r="L737" s="475"/>
      <c r="M737" s="475"/>
      <c r="N737" s="1092"/>
      <c r="O737" s="1092"/>
      <c r="P737" s="1092"/>
      <c r="Q737" s="1092"/>
      <c r="R737" s="1092"/>
      <c r="S737" s="655"/>
      <c r="T737" s="655"/>
      <c r="U737" s="655"/>
      <c r="V737" s="655"/>
      <c r="W737" s="1092"/>
      <c r="X737" s="1092"/>
      <c r="Y737" s="1092"/>
      <c r="Z737" s="1092"/>
      <c r="AA737" s="1092"/>
      <c r="AB737" s="1092"/>
      <c r="AC737" s="1092"/>
      <c r="AD737" s="1092"/>
      <c r="AH737" s="475"/>
      <c r="AI737" s="475"/>
      <c r="AJ737" s="475"/>
      <c r="AK737" s="475"/>
      <c r="AL737" s="1813"/>
      <c r="AM737" s="654"/>
      <c r="AN737" s="654"/>
      <c r="AO737" s="654"/>
      <c r="AP737" s="1124"/>
      <c r="AQ737" s="1127"/>
      <c r="AR737" s="1127"/>
      <c r="AS737" s="1127"/>
      <c r="AT737" s="1124"/>
      <c r="AU737" s="1127"/>
      <c r="AV737" s="1127"/>
      <c r="AW737" s="1127"/>
      <c r="AX737" s="1124"/>
      <c r="AY737" s="1123"/>
      <c r="AZ737" s="1123"/>
      <c r="BA737" s="1123"/>
      <c r="BB737" s="1124"/>
      <c r="BC737" s="1123"/>
      <c r="BD737" s="1123"/>
      <c r="BE737" s="1123"/>
      <c r="BF737" s="1124"/>
      <c r="BG737" s="1104"/>
      <c r="BH737" s="1104"/>
      <c r="BI737" s="1123"/>
      <c r="BJ737" s="1124"/>
      <c r="BK737" s="1127"/>
      <c r="BL737" s="1127"/>
      <c r="BM737" s="1123"/>
      <c r="BN737" s="1124"/>
      <c r="BO737" s="1127"/>
      <c r="BP737" s="1127"/>
      <c r="BQ737" s="1123"/>
      <c r="BR737" s="1103"/>
      <c r="CR737"/>
      <c r="CS737"/>
      <c r="CT737"/>
      <c r="CU737"/>
      <c r="CV737"/>
      <c r="CW737"/>
    </row>
    <row r="738" spans="1:101" s="1099" customFormat="1" outlineLevel="2">
      <c r="A738" s="227"/>
      <c r="B738" s="227"/>
      <c r="C738" s="227"/>
      <c r="D738" s="227"/>
      <c r="E738" s="227"/>
      <c r="F738" s="227"/>
      <c r="G738" s="227"/>
      <c r="H738" s="227"/>
      <c r="I738" s="1098"/>
      <c r="J738" s="795" t="s">
        <v>68</v>
      </c>
      <c r="K738" s="475"/>
      <c r="L738" s="475"/>
      <c r="M738" s="475"/>
      <c r="N738" s="1092"/>
      <c r="O738" s="1092"/>
      <c r="P738" s="1092"/>
      <c r="Q738" s="1092"/>
      <c r="R738" s="1092"/>
      <c r="S738" s="655"/>
      <c r="T738" s="655"/>
      <c r="U738" s="655"/>
      <c r="V738" s="655"/>
      <c r="W738" s="1092"/>
      <c r="X738" s="1092"/>
      <c r="Y738" s="1092"/>
      <c r="Z738" s="1092"/>
      <c r="AA738" s="1092"/>
      <c r="AB738" s="1092"/>
      <c r="AC738" s="1092"/>
      <c r="AD738" s="1092"/>
      <c r="AH738" s="475"/>
      <c r="AI738" s="475"/>
      <c r="AJ738" s="475"/>
      <c r="AK738" s="475"/>
      <c r="AL738" s="1813"/>
      <c r="AM738" s="654"/>
      <c r="AN738" s="654"/>
      <c r="AO738" s="654"/>
      <c r="AP738" s="1124"/>
      <c r="AQ738" s="1127"/>
      <c r="AR738" s="1127"/>
      <c r="AS738" s="1127"/>
      <c r="AT738" s="1124"/>
      <c r="AU738" s="1127"/>
      <c r="AV738" s="1127"/>
      <c r="AW738" s="1127"/>
      <c r="AX738" s="1124"/>
      <c r="AY738" s="1123"/>
      <c r="AZ738" s="1123"/>
      <c r="BA738" s="1123"/>
      <c r="BB738" s="1124"/>
      <c r="BC738" s="1123"/>
      <c r="BD738" s="1123"/>
      <c r="BE738" s="1123"/>
      <c r="BF738" s="1124"/>
      <c r="BG738" s="1104"/>
      <c r="BH738" s="1104"/>
      <c r="BI738" s="1123"/>
      <c r="BJ738" s="1124"/>
      <c r="BK738" s="1127"/>
      <c r="BL738" s="1127"/>
      <c r="BM738" s="1123"/>
      <c r="BN738" s="1124"/>
      <c r="BO738" s="1127"/>
      <c r="BP738" s="1127"/>
      <c r="BQ738" s="1123"/>
      <c r="BR738" s="1103"/>
      <c r="CR738"/>
      <c r="CS738"/>
      <c r="CT738"/>
      <c r="CU738"/>
      <c r="CV738"/>
      <c r="CW738"/>
    </row>
    <row r="739" spans="1:101" s="477" customFormat="1" outlineLevel="1">
      <c r="A739" s="583"/>
      <c r="B739" s="583"/>
      <c r="C739" s="583"/>
      <c r="D739" s="583"/>
      <c r="E739" s="583"/>
      <c r="F739" s="583"/>
      <c r="G739" s="583"/>
      <c r="H739" s="583"/>
      <c r="I739" s="792"/>
      <c r="J739" s="820" t="s">
        <v>2</v>
      </c>
      <c r="K739" s="820"/>
      <c r="L739" s="820"/>
      <c r="M739" s="820"/>
      <c r="N739" s="1593">
        <v>109</v>
      </c>
      <c r="O739" s="1593">
        <v>1460</v>
      </c>
      <c r="P739" s="1590">
        <f t="shared" ref="P739:AD739" si="732">P714+P721+P732+P735+P738</f>
        <v>6236.8979999999992</v>
      </c>
      <c r="Q739" s="1590">
        <f t="shared" si="732"/>
        <v>2853.6309999999999</v>
      </c>
      <c r="R739" s="1590">
        <f t="shared" si="732"/>
        <v>2795.1840000000002</v>
      </c>
      <c r="S739" s="1590">
        <f t="shared" si="732"/>
        <v>18392.027999999998</v>
      </c>
      <c r="T739" s="1590">
        <f t="shared" si="732"/>
        <v>4700.2730000000001</v>
      </c>
      <c r="U739" s="1590">
        <f t="shared" si="732"/>
        <v>40699.471000000005</v>
      </c>
      <c r="V739" s="1590">
        <f t="shared" si="732"/>
        <v>-5345.3340000000007</v>
      </c>
      <c r="W739" s="1590">
        <f t="shared" si="732"/>
        <v>-674.50799999999981</v>
      </c>
      <c r="X739" s="1590">
        <f t="shared" si="732"/>
        <v>0</v>
      </c>
      <c r="Y739" s="1590">
        <f t="shared" si="732"/>
        <v>-2894.7139999999999</v>
      </c>
      <c r="Z739" s="1590">
        <f t="shared" si="732"/>
        <v>0</v>
      </c>
      <c r="AA739" s="1590">
        <f t="shared" si="732"/>
        <v>0</v>
      </c>
      <c r="AB739" s="1590">
        <f t="shared" si="732"/>
        <v>0</v>
      </c>
      <c r="AC739" s="1590">
        <f t="shared" si="732"/>
        <v>0</v>
      </c>
      <c r="AD739" s="1590">
        <f t="shared" si="732"/>
        <v>0</v>
      </c>
      <c r="AH739" s="478"/>
      <c r="AI739" s="478"/>
      <c r="AJ739" s="478"/>
      <c r="AK739" s="478"/>
      <c r="AL739" s="1806"/>
      <c r="AM739" s="1141"/>
      <c r="AN739" s="1141"/>
      <c r="AO739" s="1141"/>
      <c r="AP739" s="1137"/>
      <c r="AQ739" s="1136"/>
      <c r="AR739" s="1136"/>
      <c r="AS739" s="1136"/>
      <c r="AT739" s="1137"/>
      <c r="AU739" s="1136"/>
      <c r="AV739" s="1136"/>
      <c r="AW739" s="1136"/>
      <c r="AX739" s="1137"/>
      <c r="AY739" s="1136"/>
      <c r="AZ739" s="1136"/>
      <c r="BA739" s="1136"/>
      <c r="BB739" s="1137"/>
      <c r="BC739" s="1136"/>
      <c r="BD739" s="1136"/>
      <c r="BE739" s="1136"/>
      <c r="BF739" s="1137"/>
      <c r="BG739" s="1104"/>
      <c r="BH739" s="1104"/>
      <c r="BI739" s="1136"/>
      <c r="BJ739" s="1137"/>
      <c r="BK739" s="1136"/>
      <c r="BL739" s="1136"/>
      <c r="BM739" s="1136"/>
      <c r="BN739" s="1137"/>
      <c r="BO739" s="1136"/>
      <c r="BP739" s="1136"/>
      <c r="BQ739" s="1136"/>
      <c r="CR739"/>
      <c r="CS739"/>
      <c r="CT739"/>
      <c r="CU739"/>
      <c r="CV739"/>
      <c r="CW739"/>
    </row>
    <row r="740" spans="1:101" s="477" customFormat="1" outlineLevel="1">
      <c r="A740" s="583"/>
      <c r="B740" s="583"/>
      <c r="C740" s="583"/>
      <c r="D740" s="583"/>
      <c r="E740" s="583"/>
      <c r="F740" s="583"/>
      <c r="G740" s="583"/>
      <c r="H740" s="583"/>
      <c r="I740" s="792"/>
      <c r="J740" s="480"/>
      <c r="K740" s="480"/>
      <c r="L740" s="480"/>
      <c r="M740" s="480"/>
      <c r="N740" s="1013"/>
      <c r="O740" s="1013"/>
      <c r="P740" s="1013"/>
      <c r="Q740" s="1013"/>
      <c r="R740" s="1013"/>
      <c r="S740" s="1013"/>
      <c r="T740" s="1013"/>
      <c r="U740" s="1013"/>
      <c r="V740" s="1013"/>
      <c r="W740" s="1013"/>
      <c r="X740" s="1013"/>
      <c r="Y740" s="1013"/>
      <c r="Z740" s="1013"/>
      <c r="AA740" s="1013"/>
      <c r="AB740" s="1013"/>
      <c r="AC740" s="1013"/>
      <c r="AD740" s="1013"/>
      <c r="AH740" s="480"/>
      <c r="AI740" s="480"/>
      <c r="AJ740" s="480"/>
      <c r="AK740" s="480"/>
      <c r="AL740" s="1810"/>
      <c r="AM740" s="480"/>
      <c r="AN740" s="480"/>
      <c r="AO740" s="480"/>
      <c r="AP740" s="817"/>
      <c r="AQ740" s="618"/>
      <c r="AR740" s="618"/>
      <c r="AS740" s="618"/>
      <c r="AT740" s="817"/>
      <c r="AU740" s="618"/>
      <c r="AV740" s="618"/>
      <c r="AW740" s="618"/>
      <c r="AX740" s="817"/>
      <c r="AY740" s="618"/>
      <c r="AZ740" s="618"/>
      <c r="BA740" s="618"/>
      <c r="BB740" s="817"/>
      <c r="BC740" s="618"/>
      <c r="BD740" s="618"/>
      <c r="BE740" s="618"/>
      <c r="BF740" s="817"/>
      <c r="BG740" s="1104"/>
      <c r="BH740" s="1104"/>
      <c r="BI740" s="618"/>
      <c r="BJ740" s="817"/>
      <c r="BK740" s="618"/>
      <c r="BL740" s="618"/>
      <c r="BM740" s="618"/>
      <c r="BN740" s="817"/>
      <c r="BO740" s="618"/>
      <c r="BP740" s="618"/>
      <c r="BQ740" s="618"/>
      <c r="CR740"/>
      <c r="CS740"/>
      <c r="CT740"/>
      <c r="CU740"/>
      <c r="CV740"/>
      <c r="CW740"/>
    </row>
    <row r="741" spans="1:101" s="477" customFormat="1" outlineLevel="1">
      <c r="A741" s="583"/>
      <c r="B741" s="583"/>
      <c r="C741" s="583"/>
      <c r="D741" s="583"/>
      <c r="E741" s="583"/>
      <c r="F741" s="583"/>
      <c r="G741" s="583"/>
      <c r="H741" s="583"/>
      <c r="I741" s="792"/>
      <c r="J741" s="478" t="s">
        <v>243</v>
      </c>
      <c r="K741" s="478"/>
      <c r="L741" s="478"/>
      <c r="M741" s="1581"/>
      <c r="N741" s="1537"/>
      <c r="O741" s="1537"/>
      <c r="P741" s="1537"/>
      <c r="Q741" s="1083"/>
      <c r="R741" s="1083"/>
      <c r="S741" s="1538"/>
      <c r="T741" s="1538"/>
      <c r="U741" s="1538"/>
      <c r="V741" s="1538"/>
      <c r="W741" s="1538"/>
      <c r="X741" s="1538"/>
      <c r="Y741" s="1538"/>
      <c r="Z741" s="1538"/>
      <c r="AA741" s="1538"/>
      <c r="AB741" s="1538"/>
      <c r="AC741" s="1538"/>
      <c r="AD741" s="1538"/>
      <c r="AH741" s="1140"/>
      <c r="AI741" s="1140"/>
      <c r="AJ741" s="1140"/>
      <c r="AK741" s="1140"/>
      <c r="AL741" s="1803"/>
      <c r="AM741" s="1140"/>
      <c r="AN741" s="1140"/>
      <c r="AO741" s="1140"/>
      <c r="AP741" s="1648"/>
      <c r="AQ741" s="1133"/>
      <c r="AR741" s="1133"/>
      <c r="AS741" s="1133"/>
      <c r="AT741" s="1648"/>
      <c r="AU741" s="1133"/>
      <c r="AV741" s="1133"/>
      <c r="AW741" s="1133"/>
      <c r="AX741" s="1109"/>
      <c r="AY741" s="1104"/>
      <c r="AZ741" s="1104"/>
      <c r="BA741" s="1104"/>
      <c r="BB741" s="1109"/>
      <c r="BC741" s="1133"/>
      <c r="BD741" s="1133"/>
      <c r="BE741" s="1133"/>
      <c r="BF741" s="1648"/>
      <c r="BG741" s="1133"/>
      <c r="BH741" s="1133"/>
      <c r="BI741" s="1133"/>
      <c r="BJ741" s="1648"/>
      <c r="BK741" s="1133"/>
      <c r="BL741" s="1133"/>
      <c r="BM741" s="1133"/>
      <c r="BN741" s="1648"/>
      <c r="BO741" s="1133"/>
      <c r="BP741" s="1133"/>
      <c r="BQ741" s="1133"/>
      <c r="CR741"/>
      <c r="CS741"/>
      <c r="CT741"/>
      <c r="CU741"/>
      <c r="CV741"/>
      <c r="CW741"/>
    </row>
    <row r="742" spans="1:101" s="705" customFormat="1" outlineLevel="1">
      <c r="A742" s="589"/>
      <c r="B742" s="589"/>
      <c r="C742" s="589"/>
      <c r="D742" s="589"/>
      <c r="E742" s="589"/>
      <c r="F742" s="589"/>
      <c r="G742" s="589"/>
      <c r="H742" s="589"/>
      <c r="I742" s="1519"/>
      <c r="J742" s="819" t="s">
        <v>4</v>
      </c>
      <c r="K742" s="478"/>
      <c r="L742" s="478"/>
      <c r="M742" s="478"/>
      <c r="N742" s="1596">
        <v>21</v>
      </c>
      <c r="O742" s="1596">
        <v>123.95899999999995</v>
      </c>
      <c r="P742" s="1596">
        <v>869.95899999999995</v>
      </c>
      <c r="Q742" s="1596">
        <v>6288.777000000001</v>
      </c>
      <c r="R742" s="1596">
        <v>7177.2940000000026</v>
      </c>
      <c r="S742" s="1083">
        <f t="shared" ref="S742:AD742" si="733">R746</f>
        <v>10812.338999999996</v>
      </c>
      <c r="T742" s="1083">
        <f t="shared" si="733"/>
        <v>16891.829999999994</v>
      </c>
      <c r="U742" s="1083">
        <f t="shared" si="733"/>
        <v>17723.387999999999</v>
      </c>
      <c r="V742" s="1083">
        <f t="shared" si="733"/>
        <v>15567.036</v>
      </c>
      <c r="W742" s="1083">
        <f t="shared" si="733"/>
        <v>25688.327000000001</v>
      </c>
      <c r="X742" s="1083">
        <f t="shared" ca="1" si="733"/>
        <v>31737.817956126404</v>
      </c>
      <c r="Y742" s="1083">
        <f t="shared" ca="1" si="733"/>
        <v>49717.087797550907</v>
      </c>
      <c r="Z742" s="1083">
        <f t="shared" ca="1" si="733"/>
        <v>70491.956636894902</v>
      </c>
      <c r="AA742" s="1083">
        <f t="shared" ca="1" si="733"/>
        <v>104992.79428216856</v>
      </c>
      <c r="AB742" s="1083">
        <f t="shared" ca="1" si="733"/>
        <v>139736.69883610297</v>
      </c>
      <c r="AC742" s="1083">
        <f t="shared" ca="1" si="733"/>
        <v>184104.95308862461</v>
      </c>
      <c r="AD742" s="1083">
        <f t="shared" ca="1" si="733"/>
        <v>239025.64604597239</v>
      </c>
      <c r="AH742" s="478"/>
      <c r="AI742" s="478"/>
      <c r="AJ742" s="478"/>
      <c r="AK742" s="478"/>
      <c r="AL742" s="1814"/>
      <c r="AM742" s="1520"/>
      <c r="AN742" s="1520"/>
      <c r="AO742" s="1520"/>
      <c r="AP742" s="1109"/>
      <c r="AQ742" s="1104"/>
      <c r="AR742" s="1104"/>
      <c r="AS742" s="1104"/>
      <c r="AT742" s="1109"/>
      <c r="AU742" s="1104"/>
      <c r="AV742" s="1104"/>
      <c r="AW742" s="1104"/>
      <c r="AX742" s="1109"/>
      <c r="AY742" s="1104"/>
      <c r="AZ742" s="1104"/>
      <c r="BA742" s="1104"/>
      <c r="BB742" s="1109"/>
      <c r="BC742" s="1104"/>
      <c r="BD742" s="1104"/>
      <c r="BE742" s="1104"/>
      <c r="BF742" s="1109"/>
      <c r="BG742" s="1104"/>
      <c r="BH742" s="1104"/>
      <c r="BI742" s="1104"/>
      <c r="BJ742" s="1109"/>
      <c r="BK742" s="1104"/>
      <c r="BL742" s="1104"/>
      <c r="BM742" s="1104"/>
      <c r="BN742" s="1109"/>
      <c r="BO742" s="1104"/>
      <c r="BP742" s="1104"/>
      <c r="BQ742" s="1104"/>
      <c r="CR742"/>
      <c r="CS742"/>
      <c r="CT742"/>
      <c r="CU742"/>
      <c r="CV742"/>
      <c r="CW742"/>
    </row>
    <row r="743" spans="1:101" s="477" customFormat="1" outlineLevel="1">
      <c r="A743" s="583"/>
      <c r="B743" s="583"/>
      <c r="C743" s="583"/>
      <c r="D743" s="583"/>
      <c r="E743" s="583"/>
      <c r="F743" s="583"/>
      <c r="G743" s="583"/>
      <c r="H743" s="583"/>
      <c r="I743" s="792"/>
      <c r="J743" s="1597" t="s">
        <v>5</v>
      </c>
      <c r="K743" s="480"/>
      <c r="L743" s="480"/>
      <c r="M743" s="480"/>
      <c r="N743" s="1013">
        <f t="shared" ref="N743:AD743" si="734">SUM(N684,N711,N739)</f>
        <v>103</v>
      </c>
      <c r="O743" s="1013">
        <f t="shared" si="734"/>
        <v>761</v>
      </c>
      <c r="P743" s="1013">
        <f t="shared" si="734"/>
        <v>5526.2569999999996</v>
      </c>
      <c r="Q743" s="1013">
        <f t="shared" si="734"/>
        <v>887.829000000002</v>
      </c>
      <c r="R743" s="1013">
        <f t="shared" si="734"/>
        <v>3693.950999999995</v>
      </c>
      <c r="S743" s="1013">
        <f t="shared" si="734"/>
        <v>6180.9749999999985</v>
      </c>
      <c r="T743" s="1013">
        <f t="shared" si="734"/>
        <v>488.41100000000279</v>
      </c>
      <c r="U743" s="1013">
        <f t="shared" si="734"/>
        <v>915.55800000000454</v>
      </c>
      <c r="V743" s="1013">
        <f t="shared" ca="1" si="734"/>
        <v>-13453.233000000057</v>
      </c>
      <c r="W743" s="1013">
        <f t="shared" ca="1" si="734"/>
        <v>6049.4909561264021</v>
      </c>
      <c r="X743" s="1013">
        <f t="shared" ca="1" si="734"/>
        <v>17979.269841424506</v>
      </c>
      <c r="Y743" s="1013">
        <f t="shared" ca="1" si="734"/>
        <v>20774.868839343988</v>
      </c>
      <c r="Z743" s="1013">
        <f t="shared" ca="1" si="734"/>
        <v>34500.837645273656</v>
      </c>
      <c r="AA743" s="1013">
        <f t="shared" ca="1" si="734"/>
        <v>34743.904553934415</v>
      </c>
      <c r="AB743" s="1013">
        <f t="shared" ca="1" si="734"/>
        <v>44368.254252521649</v>
      </c>
      <c r="AC743" s="1013">
        <f t="shared" ca="1" si="734"/>
        <v>54920.69295734779</v>
      </c>
      <c r="AD743" s="1013">
        <f t="shared" ca="1" si="734"/>
        <v>65982.59343289047</v>
      </c>
      <c r="AH743" s="480"/>
      <c r="AI743" s="480"/>
      <c r="AJ743" s="480"/>
      <c r="AK743" s="480"/>
      <c r="AL743" s="1801"/>
      <c r="AM743" s="616"/>
      <c r="AN743" s="616"/>
      <c r="AO743" s="616"/>
      <c r="AP743" s="817"/>
      <c r="AQ743" s="618"/>
      <c r="AR743" s="618"/>
      <c r="AS743" s="618"/>
      <c r="AT743" s="817"/>
      <c r="AU743" s="618"/>
      <c r="AV743" s="618"/>
      <c r="AW743" s="618"/>
      <c r="AX743" s="817"/>
      <c r="AY743" s="618"/>
      <c r="AZ743" s="618"/>
      <c r="BA743" s="618"/>
      <c r="BB743" s="817"/>
      <c r="BC743" s="618"/>
      <c r="BD743" s="618"/>
      <c r="BE743" s="618"/>
      <c r="BF743" s="817"/>
      <c r="BG743" s="1104"/>
      <c r="BH743" s="1104"/>
      <c r="BI743" s="618"/>
      <c r="BJ743" s="817"/>
      <c r="BK743" s="618"/>
      <c r="BL743" s="618"/>
      <c r="BM743" s="618"/>
      <c r="BN743" s="817"/>
      <c r="BO743" s="618"/>
      <c r="BP743" s="618"/>
      <c r="BQ743" s="618"/>
      <c r="CR743"/>
      <c r="CS743"/>
      <c r="CT743"/>
      <c r="CU743"/>
      <c r="CV743"/>
      <c r="CW743"/>
    </row>
    <row r="744" spans="1:101" s="477" customFormat="1" outlineLevel="1">
      <c r="A744" s="583"/>
      <c r="B744" s="583"/>
      <c r="C744" s="583"/>
      <c r="D744" s="583"/>
      <c r="E744" s="583"/>
      <c r="F744" s="583"/>
      <c r="G744" s="583"/>
      <c r="H744" s="583"/>
      <c r="I744" s="792"/>
      <c r="J744" s="1597" t="s">
        <v>28</v>
      </c>
      <c r="K744" s="480"/>
      <c r="L744" s="480"/>
      <c r="M744" s="480"/>
      <c r="N744" s="1525">
        <v>0</v>
      </c>
      <c r="O744" s="1525">
        <v>0</v>
      </c>
      <c r="P744" s="1525">
        <v>0</v>
      </c>
      <c r="Q744" s="1525">
        <v>0</v>
      </c>
      <c r="R744" s="1525">
        <v>0</v>
      </c>
      <c r="S744" s="1090">
        <f>S493-S746</f>
        <v>22.821000000007189</v>
      </c>
      <c r="T744" s="1090">
        <f>T493-T746</f>
        <v>140.47999999999956</v>
      </c>
      <c r="U744" s="1402">
        <f>282.4-4204.706</f>
        <v>-3922.306</v>
      </c>
      <c r="V744" s="1518">
        <f ca="1">V746-V742-V743</f>
        <v>23574.524000000056</v>
      </c>
      <c r="W744" s="1090"/>
      <c r="X744" s="1090"/>
      <c r="Y744" s="1090"/>
      <c r="Z744" s="1090"/>
      <c r="AA744" s="1090"/>
      <c r="AB744" s="1090"/>
      <c r="AC744" s="1090"/>
      <c r="AD744" s="1090"/>
      <c r="AH744" s="480"/>
      <c r="AI744" s="480"/>
      <c r="AJ744" s="480"/>
      <c r="AK744" s="480"/>
      <c r="AL744" s="1802"/>
      <c r="AM744" s="615"/>
      <c r="AN744" s="615"/>
      <c r="AO744" s="615"/>
      <c r="AP744" s="1108"/>
      <c r="AQ744" s="1106"/>
      <c r="AR744" s="1106"/>
      <c r="AS744" s="1106"/>
      <c r="AT744" s="1108"/>
      <c r="AU744" s="1106"/>
      <c r="AV744" s="1106"/>
      <c r="AW744" s="1106"/>
      <c r="AX744" s="1108"/>
      <c r="AY744" s="1106"/>
      <c r="AZ744" s="1106"/>
      <c r="BA744" s="1106"/>
      <c r="BB744" s="1108"/>
      <c r="BC744" s="1106"/>
      <c r="BD744" s="1106"/>
      <c r="BE744" s="1106"/>
      <c r="BF744" s="1108"/>
      <c r="BG744" s="1107"/>
      <c r="BH744" s="1107"/>
      <c r="BI744" s="1106"/>
      <c r="BJ744" s="1108"/>
      <c r="BK744" s="1106"/>
      <c r="BL744" s="1106"/>
      <c r="BM744" s="1106"/>
      <c r="BN744" s="1108"/>
      <c r="BO744" s="1106"/>
      <c r="BP744" s="1106"/>
      <c r="BQ744" s="1106"/>
      <c r="CR744"/>
      <c r="CS744"/>
      <c r="CT744"/>
      <c r="CU744"/>
      <c r="CV744"/>
      <c r="CW744"/>
    </row>
    <row r="745" spans="1:101" s="1103" customFormat="1" outlineLevel="1">
      <c r="A745" s="256"/>
      <c r="B745" s="256"/>
      <c r="C745" s="256"/>
      <c r="D745" s="256"/>
      <c r="E745" s="256"/>
      <c r="F745" s="256"/>
      <c r="G745" s="256"/>
      <c r="H745" s="256"/>
      <c r="I745" s="792"/>
      <c r="J745" s="1120" t="s">
        <v>3</v>
      </c>
      <c r="K745" s="654"/>
      <c r="L745" s="654"/>
      <c r="M745" s="654"/>
      <c r="N745" s="1596">
        <v>0</v>
      </c>
      <c r="O745" s="1596">
        <v>-15</v>
      </c>
      <c r="P745" s="1596">
        <v>-107.43899999999999</v>
      </c>
      <c r="Q745" s="1596">
        <v>0.68799999999999994</v>
      </c>
      <c r="R745" s="1596">
        <v>-58.905999999999999</v>
      </c>
      <c r="S745" s="1402">
        <v>-101.48399999999999</v>
      </c>
      <c r="T745" s="1402">
        <v>343.14699999999999</v>
      </c>
      <c r="U745" s="1402">
        <v>709.91600000000005</v>
      </c>
      <c r="V745" s="655"/>
      <c r="W745" s="655"/>
      <c r="X745" s="655"/>
      <c r="Y745" s="655"/>
      <c r="Z745" s="655"/>
      <c r="AA745" s="655"/>
      <c r="AB745" s="655"/>
      <c r="AC745" s="655"/>
      <c r="AD745" s="655"/>
      <c r="AH745" s="654"/>
      <c r="AI745" s="654"/>
      <c r="AJ745" s="654"/>
      <c r="AK745" s="654"/>
      <c r="AL745" s="1815"/>
      <c r="AM745" s="1142"/>
      <c r="AN745" s="1142"/>
      <c r="AO745" s="1142"/>
      <c r="AP745" s="1144"/>
      <c r="AQ745" s="1143"/>
      <c r="AR745" s="1143"/>
      <c r="AS745" s="1143"/>
      <c r="AT745" s="1144"/>
      <c r="AU745" s="1143"/>
      <c r="AV745" s="1143"/>
      <c r="AW745" s="1143"/>
      <c r="AX745" s="1144"/>
      <c r="AY745" s="1143"/>
      <c r="AZ745" s="1143"/>
      <c r="BA745" s="1143"/>
      <c r="BB745" s="1144"/>
      <c r="BC745" s="1143"/>
      <c r="BD745" s="1143"/>
      <c r="BE745" s="1143"/>
      <c r="BF745" s="1144"/>
      <c r="BG745" s="635"/>
      <c r="BH745" s="635"/>
      <c r="BI745" s="1143"/>
      <c r="BJ745" s="1144"/>
      <c r="BK745" s="1143"/>
      <c r="BL745" s="1143"/>
      <c r="BM745" s="1143"/>
      <c r="BN745" s="1144"/>
      <c r="BO745" s="1143"/>
      <c r="BP745" s="1143"/>
      <c r="BQ745" s="1143"/>
      <c r="CR745"/>
      <c r="CS745"/>
      <c r="CT745"/>
      <c r="CU745"/>
      <c r="CV745"/>
      <c r="CW745"/>
    </row>
    <row r="746" spans="1:101" s="583" customFormat="1" outlineLevel="1">
      <c r="I746" s="597"/>
      <c r="J746" s="172" t="s">
        <v>6</v>
      </c>
      <c r="K746" s="172"/>
      <c r="L746" s="172"/>
      <c r="M746" s="172"/>
      <c r="N746" s="1025">
        <f t="shared" ref="N746:R746" si="735">SUM(N742:N745)</f>
        <v>124</v>
      </c>
      <c r="O746" s="1025">
        <f t="shared" si="735"/>
        <v>869.95899999999995</v>
      </c>
      <c r="P746" s="1025">
        <f t="shared" si="735"/>
        <v>6288.7769999999991</v>
      </c>
      <c r="Q746" s="1025">
        <f t="shared" si="735"/>
        <v>7177.2940000000035</v>
      </c>
      <c r="R746" s="1025">
        <f t="shared" si="735"/>
        <v>10812.338999999996</v>
      </c>
      <c r="S746" s="1025">
        <f>SUM(S742:S743,S745)</f>
        <v>16891.829999999994</v>
      </c>
      <c r="T746" s="1025">
        <f>SUM(T742:T743,T745)</f>
        <v>17723.387999999999</v>
      </c>
      <c r="U746" s="1025">
        <f>U493</f>
        <v>15567.036</v>
      </c>
      <c r="V746" s="1312">
        <f>V493</f>
        <v>25688.327000000001</v>
      </c>
      <c r="W746" s="1025">
        <f t="shared" ref="W746:AD746" ca="1" si="736">SUM(W742:W745)</f>
        <v>31737.817956126404</v>
      </c>
      <c r="X746" s="1025">
        <f t="shared" ca="1" si="736"/>
        <v>49717.087797550907</v>
      </c>
      <c r="Y746" s="1025">
        <f t="shared" ca="1" si="736"/>
        <v>70491.956636894902</v>
      </c>
      <c r="Z746" s="1025">
        <f t="shared" ca="1" si="736"/>
        <v>104992.79428216856</v>
      </c>
      <c r="AA746" s="1025">
        <f t="shared" ca="1" si="736"/>
        <v>139736.69883610297</v>
      </c>
      <c r="AB746" s="1025">
        <f t="shared" ca="1" si="736"/>
        <v>184104.95308862461</v>
      </c>
      <c r="AC746" s="1025">
        <f t="shared" ca="1" si="736"/>
        <v>239025.64604597239</v>
      </c>
      <c r="AD746" s="1025">
        <f t="shared" ca="1" si="736"/>
        <v>305008.23947886284</v>
      </c>
      <c r="AE746" s="83"/>
      <c r="AF746" s="83"/>
      <c r="AG746" s="83"/>
      <c r="AH746" s="13"/>
      <c r="AI746" s="13"/>
      <c r="AJ746" s="13"/>
      <c r="AK746" s="13"/>
      <c r="AL746" s="663"/>
      <c r="AM746" s="213"/>
      <c r="AN746" s="213"/>
      <c r="AO746" s="213"/>
      <c r="AP746" s="1625"/>
      <c r="AQ746" s="459"/>
      <c r="AR746" s="459"/>
      <c r="AS746" s="459"/>
      <c r="AT746" s="1625"/>
      <c r="AU746" s="459"/>
      <c r="AV746" s="459"/>
      <c r="AW746" s="459"/>
      <c r="AX746" s="1650"/>
      <c r="AY746" s="831"/>
      <c r="AZ746" s="831"/>
      <c r="BA746" s="831"/>
      <c r="BB746" s="1650"/>
      <c r="BC746" s="831"/>
      <c r="BD746" s="831"/>
      <c r="BE746" s="831"/>
      <c r="BF746" s="1650"/>
      <c r="BG746" s="459"/>
      <c r="BH746" s="459"/>
      <c r="BI746" s="831"/>
      <c r="BJ746" s="1650"/>
      <c r="BK746" s="831"/>
      <c r="BL746" s="831"/>
      <c r="BM746" s="831"/>
      <c r="BN746" s="1650"/>
      <c r="BO746" s="831"/>
      <c r="BP746" s="831"/>
      <c r="BQ746" s="831"/>
      <c r="BR746" s="83"/>
      <c r="BS746" s="83"/>
      <c r="BT746" s="83"/>
      <c r="BU746" s="83"/>
      <c r="BV746" s="83"/>
      <c r="BW746" s="83"/>
      <c r="CR746"/>
      <c r="CS746"/>
      <c r="CT746"/>
      <c r="CU746"/>
      <c r="CV746"/>
      <c r="CW746"/>
    </row>
    <row r="747" spans="1:101" s="583" customFormat="1">
      <c r="I747" s="597"/>
      <c r="J747" s="28"/>
      <c r="K747" s="28"/>
      <c r="L747" s="28"/>
      <c r="M747" s="28"/>
      <c r="N747" s="536"/>
      <c r="O747" s="536"/>
      <c r="P747" s="536"/>
      <c r="Q747" s="536"/>
      <c r="R747" s="536"/>
      <c r="S747" s="536"/>
      <c r="T747" s="536"/>
      <c r="U747" s="536"/>
      <c r="V747" s="536"/>
      <c r="W747" s="536"/>
      <c r="X747" s="536"/>
      <c r="Y747" s="536"/>
      <c r="Z747" s="536"/>
      <c r="AA747" s="536"/>
      <c r="AB747" s="536"/>
      <c r="AC747" s="536"/>
      <c r="AD747" s="536"/>
      <c r="AE747" s="83"/>
      <c r="AF747" s="83"/>
      <c r="AG747" s="83"/>
      <c r="AH747" s="28"/>
      <c r="AI747" s="28"/>
      <c r="AJ747" s="28"/>
      <c r="AK747" s="28"/>
      <c r="AL747" s="390"/>
      <c r="AM747" s="536"/>
      <c r="AN747" s="536"/>
      <c r="AO747" s="536"/>
      <c r="AP747" s="681"/>
      <c r="AQ747" s="536"/>
      <c r="AR747" s="536"/>
      <c r="AS747" s="536"/>
      <c r="AT747" s="681"/>
      <c r="AU747" s="536"/>
      <c r="AV747" s="536"/>
      <c r="AW747" s="536"/>
      <c r="AX747" s="681"/>
      <c r="AY747" s="536"/>
      <c r="AZ747" s="536"/>
      <c r="BA747" s="536"/>
      <c r="BB747" s="681"/>
      <c r="BC747" s="536"/>
      <c r="BD747" s="536"/>
      <c r="BE747" s="536"/>
      <c r="BF747" s="681"/>
      <c r="BG747" s="799"/>
      <c r="BH747" s="799"/>
      <c r="BI747" s="536"/>
      <c r="BJ747" s="681"/>
      <c r="BK747" s="536"/>
      <c r="BL747" s="536"/>
      <c r="BM747" s="536"/>
      <c r="BN747" s="681"/>
      <c r="BO747" s="536"/>
      <c r="BP747" s="536"/>
      <c r="BQ747" s="536"/>
      <c r="BR747" s="83"/>
      <c r="BS747" s="83"/>
      <c r="BT747" s="83"/>
      <c r="BU747" s="83"/>
      <c r="BV747" s="83"/>
      <c r="BW747" s="83"/>
      <c r="CR747"/>
      <c r="CS747"/>
      <c r="CT747"/>
      <c r="CU747"/>
      <c r="CV747"/>
      <c r="CW747"/>
    </row>
    <row r="748" spans="1:101" s="42" customFormat="1">
      <c r="I748" s="587"/>
      <c r="J748" s="2"/>
      <c r="K748" s="2"/>
      <c r="L748" s="2"/>
      <c r="M748" s="2"/>
      <c r="N748" s="2"/>
      <c r="O748" s="2"/>
      <c r="P748" s="2"/>
      <c r="Q748" s="2"/>
      <c r="R748" s="2"/>
      <c r="S748" s="1915"/>
      <c r="T748" s="1915"/>
      <c r="U748" s="538"/>
      <c r="V748" s="1316"/>
      <c r="W748" s="3"/>
      <c r="X748" s="3"/>
      <c r="Y748" s="3"/>
      <c r="Z748" s="3"/>
      <c r="AA748" s="3"/>
      <c r="AB748" s="3"/>
      <c r="AC748" s="3"/>
      <c r="AD748" s="3"/>
      <c r="AE748" s="2"/>
      <c r="AF748" s="2"/>
      <c r="AG748" s="2"/>
      <c r="AH748" s="2"/>
      <c r="AI748" s="2"/>
      <c r="AJ748" s="2"/>
      <c r="AK748" s="2"/>
      <c r="AL748" s="1709"/>
      <c r="AM748" s="2"/>
      <c r="AN748" s="2"/>
      <c r="AO748" s="2"/>
      <c r="AP748" s="1709"/>
      <c r="AQ748" s="2"/>
      <c r="AR748" s="2"/>
      <c r="AS748" s="2"/>
      <c r="AT748" s="1709"/>
      <c r="AU748" s="2"/>
      <c r="AV748" s="2"/>
      <c r="AW748" s="2"/>
      <c r="AX748" s="685"/>
      <c r="AY748" s="538"/>
      <c r="AZ748" s="538"/>
      <c r="BA748" s="538"/>
      <c r="BB748" s="685"/>
      <c r="BC748" s="538"/>
      <c r="BD748" s="538"/>
      <c r="BE748" s="538"/>
      <c r="BF748" s="685"/>
      <c r="BG748" s="296"/>
      <c r="BH748" s="296"/>
      <c r="BI748" s="538"/>
      <c r="BJ748" s="685"/>
      <c r="BK748" s="3"/>
      <c r="BL748" s="3"/>
      <c r="BM748" s="538"/>
      <c r="BN748" s="685"/>
      <c r="BO748" s="3"/>
      <c r="BP748" s="3"/>
      <c r="BQ748" s="538"/>
      <c r="BR748" s="83"/>
      <c r="BS748" s="2"/>
      <c r="BT748" s="2"/>
      <c r="BU748" s="2"/>
      <c r="BV748" s="2"/>
      <c r="BW748" s="2"/>
      <c r="BX748" s="2"/>
      <c r="BY748" s="2"/>
      <c r="BZ748" s="2"/>
      <c r="CA748" s="2"/>
      <c r="CB748" s="2"/>
      <c r="CC748" s="2"/>
      <c r="CD748" s="2"/>
      <c r="CE748" s="2"/>
      <c r="CF748" s="2"/>
      <c r="CG748" s="2"/>
      <c r="CH748" s="2"/>
      <c r="CI748" s="2"/>
      <c r="CJ748" s="2"/>
      <c r="CK748" s="2"/>
      <c r="CL748" s="2"/>
      <c r="CM748" s="2"/>
      <c r="CN748" s="2"/>
      <c r="CO748" s="2"/>
      <c r="CP748" s="2"/>
      <c r="CQ748" s="2"/>
      <c r="CR748"/>
      <c r="CS748"/>
      <c r="CT748"/>
      <c r="CU748"/>
      <c r="CV748"/>
      <c r="CW748"/>
    </row>
    <row r="749" spans="1:101" s="499" customFormat="1">
      <c r="A749" s="563"/>
      <c r="B749" s="516"/>
      <c r="C749" s="516"/>
      <c r="D749" s="516"/>
      <c r="E749" s="516"/>
      <c r="F749" s="516"/>
      <c r="G749" s="516"/>
      <c r="H749" s="563"/>
      <c r="I749" s="1020"/>
      <c r="J749" s="1363" t="s">
        <v>572</v>
      </c>
      <c r="K749" s="1363"/>
      <c r="L749" s="1363"/>
      <c r="M749" s="1363"/>
      <c r="N749" s="1598"/>
      <c r="O749" s="1598"/>
      <c r="P749" s="1598"/>
      <c r="Q749" s="1598"/>
      <c r="R749" s="1598"/>
      <c r="S749" s="1598"/>
      <c r="T749" s="1598"/>
      <c r="U749" s="1598"/>
      <c r="V749" s="1598"/>
      <c r="W749" s="1598"/>
      <c r="X749" s="1598"/>
      <c r="Y749" s="1598"/>
      <c r="Z749" s="1598"/>
      <c r="AA749" s="1598"/>
      <c r="AB749" s="1598"/>
      <c r="AC749" s="1598"/>
      <c r="AD749" s="1598"/>
      <c r="AE749" s="480"/>
      <c r="AF749" s="1599"/>
      <c r="AG749" s="480"/>
      <c r="AH749" s="1363"/>
      <c r="AI749" s="1363"/>
      <c r="AJ749" s="1363"/>
      <c r="AK749" s="1363"/>
      <c r="AL749" s="1651"/>
      <c r="AM749" s="1363"/>
      <c r="AN749" s="1363"/>
      <c r="AO749" s="1363"/>
      <c r="AP749" s="1651"/>
      <c r="AQ749" s="1363"/>
      <c r="AR749" s="1363"/>
      <c r="AS749" s="1363"/>
      <c r="AT749" s="1651"/>
      <c r="AU749" s="1363"/>
      <c r="AV749" s="1363"/>
      <c r="AW749" s="1363"/>
      <c r="AX749" s="1651"/>
      <c r="AY749" s="1363"/>
      <c r="AZ749" s="1363"/>
      <c r="BA749" s="1363"/>
      <c r="BB749" s="1651"/>
      <c r="BC749" s="1363"/>
      <c r="BD749" s="1363"/>
      <c r="BE749" s="1363"/>
      <c r="BF749" s="1651"/>
      <c r="BG749" s="1363"/>
      <c r="BH749" s="1363"/>
      <c r="BI749" s="1363"/>
      <c r="BJ749" s="1651"/>
      <c r="BK749" s="1363"/>
      <c r="BL749" s="1363"/>
      <c r="BM749" s="1363"/>
      <c r="BN749" s="1651"/>
      <c r="BO749" s="1363"/>
      <c r="BP749" s="1363"/>
      <c r="BQ749" s="1363"/>
      <c r="CR749"/>
      <c r="CS749"/>
      <c r="CT749"/>
      <c r="CU749"/>
      <c r="CV749"/>
      <c r="CW749"/>
    </row>
    <row r="750" spans="1:101" s="42" customFormat="1" outlineLevel="1">
      <c r="A750" s="561"/>
      <c r="H750" s="289"/>
      <c r="I750" s="586"/>
      <c r="J750" s="1500"/>
      <c r="K750" s="107"/>
      <c r="L750" s="11"/>
      <c r="M750" s="104"/>
      <c r="N750" s="281">
        <v>1</v>
      </c>
      <c r="O750" s="281">
        <v>1</v>
      </c>
      <c r="P750" s="281">
        <v>1</v>
      </c>
      <c r="Q750" s="281">
        <v>1</v>
      </c>
      <c r="R750" s="281">
        <v>1</v>
      </c>
      <c r="S750" s="531">
        <v>1</v>
      </c>
      <c r="T750" s="531">
        <v>1</v>
      </c>
      <c r="U750" s="531">
        <v>1</v>
      </c>
      <c r="V750" s="531">
        <v>1</v>
      </c>
      <c r="W750" s="281">
        <v>1</v>
      </c>
      <c r="X750" s="281">
        <v>1</v>
      </c>
      <c r="Y750" s="281">
        <v>1</v>
      </c>
      <c r="Z750" s="281">
        <v>1</v>
      </c>
      <c r="AA750" s="281">
        <v>1</v>
      </c>
      <c r="AB750" s="281">
        <v>1</v>
      </c>
      <c r="AC750" s="281">
        <v>1</v>
      </c>
      <c r="AD750" s="281">
        <v>1</v>
      </c>
      <c r="AE750" s="11"/>
      <c r="AF750" s="11"/>
      <c r="AG750" s="11"/>
      <c r="AH750" s="104"/>
      <c r="AI750" s="104"/>
      <c r="AJ750" s="104"/>
      <c r="AK750" s="104"/>
      <c r="AL750" s="661">
        <v>0.25</v>
      </c>
      <c r="AM750" s="281">
        <v>0.25</v>
      </c>
      <c r="AN750" s="281">
        <v>0.25</v>
      </c>
      <c r="AO750" s="281">
        <v>0.25</v>
      </c>
      <c r="AP750" s="661">
        <v>0.25</v>
      </c>
      <c r="AQ750" s="281">
        <v>0.25</v>
      </c>
      <c r="AR750" s="281">
        <v>0.25</v>
      </c>
      <c r="AS750" s="281">
        <v>0.25</v>
      </c>
      <c r="AT750" s="661">
        <v>0.25</v>
      </c>
      <c r="AU750" s="281">
        <v>0.25</v>
      </c>
      <c r="AV750" s="281">
        <v>0.25</v>
      </c>
      <c r="AW750" s="281">
        <v>0.25</v>
      </c>
      <c r="AX750" s="661">
        <v>0.25</v>
      </c>
      <c r="AY750" s="281">
        <v>0.25</v>
      </c>
      <c r="AZ750" s="531">
        <v>0.25</v>
      </c>
      <c r="BA750" s="531">
        <v>0.25</v>
      </c>
      <c r="BB750" s="661">
        <v>0.25</v>
      </c>
      <c r="BC750" s="281">
        <v>0.25</v>
      </c>
      <c r="BD750" s="281">
        <v>0.25</v>
      </c>
      <c r="BE750" s="531">
        <v>0.25</v>
      </c>
      <c r="BF750" s="661">
        <v>0.25</v>
      </c>
      <c r="BG750" s="796">
        <v>0.25</v>
      </c>
      <c r="BH750" s="796">
        <v>0.25</v>
      </c>
      <c r="BI750" s="531">
        <v>0.25</v>
      </c>
      <c r="BJ750" s="661">
        <v>0.25</v>
      </c>
      <c r="BK750" s="281">
        <v>0.25</v>
      </c>
      <c r="BL750" s="281">
        <v>0.25</v>
      </c>
      <c r="BM750" s="531">
        <v>0.25</v>
      </c>
      <c r="BN750" s="661">
        <v>0.25</v>
      </c>
      <c r="BO750" s="281">
        <v>0.25</v>
      </c>
      <c r="BP750" s="281">
        <v>0.25</v>
      </c>
      <c r="BQ750" s="531">
        <v>0.25</v>
      </c>
      <c r="BR750" s="83"/>
      <c r="BS750" s="2"/>
      <c r="BT750" s="2"/>
      <c r="BU750" s="2"/>
      <c r="BV750" s="2"/>
      <c r="BW750" s="2"/>
      <c r="BX750" s="2"/>
      <c r="BY750" s="2"/>
      <c r="BZ750" s="2"/>
      <c r="CA750" s="2"/>
      <c r="CB750" s="2"/>
      <c r="CC750" s="2"/>
      <c r="CD750" s="2"/>
      <c r="CE750" s="2"/>
      <c r="CF750" s="2"/>
      <c r="CG750" s="2"/>
      <c r="CH750" s="2"/>
      <c r="CI750" s="2"/>
      <c r="CJ750" s="2"/>
      <c r="CK750" s="2"/>
      <c r="CL750" s="2"/>
      <c r="CM750" s="2"/>
      <c r="CN750" s="2"/>
      <c r="CO750" s="2"/>
      <c r="CP750" s="2"/>
      <c r="CQ750" s="2"/>
      <c r="CR750"/>
      <c r="CS750"/>
      <c r="CT750"/>
      <c r="CU750"/>
      <c r="CV750"/>
      <c r="CW750"/>
    </row>
    <row r="751" spans="1:101" s="42" customFormat="1" outlineLevel="1">
      <c r="I751" s="587"/>
      <c r="J751" s="63" t="s">
        <v>444</v>
      </c>
      <c r="K751" s="63"/>
      <c r="L751" s="63"/>
      <c r="M751" s="63"/>
      <c r="N751" s="470" t="s">
        <v>448</v>
      </c>
      <c r="O751" s="470" t="s">
        <v>448</v>
      </c>
      <c r="P751" s="470" t="s">
        <v>448</v>
      </c>
      <c r="Q751" s="470" t="s">
        <v>448</v>
      </c>
      <c r="R751" s="470" t="s">
        <v>448</v>
      </c>
      <c r="S751" s="544" t="s">
        <v>448</v>
      </c>
      <c r="T751" s="544" t="s">
        <v>448</v>
      </c>
      <c r="U751" s="544" t="s">
        <v>448</v>
      </c>
      <c r="V751" s="544" t="s">
        <v>448</v>
      </c>
      <c r="W751" s="470" t="s">
        <v>448</v>
      </c>
      <c r="X751" s="470" t="s">
        <v>448</v>
      </c>
      <c r="Y751" s="470" t="s">
        <v>448</v>
      </c>
      <c r="Z751" s="470" t="s">
        <v>448</v>
      </c>
      <c r="AA751" s="470" t="s">
        <v>448</v>
      </c>
      <c r="AB751" s="470" t="s">
        <v>448</v>
      </c>
      <c r="AC751" s="470" t="s">
        <v>448</v>
      </c>
      <c r="AD751" s="470" t="s">
        <v>448</v>
      </c>
      <c r="AE751" s="2"/>
      <c r="AF751" s="2"/>
      <c r="AG751" s="2"/>
      <c r="AH751" s="470" t="s">
        <v>448</v>
      </c>
      <c r="AI751" s="470" t="s">
        <v>448</v>
      </c>
      <c r="AJ751" s="470" t="s">
        <v>448</v>
      </c>
      <c r="AK751" s="470" t="s">
        <v>448</v>
      </c>
      <c r="AL751" s="694" t="s">
        <v>448</v>
      </c>
      <c r="AM751" s="470" t="s">
        <v>448</v>
      </c>
      <c r="AN751" s="470" t="s">
        <v>448</v>
      </c>
      <c r="AO751" s="470" t="s">
        <v>448</v>
      </c>
      <c r="AP751" s="694" t="s">
        <v>448</v>
      </c>
      <c r="AQ751" s="470" t="s">
        <v>448</v>
      </c>
      <c r="AR751" s="470" t="s">
        <v>448</v>
      </c>
      <c r="AS751" s="470" t="s">
        <v>448</v>
      </c>
      <c r="AT751" s="694" t="s">
        <v>448</v>
      </c>
      <c r="AU751" s="470" t="s">
        <v>448</v>
      </c>
      <c r="AV751" s="470" t="s">
        <v>448</v>
      </c>
      <c r="AW751" s="470" t="s">
        <v>448</v>
      </c>
      <c r="AX751" s="694" t="s">
        <v>448</v>
      </c>
      <c r="AY751" s="544" t="s">
        <v>448</v>
      </c>
      <c r="AZ751" s="544" t="s">
        <v>448</v>
      </c>
      <c r="BA751" s="544" t="s">
        <v>448</v>
      </c>
      <c r="BB751" s="694" t="s">
        <v>448</v>
      </c>
      <c r="BC751" s="544" t="s">
        <v>448</v>
      </c>
      <c r="BD751" s="544" t="s">
        <v>448</v>
      </c>
      <c r="BE751" s="544" t="s">
        <v>448</v>
      </c>
      <c r="BF751" s="694" t="s">
        <v>448</v>
      </c>
      <c r="BG751" s="807" t="s">
        <v>448</v>
      </c>
      <c r="BH751" s="807" t="s">
        <v>448</v>
      </c>
      <c r="BI751" s="544" t="s">
        <v>448</v>
      </c>
      <c r="BJ751" s="694" t="s">
        <v>448</v>
      </c>
      <c r="BK751" s="470" t="s">
        <v>448</v>
      </c>
      <c r="BL751" s="470" t="s">
        <v>448</v>
      </c>
      <c r="BM751" s="544" t="s">
        <v>448</v>
      </c>
      <c r="BN751" s="694" t="s">
        <v>448</v>
      </c>
      <c r="BO751" s="470" t="s">
        <v>448</v>
      </c>
      <c r="BP751" s="470" t="s">
        <v>448</v>
      </c>
      <c r="BQ751" s="544" t="s">
        <v>448</v>
      </c>
      <c r="BR751" s="83"/>
      <c r="BS751" s="2"/>
      <c r="BT751" s="2"/>
      <c r="BU751" s="2"/>
      <c r="BV751" s="2"/>
      <c r="BW751" s="2"/>
      <c r="BX751"/>
      <c r="BY751"/>
      <c r="BZ751"/>
      <c r="CA751"/>
      <c r="CB751"/>
      <c r="CC751"/>
      <c r="CD751"/>
      <c r="CE751"/>
      <c r="CF751"/>
      <c r="CG751"/>
      <c r="CH751"/>
      <c r="CI751"/>
      <c r="CJ751"/>
      <c r="CK751"/>
      <c r="CL751"/>
      <c r="CM751"/>
      <c r="CN751"/>
      <c r="CO751"/>
      <c r="CP751"/>
      <c r="CQ751"/>
      <c r="CR751"/>
      <c r="CS751"/>
      <c r="CT751"/>
      <c r="CU751"/>
      <c r="CV751"/>
      <c r="CW751"/>
    </row>
    <row r="752" spans="1:101" outlineLevel="1">
      <c r="H752" s="290"/>
      <c r="I752" s="587"/>
      <c r="J752" s="63" t="s">
        <v>445</v>
      </c>
      <c r="K752" s="63"/>
      <c r="L752" s="63"/>
      <c r="M752" s="63"/>
      <c r="N752" s="470">
        <f t="shared" ref="N752:AD752" si="737">+N433-N429-N426</f>
        <v>-103</v>
      </c>
      <c r="O752" s="470">
        <f t="shared" si="737"/>
        <v>-412</v>
      </c>
      <c r="P752" s="470">
        <f t="shared" si="737"/>
        <v>-1283.4709999999993</v>
      </c>
      <c r="Q752" s="470">
        <f t="shared" si="737"/>
        <v>-1729</v>
      </c>
      <c r="R752" s="470">
        <f t="shared" si="737"/>
        <v>-49.960000000000036</v>
      </c>
      <c r="S752" s="544">
        <f t="shared" si="737"/>
        <v>-4995.9999999999991</v>
      </c>
      <c r="T752" s="544">
        <f t="shared" si="737"/>
        <v>-9397.5660000000007</v>
      </c>
      <c r="U752" s="544">
        <f t="shared" si="737"/>
        <v>-3806.7899999999718</v>
      </c>
      <c r="V752" s="544">
        <f t="shared" si="737"/>
        <v>-152.25700000004912</v>
      </c>
      <c r="W752" s="470">
        <f t="shared" si="737"/>
        <v>2297.5802569393732</v>
      </c>
      <c r="X752" s="470">
        <f t="shared" ca="1" si="737"/>
        <v>7550.4504473872385</v>
      </c>
      <c r="Y752" s="470">
        <f t="shared" ca="1" si="737"/>
        <v>13836.279041739968</v>
      </c>
      <c r="Z752" s="470">
        <f t="shared" ca="1" si="737"/>
        <v>22172.963347845853</v>
      </c>
      <c r="AA752" s="470">
        <f t="shared" ca="1" si="737"/>
        <v>30719.583685002712</v>
      </c>
      <c r="AB752" s="470">
        <f t="shared" ca="1" si="737"/>
        <v>40090.583353712304</v>
      </c>
      <c r="AC752" s="470">
        <f t="shared" ca="1" si="737"/>
        <v>50920.989825774843</v>
      </c>
      <c r="AD752" s="470">
        <f t="shared" ca="1" si="737"/>
        <v>60912.839387145767</v>
      </c>
      <c r="AE752" s="63"/>
      <c r="AF752" s="63"/>
      <c r="AG752" s="63"/>
      <c r="AH752" s="470">
        <f t="shared" ref="AH752:BC752" si="738">+AH433-AH429-AH426</f>
        <v>0</v>
      </c>
      <c r="AI752" s="470">
        <f t="shared" si="738"/>
        <v>0</v>
      </c>
      <c r="AJ752" s="470">
        <f t="shared" si="738"/>
        <v>0</v>
      </c>
      <c r="AK752" s="470">
        <f t="shared" si="738"/>
        <v>0</v>
      </c>
      <c r="AL752" s="694">
        <f t="shared" si="738"/>
        <v>0</v>
      </c>
      <c r="AM752" s="470">
        <f t="shared" si="738"/>
        <v>0</v>
      </c>
      <c r="AN752" s="470">
        <f t="shared" si="738"/>
        <v>0</v>
      </c>
      <c r="AO752" s="470">
        <f t="shared" si="738"/>
        <v>0</v>
      </c>
      <c r="AP752" s="694">
        <f t="shared" si="738"/>
        <v>-528</v>
      </c>
      <c r="AQ752" s="470">
        <f t="shared" si="738"/>
        <v>-409</v>
      </c>
      <c r="AR752" s="470">
        <f t="shared" si="738"/>
        <v>-487</v>
      </c>
      <c r="AS752" s="470">
        <f t="shared" si="738"/>
        <v>-305</v>
      </c>
      <c r="AT752" s="694">
        <f t="shared" si="738"/>
        <v>13</v>
      </c>
      <c r="AU752" s="470">
        <f t="shared" si="738"/>
        <v>-28.319000000003314</v>
      </c>
      <c r="AV752" s="470">
        <f t="shared" si="738"/>
        <v>76.16200000000083</v>
      </c>
      <c r="AW752" s="470">
        <f t="shared" si="738"/>
        <v>-110</v>
      </c>
      <c r="AX752" s="694">
        <f t="shared" si="738"/>
        <v>-3795.028000000003</v>
      </c>
      <c r="AY752" s="544">
        <f t="shared" si="738"/>
        <v>-582.53000000000065</v>
      </c>
      <c r="AZ752" s="544">
        <f t="shared" si="738"/>
        <v>-164.35800000000029</v>
      </c>
      <c r="BA752" s="544">
        <f t="shared" si="738"/>
        <v>-454.32199999999671</v>
      </c>
      <c r="BB752" s="694">
        <f t="shared" si="738"/>
        <v>-710.2099999999956</v>
      </c>
      <c r="BC752" s="544">
        <f t="shared" si="738"/>
        <v>-510.42200000000292</v>
      </c>
      <c r="BD752" s="544" t="e">
        <f>+BD433-BD428-#REF!</f>
        <v>#REF!</v>
      </c>
      <c r="BE752" s="544">
        <f>+BE433-BE429-BE428</f>
        <v>-7632.0679999999957</v>
      </c>
      <c r="BF752" s="694">
        <f t="shared" ref="BF752:BQ752" si="739">+BF433-BF429-BF426</f>
        <v>-948.63350000000344</v>
      </c>
      <c r="BG752" s="807">
        <f t="shared" si="739"/>
        <v>-213.46750000000105</v>
      </c>
      <c r="BH752" s="807">
        <f t="shared" si="739"/>
        <v>-921.58999999999821</v>
      </c>
      <c r="BI752" s="544">
        <f t="shared" si="739"/>
        <v>-1723.098999999999</v>
      </c>
      <c r="BJ752" s="694">
        <f t="shared" si="739"/>
        <v>239.85249999998865</v>
      </c>
      <c r="BK752" s="470">
        <f t="shared" si="739"/>
        <v>-497.16649999999748</v>
      </c>
      <c r="BL752" s="470">
        <f t="shared" si="739"/>
        <v>1014.2900000000004</v>
      </c>
      <c r="BM752" s="544">
        <f t="shared" si="739"/>
        <v>-909.23300000000336</v>
      </c>
      <c r="BN752" s="694">
        <f t="shared" si="739"/>
        <v>-331.23881612638343</v>
      </c>
      <c r="BO752" s="470">
        <f t="shared" si="739"/>
        <v>91.554912111908024</v>
      </c>
      <c r="BP752" s="470">
        <f t="shared" si="739"/>
        <v>352.72690547545756</v>
      </c>
      <c r="BQ752" s="544">
        <f t="shared" si="739"/>
        <v>2184.5372554784185</v>
      </c>
      <c r="BR752" s="174"/>
      <c r="BS752" s="63"/>
      <c r="BT752" s="63"/>
      <c r="BU752" s="63"/>
      <c r="BV752" s="63"/>
      <c r="BW752" s="63"/>
      <c r="BX752" s="63"/>
      <c r="BY752" s="63"/>
      <c r="BZ752" s="63"/>
      <c r="CA752" s="63"/>
      <c r="CB752" s="63"/>
      <c r="CC752" s="63"/>
      <c r="CD752" s="63"/>
      <c r="CE752" s="63"/>
      <c r="CF752" s="63"/>
      <c r="CG752" s="63"/>
      <c r="CH752" s="63"/>
      <c r="CI752" s="63"/>
      <c r="CJ752" s="63"/>
      <c r="CK752" s="63"/>
      <c r="CL752" s="63"/>
      <c r="CM752" s="63"/>
      <c r="CN752" s="63"/>
      <c r="CO752" s="63"/>
      <c r="CP752" s="63"/>
      <c r="CQ752" s="63"/>
    </row>
    <row r="753" spans="8:95" outlineLevel="1">
      <c r="H753" s="290"/>
      <c r="I753" s="587"/>
      <c r="J753" s="63" t="s">
        <v>699</v>
      </c>
      <c r="K753" s="63"/>
      <c r="L753" s="63"/>
      <c r="M753" s="63"/>
      <c r="N753" s="85">
        <v>0.25</v>
      </c>
      <c r="O753" s="85">
        <v>0.25</v>
      </c>
      <c r="P753" s="85">
        <v>0.25</v>
      </c>
      <c r="Q753" s="85">
        <v>0.25</v>
      </c>
      <c r="R753" s="85">
        <v>0.25</v>
      </c>
      <c r="S753" s="85">
        <v>0.25</v>
      </c>
      <c r="T753" s="85">
        <v>0.25</v>
      </c>
      <c r="U753" s="85">
        <v>0.25</v>
      </c>
      <c r="V753" s="85">
        <v>0.25</v>
      </c>
      <c r="W753" s="85">
        <v>0.25</v>
      </c>
      <c r="X753" s="85">
        <v>0.25</v>
      </c>
      <c r="Y753" s="85">
        <v>0.25</v>
      </c>
      <c r="Z753" s="85">
        <v>0.25</v>
      </c>
      <c r="AA753" s="85">
        <v>0.25</v>
      </c>
      <c r="AB753" s="85">
        <v>0.25</v>
      </c>
      <c r="AC753" s="85">
        <v>0.25</v>
      </c>
      <c r="AD753" s="85">
        <v>0.25</v>
      </c>
      <c r="AE753" s="63"/>
      <c r="AF753" s="63"/>
      <c r="AG753" s="63"/>
      <c r="AH753" s="85">
        <v>0.25</v>
      </c>
      <c r="AI753" s="85">
        <v>0.25</v>
      </c>
      <c r="AJ753" s="85">
        <v>0.25</v>
      </c>
      <c r="AK753" s="85">
        <v>0.25</v>
      </c>
      <c r="AL753" s="85">
        <v>0.25</v>
      </c>
      <c r="AM753" s="85">
        <v>0.25</v>
      </c>
      <c r="AN753" s="85">
        <v>0.25</v>
      </c>
      <c r="AO753" s="85">
        <v>0.25</v>
      </c>
      <c r="AP753" s="85">
        <v>0.25</v>
      </c>
      <c r="AQ753" s="85">
        <v>0.25</v>
      </c>
      <c r="AR753" s="85">
        <v>0.25</v>
      </c>
      <c r="AS753" s="85">
        <v>0.25</v>
      </c>
      <c r="AT753" s="85">
        <v>0.25</v>
      </c>
      <c r="AU753" s="85">
        <v>0.25</v>
      </c>
      <c r="AV753" s="85">
        <v>0.25</v>
      </c>
      <c r="AW753" s="85">
        <v>0.25</v>
      </c>
      <c r="AX753" s="85">
        <v>0.25</v>
      </c>
      <c r="AY753" s="85">
        <v>0.25</v>
      </c>
      <c r="AZ753" s="85">
        <v>0.25</v>
      </c>
      <c r="BA753" s="85">
        <v>0.25</v>
      </c>
      <c r="BB753" s="85">
        <v>0.25</v>
      </c>
      <c r="BC753" s="85">
        <v>0.25</v>
      </c>
      <c r="BD753" s="85">
        <v>0.25</v>
      </c>
      <c r="BE753" s="85">
        <v>0.25</v>
      </c>
      <c r="BF753" s="85">
        <v>0.25</v>
      </c>
      <c r="BG753" s="85">
        <v>0.25</v>
      </c>
      <c r="BH753" s="85">
        <v>0.25</v>
      </c>
      <c r="BI753" s="85">
        <v>0.25</v>
      </c>
      <c r="BJ753" s="85">
        <v>0.25</v>
      </c>
      <c r="BK753" s="85">
        <v>0.25</v>
      </c>
      <c r="BL753" s="85">
        <v>0.25</v>
      </c>
      <c r="BM753" s="85">
        <v>0.25</v>
      </c>
      <c r="BN753" s="85">
        <v>0.25</v>
      </c>
      <c r="BO753" s="85">
        <v>0.25</v>
      </c>
      <c r="BP753" s="85">
        <v>0.25</v>
      </c>
      <c r="BQ753" s="85">
        <v>0.25</v>
      </c>
      <c r="BR753" s="174"/>
      <c r="BS753" s="63"/>
      <c r="BT753" s="63"/>
      <c r="BU753" s="63"/>
      <c r="BV753" s="63"/>
      <c r="BW753" s="63"/>
      <c r="BX753" s="63"/>
      <c r="BY753" s="63"/>
      <c r="BZ753" s="63"/>
      <c r="CA753" s="63"/>
      <c r="CB753" s="63"/>
      <c r="CC753" s="63"/>
      <c r="CD753" s="63"/>
      <c r="CE753" s="63"/>
      <c r="CF753" s="63"/>
      <c r="CG753" s="63"/>
      <c r="CH753" s="63"/>
      <c r="CI753" s="63"/>
      <c r="CJ753" s="63"/>
      <c r="CK753" s="63"/>
      <c r="CL753" s="63"/>
      <c r="CM753" s="63"/>
      <c r="CN753" s="63"/>
      <c r="CO753" s="63"/>
      <c r="CP753" s="63"/>
      <c r="CQ753" s="63"/>
    </row>
    <row r="754" spans="8:95" outlineLevel="1">
      <c r="H754" s="290"/>
      <c r="I754" s="587"/>
      <c r="J754" s="63" t="s">
        <v>700</v>
      </c>
      <c r="K754" s="63"/>
      <c r="L754" s="63"/>
      <c r="M754" s="63"/>
      <c r="N754" s="85"/>
      <c r="O754" s="85"/>
      <c r="P754" s="544">
        <f>SUM(P546:P549)-SUM(O546:O549)</f>
        <v>5407.7550000000001</v>
      </c>
      <c r="Q754" s="544">
        <f t="shared" ref="Q754:AD754" si="740">SUM(Q546:Q549)-SUM(P546:P549)</f>
        <v>629.68499999999949</v>
      </c>
      <c r="R754" s="544">
        <f t="shared" si="740"/>
        <v>558.71900000000005</v>
      </c>
      <c r="S754" s="544">
        <f t="shared" si="740"/>
        <v>40535.370999999999</v>
      </c>
      <c r="T754" s="544">
        <f t="shared" si="740"/>
        <v>1261.9539999999979</v>
      </c>
      <c r="U754" s="544">
        <f t="shared" si="740"/>
        <v>10865.310000000005</v>
      </c>
      <c r="V754" s="544">
        <f t="shared" si="740"/>
        <v>-0.37700000000040745</v>
      </c>
      <c r="W754" s="544">
        <f t="shared" si="740"/>
        <v>0</v>
      </c>
      <c r="X754" s="544">
        <f t="shared" si="740"/>
        <v>0</v>
      </c>
      <c r="Y754" s="544">
        <f t="shared" si="740"/>
        <v>0</v>
      </c>
      <c r="Z754" s="544">
        <f t="shared" si="740"/>
        <v>0</v>
      </c>
      <c r="AA754" s="544">
        <f t="shared" si="740"/>
        <v>0</v>
      </c>
      <c r="AB754" s="544">
        <f t="shared" si="740"/>
        <v>0</v>
      </c>
      <c r="AC754" s="544">
        <f t="shared" si="740"/>
        <v>0</v>
      </c>
      <c r="AD754" s="544">
        <f t="shared" si="740"/>
        <v>0</v>
      </c>
      <c r="AE754" s="63"/>
      <c r="AF754" s="63"/>
      <c r="AG754" s="63"/>
      <c r="AH754" s="85"/>
      <c r="AI754" s="85"/>
      <c r="AJ754" s="85"/>
      <c r="AK754" s="85"/>
      <c r="AL754" s="85"/>
      <c r="AM754" s="85"/>
      <c r="AN754" s="85"/>
      <c r="AO754" s="85"/>
      <c r="AP754" s="85"/>
      <c r="AQ754" s="85"/>
      <c r="AR754" s="85"/>
      <c r="AS754" s="85"/>
      <c r="AT754" s="85"/>
      <c r="AU754" s="85"/>
      <c r="AV754" s="85"/>
      <c r="AW754" s="85"/>
      <c r="AX754" s="85"/>
      <c r="AY754" s="85"/>
      <c r="AZ754" s="85"/>
      <c r="BA754" s="85"/>
      <c r="BB754" s="85"/>
      <c r="BC754" s="85"/>
      <c r="BD754" s="85"/>
      <c r="BE754" s="85"/>
      <c r="BF754" s="85"/>
      <c r="BG754" s="85"/>
      <c r="BH754" s="85"/>
      <c r="BI754" s="85"/>
      <c r="BJ754" s="85"/>
      <c r="BK754" s="85"/>
      <c r="BL754" s="85"/>
      <c r="BM754" s="85"/>
      <c r="BN754" s="85"/>
      <c r="BO754" s="85"/>
      <c r="BP754" s="85"/>
      <c r="BQ754" s="85"/>
      <c r="BR754" s="174"/>
      <c r="BS754" s="63"/>
      <c r="BT754" s="63"/>
      <c r="BU754" s="63"/>
      <c r="BV754" s="63"/>
      <c r="BW754" s="63"/>
      <c r="BX754" s="63"/>
      <c r="BY754" s="63"/>
      <c r="BZ754" s="63"/>
      <c r="CA754" s="63"/>
      <c r="CB754" s="63"/>
      <c r="CC754" s="63"/>
      <c r="CD754" s="63"/>
      <c r="CE754" s="63"/>
      <c r="CF754" s="63"/>
      <c r="CG754" s="63"/>
      <c r="CH754" s="63"/>
      <c r="CI754" s="63"/>
      <c r="CJ754" s="63"/>
      <c r="CK754" s="63"/>
      <c r="CL754" s="63"/>
      <c r="CM754" s="63"/>
      <c r="CN754" s="63"/>
      <c r="CO754" s="63"/>
      <c r="CP754" s="63"/>
      <c r="CQ754" s="63"/>
    </row>
    <row r="755" spans="8:95" outlineLevel="1">
      <c r="H755" s="290"/>
      <c r="I755" s="587"/>
      <c r="J755" s="63"/>
      <c r="K755" s="63"/>
      <c r="L755" s="63"/>
      <c r="M755" s="63"/>
      <c r="N755" s="63"/>
      <c r="O755" s="63"/>
      <c r="P755" s="63"/>
      <c r="Q755" s="465"/>
      <c r="R755" s="465"/>
      <c r="S755" s="656"/>
      <c r="T755" s="656"/>
      <c r="U755" s="656"/>
      <c r="V755" s="656"/>
      <c r="W755" s="465"/>
      <c r="X755" s="465"/>
      <c r="Y755" s="465"/>
      <c r="Z755" s="465"/>
      <c r="AA755" s="465"/>
      <c r="AB755" s="465"/>
      <c r="AC755" s="465"/>
      <c r="AD755" s="465"/>
      <c r="AE755" s="63"/>
      <c r="AF755" s="63"/>
      <c r="AG755" s="63"/>
      <c r="AH755" s="63"/>
      <c r="AI755" s="63"/>
      <c r="AJ755" s="63"/>
      <c r="AK755" s="63"/>
      <c r="AL755" s="423"/>
      <c r="AM755" s="63"/>
      <c r="AN755" s="63"/>
      <c r="AO755" s="63"/>
      <c r="AP755" s="423"/>
      <c r="AQ755" s="63"/>
      <c r="AR755" s="63"/>
      <c r="AS755" s="63"/>
      <c r="AT755" s="423"/>
      <c r="AU755" s="63"/>
      <c r="AV755" s="63"/>
      <c r="AW755" s="63"/>
      <c r="AX755" s="423"/>
      <c r="AY755" s="174"/>
      <c r="AZ755" s="174"/>
      <c r="BA755" s="174"/>
      <c r="BB755" s="423"/>
      <c r="BC755" s="174"/>
      <c r="BD755" s="174"/>
      <c r="BE755" s="174"/>
      <c r="BF755" s="423"/>
      <c r="BG755" s="334"/>
      <c r="BH755" s="334"/>
      <c r="BI755" s="174"/>
      <c r="BJ755" s="423"/>
      <c r="BK755" s="63"/>
      <c r="BL755" s="63"/>
      <c r="BM755" s="174"/>
      <c r="BN755" s="423"/>
      <c r="BO755" s="63"/>
      <c r="BP755" s="63"/>
      <c r="BQ755" s="174"/>
      <c r="BR755" s="174"/>
      <c r="BS755" s="63"/>
      <c r="BT755" s="63"/>
      <c r="BU755" s="63"/>
      <c r="BV755" s="63"/>
      <c r="BW755" s="63"/>
      <c r="BX755" s="63"/>
      <c r="BY755" s="63"/>
      <c r="BZ755" s="63"/>
      <c r="CA755" s="63"/>
      <c r="CB755" s="63"/>
      <c r="CC755" s="63"/>
      <c r="CD755" s="63"/>
      <c r="CE755" s="63"/>
      <c r="CF755" s="63"/>
      <c r="CG755" s="63"/>
      <c r="CH755" s="63"/>
      <c r="CI755" s="63"/>
      <c r="CJ755" s="63"/>
      <c r="CK755" s="63"/>
      <c r="CL755" s="63"/>
      <c r="CM755" s="63"/>
      <c r="CN755" s="63"/>
      <c r="CO755" s="63"/>
      <c r="CP755" s="63"/>
      <c r="CQ755" s="63"/>
    </row>
    <row r="756" spans="8:95" outlineLevel="1">
      <c r="H756" s="290"/>
      <c r="I756" s="587"/>
      <c r="J756" s="63" t="s">
        <v>437</v>
      </c>
      <c r="K756" s="63"/>
      <c r="L756" s="63"/>
      <c r="M756" s="63"/>
      <c r="N756" s="63"/>
      <c r="O756" s="63"/>
      <c r="P756" s="63"/>
      <c r="Q756" s="85">
        <f t="shared" ref="Q756:AD756" si="741">Q405/P405-1</f>
        <v>1.2415902140672781</v>
      </c>
      <c r="R756" s="85">
        <f t="shared" si="741"/>
        <v>0.71262667598617457</v>
      </c>
      <c r="S756" s="85">
        <f t="shared" si="741"/>
        <v>1.0727198818644488</v>
      </c>
      <c r="T756" s="85">
        <f t="shared" si="741"/>
        <v>0.77824750192159886</v>
      </c>
      <c r="U756" s="85">
        <f t="shared" si="741"/>
        <v>0.42251999135508966</v>
      </c>
      <c r="V756" s="85">
        <f t="shared" si="741"/>
        <v>0.37660285627468859</v>
      </c>
      <c r="W756" s="85">
        <f t="shared" si="741"/>
        <v>0.31147499999999972</v>
      </c>
      <c r="X756" s="85">
        <f t="shared" si="741"/>
        <v>0.24717499999999992</v>
      </c>
      <c r="Y756" s="85">
        <f t="shared" si="741"/>
        <v>0.20060000000000011</v>
      </c>
      <c r="Z756" s="85">
        <f t="shared" si="741"/>
        <v>0.13850000000000007</v>
      </c>
      <c r="AA756" s="85">
        <f t="shared" si="741"/>
        <v>7.6400000000000245E-2</v>
      </c>
      <c r="AB756" s="85">
        <f t="shared" si="741"/>
        <v>7.6399999999999801E-2</v>
      </c>
      <c r="AC756" s="85">
        <f t="shared" si="741"/>
        <v>7.6400000000000023E-2</v>
      </c>
      <c r="AD756" s="85">
        <f t="shared" si="741"/>
        <v>7.6399999999999801E-2</v>
      </c>
      <c r="AE756" s="63"/>
      <c r="AF756" s="63"/>
      <c r="AG756" s="63"/>
      <c r="AH756" s="63"/>
      <c r="AI756" s="63"/>
      <c r="AJ756" s="63"/>
      <c r="AK756" s="63"/>
      <c r="AL756" s="423"/>
      <c r="AM756" s="63"/>
      <c r="AN756" s="63"/>
      <c r="AO756" s="63"/>
      <c r="AP756" s="423"/>
      <c r="AQ756" s="63"/>
      <c r="AR756" s="63"/>
      <c r="AS756" s="63"/>
      <c r="AT756" s="695"/>
      <c r="AU756" s="85"/>
      <c r="AV756" s="85"/>
      <c r="AW756" s="85"/>
      <c r="AX756" s="695">
        <f t="shared" ref="AX756:BQ756" si="742">AX405/AT405-1</f>
        <v>0.83749999999999991</v>
      </c>
      <c r="AY756" s="85">
        <f t="shared" si="742"/>
        <v>1.0655737704918034</v>
      </c>
      <c r="AZ756" s="85">
        <f t="shared" si="742"/>
        <v>1.1097178683385578</v>
      </c>
      <c r="BA756" s="85">
        <f t="shared" si="742"/>
        <v>1.198188874514877</v>
      </c>
      <c r="BB756" s="695">
        <f t="shared" si="742"/>
        <v>0.99092970521541957</v>
      </c>
      <c r="BC756" s="85">
        <f t="shared" si="742"/>
        <v>0.81746031746031744</v>
      </c>
      <c r="BD756" s="85">
        <f t="shared" si="742"/>
        <v>0.70876671619613663</v>
      </c>
      <c r="BE756" s="85">
        <f t="shared" si="742"/>
        <v>0.69463869463869465</v>
      </c>
      <c r="BF756" s="695">
        <f t="shared" si="742"/>
        <v>0.47266514806378135</v>
      </c>
      <c r="BG756" s="462">
        <f t="shared" si="742"/>
        <v>0.40087336244541483</v>
      </c>
      <c r="BH756" s="462">
        <f t="shared" si="742"/>
        <v>0.38086956521739124</v>
      </c>
      <c r="BI756" s="85">
        <f t="shared" si="742"/>
        <v>0.44222833562585961</v>
      </c>
      <c r="BJ756" s="695">
        <f t="shared" si="742"/>
        <v>0.42382057231245174</v>
      </c>
      <c r="BK756" s="85">
        <f t="shared" si="742"/>
        <v>0.46384039900249374</v>
      </c>
      <c r="BL756" s="85">
        <f t="shared" si="742"/>
        <v>0.34015500549693001</v>
      </c>
      <c r="BM756" s="85">
        <f t="shared" si="742"/>
        <v>0.3083613978401889</v>
      </c>
      <c r="BN756" s="695">
        <f t="shared" si="742"/>
        <v>0.29996673207604529</v>
      </c>
      <c r="BO756" s="85">
        <f t="shared" si="742"/>
        <v>0.29407425139522969</v>
      </c>
      <c r="BP756" s="85">
        <f t="shared" si="742"/>
        <v>0.25242089097022347</v>
      </c>
      <c r="BQ756" s="85">
        <f t="shared" si="742"/>
        <v>0.3798954397994192</v>
      </c>
      <c r="BR756" s="174"/>
      <c r="BS756" s="63"/>
      <c r="BT756" s="63"/>
      <c r="BU756" s="63"/>
      <c r="BV756" s="63"/>
      <c r="BW756" s="63"/>
      <c r="BX756" s="63"/>
      <c r="BY756" s="63"/>
      <c r="BZ756" s="63"/>
      <c r="CA756" s="63"/>
      <c r="CB756" s="63"/>
      <c r="CC756" s="63"/>
      <c r="CD756" s="63"/>
      <c r="CE756" s="63"/>
      <c r="CF756" s="63"/>
      <c r="CG756" s="63"/>
      <c r="CH756" s="63"/>
      <c r="CI756" s="63"/>
      <c r="CJ756" s="63"/>
      <c r="CK756" s="63"/>
      <c r="CL756" s="63"/>
      <c r="CM756" s="63"/>
      <c r="CN756" s="63"/>
      <c r="CO756" s="63"/>
      <c r="CP756" s="63"/>
      <c r="CQ756" s="63"/>
    </row>
    <row r="757" spans="8:95" outlineLevel="1">
      <c r="H757" s="290"/>
      <c r="I757" s="587"/>
      <c r="J757" s="63" t="s">
        <v>438</v>
      </c>
      <c r="K757" s="63"/>
      <c r="L757" s="63"/>
      <c r="M757" s="63"/>
      <c r="N757" s="40"/>
      <c r="O757" s="40"/>
      <c r="P757" s="40"/>
      <c r="Q757" s="299">
        <f t="shared" ref="Q757:AD757" si="743">(Q478-P478)*100</f>
        <v>2.9606384687023986</v>
      </c>
      <c r="R757" s="299">
        <f t="shared" si="743"/>
        <v>1.4552938205921198</v>
      </c>
      <c r="S757" s="299">
        <f t="shared" si="743"/>
        <v>1.7590512249377521</v>
      </c>
      <c r="T757" s="299">
        <f t="shared" si="743"/>
        <v>1.480441869424419</v>
      </c>
      <c r="U757" s="299">
        <f t="shared" si="743"/>
        <v>0.26802331868676088</v>
      </c>
      <c r="V757" s="299">
        <f t="shared" si="743"/>
        <v>0.42341448412090144</v>
      </c>
      <c r="W757" s="299">
        <f t="shared" si="743"/>
        <v>0.33360144350894627</v>
      </c>
      <c r="X757" s="299">
        <f t="shared" si="743"/>
        <v>0.52669705520342891</v>
      </c>
      <c r="Y757" s="299">
        <f t="shared" si="743"/>
        <v>0.72740294031854169</v>
      </c>
      <c r="Z757" s="299">
        <f t="shared" si="743"/>
        <v>0.73489751180418894</v>
      </c>
      <c r="AA757" s="299">
        <f t="shared" si="743"/>
        <v>0.44102567346364085</v>
      </c>
      <c r="AB757" s="299">
        <f t="shared" si="743"/>
        <v>0.44184176945647469</v>
      </c>
      <c r="AC757" s="299">
        <f t="shared" si="743"/>
        <v>0.30758790394659619</v>
      </c>
      <c r="AD757" s="299">
        <f t="shared" si="743"/>
        <v>0.42441975734755777</v>
      </c>
      <c r="AE757" s="63"/>
      <c r="AF757" s="63"/>
      <c r="AG757" s="63"/>
      <c r="AH757" s="63"/>
      <c r="AI757" s="63"/>
      <c r="AJ757" s="63"/>
      <c r="AK757" s="63"/>
      <c r="AL757" s="423"/>
      <c r="AM757" s="63"/>
      <c r="AN757" s="63"/>
      <c r="AO757" s="63"/>
      <c r="AP757" s="423"/>
      <c r="AQ757" s="63"/>
      <c r="AR757" s="63"/>
      <c r="AS757" s="63"/>
      <c r="AT757" s="696"/>
      <c r="AU757" s="466"/>
      <c r="AV757" s="466"/>
      <c r="AW757" s="466"/>
      <c r="AX757" s="1652"/>
      <c r="AY757" s="299"/>
      <c r="AZ757" s="299"/>
      <c r="BA757" s="299"/>
      <c r="BB757" s="1652"/>
      <c r="BC757" s="299"/>
      <c r="BD757" s="299"/>
      <c r="BE757" s="299"/>
      <c r="BF757" s="1652"/>
      <c r="BG757" s="299"/>
      <c r="BH757" s="299"/>
      <c r="BI757" s="299"/>
      <c r="BJ757" s="1652"/>
      <c r="BK757" s="299"/>
      <c r="BL757" s="299"/>
      <c r="BM757" s="299"/>
      <c r="BN757" s="1652"/>
      <c r="BO757" s="299"/>
      <c r="BP757" s="299"/>
      <c r="BQ757" s="299"/>
      <c r="BR757" s="174"/>
      <c r="BS757" s="63"/>
      <c r="BT757" s="63"/>
      <c r="BU757" s="63"/>
      <c r="BV757" s="63"/>
      <c r="BW757" s="63"/>
      <c r="BX757" s="63"/>
      <c r="BY757" s="63"/>
      <c r="BZ757" s="63"/>
      <c r="CA757" s="63"/>
      <c r="CB757" s="63"/>
      <c r="CC757" s="63"/>
      <c r="CD757" s="63"/>
      <c r="CE757" s="63"/>
      <c r="CF757" s="63"/>
      <c r="CG757" s="63"/>
      <c r="CH757" s="63"/>
      <c r="CI757" s="63"/>
      <c r="CJ757" s="63"/>
      <c r="CK757" s="63"/>
      <c r="CL757" s="63"/>
      <c r="CM757" s="63"/>
      <c r="CN757" s="63"/>
      <c r="CO757" s="63"/>
      <c r="CP757" s="63"/>
      <c r="CQ757" s="63"/>
    </row>
    <row r="758" spans="8:95" outlineLevel="1">
      <c r="H758" s="290"/>
      <c r="I758" s="587"/>
      <c r="J758" s="63" t="s">
        <v>405</v>
      </c>
      <c r="K758" s="63"/>
      <c r="L758" s="63"/>
      <c r="M758" s="63"/>
      <c r="N758" s="91"/>
      <c r="O758" s="91"/>
      <c r="P758" s="91"/>
      <c r="Q758" s="299">
        <f t="shared" ref="Q758:AD758" si="744">(Q479-P479)*100</f>
        <v>2.1387973984214588</v>
      </c>
      <c r="R758" s="299">
        <f t="shared" si="744"/>
        <v>3.7280210411217034</v>
      </c>
      <c r="S758" s="299">
        <f t="shared" si="744"/>
        <v>3.5157707293506646E-2</v>
      </c>
      <c r="T758" s="299">
        <f t="shared" si="744"/>
        <v>-2.0505877740334584</v>
      </c>
      <c r="U758" s="299">
        <f t="shared" si="744"/>
        <v>3.0747178054400708</v>
      </c>
      <c r="V758" s="299">
        <f t="shared" si="744"/>
        <v>0.17729729705610711</v>
      </c>
      <c r="W758" s="299">
        <f t="shared" si="744"/>
        <v>8.8341017065614841E-2</v>
      </c>
      <c r="X758" s="299">
        <f t="shared" si="744"/>
        <v>0.95919705520343024</v>
      </c>
      <c r="Y758" s="299">
        <f t="shared" si="744"/>
        <v>0.84490294031853841</v>
      </c>
      <c r="Z758" s="299">
        <f t="shared" si="744"/>
        <v>0.83489751180418903</v>
      </c>
      <c r="AA758" s="299">
        <f t="shared" si="744"/>
        <v>0.74102567346364667</v>
      </c>
      <c r="AB758" s="299">
        <f t="shared" si="744"/>
        <v>0.74184176945647151</v>
      </c>
      <c r="AC758" s="299">
        <f t="shared" si="744"/>
        <v>0.70758790394659798</v>
      </c>
      <c r="AD758" s="299">
        <f t="shared" si="744"/>
        <v>0.42441975734755916</v>
      </c>
      <c r="AE758" s="63"/>
      <c r="AF758" s="63"/>
      <c r="AG758" s="63"/>
      <c r="AH758" s="63"/>
      <c r="AI758" s="63"/>
      <c r="AJ758" s="63"/>
      <c r="AK758" s="63"/>
      <c r="AL758" s="423"/>
      <c r="AM758" s="63"/>
      <c r="AN758" s="63"/>
      <c r="AO758" s="63"/>
      <c r="AP758" s="423"/>
      <c r="AQ758" s="63"/>
      <c r="AR758" s="63"/>
      <c r="AS758" s="63"/>
      <c r="AT758" s="696"/>
      <c r="AU758" s="466"/>
      <c r="AV758" s="466"/>
      <c r="AW758" s="466"/>
      <c r="AX758" s="696"/>
      <c r="AY758" s="466"/>
      <c r="AZ758" s="466"/>
      <c r="BA758" s="466"/>
      <c r="BB758" s="696"/>
      <c r="BC758" s="466"/>
      <c r="BD758" s="466"/>
      <c r="BE758" s="466"/>
      <c r="BF758" s="696"/>
      <c r="BG758" s="709"/>
      <c r="BH758" s="709"/>
      <c r="BI758" s="466"/>
      <c r="BJ758" s="696"/>
      <c r="BK758" s="466"/>
      <c r="BL758" s="466"/>
      <c r="BM758" s="466"/>
      <c r="BN758" s="696"/>
      <c r="BO758" s="466"/>
      <c r="BP758" s="466"/>
      <c r="BQ758" s="466"/>
      <c r="BR758" s="174"/>
      <c r="BS758" s="63"/>
      <c r="BT758" s="63"/>
      <c r="BU758" s="63"/>
      <c r="BV758" s="63"/>
      <c r="BW758" s="63"/>
      <c r="BX758" s="63"/>
      <c r="BY758" s="63"/>
      <c r="BZ758" s="63"/>
      <c r="CA758" s="63"/>
      <c r="CB758" s="63"/>
      <c r="CC758" s="63"/>
      <c r="CD758" s="63"/>
      <c r="CE758" s="63"/>
      <c r="CF758" s="63"/>
      <c r="CG758" s="63"/>
      <c r="CH758" s="63"/>
      <c r="CI758" s="63"/>
      <c r="CJ758" s="63"/>
      <c r="CK758" s="63"/>
      <c r="CL758" s="63"/>
      <c r="CM758" s="63"/>
      <c r="CN758" s="63"/>
      <c r="CO758" s="63"/>
      <c r="CP758" s="63"/>
      <c r="CQ758" s="63"/>
    </row>
    <row r="759" spans="8:95" outlineLevel="1">
      <c r="H759" s="290"/>
      <c r="I759" s="587"/>
      <c r="J759" s="63" t="s">
        <v>406</v>
      </c>
      <c r="K759" s="63"/>
      <c r="L759" s="63"/>
      <c r="M759" s="63"/>
      <c r="N759" s="63"/>
      <c r="O759" s="174"/>
      <c r="P759" s="467"/>
      <c r="Q759" s="299">
        <f t="shared" ref="Q759:AD759" si="745">(Q482-P482)*100</f>
        <v>2.237657118111875</v>
      </c>
      <c r="R759" s="299">
        <f t="shared" si="745"/>
        <v>3.7019455422327181</v>
      </c>
      <c r="S759" s="299">
        <f t="shared" si="745"/>
        <v>1.0476199645431228</v>
      </c>
      <c r="T759" s="299">
        <f t="shared" si="745"/>
        <v>-2.0411046471460295</v>
      </c>
      <c r="U759" s="299">
        <f t="shared" si="745"/>
        <v>2.3313617929773485</v>
      </c>
      <c r="V759" s="299">
        <f t="shared" si="745"/>
        <v>0.14251139106745292</v>
      </c>
      <c r="W759" s="299">
        <f t="shared" ca="1" si="745"/>
        <v>0.27931577888627923</v>
      </c>
      <c r="X759" s="299">
        <f t="shared" ca="1" si="745"/>
        <v>0.87841749560246685</v>
      </c>
      <c r="Y759" s="299">
        <f t="shared" ca="1" si="745"/>
        <v>0.71359320026692752</v>
      </c>
      <c r="Z759" s="299">
        <f t="shared" ca="1" si="745"/>
        <v>0.74732325552955003</v>
      </c>
      <c r="AA759" s="299">
        <f t="shared" ca="1" si="745"/>
        <v>0.69412529747439677</v>
      </c>
      <c r="AB759" s="299">
        <f t="shared" ca="1" si="745"/>
        <v>0.74260230070795286</v>
      </c>
      <c r="AC759" s="299">
        <f t="shared" ca="1" si="745"/>
        <v>0.70289375607586813</v>
      </c>
      <c r="AD759" s="299">
        <f t="shared" ca="1" si="745"/>
        <v>0.41069886856252014</v>
      </c>
      <c r="AE759" s="63"/>
      <c r="AF759" s="63"/>
      <c r="AG759" s="63"/>
      <c r="AH759" s="63"/>
      <c r="AI759" s="63"/>
      <c r="AJ759" s="63"/>
      <c r="AK759" s="63"/>
      <c r="AL759" s="423"/>
      <c r="AM759" s="63"/>
      <c r="AN759" s="63"/>
      <c r="AO759" s="63"/>
      <c r="AP759" s="423"/>
      <c r="AQ759" s="63"/>
      <c r="AR759" s="63"/>
      <c r="AS759" s="63"/>
      <c r="AT759" s="696"/>
      <c r="AU759" s="466"/>
      <c r="AV759" s="466"/>
      <c r="AW759" s="466"/>
      <c r="AX759" s="696"/>
      <c r="AY759" s="466"/>
      <c r="AZ759" s="466"/>
      <c r="BA759" s="466"/>
      <c r="BB759" s="696"/>
      <c r="BC759" s="466"/>
      <c r="BD759" s="466"/>
      <c r="BE759" s="466"/>
      <c r="BF759" s="696"/>
      <c r="BG759" s="709"/>
      <c r="BH759" s="709"/>
      <c r="BI759" s="466"/>
      <c r="BJ759" s="696"/>
      <c r="BK759" s="466"/>
      <c r="BL759" s="466"/>
      <c r="BM759" s="466"/>
      <c r="BN759" s="696"/>
      <c r="BO759" s="466"/>
      <c r="BP759" s="466"/>
      <c r="BQ759" s="466"/>
      <c r="BR759" s="174"/>
      <c r="BS759" s="63"/>
      <c r="BT759" s="63"/>
      <c r="BU759" s="63"/>
      <c r="BV759" s="63"/>
      <c r="BW759" s="63"/>
      <c r="BX759" s="63"/>
      <c r="BY759" s="63"/>
      <c r="BZ759" s="63"/>
      <c r="CA759" s="63"/>
      <c r="CB759" s="63"/>
      <c r="CC759" s="63"/>
      <c r="CD759" s="63"/>
      <c r="CE759" s="63"/>
      <c r="CF759" s="63"/>
      <c r="CG759" s="63"/>
      <c r="CH759" s="63"/>
      <c r="CI759" s="63"/>
      <c r="CJ759" s="63"/>
      <c r="CK759" s="63"/>
      <c r="CL759" s="63"/>
      <c r="CM759" s="63"/>
      <c r="CN759" s="63"/>
      <c r="CO759" s="63"/>
      <c r="CP759" s="63"/>
      <c r="CQ759" s="63"/>
    </row>
    <row r="760" spans="8:95" outlineLevel="1">
      <c r="H760" s="290"/>
      <c r="I760" s="587"/>
      <c r="J760" s="63" t="s">
        <v>404</v>
      </c>
      <c r="K760" s="63"/>
      <c r="L760" s="63"/>
      <c r="M760" s="63"/>
      <c r="N760" s="63"/>
      <c r="O760" s="63"/>
      <c r="P760" s="63"/>
      <c r="Q760" s="299">
        <f t="shared" ref="Q760:AD760" si="746">(Q483-P483)*100</f>
        <v>6.1308607840824179</v>
      </c>
      <c r="R760" s="299">
        <f t="shared" si="746"/>
        <v>4.2777540511939192</v>
      </c>
      <c r="S760" s="299">
        <f t="shared" si="746"/>
        <v>-3.4343072291134376</v>
      </c>
      <c r="T760" s="299">
        <f t="shared" si="746"/>
        <v>6.0789148486738975</v>
      </c>
      <c r="U760" s="299">
        <f t="shared" si="746"/>
        <v>1.3456326173551512</v>
      </c>
      <c r="V760" s="299">
        <f t="shared" si="746"/>
        <v>0.57041699880892494</v>
      </c>
      <c r="W760" s="299">
        <f t="shared" si="746"/>
        <v>0.10770072332541553</v>
      </c>
      <c r="X760" s="299">
        <f t="shared" ca="1" si="746"/>
        <v>0.75503820669611033</v>
      </c>
      <c r="Y760" s="299">
        <f t="shared" ca="1" si="746"/>
        <v>0.71771996994338016</v>
      </c>
      <c r="Z760" s="299">
        <f t="shared" ca="1" si="746"/>
        <v>0.82211097290147517</v>
      </c>
      <c r="AA760" s="299">
        <f t="shared" ca="1" si="746"/>
        <v>0.74517860234393085</v>
      </c>
      <c r="AB760" s="299">
        <f t="shared" ca="1" si="746"/>
        <v>0.72572770359753891</v>
      </c>
      <c r="AC760" s="299">
        <f t="shared" ca="1" si="746"/>
        <v>0.71851399581968345</v>
      </c>
      <c r="AD760" s="299">
        <f t="shared" ca="1" si="746"/>
        <v>0.50892961404053405</v>
      </c>
      <c r="AE760" s="63"/>
      <c r="AF760" s="63"/>
      <c r="AG760" s="63"/>
      <c r="AH760" s="63"/>
      <c r="AI760" s="63"/>
      <c r="AJ760" s="63"/>
      <c r="AK760" s="63"/>
      <c r="AL760" s="423"/>
      <c r="AM760" s="63"/>
      <c r="AN760" s="63"/>
      <c r="AO760" s="63"/>
      <c r="AP760" s="423"/>
      <c r="AQ760" s="63"/>
      <c r="AR760" s="63"/>
      <c r="AS760" s="63"/>
      <c r="AT760" s="696"/>
      <c r="AU760" s="466"/>
      <c r="AV760" s="466"/>
      <c r="AW760" s="466"/>
      <c r="AX760" s="696"/>
      <c r="AY760" s="466"/>
      <c r="AZ760" s="466"/>
      <c r="BA760" s="466"/>
      <c r="BB760" s="696"/>
      <c r="BC760" s="466"/>
      <c r="BD760" s="466"/>
      <c r="BE760" s="466"/>
      <c r="BF760" s="696"/>
      <c r="BG760" s="709"/>
      <c r="BH760" s="709"/>
      <c r="BI760" s="466"/>
      <c r="BJ760" s="696"/>
      <c r="BK760" s="466"/>
      <c r="BL760" s="466"/>
      <c r="BM760" s="466"/>
      <c r="BN760" s="696"/>
      <c r="BO760" s="466"/>
      <c r="BP760" s="466"/>
      <c r="BQ760" s="466"/>
      <c r="BR760" s="174"/>
      <c r="BS760" s="63"/>
      <c r="BT760" s="63"/>
      <c r="BU760" s="63"/>
      <c r="BV760" s="63"/>
      <c r="BW760" s="63"/>
      <c r="BX760" s="63"/>
      <c r="BY760" s="63"/>
      <c r="BZ760" s="63"/>
      <c r="CA760" s="63"/>
      <c r="CB760" s="63"/>
      <c r="CC760" s="63"/>
      <c r="CD760" s="63"/>
      <c r="CE760" s="63"/>
      <c r="CF760" s="63"/>
      <c r="CG760" s="63"/>
      <c r="CH760" s="63"/>
      <c r="CI760" s="63"/>
      <c r="CJ760" s="63"/>
      <c r="CK760" s="63"/>
      <c r="CL760" s="63"/>
      <c r="CM760" s="63"/>
      <c r="CN760" s="63"/>
      <c r="CO760" s="63"/>
      <c r="CP760" s="63"/>
      <c r="CQ760" s="63"/>
    </row>
    <row r="761" spans="8:95" outlineLevel="1">
      <c r="H761" s="290"/>
      <c r="I761" s="587"/>
      <c r="J761" s="63"/>
      <c r="K761" s="63"/>
      <c r="L761" s="63"/>
      <c r="M761" s="63"/>
      <c r="N761" s="63"/>
      <c r="O761" s="63"/>
      <c r="P761" s="63"/>
      <c r="Q761" s="466"/>
      <c r="R761" s="466"/>
      <c r="S761" s="466"/>
      <c r="T761" s="466"/>
      <c r="U761" s="466"/>
      <c r="V761" s="466"/>
      <c r="W761" s="466"/>
      <c r="X761" s="466"/>
      <c r="Y761" s="466"/>
      <c r="Z761" s="466"/>
      <c r="AA761" s="466"/>
      <c r="AB761" s="466"/>
      <c r="AC761" s="466"/>
      <c r="AD761" s="466"/>
      <c r="AE761" s="63"/>
      <c r="AF761" s="63"/>
      <c r="AG761" s="63"/>
      <c r="AH761" s="63"/>
      <c r="AI761" s="63"/>
      <c r="AJ761" s="63"/>
      <c r="AK761" s="63"/>
      <c r="AL761" s="423"/>
      <c r="AM761" s="63"/>
      <c r="AN761" s="63"/>
      <c r="AO761" s="63"/>
      <c r="AP761" s="423"/>
      <c r="AQ761" s="63"/>
      <c r="AR761" s="63"/>
      <c r="AS761" s="63"/>
      <c r="AT761" s="696"/>
      <c r="AU761" s="466"/>
      <c r="AV761" s="466"/>
      <c r="AW761" s="466"/>
      <c r="AX761" s="696"/>
      <c r="AY761" s="466"/>
      <c r="AZ761" s="466"/>
      <c r="BA761" s="466"/>
      <c r="BB761" s="696"/>
      <c r="BC761" s="466"/>
      <c r="BD761" s="466"/>
      <c r="BE761" s="466"/>
      <c r="BF761" s="696"/>
      <c r="BG761" s="709"/>
      <c r="BH761" s="709"/>
      <c r="BI761" s="466"/>
      <c r="BJ761" s="696"/>
      <c r="BK761" s="466"/>
      <c r="BL761" s="466"/>
      <c r="BM761" s="466"/>
      <c r="BN761" s="696"/>
      <c r="BO761" s="466"/>
      <c r="BP761" s="466"/>
      <c r="BQ761" s="466"/>
      <c r="BR761" s="174"/>
      <c r="BS761" s="63"/>
      <c r="BT761" s="63"/>
      <c r="BU761" s="63"/>
      <c r="BV761" s="63"/>
      <c r="BW761" s="63"/>
      <c r="BX761" s="63"/>
      <c r="BY761" s="63"/>
      <c r="BZ761" s="63"/>
      <c r="CA761" s="63"/>
      <c r="CB761" s="63"/>
      <c r="CC761" s="63"/>
      <c r="CD761" s="63"/>
      <c r="CE761" s="63"/>
      <c r="CF761" s="63"/>
      <c r="CG761" s="63"/>
      <c r="CH761" s="63"/>
      <c r="CI761" s="63"/>
      <c r="CJ761" s="63"/>
      <c r="CK761" s="63"/>
      <c r="CL761" s="63"/>
      <c r="CM761" s="63"/>
      <c r="CN761" s="63"/>
      <c r="CO761" s="63"/>
      <c r="CP761" s="63"/>
      <c r="CQ761" s="63"/>
    </row>
    <row r="762" spans="8:95" outlineLevel="1">
      <c r="H762" s="290"/>
      <c r="I762" s="587"/>
      <c r="J762" s="63" t="s">
        <v>439</v>
      </c>
      <c r="K762" s="63"/>
      <c r="L762" s="63"/>
      <c r="M762" s="63"/>
      <c r="N762" s="63"/>
      <c r="O762" s="63"/>
      <c r="P762" s="63"/>
      <c r="Q762" s="63"/>
      <c r="R762" s="63"/>
      <c r="S762" s="174"/>
      <c r="T762" s="174"/>
      <c r="U762" s="174"/>
      <c r="V762" s="174"/>
      <c r="W762" s="63"/>
      <c r="X762" s="63"/>
      <c r="Y762" s="63"/>
      <c r="Z762" s="63"/>
      <c r="AA762" s="63"/>
      <c r="AB762" s="63"/>
      <c r="AC762" s="63"/>
      <c r="AD762" s="63"/>
      <c r="AE762" s="63"/>
      <c r="AF762" s="63"/>
      <c r="AG762" s="63"/>
      <c r="AH762" s="63"/>
      <c r="AI762" s="63"/>
      <c r="AJ762" s="63"/>
      <c r="AK762" s="63"/>
      <c r="AL762" s="423"/>
      <c r="AM762" s="63"/>
      <c r="AN762" s="63"/>
      <c r="AO762" s="63"/>
      <c r="AP762" s="423"/>
      <c r="AQ762" s="63"/>
      <c r="AR762" s="63"/>
      <c r="AS762" s="63"/>
      <c r="AT762" s="423"/>
      <c r="AU762" s="63"/>
      <c r="AV762" s="63"/>
      <c r="AW762" s="63"/>
      <c r="AX762" s="423"/>
      <c r="AY762" s="174"/>
      <c r="AZ762" s="174"/>
      <c r="BA762" s="174"/>
      <c r="BB762" s="423"/>
      <c r="BC762" s="174"/>
      <c r="BD762" s="174"/>
      <c r="BE762" s="174"/>
      <c r="BF762" s="423"/>
      <c r="BG762" s="334"/>
      <c r="BH762" s="334"/>
      <c r="BI762" s="174"/>
      <c r="BJ762" s="423"/>
      <c r="BK762" s="63"/>
      <c r="BL762" s="63"/>
      <c r="BM762" s="174"/>
      <c r="BN762" s="423"/>
      <c r="BO762" s="63"/>
      <c r="BP762" s="63"/>
      <c r="BQ762" s="174"/>
      <c r="BR762" s="174"/>
      <c r="BS762" s="63"/>
      <c r="BT762" s="63"/>
      <c r="BU762" s="63"/>
      <c r="BV762" s="63"/>
      <c r="BW762" s="63"/>
      <c r="BX762" s="63"/>
      <c r="BY762" s="63"/>
      <c r="BZ762" s="63"/>
      <c r="CA762" s="63"/>
      <c r="CB762" s="63"/>
      <c r="CC762" s="63"/>
      <c r="CD762" s="63"/>
      <c r="CE762" s="63"/>
      <c r="CF762" s="63"/>
      <c r="CG762" s="63"/>
      <c r="CH762" s="63"/>
      <c r="CI762" s="63"/>
      <c r="CJ762" s="63"/>
      <c r="CK762" s="63"/>
      <c r="CL762" s="63"/>
      <c r="CM762" s="63"/>
      <c r="CN762" s="63"/>
      <c r="CO762" s="63"/>
      <c r="CP762" s="63"/>
      <c r="CQ762" s="63"/>
    </row>
    <row r="763" spans="8:95" outlineLevel="1">
      <c r="H763" s="290"/>
      <c r="I763" s="587"/>
      <c r="J763" s="63" t="s">
        <v>111</v>
      </c>
      <c r="K763" s="63"/>
      <c r="L763" s="63"/>
      <c r="M763" s="63"/>
      <c r="N763" s="63"/>
      <c r="O763" s="63"/>
      <c r="P763" s="63"/>
      <c r="Q763" s="91">
        <f>Q405/Model!Q47*1000</f>
        <v>2501.7064846416383</v>
      </c>
      <c r="R763" s="91">
        <f>R405/Model!R47*1000</f>
        <v>2648.429015818283</v>
      </c>
      <c r="S763" s="91">
        <f>S405/Model!S47*1000</f>
        <v>2693.5817805383026</v>
      </c>
      <c r="T763" s="91">
        <f>T405/Model!T47*1000</f>
        <v>2985.161290322581</v>
      </c>
      <c r="U763" s="91">
        <f>U405/Model!U47*1000</f>
        <v>2904.6778464254189</v>
      </c>
      <c r="V763" s="91">
        <f>V405/Model!V47*1000</f>
        <v>3097.7094017094018</v>
      </c>
      <c r="W763" s="91">
        <f>W405/Model!W47*1000</f>
        <v>3237.1063247863244</v>
      </c>
      <c r="X763" s="91">
        <f>X405/Model!X47*1000</f>
        <v>3350.4050461538454</v>
      </c>
      <c r="Y763" s="91">
        <f>Y405/Model!Y47*1000</f>
        <v>3467.6692227692306</v>
      </c>
      <c r="Z763" s="91">
        <f>Z405/Model!Z47*1000</f>
        <v>3589.0376455661531</v>
      </c>
      <c r="AA763" s="91">
        <f>AA405/Model!AA47*1000</f>
        <v>3714.6539631609689</v>
      </c>
      <c r="AB763" s="91">
        <f>AB405/Model!AB47*1000</f>
        <v>3844.6668518716024</v>
      </c>
      <c r="AC763" s="91">
        <f>AC405/Model!AC47*1000</f>
        <v>3979.2301916871079</v>
      </c>
      <c r="AD763" s="91">
        <f>AD405/Model!AD47*1000</f>
        <v>4118.5032483961568</v>
      </c>
      <c r="AE763" s="63"/>
      <c r="AF763" s="63"/>
      <c r="AG763" s="63"/>
      <c r="AH763" s="63"/>
      <c r="AI763" s="63"/>
      <c r="AJ763" s="63"/>
      <c r="AK763" s="63"/>
      <c r="AL763" s="423"/>
      <c r="AM763" s="63"/>
      <c r="AN763" s="63"/>
      <c r="AO763" s="63"/>
      <c r="AP763" s="423"/>
      <c r="AQ763" s="63"/>
      <c r="AR763" s="63"/>
      <c r="AS763" s="63"/>
      <c r="AT763" s="423"/>
      <c r="AU763" s="63"/>
      <c r="AV763" s="63"/>
      <c r="AW763" s="63"/>
      <c r="AX763" s="423"/>
      <c r="AY763" s="174"/>
      <c r="AZ763" s="174"/>
      <c r="BA763" s="174"/>
      <c r="BB763" s="423"/>
      <c r="BC763" s="174"/>
      <c r="BD763" s="174"/>
      <c r="BE763" s="174"/>
      <c r="BF763" s="423"/>
      <c r="BG763" s="334"/>
      <c r="BH763" s="334"/>
      <c r="BI763" s="174"/>
      <c r="BJ763" s="423"/>
      <c r="BK763" s="63"/>
      <c r="BL763" s="63"/>
      <c r="BM763" s="174"/>
      <c r="BN763" s="423"/>
      <c r="BO763" s="63"/>
      <c r="BP763" s="63"/>
      <c r="BQ763" s="174"/>
      <c r="BR763" s="174"/>
      <c r="BS763" s="63"/>
      <c r="BT763" s="63"/>
      <c r="BU763" s="63"/>
      <c r="BV763" s="63"/>
      <c r="BW763" s="63"/>
      <c r="BX763" s="63"/>
      <c r="BY763" s="63"/>
      <c r="BZ763" s="63"/>
      <c r="CA763" s="63"/>
      <c r="CB763" s="63"/>
      <c r="CC763" s="63"/>
      <c r="CD763" s="63"/>
      <c r="CE763" s="63"/>
      <c r="CF763" s="63"/>
      <c r="CG763" s="63"/>
      <c r="CH763" s="63"/>
      <c r="CI763" s="63"/>
      <c r="CJ763" s="63"/>
      <c r="CK763" s="63"/>
      <c r="CL763" s="63"/>
      <c r="CM763" s="63"/>
      <c r="CN763" s="63"/>
      <c r="CO763" s="63"/>
      <c r="CP763" s="63"/>
      <c r="CQ763" s="63"/>
    </row>
    <row r="764" spans="8:95" outlineLevel="1">
      <c r="H764" s="290"/>
      <c r="I764" s="587"/>
      <c r="J764" s="63" t="s">
        <v>83</v>
      </c>
      <c r="K764" s="63"/>
      <c r="L764" s="63"/>
      <c r="M764" s="63"/>
      <c r="N764" s="63"/>
      <c r="O764" s="63"/>
      <c r="P764" s="63"/>
      <c r="Q764" s="91">
        <f>Q411/Model!Q47*1000</f>
        <v>118.84416382252553</v>
      </c>
      <c r="R764" s="91">
        <f>R411/Model!R47*1000</f>
        <v>144.38818565400842</v>
      </c>
      <c r="S764" s="91">
        <f>S411/Model!S47*1000</f>
        <v>138.41614906832297</v>
      </c>
      <c r="T764" s="91">
        <f>T411/Model!T47*1000</f>
        <v>156.63870967741937</v>
      </c>
      <c r="U764" s="91">
        <f>U411/Model!U47*1000</f>
        <v>156.02519858782009</v>
      </c>
      <c r="V764" s="91">
        <f>V411/Model!V47*1000</f>
        <v>173.72623247863231</v>
      </c>
      <c r="W764" s="91">
        <f>W411/Model!W47*1000</f>
        <v>180.91426289341379</v>
      </c>
      <c r="X764" s="91">
        <f>X411/Model!X47*1000</f>
        <v>192.99537532098844</v>
      </c>
      <c r="Y764" s="91">
        <f>Y411/Model!Y47*1000</f>
        <v>207.96111921277225</v>
      </c>
      <c r="Z764" s="91">
        <f>Z411/Model!Z47*1000</f>
        <v>222.97410384729329</v>
      </c>
      <c r="AA764" s="91">
        <f>AA411/Model!AA47*1000</f>
        <v>238.19264679241795</v>
      </c>
      <c r="AB764" s="91">
        <f>AB411/Model!AB47*1000</f>
        <v>254.20334446648823</v>
      </c>
      <c r="AC764" s="91">
        <f>AC411/Model!AC47*1000</f>
        <v>269.06703194346267</v>
      </c>
      <c r="AD764" s="91">
        <f>AD411/Model!AD47*1000</f>
        <v>286.63077748681167</v>
      </c>
      <c r="AE764" s="63"/>
      <c r="AF764" s="63"/>
      <c r="AG764" s="63"/>
      <c r="AH764" s="63"/>
      <c r="AI764" s="63"/>
      <c r="AJ764" s="63"/>
      <c r="AK764" s="63"/>
      <c r="AL764" s="423"/>
      <c r="AM764" s="63"/>
      <c r="AN764" s="63"/>
      <c r="AO764" s="63"/>
      <c r="AP764" s="423"/>
      <c r="AQ764" s="63"/>
      <c r="AR764" s="63"/>
      <c r="AS764" s="63"/>
      <c r="AT764" s="423"/>
      <c r="AU764" s="63"/>
      <c r="AV764" s="63"/>
      <c r="AW764" s="63"/>
      <c r="AX764" s="423"/>
      <c r="AY764" s="174"/>
      <c r="AZ764" s="174"/>
      <c r="BA764" s="174"/>
      <c r="BB764" s="423"/>
      <c r="BC764" s="174"/>
      <c r="BD764" s="174"/>
      <c r="BE764" s="174"/>
      <c r="BF764" s="423"/>
      <c r="BG764" s="334"/>
      <c r="BH764" s="334"/>
      <c r="BI764" s="174"/>
      <c r="BJ764" s="423"/>
      <c r="BK764" s="63"/>
      <c r="BL764" s="63"/>
      <c r="BM764" s="174"/>
      <c r="BN764" s="423"/>
      <c r="BO764" s="63"/>
      <c r="BP764" s="63"/>
      <c r="BQ764" s="174"/>
      <c r="BR764" s="174"/>
      <c r="BS764" s="63"/>
      <c r="BT764" s="63"/>
      <c r="BU764" s="63"/>
      <c r="BV764" s="63"/>
      <c r="BW764" s="63"/>
      <c r="BX764" s="63"/>
      <c r="BY764" s="63"/>
      <c r="BZ764" s="63"/>
      <c r="CA764" s="63"/>
      <c r="CB764" s="63"/>
      <c r="CC764" s="63"/>
      <c r="CD764" s="63"/>
      <c r="CE764" s="63"/>
      <c r="CF764" s="63"/>
      <c r="CG764" s="63"/>
      <c r="CH764" s="63"/>
      <c r="CI764" s="63"/>
      <c r="CJ764" s="63"/>
      <c r="CK764" s="63"/>
      <c r="CL764" s="63"/>
      <c r="CM764" s="63"/>
      <c r="CN764" s="63"/>
      <c r="CO764" s="63"/>
      <c r="CP764" s="63"/>
      <c r="CQ764" s="63"/>
    </row>
    <row r="765" spans="8:95" outlineLevel="1">
      <c r="H765" s="290"/>
      <c r="I765" s="587"/>
      <c r="J765" s="63" t="s">
        <v>440</v>
      </c>
      <c r="K765" s="63"/>
      <c r="L765" s="63"/>
      <c r="M765" s="63"/>
      <c r="N765" s="63"/>
      <c r="O765" s="63"/>
      <c r="P765" s="63"/>
      <c r="Q765" s="40">
        <f>Model!Q47/Model!Q413</f>
        <v>-26.709206927985417</v>
      </c>
      <c r="R765" s="40">
        <f>Model!R47/Model!R413</f>
        <v>-29.811320754716981</v>
      </c>
      <c r="S765" s="91">
        <f>Model!S47/Model!S413</f>
        <v>-24.089775561097255</v>
      </c>
      <c r="T765" s="91">
        <f>Model!T47/Model!T413</f>
        <v>-20.036194415718718</v>
      </c>
      <c r="U765" s="91">
        <f>Model!U47/Model!U413</f>
        <v>-22.30603446154355</v>
      </c>
      <c r="V765" s="91">
        <f>Model!V47/Model!V413</f>
        <v>-19.607045317478953</v>
      </c>
      <c r="W765" s="40">
        <f>Model!W47/Model!W413</f>
        <v>-20.037086142863778</v>
      </c>
      <c r="X765" s="40">
        <f>Model!X47/Model!X413</f>
        <v>-20.630290793258474</v>
      </c>
      <c r="Y765" s="40">
        <f>Model!Y47/Model!Y413</f>
        <v>-19.959204256318397</v>
      </c>
      <c r="Z765" s="40">
        <f>Model!Z47/Model!Z413</f>
        <v>-19.556261675095104</v>
      </c>
      <c r="AA765" s="40">
        <f>Model!AA47/Model!AA413</f>
        <v>-19.405832519129756</v>
      </c>
      <c r="AB765" s="40">
        <f>Model!AB47/Model!AB413</f>
        <v>-19.265791419741202</v>
      </c>
      <c r="AC765" s="40">
        <f>Model!AC47/Model!AC413</f>
        <v>-19.14769443019069</v>
      </c>
      <c r="AD765" s="40">
        <f>Model!AD47/Model!AD413</f>
        <v>-18.475635228771083</v>
      </c>
      <c r="AE765" s="63"/>
      <c r="AF765" s="63"/>
      <c r="AG765" s="63"/>
      <c r="AH765" s="63"/>
      <c r="AI765" s="63"/>
      <c r="AJ765" s="63"/>
      <c r="AK765" s="63"/>
      <c r="AL765" s="423"/>
      <c r="AM765" s="63"/>
      <c r="AN765" s="63"/>
      <c r="AO765" s="63"/>
      <c r="AP765" s="423"/>
      <c r="AQ765" s="63"/>
      <c r="AR765" s="63"/>
      <c r="AS765" s="63"/>
      <c r="AT765" s="423"/>
      <c r="AU765" s="63"/>
      <c r="AV765" s="63"/>
      <c r="AW765" s="63"/>
      <c r="AX765" s="423"/>
      <c r="AY765" s="174"/>
      <c r="AZ765" s="174"/>
      <c r="BA765" s="174"/>
      <c r="BB765" s="423"/>
      <c r="BC765" s="174"/>
      <c r="BD765" s="174"/>
      <c r="BE765" s="174"/>
      <c r="BF765" s="423"/>
      <c r="BG765" s="334"/>
      <c r="BH765" s="334"/>
      <c r="BI765" s="174"/>
      <c r="BJ765" s="423"/>
      <c r="BK765" s="63"/>
      <c r="BL765" s="63"/>
      <c r="BM765" s="174"/>
      <c r="BN765" s="423"/>
      <c r="BO765" s="63"/>
      <c r="BP765" s="63"/>
      <c r="BQ765" s="174"/>
      <c r="BR765" s="174"/>
      <c r="BS765" s="63"/>
      <c r="BT765" s="63"/>
      <c r="BU765" s="63"/>
      <c r="BV765" s="63"/>
      <c r="BW765" s="63"/>
      <c r="BX765" s="63"/>
      <c r="BY765" s="63"/>
      <c r="BZ765" s="63"/>
      <c r="CA765" s="63"/>
      <c r="CB765" s="63"/>
      <c r="CC765" s="63"/>
      <c r="CD765" s="63"/>
      <c r="CE765" s="63"/>
      <c r="CF765" s="63"/>
      <c r="CG765" s="63"/>
      <c r="CH765" s="63"/>
      <c r="CI765" s="63"/>
      <c r="CJ765" s="63"/>
      <c r="CK765" s="63"/>
      <c r="CL765" s="63"/>
      <c r="CM765" s="63"/>
      <c r="CN765" s="63"/>
      <c r="CO765" s="63"/>
      <c r="CP765" s="63"/>
      <c r="CQ765" s="63"/>
    </row>
    <row r="766" spans="8:95" outlineLevel="1">
      <c r="H766" s="290"/>
      <c r="I766" s="587"/>
      <c r="J766" s="63"/>
      <c r="K766" s="63"/>
      <c r="L766" s="63"/>
      <c r="M766" s="63"/>
      <c r="N766" s="63"/>
      <c r="O766" s="63"/>
      <c r="P766" s="63"/>
      <c r="Q766" s="40"/>
      <c r="R766" s="40">
        <f t="shared" ref="R766:AD766" si="747">R763/Q763-1</f>
        <v>5.8648979037867477E-2</v>
      </c>
      <c r="S766" s="85">
        <f t="shared" si="747"/>
        <v>1.7048886132245089E-2</v>
      </c>
      <c r="T766" s="85">
        <f t="shared" si="747"/>
        <v>0.10824973345565447</v>
      </c>
      <c r="U766" s="85">
        <f t="shared" si="747"/>
        <v>-2.6961170961876224E-2</v>
      </c>
      <c r="V766" s="85">
        <f t="shared" si="747"/>
        <v>6.6455409339639226E-2</v>
      </c>
      <c r="W766" s="85">
        <f t="shared" si="747"/>
        <v>4.4999999999999929E-2</v>
      </c>
      <c r="X766" s="85">
        <f t="shared" si="747"/>
        <v>3.499999999999992E-2</v>
      </c>
      <c r="Y766" s="85">
        <f t="shared" si="747"/>
        <v>3.5000000000000142E-2</v>
      </c>
      <c r="Z766" s="85">
        <f t="shared" si="747"/>
        <v>3.499999999999992E-2</v>
      </c>
      <c r="AA766" s="85">
        <f t="shared" si="747"/>
        <v>3.5000000000000142E-2</v>
      </c>
      <c r="AB766" s="85">
        <f t="shared" si="747"/>
        <v>3.499999999999992E-2</v>
      </c>
      <c r="AC766" s="85">
        <f t="shared" si="747"/>
        <v>3.499999999999992E-2</v>
      </c>
      <c r="AD766" s="85">
        <f t="shared" si="747"/>
        <v>3.499999999999992E-2</v>
      </c>
      <c r="AE766" s="63"/>
      <c r="AF766" s="63"/>
      <c r="AG766" s="63"/>
      <c r="AH766" s="63"/>
      <c r="AI766" s="63"/>
      <c r="AJ766" s="63"/>
      <c r="AK766" s="63"/>
      <c r="AL766" s="423"/>
      <c r="AM766" s="63"/>
      <c r="AN766" s="63"/>
      <c r="AO766" s="63"/>
      <c r="AP766" s="423"/>
      <c r="AQ766" s="63"/>
      <c r="AR766" s="63"/>
      <c r="AS766" s="63"/>
      <c r="AT766" s="423"/>
      <c r="AU766" s="63"/>
      <c r="AV766" s="63"/>
      <c r="AW766" s="63"/>
      <c r="AX766" s="423"/>
      <c r="AY766" s="174"/>
      <c r="AZ766" s="174"/>
      <c r="BA766" s="174"/>
      <c r="BB766" s="423"/>
      <c r="BC766" s="174"/>
      <c r="BD766" s="174"/>
      <c r="BE766" s="174"/>
      <c r="BF766" s="423"/>
      <c r="BG766" s="334"/>
      <c r="BH766" s="334"/>
      <c r="BI766" s="174"/>
      <c r="BJ766" s="423"/>
      <c r="BK766" s="63"/>
      <c r="BL766" s="63"/>
      <c r="BM766" s="174"/>
      <c r="BN766" s="423"/>
      <c r="BO766" s="63"/>
      <c r="BP766" s="63"/>
      <c r="BQ766" s="174"/>
      <c r="BR766" s="174"/>
      <c r="BS766" s="63"/>
      <c r="BT766" s="63"/>
      <c r="BU766" s="63"/>
      <c r="BV766" s="63"/>
      <c r="BW766" s="63"/>
      <c r="BX766" s="63"/>
      <c r="BY766" s="63"/>
      <c r="BZ766" s="63"/>
      <c r="CA766" s="63"/>
      <c r="CB766" s="63"/>
      <c r="CC766" s="63"/>
      <c r="CD766" s="63"/>
      <c r="CE766" s="63"/>
      <c r="CF766" s="63"/>
      <c r="CG766" s="63"/>
      <c r="CH766" s="63"/>
      <c r="CI766" s="63"/>
      <c r="CJ766" s="63"/>
      <c r="CK766" s="63"/>
      <c r="CL766" s="63"/>
      <c r="CM766" s="63"/>
      <c r="CN766" s="63"/>
      <c r="CO766" s="63"/>
      <c r="CP766" s="63"/>
      <c r="CQ766" s="63"/>
    </row>
    <row r="767" spans="8:95" outlineLevel="1">
      <c r="H767" s="290"/>
      <c r="I767" s="587"/>
      <c r="J767" s="63"/>
      <c r="K767" s="63"/>
      <c r="L767" s="63"/>
      <c r="M767" s="63"/>
      <c r="N767" s="63"/>
      <c r="O767" s="63"/>
      <c r="P767" s="63"/>
      <c r="Q767" s="40"/>
      <c r="R767" s="40">
        <f t="shared" ref="R767:AD767" si="748">R764/Q764-1</f>
        <v>0.21493711605080357</v>
      </c>
      <c r="S767" s="85">
        <f t="shared" si="748"/>
        <v>-4.1360978106588342E-2</v>
      </c>
      <c r="T767" s="85">
        <f t="shared" si="748"/>
        <v>0.13165053884067857</v>
      </c>
      <c r="U767" s="85">
        <f t="shared" si="748"/>
        <v>-3.9167271670121906E-3</v>
      </c>
      <c r="V767" s="85">
        <f t="shared" si="748"/>
        <v>0.11344984048104934</v>
      </c>
      <c r="W767" s="85">
        <f t="shared" si="748"/>
        <v>4.1375619054339285E-2</v>
      </c>
      <c r="X767" s="85">
        <f t="shared" si="748"/>
        <v>6.677810933399031E-2</v>
      </c>
      <c r="Y767" s="85">
        <f t="shared" si="748"/>
        <v>7.7544572593477357E-2</v>
      </c>
      <c r="Z767" s="85">
        <f t="shared" si="748"/>
        <v>7.2191305237017556E-2</v>
      </c>
      <c r="AA767" s="85">
        <f t="shared" si="748"/>
        <v>6.8252513105949264E-2</v>
      </c>
      <c r="AB767" s="85">
        <f t="shared" si="748"/>
        <v>6.7217430469310058E-2</v>
      </c>
      <c r="AC767" s="85">
        <f t="shared" si="748"/>
        <v>5.8471644061842465E-2</v>
      </c>
      <c r="AD767" s="85">
        <f t="shared" si="748"/>
        <v>6.5276468159204182E-2</v>
      </c>
      <c r="AE767" s="63"/>
      <c r="AF767" s="63"/>
      <c r="AG767" s="63"/>
      <c r="AH767" s="63"/>
      <c r="AI767" s="63"/>
      <c r="AJ767" s="63"/>
      <c r="AK767" s="63"/>
      <c r="AL767" s="423"/>
      <c r="AM767" s="63"/>
      <c r="AN767" s="63"/>
      <c r="AO767" s="63"/>
      <c r="AP767" s="423"/>
      <c r="AQ767" s="63"/>
      <c r="AR767" s="63"/>
      <c r="AS767" s="63"/>
      <c r="AT767" s="423"/>
      <c r="AU767" s="63"/>
      <c r="AV767" s="63"/>
      <c r="AW767" s="63"/>
      <c r="AX767" s="423"/>
      <c r="AY767" s="174"/>
      <c r="AZ767" s="174"/>
      <c r="BA767" s="174"/>
      <c r="BB767" s="423"/>
      <c r="BC767" s="174"/>
      <c r="BD767" s="174"/>
      <c r="BE767" s="174"/>
      <c r="BF767" s="423"/>
      <c r="BG767" s="334"/>
      <c r="BH767" s="334"/>
      <c r="BI767" s="174"/>
      <c r="BJ767" s="423"/>
      <c r="BK767" s="63"/>
      <c r="BL767" s="63"/>
      <c r="BM767" s="174"/>
      <c r="BN767" s="423"/>
      <c r="BO767" s="63"/>
      <c r="BP767" s="63"/>
      <c r="BQ767" s="174"/>
      <c r="BR767" s="174"/>
      <c r="BS767" s="63"/>
      <c r="BT767" s="63"/>
      <c r="BU767" s="63"/>
      <c r="BV767" s="63"/>
      <c r="BW767" s="63"/>
      <c r="BX767" s="63"/>
      <c r="BY767" s="63"/>
      <c r="BZ767" s="63"/>
      <c r="CA767" s="63"/>
      <c r="CB767" s="63"/>
      <c r="CC767" s="63"/>
      <c r="CD767" s="63"/>
      <c r="CE767" s="63"/>
      <c r="CF767" s="63"/>
      <c r="CG767" s="63"/>
      <c r="CH767" s="63"/>
      <c r="CI767" s="63"/>
      <c r="CJ767" s="63"/>
      <c r="CK767" s="63"/>
      <c r="CL767" s="63"/>
      <c r="CM767" s="63"/>
      <c r="CN767" s="63"/>
      <c r="CO767" s="63"/>
      <c r="CP767" s="63"/>
      <c r="CQ767" s="63"/>
    </row>
    <row r="768" spans="8:95" outlineLevel="1">
      <c r="H768" s="290"/>
      <c r="I768" s="587"/>
      <c r="J768" s="63"/>
      <c r="K768" s="63"/>
      <c r="L768" s="63"/>
      <c r="M768" s="63"/>
      <c r="N768" s="63"/>
      <c r="O768" s="63"/>
      <c r="P768" s="63"/>
      <c r="Q768" s="85"/>
      <c r="R768" s="85">
        <f t="shared" ref="R768:AD768" si="749">R765/Q765-1</f>
        <v>0.11614398866636599</v>
      </c>
      <c r="S768" s="85">
        <f t="shared" si="749"/>
        <v>-0.19192525016572493</v>
      </c>
      <c r="T768" s="85">
        <f t="shared" si="749"/>
        <v>-0.16826977632471984</v>
      </c>
      <c r="U768" s="85">
        <f t="shared" si="749"/>
        <v>0.113286984480651</v>
      </c>
      <c r="V768" s="85">
        <f t="shared" si="749"/>
        <v>-0.12099816077652692</v>
      </c>
      <c r="W768" s="85">
        <f t="shared" si="749"/>
        <v>2.1932974521227777E-2</v>
      </c>
      <c r="X768" s="85">
        <f t="shared" si="749"/>
        <v>2.9605335135316935E-2</v>
      </c>
      <c r="Y768" s="85">
        <f t="shared" si="749"/>
        <v>-3.2529184569680125E-2</v>
      </c>
      <c r="Z768" s="85">
        <f t="shared" si="749"/>
        <v>-2.0188308914957598E-2</v>
      </c>
      <c r="AA768" s="85">
        <f t="shared" si="749"/>
        <v>-7.6921222708387083E-3</v>
      </c>
      <c r="AB768" s="85">
        <f t="shared" si="749"/>
        <v>-7.2164437805234405E-3</v>
      </c>
      <c r="AC768" s="85">
        <f t="shared" si="749"/>
        <v>-6.1298800022043798E-3</v>
      </c>
      <c r="AD768" s="85">
        <f t="shared" si="749"/>
        <v>-3.5098700988248077E-2</v>
      </c>
      <c r="AE768" s="63"/>
      <c r="AF768" s="63"/>
      <c r="AG768" s="63"/>
      <c r="AH768" s="63"/>
      <c r="AI768" s="63"/>
      <c r="AJ768" s="63"/>
      <c r="AK768" s="63"/>
      <c r="AL768" s="423"/>
      <c r="AM768" s="63"/>
      <c r="AN768" s="63"/>
      <c r="AO768" s="63"/>
      <c r="AP768" s="423"/>
      <c r="AQ768" s="63"/>
      <c r="AR768" s="63"/>
      <c r="AS768" s="63"/>
      <c r="AT768" s="423"/>
      <c r="AU768" s="63"/>
      <c r="AV768" s="63"/>
      <c r="AW768" s="63"/>
      <c r="AX768" s="423"/>
      <c r="AY768" s="174"/>
      <c r="AZ768" s="174"/>
      <c r="BA768" s="174"/>
      <c r="BB768" s="423"/>
      <c r="BC768" s="174"/>
      <c r="BD768" s="174"/>
      <c r="BE768" s="174"/>
      <c r="BF768" s="423"/>
      <c r="BG768" s="334"/>
      <c r="BH768" s="334"/>
      <c r="BI768" s="174"/>
      <c r="BJ768" s="423"/>
      <c r="BK768" s="63"/>
      <c r="BL768" s="63"/>
      <c r="BM768" s="174"/>
      <c r="BN768" s="423"/>
      <c r="BO768" s="63"/>
      <c r="BP768" s="63"/>
      <c r="BQ768" s="174"/>
      <c r="BR768" s="174"/>
      <c r="BS768" s="63"/>
      <c r="BT768" s="63"/>
      <c r="BU768" s="63"/>
      <c r="BV768" s="63"/>
      <c r="BW768" s="63"/>
      <c r="BX768" s="63"/>
      <c r="BY768" s="63"/>
      <c r="BZ768" s="63"/>
      <c r="CA768" s="63"/>
      <c r="CB768" s="63"/>
      <c r="CC768" s="63"/>
      <c r="CD768" s="63"/>
      <c r="CE768" s="63"/>
      <c r="CF768" s="63"/>
      <c r="CG768" s="63"/>
      <c r="CH768" s="63"/>
      <c r="CI768" s="63"/>
      <c r="CJ768" s="63"/>
      <c r="CK768" s="63"/>
      <c r="CL768" s="63"/>
      <c r="CM768" s="63"/>
      <c r="CN768" s="63"/>
      <c r="CO768" s="63"/>
      <c r="CP768" s="63"/>
      <c r="CQ768" s="63"/>
    </row>
    <row r="769" spans="8:101" outlineLevel="1">
      <c r="H769" s="290"/>
      <c r="I769" s="587"/>
      <c r="J769" s="63"/>
      <c r="K769" s="63"/>
      <c r="L769" s="63"/>
      <c r="M769" s="63"/>
      <c r="N769" s="63"/>
      <c r="O769" s="63"/>
      <c r="P769" s="63"/>
      <c r="Q769" s="63"/>
      <c r="R769" s="63"/>
      <c r="S769" s="174"/>
      <c r="T769" s="174"/>
      <c r="U769" s="40"/>
      <c r="V769" s="174"/>
      <c r="W769" s="63"/>
      <c r="X769" s="63"/>
      <c r="Y769" s="63"/>
      <c r="Z769" s="63"/>
      <c r="AA769" s="63"/>
      <c r="AB769" s="63"/>
      <c r="AC769" s="63"/>
      <c r="AD769" s="63"/>
      <c r="AE769" s="63"/>
      <c r="AF769" s="63"/>
      <c r="AG769" s="63"/>
      <c r="AH769" s="63"/>
      <c r="AI769" s="63"/>
      <c r="AJ769" s="63"/>
      <c r="AK769" s="63"/>
      <c r="AL769" s="423"/>
      <c r="AM769" s="63"/>
      <c r="AN769" s="63"/>
      <c r="AO769" s="63"/>
      <c r="AP769" s="423"/>
      <c r="AQ769" s="63"/>
      <c r="AR769" s="63"/>
      <c r="AS769" s="63"/>
      <c r="AT769" s="423"/>
      <c r="AU769" s="63"/>
      <c r="AV769" s="63"/>
      <c r="AW769" s="63"/>
      <c r="AX769" s="423"/>
      <c r="AY769" s="174"/>
      <c r="AZ769" s="174"/>
      <c r="BA769" s="174"/>
      <c r="BB769" s="423"/>
      <c r="BC769" s="174"/>
      <c r="BD769" s="174"/>
      <c r="BE769" s="174"/>
      <c r="BF769" s="423"/>
      <c r="BG769" s="334"/>
      <c r="BH769" s="334"/>
      <c r="BI769" s="174"/>
      <c r="BJ769" s="423"/>
      <c r="BK769" s="63"/>
      <c r="BL769" s="63"/>
      <c r="BM769" s="174"/>
      <c r="BN769" s="423"/>
      <c r="BO769" s="63"/>
      <c r="BP769" s="63"/>
      <c r="BQ769" s="174"/>
      <c r="BR769" s="174"/>
      <c r="BS769" s="63"/>
      <c r="BT769" s="63"/>
      <c r="BU769" s="63"/>
      <c r="BV769" s="63"/>
      <c r="BW769" s="63"/>
      <c r="BX769" s="63"/>
      <c r="BY769" s="63"/>
      <c r="BZ769" s="63"/>
      <c r="CA769" s="63"/>
      <c r="CB769" s="63"/>
      <c r="CC769" s="63"/>
      <c r="CD769" s="63"/>
      <c r="CE769" s="63"/>
      <c r="CF769" s="63"/>
      <c r="CG769" s="63"/>
      <c r="CH769" s="63"/>
      <c r="CI769" s="63"/>
      <c r="CJ769" s="63"/>
      <c r="CK769" s="63"/>
      <c r="CL769" s="63"/>
      <c r="CM769" s="63"/>
      <c r="CN769" s="63"/>
      <c r="CO769" s="63"/>
      <c r="CP769" s="63"/>
      <c r="CQ769" s="63"/>
    </row>
    <row r="770" spans="8:101" outlineLevel="1">
      <c r="H770" s="290"/>
      <c r="I770" s="587"/>
      <c r="J770" s="63" t="s">
        <v>111</v>
      </c>
      <c r="K770" s="63"/>
      <c r="L770" s="63"/>
      <c r="M770" s="63"/>
      <c r="N770" s="63"/>
      <c r="O770" s="63"/>
      <c r="P770" s="63"/>
      <c r="Q770" s="63"/>
      <c r="R770" s="47">
        <f>R756</f>
        <v>0.71262667598617457</v>
      </c>
      <c r="S770" s="47">
        <f t="shared" ref="S770:AD770" si="750">S756</f>
        <v>1.0727198818644488</v>
      </c>
      <c r="T770" s="47">
        <f t="shared" si="750"/>
        <v>0.77824750192159886</v>
      </c>
      <c r="U770" s="47">
        <f t="shared" si="750"/>
        <v>0.42251999135508966</v>
      </c>
      <c r="V770" s="47">
        <f t="shared" si="750"/>
        <v>0.37660285627468859</v>
      </c>
      <c r="W770" s="47">
        <f t="shared" si="750"/>
        <v>0.31147499999999972</v>
      </c>
      <c r="X770" s="47">
        <f t="shared" si="750"/>
        <v>0.24717499999999992</v>
      </c>
      <c r="Y770" s="47">
        <f t="shared" si="750"/>
        <v>0.20060000000000011</v>
      </c>
      <c r="Z770" s="47">
        <f t="shared" si="750"/>
        <v>0.13850000000000007</v>
      </c>
      <c r="AA770" s="47">
        <f t="shared" si="750"/>
        <v>7.6400000000000245E-2</v>
      </c>
      <c r="AB770" s="47">
        <f t="shared" si="750"/>
        <v>7.6399999999999801E-2</v>
      </c>
      <c r="AC770" s="47">
        <f t="shared" si="750"/>
        <v>7.6400000000000023E-2</v>
      </c>
      <c r="AD770" s="47">
        <f t="shared" si="750"/>
        <v>7.6399999999999801E-2</v>
      </c>
      <c r="AE770" s="63"/>
      <c r="AF770" s="63"/>
      <c r="AG770" s="63"/>
      <c r="AH770" s="63"/>
      <c r="AI770" s="63"/>
      <c r="AJ770" s="63"/>
      <c r="AK770" s="63"/>
      <c r="AL770" s="423"/>
      <c r="AM770" s="63"/>
      <c r="AN770" s="63"/>
      <c r="AO770" s="63"/>
      <c r="AP770" s="423"/>
      <c r="AQ770" s="63"/>
      <c r="AR770" s="63"/>
      <c r="AS770" s="63"/>
      <c r="AT770" s="697"/>
      <c r="AU770" s="303"/>
      <c r="AV770" s="303"/>
      <c r="AW770" s="303"/>
      <c r="AX770" s="697">
        <f t="shared" ref="AX770:BQ770" si="751">AX405/AT405-1</f>
        <v>0.83749999999999991</v>
      </c>
      <c r="AY770" s="303">
        <f t="shared" si="751"/>
        <v>1.0655737704918034</v>
      </c>
      <c r="AZ770" s="303">
        <f t="shared" si="751"/>
        <v>1.1097178683385578</v>
      </c>
      <c r="BA770" s="303">
        <f t="shared" si="751"/>
        <v>1.198188874514877</v>
      </c>
      <c r="BB770" s="697">
        <f t="shared" si="751"/>
        <v>0.99092970521541957</v>
      </c>
      <c r="BC770" s="303">
        <f t="shared" si="751"/>
        <v>0.81746031746031744</v>
      </c>
      <c r="BD770" s="303">
        <f t="shared" si="751"/>
        <v>0.70876671619613663</v>
      </c>
      <c r="BE770" s="303">
        <f t="shared" si="751"/>
        <v>0.69463869463869465</v>
      </c>
      <c r="BF770" s="697">
        <f t="shared" si="751"/>
        <v>0.47266514806378135</v>
      </c>
      <c r="BG770" s="808">
        <f t="shared" si="751"/>
        <v>0.40087336244541483</v>
      </c>
      <c r="BH770" s="808">
        <f t="shared" si="751"/>
        <v>0.38086956521739124</v>
      </c>
      <c r="BI770" s="303">
        <f t="shared" si="751"/>
        <v>0.44222833562585961</v>
      </c>
      <c r="BJ770" s="697">
        <f t="shared" si="751"/>
        <v>0.42382057231245174</v>
      </c>
      <c r="BK770" s="303">
        <f t="shared" si="751"/>
        <v>0.46384039900249374</v>
      </c>
      <c r="BL770" s="303">
        <f t="shared" si="751"/>
        <v>0.34015500549693001</v>
      </c>
      <c r="BM770" s="303">
        <f t="shared" si="751"/>
        <v>0.3083613978401889</v>
      </c>
      <c r="BN770" s="697">
        <f t="shared" si="751"/>
        <v>0.29996673207604529</v>
      </c>
      <c r="BO770" s="303">
        <f t="shared" si="751"/>
        <v>0.29407425139522969</v>
      </c>
      <c r="BP770" s="303">
        <f t="shared" si="751"/>
        <v>0.25242089097022347</v>
      </c>
      <c r="BQ770" s="303">
        <f t="shared" si="751"/>
        <v>0.3798954397994192</v>
      </c>
      <c r="BR770" s="174"/>
      <c r="BS770" s="63"/>
      <c r="BT770" s="63"/>
      <c r="BU770" s="63"/>
      <c r="BV770" s="63"/>
      <c r="BW770" s="63"/>
      <c r="BX770" s="63"/>
      <c r="BY770" s="63"/>
      <c r="BZ770" s="63"/>
      <c r="CA770" s="63"/>
      <c r="CB770" s="63"/>
      <c r="CC770" s="63"/>
      <c r="CD770" s="63"/>
      <c r="CE770" s="63"/>
      <c r="CF770" s="63"/>
      <c r="CG770" s="63"/>
      <c r="CH770" s="63"/>
      <c r="CI770" s="63"/>
      <c r="CJ770" s="63"/>
      <c r="CK770" s="63"/>
      <c r="CL770" s="63"/>
      <c r="CM770" s="63"/>
      <c r="CN770" s="63"/>
      <c r="CO770" s="63"/>
      <c r="CP770" s="63"/>
      <c r="CQ770" s="63"/>
    </row>
    <row r="771" spans="8:101" outlineLevel="1">
      <c r="H771" s="290"/>
      <c r="I771" s="587"/>
      <c r="J771" s="63" t="s">
        <v>396</v>
      </c>
      <c r="K771" s="63"/>
      <c r="L771" s="63"/>
      <c r="M771" s="63"/>
      <c r="N771" s="63"/>
      <c r="O771" s="63"/>
      <c r="P771" s="63"/>
      <c r="Q771" s="63"/>
      <c r="R771" s="47">
        <f t="shared" ref="R771:AD771" si="752">R411/Q411-1</f>
        <v>0.96546140958389404</v>
      </c>
      <c r="S771" s="47">
        <f t="shared" si="752"/>
        <v>0.95368205727644662</v>
      </c>
      <c r="T771" s="47">
        <f t="shared" si="752"/>
        <v>0.8157953780569891</v>
      </c>
      <c r="U771" s="47">
        <f t="shared" si="752"/>
        <v>0.45620948144487117</v>
      </c>
      <c r="V771" s="47">
        <f t="shared" si="752"/>
        <v>0.43726424686984533</v>
      </c>
      <c r="W771" s="47">
        <f t="shared" si="752"/>
        <v>0.30692640191319542</v>
      </c>
      <c r="X771" s="47">
        <f t="shared" si="752"/>
        <v>0.28546762174745854</v>
      </c>
      <c r="Y771" s="47">
        <f t="shared" si="752"/>
        <v>0.2499517042084336</v>
      </c>
      <c r="Z771" s="47">
        <f t="shared" si="752"/>
        <v>0.17941043576071958</v>
      </c>
      <c r="AA771" s="47">
        <f t="shared" si="752"/>
        <v>0.11098261363018702</v>
      </c>
      <c r="AB771" s="47">
        <f t="shared" si="752"/>
        <v>0.10990612768808261</v>
      </c>
      <c r="AC771" s="47">
        <f t="shared" si="752"/>
        <v>0.10081050982431639</v>
      </c>
      <c r="AD771" s="47">
        <f t="shared" si="752"/>
        <v>0.10788752688557213</v>
      </c>
      <c r="AE771" s="63"/>
      <c r="AF771" s="63"/>
      <c r="AG771" s="63"/>
      <c r="AH771" s="63"/>
      <c r="AI771" s="63"/>
      <c r="AJ771" s="63"/>
      <c r="AK771" s="63"/>
      <c r="AL771" s="423"/>
      <c r="AM771" s="63"/>
      <c r="AN771" s="63"/>
      <c r="AO771" s="63"/>
      <c r="AP771" s="423"/>
      <c r="AQ771" s="63"/>
      <c r="AR771" s="63"/>
      <c r="AS771" s="63"/>
      <c r="AT771" s="697">
        <f t="shared" ref="AT771:BQ771" si="753">AT411/AP411-1</f>
        <v>1.4748322147651005</v>
      </c>
      <c r="AU771" s="303">
        <f t="shared" si="753"/>
        <v>0.95626952141057497</v>
      </c>
      <c r="AV771" s="303">
        <f t="shared" si="753"/>
        <v>0.88047139830508558</v>
      </c>
      <c r="AW771" s="303">
        <f t="shared" si="753"/>
        <v>0.77632724107919926</v>
      </c>
      <c r="AX771" s="697">
        <f t="shared" si="753"/>
        <v>0.53315118644067616</v>
      </c>
      <c r="AY771" s="303">
        <f t="shared" si="753"/>
        <v>1.0313356656052597</v>
      </c>
      <c r="AZ771" s="303">
        <f t="shared" si="753"/>
        <v>0.99644371086631267</v>
      </c>
      <c r="BA771" s="303">
        <f t="shared" si="753"/>
        <v>1.1608182263596292</v>
      </c>
      <c r="BB771" s="697">
        <f t="shared" si="753"/>
        <v>0.97470414318930554</v>
      </c>
      <c r="BC771" s="303">
        <f t="shared" si="753"/>
        <v>0.8729242790301428</v>
      </c>
      <c r="BD771" s="303">
        <f t="shared" si="753"/>
        <v>0.71965484364211707</v>
      </c>
      <c r="BE771" s="303">
        <f t="shared" si="753"/>
        <v>0.77066570224228648</v>
      </c>
      <c r="BF771" s="697">
        <f t="shared" si="753"/>
        <v>0.57511926750137277</v>
      </c>
      <c r="BG771" s="808">
        <f t="shared" si="753"/>
        <v>0.49668254786145405</v>
      </c>
      <c r="BH771" s="808">
        <f t="shared" si="753"/>
        <v>0.41705256193877482</v>
      </c>
      <c r="BI771" s="303">
        <f t="shared" si="753"/>
        <v>0.38821235841574864</v>
      </c>
      <c r="BJ771" s="697">
        <f t="shared" si="753"/>
        <v>0.53891203098165352</v>
      </c>
      <c r="BK771" s="303">
        <f t="shared" si="753"/>
        <v>0.4299960665500393</v>
      </c>
      <c r="BL771" s="303">
        <f t="shared" si="753"/>
        <v>0.50329305446245054</v>
      </c>
      <c r="BM771" s="303">
        <f t="shared" si="753"/>
        <v>0.32463883489951173</v>
      </c>
      <c r="BN771" s="697">
        <f t="shared" si="753"/>
        <v>0.23726450350944273</v>
      </c>
      <c r="BO771" s="303">
        <f t="shared" si="753"/>
        <v>0.29690547203212558</v>
      </c>
      <c r="BP771" s="303">
        <f t="shared" si="753"/>
        <v>0.19339217953703969</v>
      </c>
      <c r="BQ771" s="303">
        <f t="shared" si="753"/>
        <v>0.47090964575483585</v>
      </c>
      <c r="BR771" s="174"/>
      <c r="BS771" s="63"/>
      <c r="BT771" s="63"/>
      <c r="BU771" s="63"/>
      <c r="BV771" s="63"/>
      <c r="BW771" s="63"/>
      <c r="BX771" s="63"/>
      <c r="BY771" s="63"/>
      <c r="BZ771" s="63"/>
      <c r="CA771" s="63"/>
      <c r="CB771" s="63"/>
      <c r="CC771" s="63"/>
      <c r="CD771" s="63"/>
      <c r="CE771" s="63"/>
      <c r="CF771" s="63"/>
      <c r="CG771" s="63"/>
      <c r="CH771" s="63"/>
      <c r="CI771" s="63"/>
      <c r="CJ771" s="63"/>
      <c r="CK771" s="63"/>
      <c r="CL771" s="63"/>
      <c r="CM771" s="63"/>
      <c r="CN771" s="63"/>
      <c r="CO771" s="63"/>
      <c r="CP771" s="63"/>
      <c r="CQ771" s="63"/>
    </row>
    <row r="772" spans="8:101" outlineLevel="1">
      <c r="H772" s="290"/>
      <c r="I772" s="587"/>
      <c r="J772" s="63" t="s">
        <v>441</v>
      </c>
      <c r="K772" s="63"/>
      <c r="L772" s="63"/>
      <c r="M772" s="63"/>
      <c r="N772" s="63"/>
      <c r="O772" s="63"/>
      <c r="P772" s="63"/>
      <c r="Q772" s="63"/>
      <c r="R772" s="47">
        <f t="shared" ref="R772:AD772" si="754">R413/Q413-1</f>
        <v>0.44940747493163169</v>
      </c>
      <c r="S772" s="47">
        <f t="shared" si="754"/>
        <v>1.5220125786163523</v>
      </c>
      <c r="T772" s="47">
        <f t="shared" si="754"/>
        <v>0.92917705735660849</v>
      </c>
      <c r="U772" s="47">
        <f t="shared" si="754"/>
        <v>0.31317037228541889</v>
      </c>
      <c r="V772" s="47">
        <f t="shared" si="754"/>
        <v>0.46850754123121829</v>
      </c>
      <c r="W772" s="47">
        <f t="shared" si="754"/>
        <v>0.22806488418476079</v>
      </c>
      <c r="X772" s="47">
        <f t="shared" si="754"/>
        <v>0.17035135588301098</v>
      </c>
      <c r="Y772" s="47">
        <f t="shared" si="754"/>
        <v>0.19900257609739391</v>
      </c>
      <c r="Z772" s="47">
        <f t="shared" si="754"/>
        <v>0.12266470180801936</v>
      </c>
      <c r="AA772" s="47">
        <f t="shared" si="754"/>
        <v>4.8061819664255268E-2</v>
      </c>
      <c r="AB772" s="47">
        <f t="shared" si="754"/>
        <v>4.7559655359647568E-2</v>
      </c>
      <c r="AC772" s="47">
        <f t="shared" si="754"/>
        <v>4.6414394671918213E-2</v>
      </c>
      <c r="AD772" s="47">
        <f t="shared" si="754"/>
        <v>7.7830448632584481E-2</v>
      </c>
      <c r="AE772" s="63"/>
      <c r="AF772" s="63"/>
      <c r="AG772" s="63"/>
      <c r="AH772" s="63"/>
      <c r="AI772" s="63"/>
      <c r="AJ772" s="63"/>
      <c r="AK772" s="63"/>
      <c r="AL772" s="423"/>
      <c r="AM772" s="63"/>
      <c r="AN772" s="63"/>
      <c r="AO772" s="63"/>
      <c r="AP772" s="423"/>
      <c r="AQ772" s="63"/>
      <c r="AR772" s="63"/>
      <c r="AS772" s="63"/>
      <c r="AT772" s="697">
        <f t="shared" ref="AT772:BQ772" si="755">AT413/AP413-1</f>
        <v>-0.24712643678160917</v>
      </c>
      <c r="AU772" s="303">
        <f t="shared" si="755"/>
        <v>0.64698461538461549</v>
      </c>
      <c r="AV772" s="303">
        <f t="shared" si="755"/>
        <v>0.27364864864864868</v>
      </c>
      <c r="AW772" s="303">
        <f t="shared" si="755"/>
        <v>1.7098445595854921</v>
      </c>
      <c r="AX772" s="697">
        <f t="shared" si="755"/>
        <v>1.2671755725190841</v>
      </c>
      <c r="AY772" s="303">
        <f t="shared" si="755"/>
        <v>1.4894445793711584</v>
      </c>
      <c r="AZ772" s="303">
        <f t="shared" si="755"/>
        <v>1.3341485411140583</v>
      </c>
      <c r="BA772" s="303">
        <f t="shared" si="755"/>
        <v>1.8119502868068835</v>
      </c>
      <c r="BB772" s="697">
        <f t="shared" si="755"/>
        <v>1.4011616161616161</v>
      </c>
      <c r="BC772" s="303">
        <f t="shared" si="755"/>
        <v>0.85917900227012622</v>
      </c>
      <c r="BD772" s="303">
        <f t="shared" si="755"/>
        <v>0.88950923550013972</v>
      </c>
      <c r="BE772" s="303">
        <f t="shared" si="755"/>
        <v>0.81228776391391544</v>
      </c>
      <c r="BF772" s="697">
        <f t="shared" si="755"/>
        <v>0.41377559963261334</v>
      </c>
      <c r="BG772" s="808">
        <f t="shared" si="755"/>
        <v>0.25886336596495729</v>
      </c>
      <c r="BH772" s="808">
        <f t="shared" si="755"/>
        <v>0.2825702960031129</v>
      </c>
      <c r="BI772" s="303">
        <f t="shared" si="755"/>
        <v>0.31872089615910904</v>
      </c>
      <c r="BJ772" s="697">
        <f t="shared" si="755"/>
        <v>0.38834359722562484</v>
      </c>
      <c r="BK772" s="303">
        <f t="shared" si="755"/>
        <v>0.6333441417508594</v>
      </c>
      <c r="BL772" s="303">
        <f t="shared" si="755"/>
        <v>0.54749047386373317</v>
      </c>
      <c r="BM772" s="303">
        <f t="shared" si="755"/>
        <v>0.34956435938224195</v>
      </c>
      <c r="BN772" s="697">
        <f t="shared" si="755"/>
        <v>0.28436541188299902</v>
      </c>
      <c r="BO772" s="303">
        <f t="shared" si="755"/>
        <v>0.20687389844706572</v>
      </c>
      <c r="BP772" s="303">
        <f t="shared" si="755"/>
        <v>0.19857731252311361</v>
      </c>
      <c r="BQ772" s="303">
        <f t="shared" si="755"/>
        <v>0.23355752083636272</v>
      </c>
      <c r="BR772" s="174"/>
      <c r="BS772" s="63"/>
      <c r="BT772" s="63"/>
      <c r="BU772" s="63"/>
      <c r="BV772" s="63"/>
      <c r="BW772" s="63"/>
      <c r="BX772" s="63"/>
      <c r="BY772" s="63"/>
      <c r="BZ772" s="63"/>
      <c r="CA772" s="63"/>
      <c r="CB772" s="63"/>
      <c r="CC772" s="63"/>
      <c r="CD772" s="63"/>
      <c r="CE772" s="63"/>
      <c r="CF772" s="63"/>
      <c r="CG772" s="63"/>
      <c r="CH772" s="63"/>
      <c r="CI772" s="63"/>
      <c r="CJ772" s="63"/>
      <c r="CK772" s="63"/>
      <c r="CL772" s="63"/>
      <c r="CM772" s="63"/>
      <c r="CN772" s="63"/>
      <c r="CO772" s="63"/>
      <c r="CP772" s="63"/>
      <c r="CQ772" s="63"/>
    </row>
    <row r="773" spans="8:101" outlineLevel="1">
      <c r="H773" s="290"/>
      <c r="I773" s="587"/>
      <c r="J773" s="63"/>
      <c r="K773" s="63"/>
      <c r="L773" s="63"/>
      <c r="M773" s="63"/>
      <c r="N773" s="63"/>
      <c r="O773" s="63"/>
      <c r="P773" s="63"/>
      <c r="Q773" s="63"/>
      <c r="R773" s="47"/>
      <c r="S773" s="174"/>
      <c r="T773" s="174"/>
      <c r="U773" s="174"/>
      <c r="V773" s="174"/>
      <c r="W773" s="174"/>
      <c r="X773" s="174"/>
      <c r="Y773" s="63"/>
      <c r="Z773" s="63"/>
      <c r="AA773" s="63"/>
      <c r="AB773" s="63"/>
      <c r="AC773" s="63"/>
      <c r="AD773" s="63"/>
      <c r="AE773" s="63"/>
      <c r="AF773" s="63"/>
      <c r="AG773" s="63"/>
      <c r="AH773" s="63"/>
      <c r="AI773" s="63"/>
      <c r="AJ773" s="63"/>
      <c r="AK773" s="63"/>
      <c r="AL773" s="423"/>
      <c r="AM773" s="63"/>
      <c r="AN773" s="63"/>
      <c r="AO773" s="63"/>
      <c r="AP773" s="423"/>
      <c r="AQ773" s="63"/>
      <c r="AR773" s="63"/>
      <c r="AS773" s="63"/>
      <c r="AT773" s="423"/>
      <c r="AU773" s="174"/>
      <c r="AV773" s="174"/>
      <c r="AW773" s="174"/>
      <c r="AX773" s="423"/>
      <c r="AY773" s="174"/>
      <c r="AZ773" s="174"/>
      <c r="BA773" s="174"/>
      <c r="BB773" s="423"/>
      <c r="BC773" s="174"/>
      <c r="BD773" s="174"/>
      <c r="BE773" s="174"/>
      <c r="BF773" s="423"/>
      <c r="BG773" s="334"/>
      <c r="BH773" s="334"/>
      <c r="BI773" s="174"/>
      <c r="BJ773" s="423"/>
      <c r="BK773" s="174"/>
      <c r="BL773" s="174"/>
      <c r="BM773" s="174"/>
      <c r="BN773" s="423"/>
      <c r="BO773" s="174"/>
      <c r="BP773" s="174"/>
      <c r="BQ773" s="174"/>
      <c r="BR773" s="174"/>
      <c r="BS773" s="63"/>
      <c r="BT773" s="63"/>
      <c r="BU773" s="63"/>
      <c r="BV773" s="63"/>
      <c r="BW773" s="63"/>
      <c r="BX773" s="63"/>
      <c r="BY773" s="63"/>
      <c r="BZ773" s="63"/>
      <c r="CA773" s="63"/>
      <c r="CB773" s="63"/>
      <c r="CC773" s="63"/>
      <c r="CD773" s="63"/>
      <c r="CE773" s="63"/>
      <c r="CF773" s="63"/>
      <c r="CG773" s="63"/>
      <c r="CH773" s="63"/>
      <c r="CI773" s="63"/>
      <c r="CJ773" s="63"/>
      <c r="CK773" s="63"/>
      <c r="CL773" s="63"/>
      <c r="CM773" s="63"/>
      <c r="CN773" s="63"/>
      <c r="CO773" s="63"/>
      <c r="CP773" s="63"/>
      <c r="CQ773" s="63"/>
    </row>
    <row r="774" spans="8:101" outlineLevel="1">
      <c r="H774" s="290"/>
      <c r="I774" s="587"/>
      <c r="J774" s="63"/>
      <c r="K774" s="63"/>
      <c r="L774" s="63"/>
      <c r="M774" s="63"/>
      <c r="N774" s="63"/>
      <c r="O774" s="63"/>
      <c r="P774" s="63"/>
      <c r="Q774" s="63"/>
      <c r="R774" s="63"/>
      <c r="S774" s="174"/>
      <c r="T774" s="174"/>
      <c r="U774" s="174"/>
      <c r="V774" s="174"/>
      <c r="W774" s="63"/>
      <c r="X774" s="63"/>
      <c r="Y774" s="63"/>
      <c r="Z774" s="63"/>
      <c r="AA774" s="63"/>
      <c r="AB774" s="63"/>
      <c r="AC774" s="63"/>
      <c r="AD774" s="63"/>
      <c r="AE774" s="63"/>
      <c r="AF774" s="63"/>
      <c r="AG774" s="63"/>
      <c r="AH774" s="63"/>
      <c r="AI774" s="63"/>
      <c r="AJ774" s="63"/>
      <c r="AK774" s="63"/>
      <c r="AL774" s="423"/>
      <c r="AM774" s="63"/>
      <c r="AN774" s="63"/>
      <c r="AO774" s="63"/>
      <c r="AP774" s="423"/>
      <c r="AQ774" s="63"/>
      <c r="AR774" s="63"/>
      <c r="AS774" s="63"/>
      <c r="AT774" s="423"/>
      <c r="AU774" s="63"/>
      <c r="AV774" s="63"/>
      <c r="AW774" s="63"/>
      <c r="AX774" s="423"/>
      <c r="AY774" s="174"/>
      <c r="AZ774" s="174"/>
      <c r="BA774" s="174"/>
      <c r="BB774" s="423"/>
      <c r="BC774" s="174"/>
      <c r="BD774" s="174"/>
      <c r="BE774" s="174"/>
      <c r="BF774" s="423"/>
      <c r="BG774" s="334"/>
      <c r="BH774" s="334"/>
      <c r="BI774" s="174"/>
      <c r="BJ774" s="423"/>
      <c r="BK774" s="63"/>
      <c r="BL774" s="63"/>
      <c r="BM774" s="174"/>
      <c r="BN774" s="423"/>
      <c r="BO774" s="63"/>
      <c r="BP774" s="63"/>
      <c r="BQ774" s="174"/>
      <c r="BR774" s="174"/>
      <c r="BS774" s="63"/>
      <c r="BT774" s="63"/>
      <c r="BU774" s="63"/>
      <c r="BV774" s="63"/>
      <c r="BW774" s="63"/>
      <c r="BX774" s="63"/>
      <c r="BY774" s="63"/>
      <c r="BZ774" s="63"/>
      <c r="CA774" s="63"/>
      <c r="CB774" s="63"/>
      <c r="CC774" s="63"/>
      <c r="CD774" s="63"/>
      <c r="CE774" s="63"/>
      <c r="CF774" s="63"/>
      <c r="CG774" s="63"/>
      <c r="CH774" s="63"/>
      <c r="CI774" s="63"/>
      <c r="CJ774" s="63"/>
      <c r="CK774" s="63"/>
      <c r="CL774" s="63"/>
      <c r="CM774" s="63"/>
      <c r="CN774" s="63"/>
      <c r="CO774" s="63"/>
      <c r="CP774" s="63"/>
      <c r="CQ774" s="63"/>
    </row>
    <row r="775" spans="8:101" outlineLevel="1">
      <c r="H775" s="290"/>
      <c r="I775" s="587"/>
      <c r="J775" s="63"/>
      <c r="K775" s="63"/>
      <c r="L775" s="63"/>
      <c r="M775" s="63"/>
      <c r="N775" s="63"/>
      <c r="O775" s="63"/>
      <c r="P775" s="63"/>
      <c r="Q775" s="40">
        <f t="shared" ref="Q775:AD775" si="756">Q413</f>
        <v>-1097</v>
      </c>
      <c r="R775" s="40">
        <f t="shared" si="756"/>
        <v>-1590</v>
      </c>
      <c r="S775" s="91">
        <f t="shared" si="756"/>
        <v>-4010</v>
      </c>
      <c r="T775" s="91">
        <f t="shared" si="756"/>
        <v>-7736</v>
      </c>
      <c r="U775" s="91">
        <f t="shared" si="756"/>
        <v>-10158.686</v>
      </c>
      <c r="V775" s="91">
        <f t="shared" si="756"/>
        <v>-14918.107</v>
      </c>
      <c r="W775" s="40">
        <f t="shared" si="756"/>
        <v>-18320.403345210871</v>
      </c>
      <c r="X775" s="40">
        <f t="shared" si="756"/>
        <v>-21441.308895391194</v>
      </c>
      <c r="Y775" s="40">
        <f t="shared" si="756"/>
        <v>-25708.184600474007</v>
      </c>
      <c r="Z775" s="40">
        <f t="shared" si="756"/>
        <v>-28861.671398516664</v>
      </c>
      <c r="AA775" s="40">
        <f t="shared" si="756"/>
        <v>-30248.815844481163</v>
      </c>
      <c r="AB775" s="40">
        <f t="shared" si="756"/>
        <v>-31687.439101082135</v>
      </c>
      <c r="AC775" s="40">
        <f t="shared" si="756"/>
        <v>-33158.192405662136</v>
      </c>
      <c r="AD775" s="40">
        <f t="shared" si="756"/>
        <v>-35738.909396440373</v>
      </c>
      <c r="AE775" s="63"/>
      <c r="AF775" s="63"/>
      <c r="AG775" s="63"/>
      <c r="AH775" s="63"/>
      <c r="AI775" s="63"/>
      <c r="AJ775" s="63"/>
      <c r="AK775" s="63"/>
      <c r="AL775" s="423"/>
      <c r="AM775" s="63"/>
      <c r="AN775" s="63"/>
      <c r="AO775" s="63"/>
      <c r="AP775" s="423"/>
      <c r="AQ775" s="63"/>
      <c r="AR775" s="63"/>
      <c r="AS775" s="63"/>
      <c r="AT775" s="423"/>
      <c r="AU775" s="63"/>
      <c r="AV775" s="63"/>
      <c r="AW775" s="63"/>
      <c r="AX775" s="423"/>
      <c r="AY775" s="174"/>
      <c r="AZ775" s="174"/>
      <c r="BA775" s="174"/>
      <c r="BB775" s="423"/>
      <c r="BC775" s="174"/>
      <c r="BD775" s="174"/>
      <c r="BE775" s="174"/>
      <c r="BF775" s="423"/>
      <c r="BG775" s="334"/>
      <c r="BH775" s="334"/>
      <c r="BI775" s="174"/>
      <c r="BJ775" s="423"/>
      <c r="BK775" s="63"/>
      <c r="BL775" s="63"/>
      <c r="BM775" s="174"/>
      <c r="BN775" s="423"/>
      <c r="BO775" s="63"/>
      <c r="BP775" s="63"/>
      <c r="BQ775" s="174"/>
      <c r="BR775" s="174"/>
      <c r="BS775" s="63"/>
      <c r="BT775" s="63"/>
      <c r="BU775" s="63"/>
      <c r="BV775" s="63"/>
      <c r="BW775" s="63"/>
      <c r="BX775" s="63"/>
      <c r="BY775" s="63"/>
      <c r="BZ775" s="63"/>
      <c r="CA775" s="63"/>
      <c r="CB775" s="63"/>
      <c r="CC775" s="63"/>
      <c r="CD775" s="63"/>
      <c r="CE775" s="63"/>
      <c r="CF775" s="63"/>
      <c r="CG775" s="63"/>
      <c r="CH775" s="63"/>
      <c r="CI775" s="63"/>
      <c r="CJ775" s="63"/>
      <c r="CK775" s="63"/>
      <c r="CL775" s="63"/>
      <c r="CM775" s="63"/>
      <c r="CN775" s="63"/>
      <c r="CO775" s="63"/>
      <c r="CP775" s="63"/>
      <c r="CQ775" s="63"/>
    </row>
    <row r="776" spans="8:101" outlineLevel="1">
      <c r="H776" s="290"/>
      <c r="I776" s="587"/>
      <c r="J776" s="500"/>
      <c r="K776" s="500"/>
      <c r="L776" s="500"/>
      <c r="M776" s="500"/>
      <c r="N776" s="500"/>
      <c r="O776" s="500"/>
      <c r="P776" s="500"/>
      <c r="Q776" s="501">
        <f t="shared" ref="Q776:AD776" si="757">+Q379</f>
        <v>0</v>
      </c>
      <c r="R776" s="501">
        <f t="shared" si="757"/>
        <v>0</v>
      </c>
      <c r="S776" s="507">
        <f t="shared" si="757"/>
        <v>-924.73500000000001</v>
      </c>
      <c r="T776" s="507">
        <f t="shared" si="757"/>
        <v>-1225.318</v>
      </c>
      <c r="U776" s="507">
        <f t="shared" si="757"/>
        <v>-1222.2139999999999</v>
      </c>
      <c r="V776" s="507">
        <f t="shared" si="757"/>
        <v>-1221.952</v>
      </c>
      <c r="W776" s="501">
        <f t="shared" si="757"/>
        <v>-1234.6479999999999</v>
      </c>
      <c r="X776" s="501">
        <f t="shared" si="757"/>
        <v>-1259.34096</v>
      </c>
      <c r="Y776" s="501">
        <f t="shared" si="757"/>
        <v>-1284.5277791999999</v>
      </c>
      <c r="Z776" s="501">
        <f t="shared" si="757"/>
        <v>-1310.218334784</v>
      </c>
      <c r="AA776" s="501">
        <f t="shared" si="757"/>
        <v>-1310.218334784</v>
      </c>
      <c r="AB776" s="501">
        <f t="shared" si="757"/>
        <v>-1310.218334784</v>
      </c>
      <c r="AC776" s="501">
        <f t="shared" si="757"/>
        <v>-1310.218334784</v>
      </c>
      <c r="AD776" s="501">
        <f t="shared" si="757"/>
        <v>-1310.218334784</v>
      </c>
      <c r="AE776" s="500"/>
      <c r="AF776" s="500"/>
      <c r="AG776" s="500"/>
      <c r="AH776" s="500"/>
      <c r="AI776" s="500"/>
      <c r="AJ776" s="500"/>
      <c r="AK776" s="500"/>
      <c r="AL776" s="529"/>
      <c r="AM776" s="500"/>
      <c r="AN776" s="500"/>
      <c r="AO776" s="500"/>
      <c r="AP776" s="529"/>
      <c r="AQ776" s="500"/>
      <c r="AR776" s="500"/>
      <c r="AS776" s="500"/>
      <c r="AT776" s="529"/>
      <c r="AU776" s="500"/>
      <c r="AV776" s="500"/>
      <c r="AW776" s="500"/>
      <c r="AX776" s="529"/>
      <c r="AY776" s="506"/>
      <c r="AZ776" s="506"/>
      <c r="BA776" s="506"/>
      <c r="BB776" s="529"/>
      <c r="BC776" s="506"/>
      <c r="BD776" s="506"/>
      <c r="BE776" s="506"/>
      <c r="BF776" s="529"/>
      <c r="BG776" s="791"/>
      <c r="BH776" s="791"/>
      <c r="BI776" s="506"/>
      <c r="BJ776" s="529"/>
      <c r="BK776" s="500"/>
      <c r="BL776" s="500"/>
      <c r="BM776" s="506"/>
      <c r="BN776" s="529"/>
      <c r="BO776" s="500"/>
      <c r="BP776" s="500"/>
      <c r="BQ776" s="506"/>
      <c r="BR776" s="506"/>
      <c r="BS776" s="500"/>
      <c r="BT776" s="500"/>
      <c r="BU776" s="500"/>
      <c r="BV776" s="500"/>
      <c r="BW776" s="500"/>
      <c r="BX776" s="500"/>
      <c r="BY776" s="500"/>
      <c r="BZ776" s="500"/>
      <c r="CA776" s="500"/>
      <c r="CB776" s="500"/>
      <c r="CC776" s="500"/>
      <c r="CD776" s="500"/>
      <c r="CE776" s="500"/>
      <c r="CF776" s="500"/>
      <c r="CG776" s="500"/>
      <c r="CH776" s="500"/>
      <c r="CI776" s="500"/>
      <c r="CJ776" s="500"/>
      <c r="CK776" s="500"/>
      <c r="CL776" s="500"/>
      <c r="CM776" s="500"/>
      <c r="CN776" s="500"/>
      <c r="CO776" s="500"/>
      <c r="CP776" s="500"/>
      <c r="CQ776" s="500"/>
    </row>
    <row r="777" spans="8:101" outlineLevel="1">
      <c r="H777" s="290"/>
      <c r="I777" s="587"/>
      <c r="J777" s="500"/>
      <c r="K777" s="500"/>
      <c r="L777" s="500"/>
      <c r="M777" s="500"/>
      <c r="N777" s="500"/>
      <c r="O777" s="500"/>
      <c r="P777" s="500"/>
      <c r="Q777" s="501">
        <f>Model!Q47</f>
        <v>29300</v>
      </c>
      <c r="R777" s="501">
        <f>Model!R47</f>
        <v>47400</v>
      </c>
      <c r="S777" s="507">
        <f>Model!S47</f>
        <v>96600</v>
      </c>
      <c r="T777" s="507">
        <f>Model!T47</f>
        <v>155000</v>
      </c>
      <c r="U777" s="507">
        <f>Model!U47</f>
        <v>226600</v>
      </c>
      <c r="V777" s="507">
        <f>Model!V47</f>
        <v>292500</v>
      </c>
      <c r="W777" s="501">
        <f>Model!W47</f>
        <v>367087.49999999994</v>
      </c>
      <c r="X777" s="501">
        <f>Model!X47</f>
        <v>442340.43749999994</v>
      </c>
      <c r="Y777" s="501">
        <f>Model!Y47</f>
        <v>513114.90749999991</v>
      </c>
      <c r="Z777" s="501">
        <f>Model!Z47</f>
        <v>564426.39824999997</v>
      </c>
      <c r="AA777" s="501">
        <f>Model!AA47</f>
        <v>587003.45418</v>
      </c>
      <c r="AB777" s="501">
        <f>Model!AB47</f>
        <v>610483.59234720003</v>
      </c>
      <c r="AC777" s="501">
        <f>Model!AC47</f>
        <v>634902.93604108808</v>
      </c>
      <c r="AD777" s="501">
        <f>Model!AD47</f>
        <v>660299.05348273157</v>
      </c>
      <c r="AE777" s="500"/>
      <c r="AF777" s="500"/>
      <c r="AG777" s="500"/>
      <c r="AH777" s="500"/>
      <c r="AI777" s="500"/>
      <c r="AJ777" s="500"/>
      <c r="AK777" s="500"/>
      <c r="AL777" s="529"/>
      <c r="AM777" s="500"/>
      <c r="AN777" s="500"/>
      <c r="AO777" s="500"/>
      <c r="AP777" s="529"/>
      <c r="AQ777" s="500"/>
      <c r="AR777" s="500"/>
      <c r="AS777" s="500"/>
      <c r="AT777" s="529"/>
      <c r="AU777" s="500"/>
      <c r="AV777" s="500"/>
      <c r="AW777" s="500"/>
      <c r="AX777" s="529"/>
      <c r="AY777" s="506"/>
      <c r="AZ777" s="506"/>
      <c r="BA777" s="506"/>
      <c r="BB777" s="529"/>
      <c r="BC777" s="506"/>
      <c r="BD777" s="506"/>
      <c r="BE777" s="506"/>
      <c r="BF777" s="529"/>
      <c r="BG777" s="791"/>
      <c r="BH777" s="791"/>
      <c r="BI777" s="506"/>
      <c r="BJ777" s="529"/>
      <c r="BK777" s="500"/>
      <c r="BL777" s="500"/>
      <c r="BM777" s="506"/>
      <c r="BN777" s="529"/>
      <c r="BO777" s="500"/>
      <c r="BP777" s="500"/>
      <c r="BQ777" s="506"/>
      <c r="BR777" s="506"/>
      <c r="BS777" s="500"/>
      <c r="BT777" s="500"/>
      <c r="BU777" s="500"/>
      <c r="BV777" s="500"/>
      <c r="BW777" s="500"/>
      <c r="BX777" s="500"/>
      <c r="BY777" s="500"/>
      <c r="BZ777" s="500"/>
      <c r="CA777" s="500"/>
      <c r="CB777" s="500"/>
      <c r="CC777" s="500"/>
      <c r="CD777" s="500"/>
      <c r="CE777" s="500"/>
      <c r="CF777" s="500"/>
      <c r="CG777" s="500"/>
      <c r="CH777" s="500"/>
      <c r="CI777" s="500"/>
      <c r="CJ777" s="500"/>
      <c r="CK777" s="500"/>
      <c r="CL777" s="500"/>
      <c r="CM777" s="500"/>
      <c r="CN777" s="500"/>
      <c r="CO777" s="500"/>
      <c r="CP777" s="500"/>
      <c r="CQ777" s="500"/>
    </row>
    <row r="778" spans="8:101" s="42" customFormat="1" outlineLevel="1">
      <c r="I778" s="587"/>
      <c r="J778" s="474"/>
      <c r="K778" s="474"/>
      <c r="L778" s="474"/>
      <c r="M778" s="474"/>
      <c r="N778" s="474"/>
      <c r="O778" s="474"/>
      <c r="P778" s="474"/>
      <c r="Q778" s="502">
        <f t="shared" ref="Q778:AD778" si="758">Q775/Q777*1000</f>
        <v>-37.44027303754266</v>
      </c>
      <c r="R778" s="502">
        <f t="shared" si="758"/>
        <v>-33.544303797468352</v>
      </c>
      <c r="S778" s="657">
        <f t="shared" si="758"/>
        <v>-41.511387163561075</v>
      </c>
      <c r="T778" s="657">
        <f t="shared" si="758"/>
        <v>-49.909677419354843</v>
      </c>
      <c r="U778" s="657">
        <f t="shared" si="758"/>
        <v>-44.830917917034419</v>
      </c>
      <c r="V778" s="657">
        <f t="shared" si="758"/>
        <v>-51.002075213675212</v>
      </c>
      <c r="W778" s="502">
        <f t="shared" si="758"/>
        <v>-49.907456247382093</v>
      </c>
      <c r="X778" s="502">
        <f t="shared" si="758"/>
        <v>-48.4724141807433</v>
      </c>
      <c r="Y778" s="502">
        <f t="shared" si="758"/>
        <v>-50.10219782100954</v>
      </c>
      <c r="Z778" s="502">
        <f t="shared" si="758"/>
        <v>-51.134517251500057</v>
      </c>
      <c r="AA778" s="502">
        <f t="shared" si="758"/>
        <v>-51.530899229096534</v>
      </c>
      <c r="AB778" s="502">
        <f t="shared" si="758"/>
        <v>-51.905472150774123</v>
      </c>
      <c r="AC778" s="502">
        <f t="shared" si="758"/>
        <v>-52.225608866165786</v>
      </c>
      <c r="AD778" s="502">
        <f t="shared" si="758"/>
        <v>-54.125337917624371</v>
      </c>
      <c r="AE778" s="474"/>
      <c r="AF778" s="474"/>
      <c r="AG778" s="474"/>
      <c r="AH778" s="474"/>
      <c r="AI778" s="474"/>
      <c r="AJ778" s="474"/>
      <c r="AK778" s="474"/>
      <c r="AL778" s="1743"/>
      <c r="AM778" s="474"/>
      <c r="AN778" s="474"/>
      <c r="AO778" s="474"/>
      <c r="AP778" s="1743"/>
      <c r="AQ778" s="474"/>
      <c r="AR778" s="474"/>
      <c r="AS778" s="474"/>
      <c r="AT778" s="1743"/>
      <c r="AU778" s="474"/>
      <c r="AV778" s="474"/>
      <c r="AW778" s="474"/>
      <c r="AX778" s="698"/>
      <c r="AY778" s="510"/>
      <c r="AZ778" s="510"/>
      <c r="BA778" s="510"/>
      <c r="BB778" s="698"/>
      <c r="BC778" s="510"/>
      <c r="BD778" s="510"/>
      <c r="BE778" s="510"/>
      <c r="BF778" s="698"/>
      <c r="BG778" s="705"/>
      <c r="BH778" s="705"/>
      <c r="BI778" s="510"/>
      <c r="BJ778" s="698"/>
      <c r="BK778" s="503"/>
      <c r="BL778" s="503"/>
      <c r="BM778" s="510"/>
      <c r="BN778" s="698"/>
      <c r="BO778" s="503"/>
      <c r="BP778" s="503"/>
      <c r="BQ778" s="510"/>
      <c r="BR778" s="477"/>
      <c r="BS778" s="474"/>
      <c r="BT778" s="474"/>
      <c r="BU778" s="474"/>
      <c r="BV778" s="474"/>
      <c r="BW778" s="474"/>
      <c r="BX778" s="474"/>
      <c r="BY778" s="474"/>
      <c r="BZ778" s="474"/>
      <c r="CA778" s="474"/>
      <c r="CB778" s="474"/>
      <c r="CC778" s="474"/>
      <c r="CD778" s="474"/>
      <c r="CE778" s="474"/>
      <c r="CF778" s="474"/>
      <c r="CG778" s="474"/>
      <c r="CH778" s="474"/>
      <c r="CI778" s="474"/>
      <c r="CJ778" s="474"/>
      <c r="CK778" s="474"/>
      <c r="CL778" s="474"/>
      <c r="CM778" s="474"/>
      <c r="CN778" s="474"/>
      <c r="CO778" s="474"/>
      <c r="CP778" s="474"/>
      <c r="CQ778" s="474"/>
      <c r="CR778"/>
      <c r="CS778"/>
      <c r="CT778"/>
      <c r="CU778"/>
      <c r="CV778"/>
      <c r="CW778"/>
    </row>
    <row r="779" spans="8:101" s="42" customFormat="1" outlineLevel="1">
      <c r="I779" s="587"/>
      <c r="J779" s="474"/>
      <c r="K779" s="474"/>
      <c r="L779" s="474"/>
      <c r="M779" s="474"/>
      <c r="N779" s="474"/>
      <c r="O779" s="474"/>
      <c r="P779" s="474"/>
      <c r="Q779" s="502">
        <f t="shared" ref="Q779:AD779" si="759">Q776/Q777*1000</f>
        <v>0</v>
      </c>
      <c r="R779" s="502">
        <f t="shared" si="759"/>
        <v>0</v>
      </c>
      <c r="S779" s="657">
        <f t="shared" si="759"/>
        <v>-9.5728260869565212</v>
      </c>
      <c r="T779" s="657">
        <f t="shared" si="759"/>
        <v>-7.9052774193548379</v>
      </c>
      <c r="U779" s="657">
        <f t="shared" si="759"/>
        <v>-5.393706972639011</v>
      </c>
      <c r="V779" s="657">
        <f t="shared" si="759"/>
        <v>-4.1776136752136752</v>
      </c>
      <c r="W779" s="502">
        <f t="shared" si="759"/>
        <v>-3.3633615963496446</v>
      </c>
      <c r="X779" s="502">
        <f t="shared" si="759"/>
        <v>-2.8469948782378731</v>
      </c>
      <c r="Y779" s="502">
        <f t="shared" si="759"/>
        <v>-2.5033920481057161</v>
      </c>
      <c r="Z779" s="502">
        <f t="shared" si="759"/>
        <v>-2.3213271718798461</v>
      </c>
      <c r="AA779" s="502">
        <f t="shared" si="759"/>
        <v>-2.2320453575767747</v>
      </c>
      <c r="AB779" s="502">
        <f t="shared" si="759"/>
        <v>-2.1461974592084374</v>
      </c>
      <c r="AC779" s="502">
        <f t="shared" si="759"/>
        <v>-2.0636514030850357</v>
      </c>
      <c r="AD779" s="502">
        <f t="shared" si="759"/>
        <v>-1.9842801952740727</v>
      </c>
      <c r="AE779" s="474"/>
      <c r="AF779" s="474"/>
      <c r="AG779" s="474"/>
      <c r="AH779" s="474"/>
      <c r="AI779" s="474"/>
      <c r="AJ779" s="474"/>
      <c r="AK779" s="474"/>
      <c r="AL779" s="1743"/>
      <c r="AM779" s="474"/>
      <c r="AN779" s="474"/>
      <c r="AO779" s="474"/>
      <c r="AP779" s="1743"/>
      <c r="AQ779" s="474"/>
      <c r="AR779" s="474"/>
      <c r="AS779" s="474"/>
      <c r="AT779" s="1743"/>
      <c r="AU779" s="474"/>
      <c r="AV779" s="474"/>
      <c r="AW779" s="474"/>
      <c r="AX779" s="698"/>
      <c r="AY779" s="510"/>
      <c r="AZ779" s="510"/>
      <c r="BA779" s="510"/>
      <c r="BB779" s="698"/>
      <c r="BC779" s="510"/>
      <c r="BD779" s="510"/>
      <c r="BE779" s="510"/>
      <c r="BF779" s="698"/>
      <c r="BG779" s="705"/>
      <c r="BH779" s="705"/>
      <c r="BI779" s="510"/>
      <c r="BJ779" s="698"/>
      <c r="BK779" s="503"/>
      <c r="BL779" s="503"/>
      <c r="BM779" s="510"/>
      <c r="BN779" s="698"/>
      <c r="BO779" s="503"/>
      <c r="BP779" s="503"/>
      <c r="BQ779" s="510"/>
      <c r="BR779" s="477"/>
      <c r="BS779" s="474"/>
      <c r="BT779" s="474"/>
      <c r="BU779" s="474"/>
      <c r="BV779" s="474"/>
      <c r="BW779" s="474"/>
      <c r="BX779" s="474"/>
      <c r="BY779" s="474"/>
      <c r="BZ779" s="474"/>
      <c r="CA779" s="474"/>
      <c r="CB779" s="474"/>
      <c r="CC779" s="474"/>
      <c r="CD779" s="474"/>
      <c r="CE779" s="474"/>
      <c r="CF779" s="474"/>
      <c r="CG779" s="474"/>
      <c r="CH779" s="474"/>
      <c r="CI779" s="474"/>
      <c r="CJ779" s="474"/>
      <c r="CK779" s="474"/>
      <c r="CL779" s="474"/>
      <c r="CM779" s="474"/>
      <c r="CN779" s="474"/>
      <c r="CO779" s="474"/>
      <c r="CP779" s="474"/>
      <c r="CQ779" s="474"/>
      <c r="CR779"/>
      <c r="CS779"/>
      <c r="CT779"/>
      <c r="CU779"/>
      <c r="CV779"/>
      <c r="CW779"/>
    </row>
    <row r="780" spans="8:101" s="42" customFormat="1" outlineLevel="1">
      <c r="I780" s="587"/>
      <c r="J780" s="474"/>
      <c r="K780" s="474"/>
      <c r="L780" s="474"/>
      <c r="M780" s="474"/>
      <c r="N780" s="474"/>
      <c r="O780" s="474"/>
      <c r="P780" s="474"/>
      <c r="Q780" s="504">
        <f t="shared" ref="Q780:AD780" si="760">SUM(Q778:Q779)</f>
        <v>-37.44027303754266</v>
      </c>
      <c r="R780" s="504">
        <f t="shared" si="760"/>
        <v>-33.544303797468352</v>
      </c>
      <c r="S780" s="658">
        <f t="shared" si="760"/>
        <v>-51.084213250517593</v>
      </c>
      <c r="T780" s="658">
        <f t="shared" si="760"/>
        <v>-57.814954838709681</v>
      </c>
      <c r="U780" s="658">
        <f t="shared" si="760"/>
        <v>-50.224624889673429</v>
      </c>
      <c r="V780" s="658">
        <f t="shared" si="760"/>
        <v>-55.17968888888889</v>
      </c>
      <c r="W780" s="504">
        <f t="shared" si="760"/>
        <v>-53.270817843731734</v>
      </c>
      <c r="X780" s="504">
        <f t="shared" si="760"/>
        <v>-51.319409058981172</v>
      </c>
      <c r="Y780" s="504">
        <f t="shared" si="760"/>
        <v>-52.605589869115256</v>
      </c>
      <c r="Z780" s="504">
        <f t="shared" si="760"/>
        <v>-53.455844423379901</v>
      </c>
      <c r="AA780" s="504">
        <f t="shared" si="760"/>
        <v>-53.762944586673306</v>
      </c>
      <c r="AB780" s="504">
        <f t="shared" si="760"/>
        <v>-54.051669609982561</v>
      </c>
      <c r="AC780" s="504">
        <f t="shared" si="760"/>
        <v>-54.289260269250818</v>
      </c>
      <c r="AD780" s="504">
        <f t="shared" si="760"/>
        <v>-56.109618112898445</v>
      </c>
      <c r="AE780" s="474"/>
      <c r="AF780" s="474"/>
      <c r="AG780" s="474"/>
      <c r="AH780" s="474"/>
      <c r="AI780" s="474"/>
      <c r="AJ780" s="474"/>
      <c r="AK780" s="474"/>
      <c r="AL780" s="1743"/>
      <c r="AM780" s="474"/>
      <c r="AN780" s="474"/>
      <c r="AO780" s="474"/>
      <c r="AP780" s="1743"/>
      <c r="AQ780" s="474"/>
      <c r="AR780" s="474"/>
      <c r="AS780" s="474"/>
      <c r="AT780" s="1743"/>
      <c r="AU780" s="474"/>
      <c r="AV780" s="474"/>
      <c r="AW780" s="474"/>
      <c r="AX780" s="698"/>
      <c r="AY780" s="510"/>
      <c r="AZ780" s="510"/>
      <c r="BA780" s="510"/>
      <c r="BB780" s="698"/>
      <c r="BC780" s="510"/>
      <c r="BD780" s="510"/>
      <c r="BE780" s="510"/>
      <c r="BF780" s="698"/>
      <c r="BG780" s="705"/>
      <c r="BH780" s="705"/>
      <c r="BI780" s="510"/>
      <c r="BJ780" s="698"/>
      <c r="BK780" s="503"/>
      <c r="BL780" s="503"/>
      <c r="BM780" s="510"/>
      <c r="BN780" s="698"/>
      <c r="BO780" s="503"/>
      <c r="BP780" s="503"/>
      <c r="BQ780" s="510"/>
      <c r="BR780" s="477"/>
      <c r="BS780" s="474"/>
      <c r="BT780" s="474"/>
      <c r="BU780" s="474"/>
      <c r="BV780" s="474"/>
      <c r="BW780" s="474"/>
      <c r="BX780" s="474"/>
      <c r="BY780" s="474"/>
      <c r="BZ780" s="474"/>
      <c r="CA780" s="474"/>
      <c r="CB780" s="474"/>
      <c r="CC780" s="474"/>
      <c r="CD780" s="474"/>
      <c r="CE780" s="474"/>
      <c r="CF780" s="474"/>
      <c r="CG780" s="474"/>
      <c r="CH780" s="474"/>
      <c r="CI780" s="474"/>
      <c r="CJ780" s="474"/>
      <c r="CK780" s="474"/>
      <c r="CL780" s="474"/>
      <c r="CM780" s="474"/>
      <c r="CN780" s="474"/>
      <c r="CO780" s="474"/>
      <c r="CP780" s="474"/>
      <c r="CQ780" s="474"/>
      <c r="CR780"/>
      <c r="CS780"/>
      <c r="CT780"/>
      <c r="CU780"/>
      <c r="CV780"/>
      <c r="CW780"/>
    </row>
    <row r="781" spans="8:101" s="42" customFormat="1" outlineLevel="1">
      <c r="I781" s="587"/>
      <c r="J781" s="474"/>
      <c r="K781" s="474"/>
      <c r="L781" s="474"/>
      <c r="M781" s="474"/>
      <c r="N781" s="474"/>
      <c r="O781" s="474"/>
      <c r="P781" s="474"/>
      <c r="Q781" s="474"/>
      <c r="R781" s="474"/>
      <c r="S781" s="477"/>
      <c r="T781" s="477"/>
      <c r="U781" s="477"/>
      <c r="V781" s="477"/>
      <c r="W781" s="474"/>
      <c r="X781" s="474"/>
      <c r="Y781" s="474"/>
      <c r="Z781" s="474"/>
      <c r="AA781" s="474"/>
      <c r="AB781" s="474"/>
      <c r="AC781" s="474"/>
      <c r="AD781" s="474"/>
      <c r="AE781" s="474"/>
      <c r="AF781" s="474"/>
      <c r="AG781" s="474"/>
      <c r="AH781" s="474"/>
      <c r="AI781" s="474"/>
      <c r="AJ781" s="474"/>
      <c r="AK781" s="474"/>
      <c r="AL781" s="1743"/>
      <c r="AM781" s="474"/>
      <c r="AN781" s="474"/>
      <c r="AO781" s="474"/>
      <c r="AP781" s="1743"/>
      <c r="AQ781" s="474"/>
      <c r="AR781" s="474"/>
      <c r="AS781" s="474"/>
      <c r="AT781" s="1743"/>
      <c r="AU781" s="474"/>
      <c r="AV781" s="474"/>
      <c r="AW781" s="474"/>
      <c r="AX781" s="698"/>
      <c r="AY781" s="510"/>
      <c r="AZ781" s="510"/>
      <c r="BA781" s="510"/>
      <c r="BB781" s="698"/>
      <c r="BC781" s="510"/>
      <c r="BD781" s="510"/>
      <c r="BE781" s="510"/>
      <c r="BF781" s="698"/>
      <c r="BG781" s="705"/>
      <c r="BH781" s="705"/>
      <c r="BI781" s="510"/>
      <c r="BJ781" s="698"/>
      <c r="BK781" s="503"/>
      <c r="BL781" s="503"/>
      <c r="BM781" s="510"/>
      <c r="BN781" s="698"/>
      <c r="BO781" s="503"/>
      <c r="BP781" s="503"/>
      <c r="BQ781" s="510"/>
      <c r="BR781" s="477"/>
      <c r="BS781" s="474"/>
      <c r="BT781" s="474"/>
      <c r="BU781" s="474"/>
      <c r="BV781" s="474"/>
      <c r="BW781" s="474"/>
      <c r="BX781" s="474"/>
      <c r="BY781" s="474"/>
      <c r="BZ781" s="474"/>
      <c r="CA781" s="474"/>
      <c r="CB781" s="474"/>
      <c r="CC781" s="474"/>
      <c r="CD781" s="474"/>
      <c r="CE781" s="474"/>
      <c r="CF781" s="474"/>
      <c r="CG781" s="474"/>
      <c r="CH781" s="474"/>
      <c r="CI781" s="474"/>
      <c r="CJ781" s="474"/>
      <c r="CK781" s="474"/>
      <c r="CL781" s="474"/>
      <c r="CM781" s="474"/>
      <c r="CN781" s="474"/>
      <c r="CO781" s="474"/>
      <c r="CP781" s="474"/>
      <c r="CQ781" s="474"/>
      <c r="CR781"/>
      <c r="CS781"/>
      <c r="CT781"/>
      <c r="CU781"/>
      <c r="CV781"/>
      <c r="CW781"/>
    </row>
    <row r="782" spans="8:101" s="42" customFormat="1" outlineLevel="1">
      <c r="I782" s="587"/>
      <c r="J782" s="474"/>
      <c r="K782" s="474"/>
      <c r="L782" s="474"/>
      <c r="M782" s="474"/>
      <c r="N782" s="474"/>
      <c r="O782" s="474"/>
      <c r="P782" s="474"/>
      <c r="Q782" s="474"/>
      <c r="R782" s="474"/>
      <c r="S782" s="477"/>
      <c r="T782" s="477"/>
      <c r="U782" s="477"/>
      <c r="V782" s="477"/>
      <c r="W782" s="474"/>
      <c r="X782" s="474"/>
      <c r="Y782" s="474"/>
      <c r="Z782" s="474"/>
      <c r="AA782" s="474"/>
      <c r="AB782" s="474"/>
      <c r="AC782" s="474"/>
      <c r="AD782" s="474"/>
      <c r="AE782" s="474"/>
      <c r="AF782" s="474"/>
      <c r="AG782" s="474"/>
      <c r="AH782" s="474"/>
      <c r="AI782" s="474"/>
      <c r="AJ782" s="474"/>
      <c r="AK782" s="474"/>
      <c r="AL782" s="1743"/>
      <c r="AM782" s="474"/>
      <c r="AN782" s="474"/>
      <c r="AO782" s="474"/>
      <c r="AP782" s="1743"/>
      <c r="AQ782" s="474"/>
      <c r="AR782" s="474"/>
      <c r="AS782" s="474"/>
      <c r="AT782" s="1743"/>
      <c r="AU782" s="474"/>
      <c r="AV782" s="474"/>
      <c r="AW782" s="474"/>
      <c r="AX782" s="698"/>
      <c r="AY782" s="510"/>
      <c r="AZ782" s="510"/>
      <c r="BA782" s="510"/>
      <c r="BB782" s="698"/>
      <c r="BC782" s="510"/>
      <c r="BD782" s="510"/>
      <c r="BE782" s="510"/>
      <c r="BF782" s="698"/>
      <c r="BG782" s="705"/>
      <c r="BH782" s="705"/>
      <c r="BI782" s="510"/>
      <c r="BJ782" s="698"/>
      <c r="BK782" s="503"/>
      <c r="BL782" s="503"/>
      <c r="BM782" s="510"/>
      <c r="BN782" s="698"/>
      <c r="BO782" s="503"/>
      <c r="BP782" s="503"/>
      <c r="BQ782" s="510"/>
      <c r="BR782" s="477"/>
      <c r="BS782" s="474"/>
      <c r="BT782" s="474"/>
      <c r="BU782" s="474"/>
      <c r="BV782" s="474"/>
      <c r="BW782" s="474"/>
      <c r="BX782" s="474"/>
      <c r="BY782" s="474"/>
      <c r="BZ782" s="474"/>
      <c r="CA782" s="474"/>
      <c r="CB782" s="474"/>
      <c r="CC782" s="474"/>
      <c r="CD782" s="474"/>
      <c r="CE782" s="474"/>
      <c r="CF782" s="474"/>
      <c r="CG782" s="474"/>
      <c r="CH782" s="474"/>
      <c r="CI782" s="474"/>
      <c r="CJ782" s="474"/>
      <c r="CK782" s="474"/>
      <c r="CL782" s="474"/>
      <c r="CM782" s="474"/>
      <c r="CN782" s="474"/>
      <c r="CO782" s="474"/>
      <c r="CP782" s="474"/>
      <c r="CQ782" s="474"/>
      <c r="CR782"/>
      <c r="CS782"/>
      <c r="CT782"/>
      <c r="CU782"/>
      <c r="CV782"/>
      <c r="CW782"/>
    </row>
    <row r="783" spans="8:101" s="42" customFormat="1" outlineLevel="1">
      <c r="I783" s="587"/>
      <c r="J783" s="474"/>
      <c r="K783" s="474"/>
      <c r="L783" s="474"/>
      <c r="M783" s="474"/>
      <c r="N783" s="474"/>
      <c r="O783" s="474"/>
      <c r="P783" s="474"/>
      <c r="Q783" s="474"/>
      <c r="R783" s="474"/>
      <c r="S783" s="477"/>
      <c r="T783" s="477"/>
      <c r="U783" s="477"/>
      <c r="V783" s="477"/>
      <c r="W783" s="474"/>
      <c r="X783" s="474"/>
      <c r="Y783" s="474"/>
      <c r="Z783" s="474"/>
      <c r="AA783" s="474"/>
      <c r="AB783" s="474"/>
      <c r="AC783" s="474"/>
      <c r="AD783" s="474"/>
      <c r="AE783" s="474"/>
      <c r="AF783" s="474"/>
      <c r="AG783" s="474"/>
      <c r="AH783" s="474"/>
      <c r="AI783" s="474"/>
      <c r="AJ783" s="474"/>
      <c r="AK783" s="474"/>
      <c r="AL783" s="1743"/>
      <c r="AM783" s="474"/>
      <c r="AN783" s="474"/>
      <c r="AO783" s="474"/>
      <c r="AP783" s="1743"/>
      <c r="AQ783" s="474"/>
      <c r="AR783" s="474"/>
      <c r="AS783" s="474"/>
      <c r="AT783" s="1743"/>
      <c r="AU783" s="474"/>
      <c r="AV783" s="474"/>
      <c r="AW783" s="474"/>
      <c r="AX783" s="698"/>
      <c r="AY783" s="510"/>
      <c r="AZ783" s="510"/>
      <c r="BA783" s="510"/>
      <c r="BB783" s="698"/>
      <c r="BC783" s="510"/>
      <c r="BD783" s="510"/>
      <c r="BE783" s="510"/>
      <c r="BF783" s="698"/>
      <c r="BG783" s="705"/>
      <c r="BH783" s="705"/>
      <c r="BI783" s="510"/>
      <c r="BJ783" s="698"/>
      <c r="BK783" s="503"/>
      <c r="BL783" s="503"/>
      <c r="BM783" s="510"/>
      <c r="BN783" s="698"/>
      <c r="BO783" s="503"/>
      <c r="BP783" s="503"/>
      <c r="BQ783" s="510"/>
      <c r="BR783" s="477"/>
      <c r="BS783" s="474"/>
      <c r="BT783" s="474"/>
      <c r="BU783" s="474"/>
      <c r="BV783" s="474"/>
      <c r="BW783" s="474"/>
      <c r="BX783" s="474"/>
      <c r="BY783" s="474"/>
      <c r="BZ783" s="474"/>
      <c r="CA783" s="474"/>
      <c r="CB783" s="474"/>
      <c r="CC783" s="474"/>
      <c r="CD783" s="474"/>
      <c r="CE783" s="474"/>
      <c r="CF783" s="474"/>
      <c r="CG783" s="474"/>
      <c r="CH783" s="474"/>
      <c r="CI783" s="474"/>
      <c r="CJ783" s="474"/>
      <c r="CK783" s="474"/>
      <c r="CL783" s="474"/>
      <c r="CM783" s="474"/>
      <c r="CN783" s="474"/>
      <c r="CO783" s="474"/>
      <c r="CP783" s="474"/>
      <c r="CQ783" s="474"/>
      <c r="CR783"/>
      <c r="CS783"/>
      <c r="CT783"/>
      <c r="CU783"/>
      <c r="CV783"/>
      <c r="CW783"/>
    </row>
    <row r="784" spans="8:101" s="592" customFormat="1" outlineLevel="1">
      <c r="I784" s="587"/>
      <c r="J784" s="497" t="s">
        <v>227</v>
      </c>
      <c r="K784" s="497"/>
      <c r="L784" s="497"/>
      <c r="M784" s="657"/>
      <c r="N784" s="657"/>
      <c r="O784" s="657"/>
      <c r="P784" s="657"/>
      <c r="Q784" s="657"/>
      <c r="R784" s="657">
        <f t="shared" ref="R784:AD784" si="761">R376-R647</f>
        <v>-48.527999999999999</v>
      </c>
      <c r="S784" s="657">
        <f t="shared" si="761"/>
        <v>-1109.479</v>
      </c>
      <c r="T784" s="657">
        <f t="shared" si="761"/>
        <v>-1451.347</v>
      </c>
      <c r="U784" s="657">
        <f t="shared" si="761"/>
        <v>-1608.777</v>
      </c>
      <c r="V784" s="657">
        <f t="shared" si="761"/>
        <v>-1777.549</v>
      </c>
      <c r="W784" s="657">
        <f t="shared" si="761"/>
        <v>-1795.6839999999997</v>
      </c>
      <c r="X784" s="657">
        <f t="shared" si="761"/>
        <v>-1831.5976800000001</v>
      </c>
      <c r="Y784" s="657">
        <f t="shared" si="761"/>
        <v>-1868.2296335999999</v>
      </c>
      <c r="Z784" s="657">
        <f t="shared" si="761"/>
        <v>-1905.594226272</v>
      </c>
      <c r="AA784" s="657">
        <f t="shared" si="761"/>
        <v>-1905.594226272</v>
      </c>
      <c r="AB784" s="657">
        <f t="shared" si="761"/>
        <v>-1905.594226272</v>
      </c>
      <c r="AC784" s="657">
        <f t="shared" si="761"/>
        <v>-1905.594226272</v>
      </c>
      <c r="AD784" s="657">
        <f t="shared" si="761"/>
        <v>-1905.594226272</v>
      </c>
      <c r="AE784" s="497"/>
      <c r="AF784" s="497"/>
      <c r="AG784" s="497"/>
      <c r="AH784" s="497"/>
      <c r="AI784" s="497"/>
      <c r="AJ784" s="497"/>
      <c r="AK784" s="497"/>
      <c r="AL784" s="699"/>
      <c r="AM784" s="497"/>
      <c r="AN784" s="497"/>
      <c r="AO784" s="497"/>
      <c r="AP784" s="699"/>
      <c r="AQ784" s="497"/>
      <c r="AR784" s="497"/>
      <c r="AS784" s="497"/>
      <c r="AT784" s="699"/>
      <c r="AU784" s="497"/>
      <c r="AV784" s="497"/>
      <c r="AW784" s="497"/>
      <c r="AX784" s="699"/>
      <c r="AY784" s="499"/>
      <c r="AZ784" s="499"/>
      <c r="BA784" s="499"/>
      <c r="BB784" s="699"/>
      <c r="BC784" s="499"/>
      <c r="BD784" s="499"/>
      <c r="BE784" s="499"/>
      <c r="BF784" s="699"/>
      <c r="BG784" s="705"/>
      <c r="BH784" s="705"/>
      <c r="BI784" s="499"/>
      <c r="BJ784" s="699"/>
      <c r="BK784" s="497"/>
      <c r="BL784" s="497"/>
      <c r="BM784" s="499"/>
      <c r="BN784" s="699"/>
      <c r="BO784" s="497"/>
      <c r="BP784" s="497"/>
      <c r="BQ784" s="499"/>
      <c r="BR784" s="499"/>
      <c r="BS784" s="497"/>
      <c r="BT784" s="497"/>
      <c r="BU784" s="497"/>
      <c r="BV784" s="497"/>
      <c r="BW784" s="497"/>
      <c r="BX784" s="497"/>
      <c r="BY784" s="497"/>
      <c r="BZ784" s="497"/>
      <c r="CA784" s="497"/>
      <c r="CB784" s="497"/>
      <c r="CC784" s="497"/>
      <c r="CD784" s="497"/>
      <c r="CE784" s="497"/>
      <c r="CF784" s="497"/>
      <c r="CG784" s="497"/>
      <c r="CH784" s="497"/>
      <c r="CI784" s="497"/>
      <c r="CJ784" s="497"/>
      <c r="CK784" s="497"/>
      <c r="CL784" s="497"/>
      <c r="CM784" s="497"/>
      <c r="CN784" s="497"/>
      <c r="CO784" s="497"/>
      <c r="CP784" s="497"/>
      <c r="CQ784" s="497"/>
      <c r="CR784"/>
      <c r="CS784"/>
      <c r="CT784"/>
      <c r="CU784"/>
      <c r="CV784"/>
      <c r="CW784"/>
    </row>
    <row r="785" spans="1:236" s="42" customFormat="1" outlineLevel="1">
      <c r="I785" s="587"/>
      <c r="J785" s="497"/>
      <c r="K785" s="474"/>
      <c r="L785" s="474"/>
      <c r="M785" s="657"/>
      <c r="N785" s="657"/>
      <c r="O785" s="657"/>
      <c r="P785" s="657"/>
      <c r="Q785" s="657"/>
      <c r="R785" s="657"/>
      <c r="S785" s="657"/>
      <c r="T785" s="657"/>
      <c r="U785" s="657"/>
      <c r="V785" s="657"/>
      <c r="W785" s="657"/>
      <c r="X785" s="657"/>
      <c r="Y785" s="657"/>
      <c r="Z785" s="657"/>
      <c r="AA785" s="657"/>
      <c r="AB785" s="657"/>
      <c r="AC785" s="657"/>
      <c r="AD785" s="657"/>
      <c r="AE785" s="474"/>
      <c r="AF785" s="474"/>
      <c r="AG785" s="474"/>
      <c r="AH785" s="474"/>
      <c r="AI785" s="474"/>
      <c r="AJ785" s="474"/>
      <c r="AK785" s="474"/>
      <c r="AL785" s="1743"/>
      <c r="AM785" s="474"/>
      <c r="AN785" s="474"/>
      <c r="AO785" s="474"/>
      <c r="AP785" s="1743"/>
      <c r="AQ785" s="474"/>
      <c r="AR785" s="474"/>
      <c r="AS785" s="474"/>
      <c r="AT785" s="1743"/>
      <c r="AU785" s="474"/>
      <c r="AV785" s="474"/>
      <c r="AW785" s="474"/>
      <c r="AX785" s="699"/>
      <c r="AY785" s="499"/>
      <c r="AZ785" s="499"/>
      <c r="BA785" s="499"/>
      <c r="BB785" s="699"/>
      <c r="BC785" s="499"/>
      <c r="BD785" s="499"/>
      <c r="BE785" s="499"/>
      <c r="BF785" s="699"/>
      <c r="BG785" s="705"/>
      <c r="BH785" s="705"/>
      <c r="BI785" s="499"/>
      <c r="BJ785" s="699"/>
      <c r="BK785" s="497"/>
      <c r="BL785" s="497"/>
      <c r="BM785" s="499"/>
      <c r="BN785" s="699"/>
      <c r="BO785" s="497"/>
      <c r="BP785" s="497"/>
      <c r="BQ785" s="499"/>
      <c r="BR785" s="477"/>
      <c r="BS785" s="474"/>
      <c r="BT785" s="474"/>
      <c r="BU785" s="474"/>
      <c r="BV785" s="474"/>
      <c r="BW785" s="474"/>
      <c r="BX785" s="474"/>
      <c r="BY785" s="474"/>
      <c r="BZ785" s="474"/>
      <c r="CA785" s="474"/>
      <c r="CB785" s="474"/>
      <c r="CC785" s="474"/>
      <c r="CD785" s="474"/>
      <c r="CE785" s="474"/>
      <c r="CF785" s="474"/>
      <c r="CG785" s="474"/>
      <c r="CH785" s="474"/>
      <c r="CI785" s="474"/>
      <c r="CJ785" s="474"/>
      <c r="CK785" s="474"/>
      <c r="CL785" s="474"/>
      <c r="CM785" s="474"/>
      <c r="CN785" s="474"/>
      <c r="CO785" s="474"/>
      <c r="CP785" s="474"/>
      <c r="CQ785" s="474"/>
      <c r="CR785"/>
      <c r="CS785"/>
      <c r="CT785"/>
      <c r="CU785"/>
      <c r="CV785"/>
      <c r="CW785"/>
    </row>
    <row r="786" spans="1:236" s="42" customFormat="1" outlineLevel="1">
      <c r="I786" s="587"/>
      <c r="J786" s="497" t="s">
        <v>496</v>
      </c>
      <c r="K786" s="474"/>
      <c r="L786" s="474"/>
      <c r="M786" s="657"/>
      <c r="N786" s="657"/>
      <c r="O786" s="657"/>
      <c r="P786" s="657"/>
      <c r="Q786" s="657"/>
      <c r="R786" s="657">
        <f t="shared" ref="R786:AD786" si="762">R415-R784</f>
        <v>-711.47199999999998</v>
      </c>
      <c r="S786" s="657">
        <f t="shared" si="762"/>
        <v>-4150.5209999999997</v>
      </c>
      <c r="T786" s="657">
        <f t="shared" si="762"/>
        <v>-1425.653</v>
      </c>
      <c r="U786" s="657">
        <f t="shared" si="762"/>
        <v>-1827.1010000000001</v>
      </c>
      <c r="V786" s="657">
        <f t="shared" si="762"/>
        <v>-2437.241</v>
      </c>
      <c r="W786" s="657">
        <f t="shared" si="762"/>
        <v>-2947.739178270635</v>
      </c>
      <c r="X786" s="657">
        <f t="shared" si="762"/>
        <v>-3706.3447430037204</v>
      </c>
      <c r="Y786" s="657">
        <f t="shared" si="762"/>
        <v>-4332.7034770014689</v>
      </c>
      <c r="Z786" s="657">
        <f t="shared" si="762"/>
        <v>-4971.1539110323365</v>
      </c>
      <c r="AA786" s="657">
        <f t="shared" si="762"/>
        <v>-5365.9194628791474</v>
      </c>
      <c r="AB786" s="657">
        <f t="shared" si="762"/>
        <v>-5881.2293694868795</v>
      </c>
      <c r="AC786" s="657">
        <f t="shared" si="762"/>
        <v>-5339.3282180577144</v>
      </c>
      <c r="AD786" s="657">
        <f t="shared" si="762"/>
        <v>-5785.3289669306751</v>
      </c>
      <c r="AE786" s="474"/>
      <c r="AF786" s="474"/>
      <c r="AG786" s="474"/>
      <c r="AH786" s="474"/>
      <c r="AI786" s="474"/>
      <c r="AJ786" s="474"/>
      <c r="AK786" s="474"/>
      <c r="AL786" s="1743"/>
      <c r="AM786" s="474"/>
      <c r="AN786" s="474"/>
      <c r="AO786" s="474"/>
      <c r="AP786" s="1743"/>
      <c r="AQ786" s="474"/>
      <c r="AR786" s="474"/>
      <c r="AS786" s="474"/>
      <c r="AT786" s="1743"/>
      <c r="AU786" s="474"/>
      <c r="AV786" s="474"/>
      <c r="AW786" s="474"/>
      <c r="AX786" s="699"/>
      <c r="AY786" s="499"/>
      <c r="AZ786" s="499"/>
      <c r="BA786" s="499"/>
      <c r="BB786" s="699"/>
      <c r="BC786" s="499"/>
      <c r="BD786" s="499"/>
      <c r="BE786" s="499"/>
      <c r="BF786" s="699"/>
      <c r="BG786" s="705"/>
      <c r="BH786" s="705"/>
      <c r="BI786" s="499"/>
      <c r="BJ786" s="699"/>
      <c r="BK786" s="497"/>
      <c r="BL786" s="497"/>
      <c r="BM786" s="499"/>
      <c r="BN786" s="699"/>
      <c r="BO786" s="497"/>
      <c r="BP786" s="497"/>
      <c r="BQ786" s="499"/>
      <c r="BR786" s="477"/>
      <c r="BS786" s="474"/>
      <c r="BT786" s="474"/>
      <c r="BU786" s="474"/>
      <c r="BV786" s="474"/>
      <c r="BW786" s="474"/>
      <c r="BX786" s="474"/>
      <c r="BY786" s="474"/>
      <c r="BZ786" s="474"/>
      <c r="CA786" s="474"/>
      <c r="CB786" s="474"/>
      <c r="CC786" s="474"/>
      <c r="CD786" s="474"/>
      <c r="CE786" s="474"/>
      <c r="CF786" s="474"/>
      <c r="CG786" s="474"/>
      <c r="CH786" s="474"/>
      <c r="CI786" s="474"/>
      <c r="CJ786" s="474"/>
      <c r="CK786" s="474"/>
      <c r="CL786" s="474"/>
      <c r="CM786" s="474"/>
      <c r="CN786" s="474"/>
      <c r="CO786" s="474"/>
      <c r="CP786" s="474"/>
      <c r="CQ786" s="474"/>
      <c r="CR786"/>
      <c r="CS786"/>
      <c r="CT786"/>
      <c r="CU786"/>
      <c r="CV786"/>
      <c r="CW786"/>
    </row>
    <row r="787" spans="1:236" s="42" customFormat="1" outlineLevel="1">
      <c r="I787" s="587"/>
      <c r="J787" s="497"/>
      <c r="K787" s="474"/>
      <c r="L787" s="474"/>
      <c r="M787" s="474"/>
      <c r="N787" s="498"/>
      <c r="O787" s="498"/>
      <c r="P787" s="498"/>
      <c r="Q787" s="498"/>
      <c r="R787" s="498"/>
      <c r="S787" s="659"/>
      <c r="T787" s="659"/>
      <c r="U787" s="659"/>
      <c r="V787" s="659"/>
      <c r="W787" s="498"/>
      <c r="X787" s="498"/>
      <c r="Y787" s="498"/>
      <c r="Z787" s="498"/>
      <c r="AA787" s="498"/>
      <c r="AB787" s="498"/>
      <c r="AC787" s="498"/>
      <c r="AD787" s="498"/>
      <c r="AE787" s="474"/>
      <c r="AF787" s="474"/>
      <c r="AG787" s="474"/>
      <c r="AH787" s="474"/>
      <c r="AI787" s="474"/>
      <c r="AJ787" s="474"/>
      <c r="AK787" s="474"/>
      <c r="AL787" s="1743"/>
      <c r="AM787" s="474"/>
      <c r="AN787" s="474"/>
      <c r="AO787" s="474"/>
      <c r="AP787" s="1743"/>
      <c r="AQ787" s="474"/>
      <c r="AR787" s="474"/>
      <c r="AS787" s="474"/>
      <c r="AT787" s="1743"/>
      <c r="AU787" s="474"/>
      <c r="AV787" s="474"/>
      <c r="AW787" s="474"/>
      <c r="AX787" s="699"/>
      <c r="AY787" s="499"/>
      <c r="AZ787" s="499"/>
      <c r="BA787" s="499"/>
      <c r="BB787" s="699"/>
      <c r="BC787" s="499"/>
      <c r="BD787" s="499"/>
      <c r="BE787" s="499"/>
      <c r="BF787" s="699"/>
      <c r="BG787" s="705"/>
      <c r="BH787" s="705"/>
      <c r="BI787" s="499"/>
      <c r="BJ787" s="699"/>
      <c r="BK787" s="497"/>
      <c r="BL787" s="497"/>
      <c r="BM787" s="499"/>
      <c r="BN787" s="699"/>
      <c r="BO787" s="497"/>
      <c r="BP787" s="497"/>
      <c r="BQ787" s="499"/>
      <c r="BR787" s="477"/>
      <c r="BS787" s="474"/>
      <c r="BT787" s="474"/>
      <c r="BU787" s="474"/>
      <c r="BV787" s="474"/>
      <c r="BW787" s="474"/>
      <c r="BX787" s="474"/>
      <c r="BY787" s="474"/>
      <c r="BZ787" s="474"/>
      <c r="CA787" s="474"/>
      <c r="CB787" s="474"/>
      <c r="CC787" s="474"/>
      <c r="CD787" s="474"/>
      <c r="CE787" s="474"/>
      <c r="CF787" s="474"/>
      <c r="CG787" s="474"/>
      <c r="CH787" s="474"/>
      <c r="CI787" s="474"/>
      <c r="CJ787" s="474"/>
      <c r="CK787" s="474"/>
      <c r="CL787" s="474"/>
      <c r="CM787" s="474"/>
      <c r="CN787" s="474"/>
      <c r="CO787" s="474"/>
      <c r="CP787" s="474"/>
      <c r="CQ787" s="474"/>
      <c r="CR787"/>
      <c r="CS787"/>
      <c r="CT787"/>
      <c r="CU787"/>
      <c r="CV787"/>
      <c r="CW787"/>
    </row>
    <row r="788" spans="1:236" s="474" customFormat="1" outlineLevel="1">
      <c r="A788" s="381"/>
      <c r="B788" s="290"/>
      <c r="C788" s="290"/>
      <c r="D788" s="290"/>
      <c r="E788" s="603"/>
      <c r="F788" s="603"/>
      <c r="G788" s="603"/>
      <c r="H788" s="603"/>
      <c r="I788" s="990"/>
      <c r="J788" s="1096" t="s">
        <v>500</v>
      </c>
      <c r="K788" s="991"/>
      <c r="L788" s="991"/>
      <c r="M788" s="991"/>
      <c r="N788" s="991"/>
      <c r="O788" s="992"/>
      <c r="P788" s="992"/>
      <c r="Q788" s="992"/>
      <c r="R788" s="992"/>
      <c r="S788" s="992"/>
      <c r="T788" s="992"/>
      <c r="U788" s="992"/>
      <c r="V788" s="993"/>
      <c r="W788" s="496"/>
      <c r="X788" s="496"/>
      <c r="Y788" s="496"/>
      <c r="Z788" s="496"/>
      <c r="AA788" s="496"/>
      <c r="AB788" s="994"/>
      <c r="AC788" s="496"/>
      <c r="AD788" s="496"/>
      <c r="AF788" s="496"/>
      <c r="AH788" s="496"/>
      <c r="AI788" s="496"/>
      <c r="AJ788" s="496"/>
      <c r="AK788" s="496"/>
      <c r="AL788" s="995"/>
      <c r="AM788" s="496"/>
      <c r="AN788" s="496"/>
      <c r="AO788" s="494"/>
      <c r="AP788" s="1767"/>
      <c r="AQ788" s="494"/>
      <c r="AR788" s="494"/>
      <c r="AS788" s="494"/>
      <c r="AT788" s="1753"/>
      <c r="AU788" s="494"/>
      <c r="AV788" s="494"/>
      <c r="AW788" s="496"/>
      <c r="AX788" s="995"/>
      <c r="AY788" s="993"/>
      <c r="AZ788" s="993"/>
      <c r="BA788" s="993"/>
      <c r="BB788" s="995"/>
      <c r="BC788" s="993"/>
      <c r="BD788" s="993"/>
      <c r="BE788" s="993"/>
      <c r="BF788" s="995"/>
      <c r="BG788" s="550"/>
      <c r="BH788" s="550"/>
      <c r="BI788" s="993"/>
      <c r="BJ788" s="995"/>
      <c r="BK788" s="496"/>
      <c r="BL788" s="496"/>
      <c r="BM788" s="993"/>
      <c r="BN788" s="995"/>
      <c r="BO788" s="496"/>
      <c r="BP788" s="496"/>
      <c r="BQ788" s="993"/>
      <c r="BR788" s="477"/>
      <c r="CI788" s="497"/>
      <c r="CJ788" s="497"/>
      <c r="CK788" s="497"/>
      <c r="CL788" s="497"/>
      <c r="CM788" s="497"/>
      <c r="CN788" s="497"/>
      <c r="CR788"/>
      <c r="CS788"/>
      <c r="CT788"/>
      <c r="CU788"/>
      <c r="CV788"/>
      <c r="CW788"/>
    </row>
    <row r="789" spans="1:236" s="382" customFormat="1" outlineLevel="1">
      <c r="I789" s="597"/>
      <c r="J789" s="505" t="s">
        <v>207</v>
      </c>
      <c r="K789" s="506"/>
      <c r="L789" s="506"/>
      <c r="M789" s="506"/>
      <c r="N789" s="507">
        <f t="shared" ref="N789:AD789" si="763">N797</f>
        <v>140</v>
      </c>
      <c r="O789" s="507">
        <f t="shared" si="763"/>
        <v>414</v>
      </c>
      <c r="P789" s="507">
        <f t="shared" si="763"/>
        <v>1152.4310000000005</v>
      </c>
      <c r="Q789" s="507">
        <f t="shared" si="763"/>
        <v>3482.1339999999982</v>
      </c>
      <c r="R789" s="507">
        <f t="shared" si="763"/>
        <v>6844</v>
      </c>
      <c r="S789" s="507">
        <f t="shared" si="763"/>
        <v>13371</v>
      </c>
      <c r="T789" s="507">
        <f t="shared" si="763"/>
        <v>24279</v>
      </c>
      <c r="U789" s="507">
        <f t="shared" si="763"/>
        <v>35355.310000000027</v>
      </c>
      <c r="V789" s="507">
        <f t="shared" si="763"/>
        <v>50814.922999999952</v>
      </c>
      <c r="W789" s="507">
        <f t="shared" si="763"/>
        <v>66411.364479886019</v>
      </c>
      <c r="X789" s="507">
        <f t="shared" si="763"/>
        <v>85369.658754962729</v>
      </c>
      <c r="Y789" s="507">
        <f t="shared" si="763"/>
        <v>106707.95044845808</v>
      </c>
      <c r="Z789" s="507">
        <f t="shared" si="763"/>
        <v>125852.47033754922</v>
      </c>
      <c r="AA789" s="507">
        <f t="shared" si="763"/>
        <v>139819.90642742603</v>
      </c>
      <c r="AB789" s="507">
        <f t="shared" si="763"/>
        <v>155186.97091657447</v>
      </c>
      <c r="AC789" s="507">
        <f t="shared" si="763"/>
        <v>170831.44857276569</v>
      </c>
      <c r="AD789" s="507">
        <f t="shared" si="763"/>
        <v>189262.03107356117</v>
      </c>
      <c r="AE789" s="506"/>
      <c r="AF789" s="506"/>
      <c r="AG789" s="506"/>
      <c r="AH789" s="506"/>
      <c r="AI789" s="506"/>
      <c r="AJ789" s="506"/>
      <c r="AK789" s="506"/>
      <c r="AL789" s="529"/>
      <c r="AM789" s="506"/>
      <c r="AN789" s="506"/>
      <c r="AO789" s="506"/>
      <c r="AP789" s="529"/>
      <c r="AQ789" s="506"/>
      <c r="AR789" s="506"/>
      <c r="AS789" s="506"/>
      <c r="AT789" s="529"/>
      <c r="AU789" s="506"/>
      <c r="AV789" s="506"/>
      <c r="AW789" s="506"/>
      <c r="AX789" s="529"/>
      <c r="AY789" s="506"/>
      <c r="AZ789" s="506"/>
      <c r="BA789" s="506"/>
      <c r="BB789" s="529"/>
      <c r="BC789" s="506"/>
      <c r="BD789" s="506"/>
      <c r="BE789" s="506"/>
      <c r="BF789" s="529"/>
      <c r="BG789" s="791"/>
      <c r="BH789" s="791"/>
      <c r="BI789" s="506"/>
      <c r="BJ789" s="529"/>
      <c r="BK789" s="506"/>
      <c r="BL789" s="506"/>
      <c r="BM789" s="506"/>
      <c r="BN789" s="529"/>
      <c r="BO789" s="506"/>
      <c r="BP789" s="506"/>
      <c r="BQ789" s="506"/>
      <c r="BR789" s="506"/>
      <c r="BS789" s="506"/>
      <c r="BT789" s="506"/>
      <c r="BU789" s="506"/>
      <c r="BV789" s="506"/>
      <c r="BW789" s="506"/>
      <c r="BX789" s="506"/>
      <c r="BY789" s="506"/>
      <c r="BZ789" s="506"/>
      <c r="CA789" s="506"/>
      <c r="CB789" s="506"/>
      <c r="CC789" s="506"/>
      <c r="CD789" s="506"/>
      <c r="CE789" s="506"/>
      <c r="CF789" s="506"/>
      <c r="CG789" s="506"/>
      <c r="CH789" s="506"/>
      <c r="CI789" s="506"/>
      <c r="CJ789" s="506"/>
      <c r="CK789" s="506"/>
      <c r="CL789" s="506"/>
      <c r="CM789" s="506"/>
      <c r="CN789" s="506"/>
      <c r="CO789" s="506"/>
      <c r="CP789" s="506"/>
      <c r="CQ789" s="506"/>
      <c r="CR789"/>
      <c r="CS789"/>
      <c r="CT789"/>
      <c r="CU789"/>
      <c r="CV789"/>
      <c r="CW789"/>
    </row>
    <row r="790" spans="1:236" s="382" customFormat="1" outlineLevel="1">
      <c r="I790" s="597"/>
      <c r="J790" s="505" t="s">
        <v>197</v>
      </c>
      <c r="K790" s="506"/>
      <c r="L790" s="506"/>
      <c r="M790" s="506"/>
      <c r="N790" s="507">
        <f t="shared" ref="N790:AD790" si="764">N454</f>
        <v>-86</v>
      </c>
      <c r="O790" s="507">
        <f t="shared" si="764"/>
        <v>-404</v>
      </c>
      <c r="P790" s="507">
        <f t="shared" si="764"/>
        <v>-1332.6049999999996</v>
      </c>
      <c r="Q790" s="507">
        <f t="shared" si="764"/>
        <v>-1724.8270000000018</v>
      </c>
      <c r="R790" s="507">
        <f t="shared" si="764"/>
        <v>-305.22699999999998</v>
      </c>
      <c r="S790" s="507">
        <f t="shared" si="764"/>
        <v>-465.7940000000001</v>
      </c>
      <c r="T790" s="507">
        <f t="shared" si="764"/>
        <v>-4451.7179999999998</v>
      </c>
      <c r="U790" s="507">
        <f t="shared" si="764"/>
        <v>1599.0700000000284</v>
      </c>
      <c r="V790" s="507">
        <f t="shared" si="764"/>
        <v>2885.5959999999513</v>
      </c>
      <c r="W790" s="507">
        <f t="shared" si="764"/>
        <v>4105.7775803415234</v>
      </c>
      <c r="X790" s="507">
        <f t="shared" si="764"/>
        <v>10634.946285766298</v>
      </c>
      <c r="Y790" s="507">
        <f t="shared" si="764"/>
        <v>18597.159352793416</v>
      </c>
      <c r="Z790" s="507">
        <f t="shared" si="764"/>
        <v>27500.415459934356</v>
      </c>
      <c r="AA790" s="507">
        <f t="shared" si="764"/>
        <v>35993.888192507919</v>
      </c>
      <c r="AB790" s="507">
        <f t="shared" si="764"/>
        <v>45694.706721782415</v>
      </c>
      <c r="AC790" s="507">
        <f t="shared" si="764"/>
        <v>56397.11289839603</v>
      </c>
      <c r="AD790" s="507">
        <f t="shared" si="764"/>
        <v>65515.246281534397</v>
      </c>
      <c r="AE790" s="506"/>
      <c r="AF790" s="506"/>
      <c r="AG790" s="506"/>
      <c r="AH790" s="506"/>
      <c r="AI790" s="506"/>
      <c r="AJ790" s="506"/>
      <c r="AK790" s="506"/>
      <c r="AL790" s="529"/>
      <c r="AM790" s="506"/>
      <c r="AN790" s="506"/>
      <c r="AO790" s="506"/>
      <c r="AP790" s="529"/>
      <c r="AQ790" s="506"/>
      <c r="AR790" s="506"/>
      <c r="AS790" s="506"/>
      <c r="AT790" s="529"/>
      <c r="AU790" s="506"/>
      <c r="AV790" s="506"/>
      <c r="AW790" s="506"/>
      <c r="AX790" s="529"/>
      <c r="AY790" s="506"/>
      <c r="AZ790" s="506"/>
      <c r="BA790" s="506"/>
      <c r="BB790" s="529"/>
      <c r="BC790" s="506"/>
      <c r="BD790" s="506"/>
      <c r="BE790" s="506"/>
      <c r="BF790" s="529"/>
      <c r="BG790" s="791"/>
      <c r="BH790" s="791"/>
      <c r="BI790" s="506"/>
      <c r="BJ790" s="529"/>
      <c r="BK790" s="506"/>
      <c r="BL790" s="506"/>
      <c r="BM790" s="506"/>
      <c r="BN790" s="529"/>
      <c r="BO790" s="506"/>
      <c r="BP790" s="506"/>
      <c r="BQ790" s="506"/>
      <c r="BR790" s="506"/>
      <c r="BS790" s="506"/>
      <c r="BT790" s="506"/>
      <c r="BU790" s="506"/>
      <c r="BV790" s="506"/>
      <c r="BW790" s="506"/>
      <c r="BX790" s="506"/>
      <c r="BY790" s="506"/>
      <c r="BZ790" s="506"/>
      <c r="CA790" s="506"/>
      <c r="CB790" s="506"/>
      <c r="CC790" s="506"/>
      <c r="CD790" s="506"/>
      <c r="CE790" s="506"/>
      <c r="CF790" s="506"/>
      <c r="CG790" s="506"/>
      <c r="CH790" s="506"/>
      <c r="CI790" s="506"/>
      <c r="CJ790" s="506"/>
      <c r="CK790" s="506"/>
      <c r="CL790" s="506"/>
      <c r="CM790" s="506"/>
      <c r="CN790" s="506"/>
      <c r="CO790" s="506"/>
      <c r="CP790" s="506"/>
      <c r="CQ790" s="506"/>
      <c r="CR790"/>
      <c r="CS790"/>
      <c r="CT790"/>
      <c r="CU790"/>
      <c r="CV790"/>
      <c r="CW790"/>
    </row>
    <row r="791" spans="1:236" s="382" customFormat="1" outlineLevel="1">
      <c r="I791" s="597"/>
      <c r="J791" s="505" t="s">
        <v>498</v>
      </c>
      <c r="K791" s="506"/>
      <c r="L791" s="506"/>
      <c r="M791" s="506"/>
      <c r="N791" s="507">
        <f t="shared" ref="N791:AD791" si="765">N456</f>
        <v>-86</v>
      </c>
      <c r="O791" s="507">
        <f t="shared" si="765"/>
        <v>-404</v>
      </c>
      <c r="P791" s="507">
        <f t="shared" si="765"/>
        <v>-1258.6589999999997</v>
      </c>
      <c r="Q791" s="507">
        <f t="shared" si="765"/>
        <v>-1539.0970000000018</v>
      </c>
      <c r="R791" s="507">
        <f t="shared" si="765"/>
        <v>-12.085999999999956</v>
      </c>
      <c r="S791" s="507">
        <f t="shared" si="765"/>
        <v>1184.7389999999998</v>
      </c>
      <c r="T791" s="507">
        <f t="shared" si="765"/>
        <v>-1832.6569999999997</v>
      </c>
      <c r="U791" s="507">
        <f t="shared" si="765"/>
        <v>3410.5820000000285</v>
      </c>
      <c r="V791" s="507">
        <f t="shared" si="765"/>
        <v>5300.7629999999517</v>
      </c>
      <c r="W791" s="507">
        <f t="shared" ca="1" si="765"/>
        <v>8085.3286497015297</v>
      </c>
      <c r="X791" s="507">
        <f t="shared" ca="1" si="765"/>
        <v>15114.918921376211</v>
      </c>
      <c r="Y791" s="507">
        <f t="shared" ca="1" si="765"/>
        <v>23061.355205442967</v>
      </c>
      <c r="Z791" s="507">
        <f t="shared" ca="1" si="765"/>
        <v>31854.249029750266</v>
      </c>
      <c r="AA791" s="507">
        <f t="shared" ca="1" si="765"/>
        <v>40306.419175081697</v>
      </c>
      <c r="AB791" s="507">
        <f t="shared" ca="1" si="765"/>
        <v>50365.243904088755</v>
      </c>
      <c r="AC791" s="507">
        <f t="shared" ca="1" si="765"/>
        <v>61401.420899303703</v>
      </c>
      <c r="AD791" s="507">
        <f t="shared" ca="1" si="765"/>
        <v>70780.264720856299</v>
      </c>
      <c r="AE791" s="506"/>
      <c r="AF791" s="506"/>
      <c r="AG791" s="506"/>
      <c r="AH791" s="506"/>
      <c r="AI791" s="506"/>
      <c r="AJ791" s="506"/>
      <c r="AK791" s="506"/>
      <c r="AL791" s="529"/>
      <c r="AM791" s="506"/>
      <c r="AN791" s="506"/>
      <c r="AO791" s="506"/>
      <c r="AP791" s="529"/>
      <c r="AQ791" s="506"/>
      <c r="AR791" s="506"/>
      <c r="AS791" s="506"/>
      <c r="AT791" s="529"/>
      <c r="AU791" s="506"/>
      <c r="AV791" s="506"/>
      <c r="AW791" s="506"/>
      <c r="AX791" s="529"/>
      <c r="AY791" s="506"/>
      <c r="AZ791" s="506"/>
      <c r="BA791" s="506"/>
      <c r="BB791" s="529"/>
      <c r="BC791" s="506"/>
      <c r="BD791" s="506"/>
      <c r="BE791" s="506"/>
      <c r="BF791" s="529"/>
      <c r="BG791" s="791"/>
      <c r="BH791" s="791"/>
      <c r="BI791" s="506"/>
      <c r="BJ791" s="529"/>
      <c r="BK791" s="506"/>
      <c r="BL791" s="506"/>
      <c r="BM791" s="506"/>
      <c r="BN791" s="529"/>
      <c r="BO791" s="506"/>
      <c r="BP791" s="506"/>
      <c r="BQ791" s="506"/>
      <c r="BR791" s="506"/>
      <c r="BS791" s="506"/>
      <c r="BT791" s="506"/>
      <c r="BU791" s="506"/>
      <c r="BV791" s="506"/>
      <c r="BW791" s="506"/>
      <c r="BX791" s="506"/>
      <c r="BY791" s="506"/>
      <c r="BZ791" s="506"/>
      <c r="CA791" s="506"/>
      <c r="CB791" s="506"/>
      <c r="CC791" s="506"/>
      <c r="CD791" s="506"/>
      <c r="CE791" s="506"/>
      <c r="CF791" s="506"/>
      <c r="CG791" s="506"/>
      <c r="CH791" s="506"/>
      <c r="CI791" s="506"/>
      <c r="CJ791" s="506"/>
      <c r="CK791" s="506"/>
      <c r="CL791" s="506"/>
      <c r="CM791" s="506"/>
      <c r="CN791" s="506"/>
      <c r="CO791" s="506"/>
      <c r="CP791" s="506"/>
      <c r="CQ791" s="506"/>
      <c r="CR791"/>
      <c r="CS791"/>
      <c r="CT791"/>
      <c r="CU791"/>
      <c r="CV791"/>
      <c r="CW791"/>
    </row>
    <row r="792" spans="1:236" s="382" customFormat="1" outlineLevel="1">
      <c r="I792" s="597"/>
      <c r="J792" s="505" t="s">
        <v>480</v>
      </c>
      <c r="K792" s="506"/>
      <c r="L792" s="506"/>
      <c r="M792" s="506"/>
      <c r="N792" s="507">
        <f t="shared" ref="N792:AD792" si="766">N458</f>
        <v>-270</v>
      </c>
      <c r="O792" s="507">
        <f t="shared" si="766"/>
        <v>-1149</v>
      </c>
      <c r="P792" s="507">
        <f t="shared" si="766"/>
        <v>-2873.1259999999993</v>
      </c>
      <c r="Q792" s="507">
        <f t="shared" si="766"/>
        <v>-3089.9610000000002</v>
      </c>
      <c r="R792" s="507">
        <f t="shared" si="766"/>
        <v>-2211.5530000000003</v>
      </c>
      <c r="S792" s="507">
        <f t="shared" si="766"/>
        <v>-7617.4340000000002</v>
      </c>
      <c r="T792" s="507">
        <f t="shared" si="766"/>
        <v>-987.69800000000032</v>
      </c>
      <c r="U792" s="507">
        <f t="shared" si="766"/>
        <v>2068.4040000000286</v>
      </c>
      <c r="V792" s="507">
        <f t="shared" si="766"/>
        <v>4968.3799999999519</v>
      </c>
      <c r="W792" s="507">
        <f t="shared" si="766"/>
        <v>6863.2092049367884</v>
      </c>
      <c r="X792" s="507">
        <f t="shared" ca="1" si="766"/>
        <v>12884.448945902537</v>
      </c>
      <c r="Y792" s="507">
        <f t="shared" ca="1" si="766"/>
        <v>20415.114365630379</v>
      </c>
      <c r="Z792" s="507">
        <f t="shared" ca="1" si="766"/>
        <v>29451.962281059936</v>
      </c>
      <c r="AA792" s="507">
        <f t="shared" ca="1" si="766"/>
        <v>38139.397881266712</v>
      </c>
      <c r="AB792" s="507">
        <f t="shared" ca="1" si="766"/>
        <v>47867.801976011746</v>
      </c>
      <c r="AC792" s="507">
        <f t="shared" ca="1" si="766"/>
        <v>58854.897109031226</v>
      </c>
      <c r="AD792" s="507">
        <f t="shared" ca="1" si="766"/>
        <v>69074.939239065628</v>
      </c>
      <c r="AE792" s="506"/>
      <c r="AF792" s="506"/>
      <c r="AG792" s="506"/>
      <c r="AH792" s="506"/>
      <c r="AI792" s="506"/>
      <c r="AJ792" s="506"/>
      <c r="AK792" s="506"/>
      <c r="AL792" s="529"/>
      <c r="AM792" s="506"/>
      <c r="AN792" s="506"/>
      <c r="AO792" s="506"/>
      <c r="AP792" s="529"/>
      <c r="AQ792" s="506"/>
      <c r="AR792" s="506"/>
      <c r="AS792" s="506"/>
      <c r="AT792" s="529"/>
      <c r="AU792" s="506"/>
      <c r="AV792" s="506"/>
      <c r="AW792" s="506"/>
      <c r="AX792" s="529"/>
      <c r="AY792" s="506"/>
      <c r="AZ792" s="506"/>
      <c r="BA792" s="506"/>
      <c r="BB792" s="529"/>
      <c r="BC792" s="506"/>
      <c r="BD792" s="506"/>
      <c r="BE792" s="506"/>
      <c r="BF792" s="529"/>
      <c r="BG792" s="506"/>
      <c r="BH792" s="506"/>
      <c r="BI792" s="506"/>
      <c r="BJ792" s="529"/>
      <c r="BK792" s="506"/>
      <c r="BL792" s="506"/>
      <c r="BM792" s="506"/>
      <c r="BN792" s="529"/>
      <c r="BO792" s="506"/>
      <c r="BP792" s="506"/>
      <c r="BQ792" s="506"/>
      <c r="BR792" s="506"/>
      <c r="BS792" s="506"/>
      <c r="BT792" s="506"/>
      <c r="BU792" s="506"/>
      <c r="BV792" s="506"/>
      <c r="BW792" s="506"/>
      <c r="BX792" s="506"/>
      <c r="BY792" s="506"/>
      <c r="BZ792" s="506"/>
      <c r="CA792" s="506"/>
      <c r="CB792" s="506"/>
      <c r="CC792" s="506"/>
      <c r="CD792" s="506"/>
      <c r="CE792" s="506"/>
      <c r="CF792" s="506"/>
      <c r="CG792" s="506"/>
      <c r="CH792" s="506"/>
      <c r="CI792" s="506"/>
      <c r="CJ792" s="506"/>
      <c r="CK792" s="506"/>
      <c r="CL792" s="506"/>
      <c r="CM792" s="506"/>
      <c r="CN792" s="506"/>
      <c r="CO792" s="506"/>
      <c r="CP792" s="506"/>
      <c r="CQ792" s="506"/>
      <c r="CR792"/>
      <c r="CS792"/>
      <c r="CT792"/>
      <c r="CU792"/>
      <c r="CV792"/>
      <c r="CW792"/>
    </row>
    <row r="793" spans="1:236" s="382" customFormat="1" outlineLevel="1">
      <c r="I793" s="597"/>
      <c r="J793" s="505" t="s">
        <v>499</v>
      </c>
      <c r="K793" s="506"/>
      <c r="L793" s="506"/>
      <c r="M793" s="506"/>
      <c r="N793" s="508">
        <f t="shared" ref="N793:AD793" si="767">N473</f>
        <v>-0.70952370278241295</v>
      </c>
      <c r="O793" s="508">
        <f t="shared" si="767"/>
        <v>-1.342532034111297</v>
      </c>
      <c r="P793" s="508">
        <f t="shared" si="767"/>
        <v>-2.1719375934762488</v>
      </c>
      <c r="Q793" s="508">
        <f t="shared" si="767"/>
        <v>-2.0280128114769762</v>
      </c>
      <c r="R793" s="508">
        <f t="shared" si="767"/>
        <v>-1.3051398424623784</v>
      </c>
      <c r="S793" s="508">
        <f t="shared" si="767"/>
        <v>-6.2962631422257118</v>
      </c>
      <c r="T793" s="508">
        <f t="shared" si="767"/>
        <v>-0.72225646022801948</v>
      </c>
      <c r="U793" s="508">
        <f t="shared" si="767"/>
        <v>1.4749198507684262</v>
      </c>
      <c r="V793" s="508">
        <f t="shared" si="767"/>
        <v>3.4129794584301303</v>
      </c>
      <c r="W793" s="508">
        <f t="shared" si="767"/>
        <v>4.5772947802208108</v>
      </c>
      <c r="X793" s="508">
        <f t="shared" ca="1" si="767"/>
        <v>8.3427699677003826</v>
      </c>
      <c r="Y793" s="508">
        <f t="shared" ca="1" si="767"/>
        <v>12.833910685729377</v>
      </c>
      <c r="Z793" s="508">
        <f t="shared" ca="1" si="767"/>
        <v>17.975633563084912</v>
      </c>
      <c r="AA793" s="508">
        <f t="shared" ca="1" si="767"/>
        <v>22.599903171330034</v>
      </c>
      <c r="AB793" s="508">
        <f t="shared" ca="1" si="767"/>
        <v>27.538419225090731</v>
      </c>
      <c r="AC793" s="508">
        <f t="shared" ca="1" si="767"/>
        <v>32.873118206825147</v>
      </c>
      <c r="AD793" s="508">
        <f t="shared" ca="1" si="767"/>
        <v>37.45774109020995</v>
      </c>
      <c r="AE793" s="506"/>
      <c r="AF793" s="506"/>
      <c r="AG793" s="506"/>
      <c r="AH793" s="506"/>
      <c r="AI793" s="506"/>
      <c r="AJ793" s="506"/>
      <c r="AK793" s="506"/>
      <c r="AL793" s="529"/>
      <c r="AM793" s="506"/>
      <c r="AN793" s="506"/>
      <c r="AO793" s="506"/>
      <c r="AP793" s="529"/>
      <c r="AQ793" s="506"/>
      <c r="AR793" s="506"/>
      <c r="AS793" s="506"/>
      <c r="AT793" s="529"/>
      <c r="AU793" s="506"/>
      <c r="AV793" s="506"/>
      <c r="AW793" s="506"/>
      <c r="AX793" s="700">
        <f t="shared" ref="AX793:BQ793" si="768">AX473</f>
        <v>-1.308771664358132</v>
      </c>
      <c r="AY793" s="508">
        <f t="shared" si="768"/>
        <v>-5.383855927341779</v>
      </c>
      <c r="AZ793" s="508">
        <f t="shared" si="768"/>
        <v>0.27218571777786399</v>
      </c>
      <c r="BA793" s="508">
        <f t="shared" si="768"/>
        <v>6.152851333433642E-2</v>
      </c>
      <c r="BB793" s="700">
        <f t="shared" si="768"/>
        <v>-0.15049809730233413</v>
      </c>
      <c r="BC793" s="508">
        <f t="shared" si="768"/>
        <v>-1.1490260625787665E-2</v>
      </c>
      <c r="BD793" s="508">
        <f t="shared" si="768"/>
        <v>1.9765057825371669E-2</v>
      </c>
      <c r="BE793" s="508">
        <f t="shared" si="768"/>
        <v>-0.47957201038546865</v>
      </c>
      <c r="BF793" s="700">
        <f t="shared" si="768"/>
        <v>8.1428567717839684E-2</v>
      </c>
      <c r="BG793" s="508">
        <f t="shared" si="768"/>
        <v>0.51881344995101453</v>
      </c>
      <c r="BH793" s="508">
        <f t="shared" si="768"/>
        <v>0.33216452839407007</v>
      </c>
      <c r="BI793" s="508">
        <f t="shared" si="768"/>
        <v>0.54251330470550196</v>
      </c>
      <c r="BJ793" s="700">
        <f t="shared" si="768"/>
        <v>0.95973687078001291</v>
      </c>
      <c r="BK793" s="508">
        <f t="shared" si="768"/>
        <v>0.61946178868832302</v>
      </c>
      <c r="BL793" s="508">
        <f t="shared" si="768"/>
        <v>1.5183971987012339</v>
      </c>
      <c r="BM793" s="508">
        <f t="shared" si="768"/>
        <v>0.31538360026056056</v>
      </c>
      <c r="BN793" s="700">
        <f t="shared" si="768"/>
        <v>0.49762784213972316</v>
      </c>
      <c r="BO793" s="508">
        <f t="shared" si="768"/>
        <v>0.80105430131367217</v>
      </c>
      <c r="BP793" s="508">
        <f t="shared" si="768"/>
        <v>0.97527140366042964</v>
      </c>
      <c r="BQ793" s="508">
        <f t="shared" si="768"/>
        <v>2.3033412331070044</v>
      </c>
      <c r="BR793" s="506"/>
      <c r="BS793" s="506"/>
      <c r="BT793" s="506"/>
      <c r="BU793" s="506"/>
      <c r="BV793" s="506"/>
      <c r="BW793" s="506"/>
      <c r="BX793" s="506"/>
      <c r="BY793" s="506"/>
      <c r="BZ793" s="506"/>
      <c r="CA793" s="506"/>
      <c r="CB793" s="506"/>
      <c r="CC793" s="506"/>
      <c r="CD793" s="506"/>
      <c r="CE793" s="506"/>
      <c r="CF793" s="506"/>
      <c r="CG793" s="506"/>
      <c r="CH793" s="506"/>
      <c r="CI793" s="506"/>
      <c r="CJ793" s="506"/>
      <c r="CK793" s="506"/>
      <c r="CL793" s="506"/>
      <c r="CM793" s="506"/>
      <c r="CN793" s="506"/>
      <c r="CO793" s="506"/>
      <c r="CP793" s="506"/>
      <c r="CQ793" s="506"/>
      <c r="CR793"/>
      <c r="CS793"/>
      <c r="CT793"/>
      <c r="CU793"/>
      <c r="CV793"/>
      <c r="CW793"/>
    </row>
    <row r="794" spans="1:236" s="382" customFormat="1" outlineLevel="1">
      <c r="I794" s="597"/>
      <c r="J794" s="506"/>
      <c r="K794" s="506"/>
      <c r="L794" s="506"/>
      <c r="M794" s="506"/>
      <c r="N794" s="506"/>
      <c r="O794" s="506"/>
      <c r="P794" s="506"/>
      <c r="Q794" s="506"/>
      <c r="R794" s="506"/>
      <c r="S794" s="506"/>
      <c r="T794" s="506"/>
      <c r="U794" s="506"/>
      <c r="V794" s="506"/>
      <c r="W794" s="506"/>
      <c r="X794" s="506"/>
      <c r="Y794" s="506"/>
      <c r="Z794" s="506"/>
      <c r="AA794" s="506"/>
      <c r="AB794" s="506"/>
      <c r="AC794" s="506"/>
      <c r="AD794" s="506"/>
      <c r="AE794" s="506"/>
      <c r="AF794" s="506"/>
      <c r="AG794" s="506"/>
      <c r="AH794" s="506"/>
      <c r="AI794" s="506"/>
      <c r="AJ794" s="506"/>
      <c r="AK794" s="506"/>
      <c r="AL794" s="529"/>
      <c r="AM794" s="506"/>
      <c r="AN794" s="506"/>
      <c r="AO794" s="506"/>
      <c r="AP794" s="529"/>
      <c r="AQ794" s="506"/>
      <c r="AR794" s="506"/>
      <c r="AS794" s="506"/>
      <c r="AT794" s="529"/>
      <c r="AU794" s="506"/>
      <c r="AV794" s="506"/>
      <c r="AW794" s="506"/>
      <c r="AX794" s="529"/>
      <c r="AY794" s="506"/>
      <c r="AZ794" s="506"/>
      <c r="BA794" s="506"/>
      <c r="BB794" s="529"/>
      <c r="BC794" s="506"/>
      <c r="BD794" s="506"/>
      <c r="BE794" s="506"/>
      <c r="BF794" s="529"/>
      <c r="BG794" s="506"/>
      <c r="BH794" s="506"/>
      <c r="BI794" s="506"/>
      <c r="BJ794" s="529"/>
      <c r="BK794" s="506"/>
      <c r="BL794" s="506"/>
      <c r="BM794" s="506"/>
      <c r="BN794" s="529"/>
      <c r="BO794" s="506"/>
      <c r="BP794" s="506"/>
      <c r="BQ794" s="506"/>
      <c r="BR794" s="506"/>
      <c r="BS794" s="506"/>
      <c r="BT794" s="506"/>
      <c r="BU794" s="506"/>
      <c r="BV794" s="506"/>
      <c r="BW794" s="506"/>
      <c r="BX794" s="506"/>
      <c r="BY794" s="506"/>
      <c r="BZ794" s="506"/>
      <c r="CA794" s="506"/>
      <c r="CB794" s="506"/>
      <c r="CC794" s="506"/>
      <c r="CD794" s="506"/>
      <c r="CE794" s="506"/>
      <c r="CF794" s="506"/>
      <c r="CG794" s="506"/>
      <c r="CH794" s="506"/>
      <c r="CI794" s="506"/>
      <c r="CJ794" s="506"/>
      <c r="CK794" s="506"/>
      <c r="CL794" s="506"/>
      <c r="CM794" s="506"/>
      <c r="CN794" s="506"/>
      <c r="CO794" s="506"/>
      <c r="CP794" s="506"/>
      <c r="CQ794" s="506"/>
      <c r="CR794"/>
      <c r="CS794"/>
      <c r="CT794"/>
      <c r="CU794"/>
      <c r="CV794"/>
      <c r="CW794"/>
    </row>
    <row r="795" spans="1:236" s="583" customFormat="1" outlineLevel="1">
      <c r="I795" s="597"/>
      <c r="J795" s="477"/>
      <c r="K795" s="477"/>
      <c r="L795" s="477"/>
      <c r="M795" s="477"/>
      <c r="N795" s="477"/>
      <c r="O795" s="477"/>
      <c r="P795" s="477"/>
      <c r="Q795" s="477"/>
      <c r="R795" s="477"/>
      <c r="S795" s="477"/>
      <c r="T795" s="477"/>
      <c r="U795" s="477"/>
      <c r="V795" s="477"/>
      <c r="W795" s="477"/>
      <c r="X795" s="477"/>
      <c r="Y795" s="477"/>
      <c r="Z795" s="477"/>
      <c r="AA795" s="477"/>
      <c r="AB795" s="477"/>
      <c r="AC795" s="477"/>
      <c r="AD795" s="477"/>
      <c r="AE795" s="477"/>
      <c r="AF795" s="477"/>
      <c r="AG795" s="477"/>
      <c r="AH795" s="477"/>
      <c r="AI795" s="477"/>
      <c r="AJ795" s="477"/>
      <c r="AK795" s="477"/>
      <c r="AL795" s="1743"/>
      <c r="AM795" s="477"/>
      <c r="AN795" s="477"/>
      <c r="AO795" s="477"/>
      <c r="AP795" s="1743"/>
      <c r="AQ795" s="477"/>
      <c r="AR795" s="477"/>
      <c r="AS795" s="477"/>
      <c r="AT795" s="1743"/>
      <c r="AU795" s="477"/>
      <c r="AV795" s="477"/>
      <c r="AW795" s="477"/>
      <c r="AX795" s="699"/>
      <c r="AY795" s="499"/>
      <c r="AZ795" s="499"/>
      <c r="BA795" s="499"/>
      <c r="BB795" s="699"/>
      <c r="BC795" s="499"/>
      <c r="BD795" s="499"/>
      <c r="BE795" s="499"/>
      <c r="BF795" s="699"/>
      <c r="BG795" s="499"/>
      <c r="BH795" s="499"/>
      <c r="BI795" s="499"/>
      <c r="BJ795" s="699"/>
      <c r="BK795" s="499"/>
      <c r="BL795" s="499"/>
      <c r="BM795" s="499"/>
      <c r="BN795" s="699"/>
      <c r="BO795" s="499"/>
      <c r="BP795" s="499"/>
      <c r="BQ795" s="499"/>
      <c r="BR795" s="477"/>
      <c r="BS795" s="477"/>
      <c r="BT795" s="477"/>
      <c r="BU795" s="477"/>
      <c r="BV795" s="477"/>
      <c r="BW795" s="477"/>
      <c r="BX795" s="477"/>
      <c r="BY795" s="477"/>
      <c r="BZ795" s="477"/>
      <c r="CA795" s="477"/>
      <c r="CB795" s="477"/>
      <c r="CC795" s="477"/>
      <c r="CD795" s="477"/>
      <c r="CE795" s="477"/>
      <c r="CF795" s="477"/>
      <c r="CG795" s="477"/>
      <c r="CH795" s="477"/>
      <c r="CI795" s="477"/>
      <c r="CJ795" s="477"/>
      <c r="CK795" s="477"/>
      <c r="CL795" s="477"/>
      <c r="CM795" s="477"/>
      <c r="CN795" s="477"/>
      <c r="CO795" s="477"/>
      <c r="CP795" s="477"/>
      <c r="CQ795" s="477"/>
      <c r="CR795"/>
      <c r="CS795"/>
      <c r="CT795"/>
      <c r="CU795"/>
      <c r="CV795"/>
      <c r="CW795"/>
    </row>
    <row r="796" spans="1:236" s="500" customFormat="1" outlineLevel="1">
      <c r="A796" s="381"/>
      <c r="B796" s="290"/>
      <c r="C796" s="290"/>
      <c r="D796" s="290"/>
      <c r="E796" s="603"/>
      <c r="F796" s="603"/>
      <c r="G796" s="603"/>
      <c r="H796" s="603"/>
      <c r="I796" s="990"/>
      <c r="J796" s="1096" t="s">
        <v>497</v>
      </c>
      <c r="K796" s="991"/>
      <c r="L796" s="991"/>
      <c r="M796" s="991"/>
      <c r="N796" s="991"/>
      <c r="O796" s="992"/>
      <c r="P796" s="992"/>
      <c r="Q796" s="992"/>
      <c r="R796" s="992"/>
      <c r="S796" s="992"/>
      <c r="T796" s="992"/>
      <c r="U796" s="992"/>
      <c r="V796" s="993"/>
      <c r="W796" s="496"/>
      <c r="X796" s="496"/>
      <c r="Y796" s="496"/>
      <c r="Z796" s="496"/>
      <c r="AA796" s="496"/>
      <c r="AB796" s="994"/>
      <c r="AC796" s="496"/>
      <c r="AD796" s="496"/>
      <c r="AE796" s="474"/>
      <c r="AF796" s="496"/>
      <c r="AG796" s="474"/>
      <c r="AH796" s="496"/>
      <c r="AI796" s="496"/>
      <c r="AJ796" s="496"/>
      <c r="AK796" s="496"/>
      <c r="AL796" s="995"/>
      <c r="AM796" s="496"/>
      <c r="AN796" s="496"/>
      <c r="AO796" s="494"/>
      <c r="AP796" s="1767"/>
      <c r="AQ796" s="494"/>
      <c r="AR796" s="494"/>
      <c r="AS796" s="494"/>
      <c r="AT796" s="1753"/>
      <c r="AU796" s="494"/>
      <c r="AV796" s="494"/>
      <c r="AW796" s="496"/>
      <c r="AX796" s="995"/>
      <c r="AY796" s="993"/>
      <c r="AZ796" s="993"/>
      <c r="BA796" s="993"/>
      <c r="BB796" s="995"/>
      <c r="BC796" s="993"/>
      <c r="BD796" s="993"/>
      <c r="BE796" s="993"/>
      <c r="BF796" s="995"/>
      <c r="BG796" s="495"/>
      <c r="BH796" s="495"/>
      <c r="BI796" s="993"/>
      <c r="BJ796" s="995"/>
      <c r="BK796" s="496"/>
      <c r="BL796" s="496"/>
      <c r="BM796" s="993"/>
      <c r="BN796" s="995"/>
      <c r="BO796" s="496"/>
      <c r="BP796" s="496"/>
      <c r="BQ796" s="993"/>
      <c r="BR796" s="477"/>
      <c r="BS796" s="474"/>
      <c r="BT796" s="474"/>
      <c r="BU796" s="474"/>
      <c r="BV796" s="474"/>
      <c r="BW796" s="474"/>
      <c r="BX796" s="474"/>
      <c r="BY796" s="474"/>
      <c r="BZ796" s="474"/>
      <c r="CA796" s="474"/>
      <c r="CB796" s="474"/>
      <c r="CC796" s="474"/>
      <c r="CD796" s="474"/>
      <c r="CE796" s="474"/>
      <c r="CF796" s="474"/>
      <c r="CG796" s="474"/>
      <c r="CH796" s="474"/>
      <c r="CI796" s="497"/>
      <c r="CJ796" s="497"/>
      <c r="CK796" s="497"/>
      <c r="CL796" s="497"/>
      <c r="CM796" s="497"/>
      <c r="CN796" s="497"/>
      <c r="CO796" s="474"/>
      <c r="CP796" s="474"/>
      <c r="CQ796" s="474"/>
      <c r="CR796"/>
      <c r="CS796"/>
      <c r="CT796"/>
      <c r="CU796"/>
      <c r="CV796"/>
      <c r="CW796"/>
      <c r="CX796" s="474"/>
      <c r="CY796" s="474"/>
      <c r="CZ796" s="474"/>
      <c r="DA796" s="474"/>
      <c r="DB796" s="474"/>
      <c r="DC796" s="474"/>
      <c r="DD796" s="474"/>
      <c r="DE796" s="474"/>
      <c r="DF796" s="474"/>
      <c r="DG796" s="474"/>
      <c r="DH796" s="474"/>
      <c r="DI796" s="474"/>
      <c r="DJ796" s="474"/>
      <c r="DK796" s="474"/>
      <c r="DL796" s="474"/>
      <c r="DM796" s="474"/>
      <c r="DN796" s="474"/>
      <c r="DO796" s="474"/>
      <c r="DP796" s="474"/>
      <c r="DQ796" s="474"/>
      <c r="DR796" s="474"/>
      <c r="DS796" s="474"/>
      <c r="DT796" s="474"/>
      <c r="DU796" s="474"/>
      <c r="DV796" s="474"/>
      <c r="DW796" s="474"/>
      <c r="DX796" s="474"/>
      <c r="DY796" s="474"/>
      <c r="DZ796" s="474"/>
      <c r="EA796" s="474"/>
      <c r="EB796" s="474"/>
      <c r="EC796" s="474"/>
      <c r="ED796" s="474"/>
      <c r="EE796" s="474"/>
      <c r="EF796" s="474"/>
      <c r="EG796" s="474"/>
      <c r="EH796" s="474"/>
      <c r="EI796" s="474"/>
      <c r="EJ796" s="474"/>
      <c r="EK796" s="474"/>
      <c r="EL796" s="474"/>
      <c r="EM796" s="474"/>
      <c r="EN796" s="474"/>
      <c r="EO796" s="474"/>
      <c r="EP796" s="474"/>
      <c r="EQ796" s="474"/>
      <c r="ER796" s="474"/>
      <c r="ES796" s="474"/>
      <c r="ET796" s="474"/>
      <c r="EU796" s="474"/>
      <c r="EV796" s="474"/>
      <c r="EW796" s="474"/>
      <c r="EX796" s="474"/>
      <c r="EY796" s="474"/>
      <c r="EZ796" s="474"/>
      <c r="FA796" s="474"/>
      <c r="FB796" s="474"/>
      <c r="FC796" s="474"/>
      <c r="FD796" s="474"/>
      <c r="FE796" s="474"/>
      <c r="FF796" s="474"/>
      <c r="FG796" s="474"/>
      <c r="FH796" s="474"/>
      <c r="FI796" s="474"/>
      <c r="FJ796" s="474"/>
      <c r="FK796" s="474"/>
      <c r="FL796" s="474"/>
      <c r="FM796" s="474"/>
      <c r="FN796" s="474"/>
      <c r="FO796" s="474"/>
      <c r="FP796" s="474"/>
      <c r="FQ796" s="474"/>
      <c r="FR796" s="474"/>
      <c r="FS796" s="474"/>
      <c r="FT796" s="474"/>
      <c r="FU796" s="474"/>
      <c r="FV796" s="474"/>
      <c r="FW796" s="474"/>
      <c r="FX796" s="474"/>
      <c r="FY796" s="474"/>
      <c r="FZ796" s="474"/>
      <c r="GA796" s="474"/>
      <c r="GB796" s="474"/>
      <c r="GC796" s="474"/>
      <c r="GD796" s="474"/>
      <c r="GE796" s="474"/>
      <c r="GF796" s="474"/>
      <c r="GG796" s="474"/>
      <c r="GH796" s="474"/>
      <c r="GI796" s="474"/>
      <c r="GJ796" s="474"/>
      <c r="GK796" s="474"/>
      <c r="GL796" s="474"/>
      <c r="GM796" s="474"/>
      <c r="GN796" s="474"/>
      <c r="GO796" s="474"/>
      <c r="GP796" s="474"/>
      <c r="GQ796" s="474"/>
      <c r="GR796" s="474"/>
      <c r="GS796" s="474"/>
      <c r="GT796" s="474"/>
      <c r="GU796" s="474"/>
      <c r="GV796" s="474"/>
      <c r="GW796" s="474"/>
      <c r="GX796" s="474"/>
      <c r="GY796" s="474"/>
      <c r="GZ796" s="474"/>
      <c r="HA796" s="474"/>
      <c r="HB796" s="474"/>
      <c r="HC796" s="474"/>
      <c r="HD796" s="474"/>
      <c r="HE796" s="474"/>
      <c r="HF796" s="474"/>
      <c r="HG796" s="474"/>
      <c r="HH796" s="474"/>
      <c r="HI796" s="474"/>
      <c r="HJ796" s="474"/>
      <c r="HK796" s="474"/>
      <c r="HL796" s="474"/>
      <c r="HM796" s="474"/>
      <c r="HN796" s="474"/>
      <c r="HO796" s="474"/>
      <c r="HP796" s="474"/>
      <c r="HQ796" s="474"/>
      <c r="HR796" s="474"/>
      <c r="HS796" s="474"/>
      <c r="HT796" s="474"/>
      <c r="HU796" s="474"/>
      <c r="HV796" s="474"/>
      <c r="HW796" s="474"/>
      <c r="HX796" s="474"/>
      <c r="HY796" s="474"/>
      <c r="HZ796" s="474"/>
      <c r="IA796" s="474"/>
      <c r="IB796" s="474"/>
    </row>
    <row r="797" spans="1:236" s="604" customFormat="1" outlineLevel="1">
      <c r="I797" s="605"/>
      <c r="J797" s="505" t="s">
        <v>207</v>
      </c>
      <c r="K797" s="507"/>
      <c r="L797" s="507"/>
      <c r="M797" s="507"/>
      <c r="N797" s="507">
        <f t="shared" ref="N797:AD797" si="769">+N411</f>
        <v>140</v>
      </c>
      <c r="O797" s="507">
        <f t="shared" si="769"/>
        <v>414</v>
      </c>
      <c r="P797" s="507">
        <f t="shared" si="769"/>
        <v>1152.4310000000005</v>
      </c>
      <c r="Q797" s="507">
        <f t="shared" si="769"/>
        <v>3482.1339999999982</v>
      </c>
      <c r="R797" s="507">
        <f t="shared" si="769"/>
        <v>6844</v>
      </c>
      <c r="S797" s="507">
        <f t="shared" si="769"/>
        <v>13371</v>
      </c>
      <c r="T797" s="507">
        <f t="shared" si="769"/>
        <v>24279</v>
      </c>
      <c r="U797" s="507">
        <f t="shared" si="769"/>
        <v>35355.310000000027</v>
      </c>
      <c r="V797" s="507">
        <f t="shared" si="769"/>
        <v>50814.922999999952</v>
      </c>
      <c r="W797" s="507">
        <f t="shared" si="769"/>
        <v>66411.364479886019</v>
      </c>
      <c r="X797" s="507">
        <f t="shared" si="769"/>
        <v>85369.658754962729</v>
      </c>
      <c r="Y797" s="507">
        <f t="shared" si="769"/>
        <v>106707.95044845808</v>
      </c>
      <c r="Z797" s="507">
        <f t="shared" si="769"/>
        <v>125852.47033754922</v>
      </c>
      <c r="AA797" s="507">
        <f t="shared" si="769"/>
        <v>139819.90642742603</v>
      </c>
      <c r="AB797" s="507">
        <f t="shared" si="769"/>
        <v>155186.97091657447</v>
      </c>
      <c r="AC797" s="507">
        <f t="shared" si="769"/>
        <v>170831.44857276569</v>
      </c>
      <c r="AD797" s="507">
        <f t="shared" si="769"/>
        <v>189262.03107356117</v>
      </c>
      <c r="AE797" s="507"/>
      <c r="AF797" s="507"/>
      <c r="AG797" s="507"/>
      <c r="AH797" s="507"/>
      <c r="AI797" s="507"/>
      <c r="AJ797" s="507"/>
      <c r="AK797" s="507"/>
      <c r="AL797" s="701"/>
      <c r="AM797" s="507"/>
      <c r="AN797" s="507"/>
      <c r="AO797" s="507"/>
      <c r="AP797" s="701"/>
      <c r="AQ797" s="507"/>
      <c r="AR797" s="507"/>
      <c r="AS797" s="507"/>
      <c r="AT797" s="701"/>
      <c r="AU797" s="507"/>
      <c r="AV797" s="507"/>
      <c r="AW797" s="507"/>
      <c r="AX797" s="701">
        <f t="shared" ref="AX797:BQ797" si="770">+AX411</f>
        <v>2261.3979999999974</v>
      </c>
      <c r="AY797" s="507">
        <f t="shared" si="770"/>
        <v>3155.2289999999994</v>
      </c>
      <c r="AZ797" s="507">
        <f t="shared" si="770"/>
        <v>3544.0169999999998</v>
      </c>
      <c r="BA797" s="507">
        <f t="shared" si="770"/>
        <v>4410.2300000000032</v>
      </c>
      <c r="BB797" s="701">
        <f t="shared" si="770"/>
        <v>4465.5920000000042</v>
      </c>
      <c r="BC797" s="507">
        <f t="shared" si="770"/>
        <v>5909.5049999999974</v>
      </c>
      <c r="BD797" s="507">
        <f t="shared" si="770"/>
        <v>6094.4860000000044</v>
      </c>
      <c r="BE797" s="507">
        <f t="shared" si="770"/>
        <v>7809.0430000000051</v>
      </c>
      <c r="BF797" s="701">
        <f t="shared" si="770"/>
        <v>7033.8399999999965</v>
      </c>
      <c r="BG797" s="507">
        <f t="shared" si="770"/>
        <v>8844.6529999999984</v>
      </c>
      <c r="BH797" s="507">
        <f t="shared" si="770"/>
        <v>8636.2070000000022</v>
      </c>
      <c r="BI797" s="507">
        <f t="shared" si="770"/>
        <v>10840.61</v>
      </c>
      <c r="BJ797" s="701">
        <f t="shared" si="770"/>
        <v>10824.460999999988</v>
      </c>
      <c r="BK797" s="507">
        <f t="shared" si="770"/>
        <v>12647.819000000003</v>
      </c>
      <c r="BL797" s="507">
        <f t="shared" si="770"/>
        <v>12982.75</v>
      </c>
      <c r="BM797" s="507">
        <f t="shared" si="770"/>
        <v>14359.892999999996</v>
      </c>
      <c r="BN797" s="701">
        <f t="shared" si="770"/>
        <v>13392.721364922312</v>
      </c>
      <c r="BO797" s="507">
        <f t="shared" si="770"/>
        <v>16403.025670371891</v>
      </c>
      <c r="BP797" s="507">
        <f t="shared" si="770"/>
        <v>15493.512318884503</v>
      </c>
      <c r="BQ797" s="507">
        <f t="shared" si="770"/>
        <v>21122.105125707341</v>
      </c>
      <c r="BR797" s="507"/>
      <c r="BS797" s="507"/>
      <c r="BT797" s="507"/>
      <c r="BU797" s="507"/>
      <c r="BV797" s="507"/>
      <c r="BW797" s="507"/>
      <c r="BX797" s="507"/>
      <c r="BY797" s="507"/>
      <c r="BZ797" s="507"/>
      <c r="CA797" s="507"/>
      <c r="CB797" s="507"/>
      <c r="CC797" s="507"/>
      <c r="CD797" s="507"/>
      <c r="CE797" s="507"/>
      <c r="CF797" s="507"/>
      <c r="CG797" s="507"/>
      <c r="CH797" s="507"/>
      <c r="CI797" s="507"/>
      <c r="CJ797" s="507"/>
      <c r="CK797" s="507"/>
      <c r="CL797" s="507"/>
      <c r="CM797" s="507"/>
      <c r="CN797" s="507"/>
      <c r="CO797" s="507"/>
      <c r="CP797" s="507"/>
      <c r="CQ797" s="507"/>
      <c r="CR797"/>
      <c r="CS797"/>
      <c r="CT797"/>
      <c r="CU797"/>
      <c r="CV797"/>
      <c r="CW797"/>
    </row>
    <row r="798" spans="1:236" s="604" customFormat="1" outlineLevel="1">
      <c r="I798" s="605"/>
      <c r="J798" s="505" t="s">
        <v>197</v>
      </c>
      <c r="K798" s="507"/>
      <c r="L798" s="507"/>
      <c r="M798" s="507"/>
      <c r="N798" s="507">
        <f t="shared" ref="N798:AD798" si="771">+N417</f>
        <v>-103</v>
      </c>
      <c r="O798" s="507">
        <f t="shared" si="771"/>
        <v>-416</v>
      </c>
      <c r="P798" s="507">
        <f t="shared" si="771"/>
        <v>-1403.5689999999995</v>
      </c>
      <c r="Q798" s="507">
        <f t="shared" si="771"/>
        <v>-1951.8660000000018</v>
      </c>
      <c r="R798" s="507">
        <f t="shared" si="771"/>
        <v>-579</v>
      </c>
      <c r="S798" s="507">
        <f t="shared" si="771"/>
        <v>-5802</v>
      </c>
      <c r="T798" s="507">
        <f t="shared" si="771"/>
        <v>-6459</v>
      </c>
      <c r="U798" s="507">
        <f t="shared" si="771"/>
        <v>-1251.6529999999716</v>
      </c>
      <c r="V798" s="507">
        <f t="shared" si="771"/>
        <v>-835.47600000004877</v>
      </c>
      <c r="W798" s="507">
        <f t="shared" si="771"/>
        <v>140.14863234410677</v>
      </c>
      <c r="X798" s="507">
        <f t="shared" si="771"/>
        <v>5900.9477872509997</v>
      </c>
      <c r="Y798" s="507">
        <f t="shared" si="771"/>
        <v>12618.324028903004</v>
      </c>
      <c r="Z798" s="507">
        <f t="shared" si="771"/>
        <v>20821.416526720273</v>
      </c>
      <c r="AA798" s="507">
        <f t="shared" si="771"/>
        <v>29174.073996243922</v>
      </c>
      <c r="AB798" s="507">
        <f t="shared" si="771"/>
        <v>38517.488099482973</v>
      </c>
      <c r="AC798" s="507">
        <f t="shared" si="771"/>
        <v>49063.205615139646</v>
      </c>
      <c r="AD798" s="507">
        <f t="shared" si="771"/>
        <v>57953.146429614542</v>
      </c>
      <c r="AE798" s="507"/>
      <c r="AF798" s="507"/>
      <c r="AG798" s="507"/>
      <c r="AH798" s="507"/>
      <c r="AI798" s="507"/>
      <c r="AJ798" s="507"/>
      <c r="AK798" s="507"/>
      <c r="AL798" s="701"/>
      <c r="AM798" s="507"/>
      <c r="AN798" s="507"/>
      <c r="AO798" s="507"/>
      <c r="AP798" s="701"/>
      <c r="AQ798" s="507"/>
      <c r="AR798" s="507"/>
      <c r="AS798" s="507"/>
      <c r="AT798" s="701"/>
      <c r="AU798" s="507"/>
      <c r="AV798" s="507"/>
      <c r="AW798" s="507"/>
      <c r="AX798" s="701">
        <f t="shared" ref="AX798:BQ798" si="772">+AX417</f>
        <v>-3851.6020000000026</v>
      </c>
      <c r="AY798" s="507">
        <f t="shared" si="772"/>
        <v>-787.94500000000062</v>
      </c>
      <c r="AZ798" s="507">
        <f t="shared" si="772"/>
        <v>-406.64000000000027</v>
      </c>
      <c r="BA798" s="507">
        <f t="shared" si="772"/>
        <v>-756.1299999999967</v>
      </c>
      <c r="BB798" s="701">
        <f t="shared" si="772"/>
        <v>-822.60699999999554</v>
      </c>
      <c r="BC798" s="507">
        <f t="shared" si="772"/>
        <v>-723.14000000000283</v>
      </c>
      <c r="BD798" s="507">
        <f t="shared" si="772"/>
        <v>-667.23799999999574</v>
      </c>
      <c r="BE798" s="507">
        <f t="shared" si="772"/>
        <v>-4246.470999999995</v>
      </c>
      <c r="BF798" s="701">
        <f t="shared" si="772"/>
        <v>-521.07100000000344</v>
      </c>
      <c r="BG798" s="507">
        <f t="shared" si="772"/>
        <v>-157.68200000000127</v>
      </c>
      <c r="BH798" s="507">
        <f t="shared" si="772"/>
        <v>-234.42199999999821</v>
      </c>
      <c r="BI798" s="507">
        <f t="shared" si="772"/>
        <v>-338.47799999999904</v>
      </c>
      <c r="BJ798" s="701">
        <f t="shared" si="772"/>
        <v>661.32299999998872</v>
      </c>
      <c r="BK798" s="507">
        <f t="shared" si="772"/>
        <v>-402.98399999999742</v>
      </c>
      <c r="BL798" s="507">
        <f t="shared" si="772"/>
        <v>502.38600000000042</v>
      </c>
      <c r="BM798" s="507">
        <f t="shared" si="772"/>
        <v>-1596.2010000000034</v>
      </c>
      <c r="BN798" s="701">
        <f t="shared" si="772"/>
        <v>-703.21322612638346</v>
      </c>
      <c r="BO798" s="507">
        <f t="shared" si="772"/>
        <v>-469.95152251504828</v>
      </c>
      <c r="BP798" s="507">
        <f t="shared" si="772"/>
        <v>-219.75382899372698</v>
      </c>
      <c r="BQ798" s="507">
        <f t="shared" si="772"/>
        <v>1533.0672099792932</v>
      </c>
      <c r="BR798" s="507"/>
      <c r="BS798" s="507"/>
      <c r="BT798" s="507"/>
      <c r="BU798" s="507"/>
      <c r="BV798" s="507"/>
      <c r="BW798" s="507"/>
      <c r="BX798" s="507"/>
      <c r="BY798" s="507"/>
      <c r="BZ798" s="507"/>
      <c r="CA798" s="507"/>
      <c r="CB798" s="507"/>
      <c r="CC798" s="507"/>
      <c r="CD798" s="507"/>
      <c r="CE798" s="507"/>
      <c r="CF798" s="507"/>
      <c r="CG798" s="507"/>
      <c r="CH798" s="507"/>
      <c r="CI798" s="507"/>
      <c r="CJ798" s="507"/>
      <c r="CK798" s="507"/>
      <c r="CL798" s="507"/>
      <c r="CM798" s="507"/>
      <c r="CN798" s="507"/>
      <c r="CO798" s="507"/>
      <c r="CP798" s="507"/>
      <c r="CQ798" s="507"/>
      <c r="CR798"/>
      <c r="CS798"/>
      <c r="CT798"/>
      <c r="CU798"/>
      <c r="CV798"/>
      <c r="CW798"/>
    </row>
    <row r="799" spans="1:236" s="604" customFormat="1" outlineLevel="1">
      <c r="I799" s="605"/>
      <c r="J799" s="505" t="s">
        <v>498</v>
      </c>
      <c r="K799" s="507"/>
      <c r="L799" s="507"/>
      <c r="M799" s="507"/>
      <c r="N799" s="507">
        <f t="shared" ref="N799:AD799" si="773">+N798+N645</f>
        <v>-103</v>
      </c>
      <c r="O799" s="507">
        <f t="shared" si="773"/>
        <v>-416</v>
      </c>
      <c r="P799" s="507">
        <f t="shared" si="773"/>
        <v>-1329.6229999999996</v>
      </c>
      <c r="Q799" s="507">
        <f t="shared" si="773"/>
        <v>-1766.1360000000018</v>
      </c>
      <c r="R799" s="507">
        <f t="shared" si="773"/>
        <v>-285.85899999999998</v>
      </c>
      <c r="S799" s="507">
        <f t="shared" si="773"/>
        <v>-4151.4670000000006</v>
      </c>
      <c r="T799" s="507">
        <f t="shared" si="773"/>
        <v>-3839.9389999999999</v>
      </c>
      <c r="U799" s="507">
        <f t="shared" si="773"/>
        <v>2381.6930000000284</v>
      </c>
      <c r="V799" s="507">
        <f t="shared" ca="1" si="773"/>
        <v>1506.3269999999511</v>
      </c>
      <c r="W799" s="507">
        <f t="shared" ca="1" si="773"/>
        <v>4119.6997017041131</v>
      </c>
      <c r="X799" s="507">
        <f t="shared" ca="1" si="773"/>
        <v>10380.920422860912</v>
      </c>
      <c r="Y799" s="507">
        <f t="shared" ca="1" si="773"/>
        <v>17082.519881552555</v>
      </c>
      <c r="Z799" s="507">
        <f t="shared" ca="1" si="773"/>
        <v>25175.250096536183</v>
      </c>
      <c r="AA799" s="507">
        <f t="shared" ca="1" si="773"/>
        <v>33486.604978817697</v>
      </c>
      <c r="AB799" s="507">
        <f t="shared" ca="1" si="773"/>
        <v>43188.025281789312</v>
      </c>
      <c r="AC799" s="507">
        <f t="shared" ca="1" si="773"/>
        <v>54067.513616047319</v>
      </c>
      <c r="AD799" s="507">
        <f t="shared" ca="1" si="773"/>
        <v>63218.164868936445</v>
      </c>
      <c r="AE799" s="507"/>
      <c r="AF799" s="507"/>
      <c r="AG799" s="507"/>
      <c r="AH799" s="507"/>
      <c r="AI799" s="507"/>
      <c r="AJ799" s="507"/>
      <c r="AK799" s="507"/>
      <c r="AL799" s="701"/>
      <c r="AM799" s="507"/>
      <c r="AN799" s="507"/>
      <c r="AO799" s="507"/>
      <c r="AP799" s="701"/>
      <c r="AQ799" s="507"/>
      <c r="AR799" s="507"/>
      <c r="AS799" s="507"/>
      <c r="AT799" s="701"/>
      <c r="AU799" s="507"/>
      <c r="AV799" s="507"/>
      <c r="AW799" s="507"/>
      <c r="AX799" s="701">
        <f t="shared" ref="AX799:BQ799" si="774">+AX798+AX645</f>
        <v>-3851.6020000000026</v>
      </c>
      <c r="AY799" s="507">
        <f t="shared" si="774"/>
        <v>-787.94500000000062</v>
      </c>
      <c r="AZ799" s="507">
        <f t="shared" si="774"/>
        <v>-406.64000000000027</v>
      </c>
      <c r="BA799" s="507">
        <f t="shared" si="774"/>
        <v>-756.1299999999967</v>
      </c>
      <c r="BB799" s="701">
        <f t="shared" si="774"/>
        <v>-822.60699999999554</v>
      </c>
      <c r="BC799" s="507">
        <f t="shared" si="774"/>
        <v>-723.14000000000283</v>
      </c>
      <c r="BD799" s="507">
        <f t="shared" si="774"/>
        <v>-667.23799999999574</v>
      </c>
      <c r="BE799" s="507">
        <f t="shared" si="774"/>
        <v>-4246.470999999995</v>
      </c>
      <c r="BF799" s="701">
        <f t="shared" si="774"/>
        <v>-521.07100000000344</v>
      </c>
      <c r="BG799" s="507">
        <f t="shared" si="774"/>
        <v>-157.68200000000127</v>
      </c>
      <c r="BH799" s="507">
        <f t="shared" si="774"/>
        <v>-234.42199999999821</v>
      </c>
      <c r="BI799" s="507">
        <f t="shared" si="774"/>
        <v>-338.47799999999904</v>
      </c>
      <c r="BJ799" s="701">
        <f t="shared" si="774"/>
        <v>661.32299999998872</v>
      </c>
      <c r="BK799" s="507">
        <f t="shared" si="774"/>
        <v>-402.98399999999742</v>
      </c>
      <c r="BL799" s="507">
        <f t="shared" si="774"/>
        <v>502.38600000000042</v>
      </c>
      <c r="BM799" s="507">
        <f t="shared" si="774"/>
        <v>-1596.2010000000034</v>
      </c>
      <c r="BN799" s="701">
        <f t="shared" si="774"/>
        <v>-703.21322612638346</v>
      </c>
      <c r="BO799" s="507">
        <f t="shared" si="774"/>
        <v>-469.95152251504828</v>
      </c>
      <c r="BP799" s="507">
        <f t="shared" si="774"/>
        <v>-219.75382899372698</v>
      </c>
      <c r="BQ799" s="507">
        <f t="shared" si="774"/>
        <v>1533.0672099792932</v>
      </c>
      <c r="BR799" s="507"/>
      <c r="BS799" s="507"/>
      <c r="BT799" s="507"/>
      <c r="BU799" s="507"/>
      <c r="BV799" s="507"/>
      <c r="BW799" s="507"/>
      <c r="BX799" s="507"/>
      <c r="BY799" s="507"/>
      <c r="BZ799" s="507"/>
      <c r="CA799" s="507"/>
      <c r="CB799" s="507"/>
      <c r="CC799" s="507"/>
      <c r="CD799" s="507"/>
      <c r="CE799" s="507"/>
      <c r="CF799" s="507"/>
      <c r="CG799" s="507"/>
      <c r="CH799" s="507"/>
      <c r="CI799" s="507"/>
      <c r="CJ799" s="507"/>
      <c r="CK799" s="507"/>
      <c r="CL799" s="507"/>
      <c r="CM799" s="507"/>
      <c r="CN799" s="507"/>
      <c r="CO799" s="507"/>
      <c r="CP799" s="507"/>
      <c r="CQ799" s="507"/>
      <c r="CR799"/>
      <c r="CS799"/>
      <c r="CT799"/>
      <c r="CU799"/>
      <c r="CV799"/>
      <c r="CW799"/>
    </row>
    <row r="800" spans="1:236" s="604" customFormat="1" outlineLevel="1">
      <c r="I800" s="605"/>
      <c r="J800" s="505" t="s">
        <v>480</v>
      </c>
      <c r="K800" s="507"/>
      <c r="L800" s="507"/>
      <c r="M800" s="507"/>
      <c r="N800" s="507">
        <f t="shared" ref="N800:AD800" si="775">+N433</f>
        <v>-287</v>
      </c>
      <c r="O800" s="507">
        <f t="shared" si="775"/>
        <v>-1161</v>
      </c>
      <c r="P800" s="507">
        <f t="shared" si="775"/>
        <v>-2944.0899999999992</v>
      </c>
      <c r="Q800" s="507">
        <f t="shared" si="775"/>
        <v>-3317</v>
      </c>
      <c r="R800" s="507">
        <f t="shared" si="775"/>
        <v>-2485.326</v>
      </c>
      <c r="S800" s="507">
        <f t="shared" si="775"/>
        <v>-12953.64</v>
      </c>
      <c r="T800" s="507">
        <f t="shared" si="775"/>
        <v>-9397.5660000000007</v>
      </c>
      <c r="U800" s="507">
        <f t="shared" si="775"/>
        <v>-3806.7899999999718</v>
      </c>
      <c r="V800" s="507">
        <f t="shared" si="775"/>
        <v>-152.25700000004912</v>
      </c>
      <c r="W800" s="507">
        <f t="shared" si="775"/>
        <v>2297.5802569393732</v>
      </c>
      <c r="X800" s="507">
        <f t="shared" ca="1" si="775"/>
        <v>7550.4504473872385</v>
      </c>
      <c r="Y800" s="507">
        <f t="shared" ca="1" si="775"/>
        <v>13836.279041739968</v>
      </c>
      <c r="Z800" s="507">
        <f t="shared" ca="1" si="775"/>
        <v>22172.963347845853</v>
      </c>
      <c r="AA800" s="507">
        <f t="shared" ca="1" si="775"/>
        <v>30719.583685002712</v>
      </c>
      <c r="AB800" s="507">
        <f t="shared" ca="1" si="775"/>
        <v>40090.583353712304</v>
      </c>
      <c r="AC800" s="507">
        <f t="shared" ca="1" si="775"/>
        <v>50920.989825774843</v>
      </c>
      <c r="AD800" s="507">
        <f t="shared" ca="1" si="775"/>
        <v>60912.839387145767</v>
      </c>
      <c r="AE800" s="507"/>
      <c r="AF800" s="507"/>
      <c r="AG800" s="507"/>
      <c r="AH800" s="507"/>
      <c r="AI800" s="507"/>
      <c r="AJ800" s="507"/>
      <c r="AK800" s="507"/>
      <c r="AL800" s="701"/>
      <c r="AM800" s="507"/>
      <c r="AN800" s="507"/>
      <c r="AO800" s="507"/>
      <c r="AP800" s="701"/>
      <c r="AQ800" s="507"/>
      <c r="AR800" s="507"/>
      <c r="AS800" s="507"/>
      <c r="AT800" s="701"/>
      <c r="AU800" s="507"/>
      <c r="AV800" s="507"/>
      <c r="AW800" s="507"/>
      <c r="AX800" s="701">
        <f t="shared" ref="AX800:BQ800" si="776">+AX433</f>
        <v>-5288.9020000000028</v>
      </c>
      <c r="AY800" s="507">
        <f t="shared" si="776"/>
        <v>-7046.2960000000003</v>
      </c>
      <c r="AZ800" s="507">
        <f t="shared" si="776"/>
        <v>-164.35800000000029</v>
      </c>
      <c r="BA800" s="507">
        <f t="shared" si="776"/>
        <v>-454.32199999999671</v>
      </c>
      <c r="BB800" s="701">
        <f t="shared" si="776"/>
        <v>-710.2099999999956</v>
      </c>
      <c r="BC800" s="507">
        <f t="shared" si="776"/>
        <v>-510.42200000000292</v>
      </c>
      <c r="BD800" s="507">
        <f t="shared" si="776"/>
        <v>-530.80199999999559</v>
      </c>
      <c r="BE800" s="507">
        <f t="shared" si="776"/>
        <v>-7626.5819999999958</v>
      </c>
      <c r="BF800" s="701">
        <f t="shared" si="776"/>
        <v>-948.63350000000344</v>
      </c>
      <c r="BG800" s="507">
        <f t="shared" si="776"/>
        <v>-213.46750000000105</v>
      </c>
      <c r="BH800" s="507">
        <f t="shared" si="776"/>
        <v>-921.58999999999821</v>
      </c>
      <c r="BI800" s="507">
        <f t="shared" si="776"/>
        <v>-1723.098999999999</v>
      </c>
      <c r="BJ800" s="701">
        <f t="shared" si="776"/>
        <v>239.85249999998865</v>
      </c>
      <c r="BK800" s="507">
        <f t="shared" si="776"/>
        <v>-497.16649999999748</v>
      </c>
      <c r="BL800" s="507">
        <f t="shared" si="776"/>
        <v>1014.2900000000004</v>
      </c>
      <c r="BM800" s="507">
        <f t="shared" si="776"/>
        <v>-909.23300000000336</v>
      </c>
      <c r="BN800" s="701">
        <f t="shared" si="776"/>
        <v>-331.23881612638343</v>
      </c>
      <c r="BO800" s="507">
        <f t="shared" si="776"/>
        <v>91.554912111908024</v>
      </c>
      <c r="BP800" s="507">
        <f t="shared" si="776"/>
        <v>352.72690547545756</v>
      </c>
      <c r="BQ800" s="507">
        <f t="shared" si="776"/>
        <v>2184.5372554784185</v>
      </c>
      <c r="BR800" s="507"/>
      <c r="BS800" s="507"/>
      <c r="BT800" s="507"/>
      <c r="BU800" s="507"/>
      <c r="BV800" s="507"/>
      <c r="BW800" s="507"/>
      <c r="BX800" s="507"/>
      <c r="BY800" s="507"/>
      <c r="BZ800" s="507"/>
      <c r="CA800" s="507"/>
      <c r="CB800" s="507"/>
      <c r="CC800" s="507"/>
      <c r="CD800" s="507"/>
      <c r="CE800" s="507"/>
      <c r="CF800" s="507"/>
      <c r="CG800" s="507"/>
      <c r="CH800" s="507"/>
      <c r="CI800" s="507"/>
      <c r="CJ800" s="507"/>
      <c r="CK800" s="507"/>
      <c r="CL800" s="507"/>
      <c r="CM800" s="507"/>
      <c r="CN800" s="507"/>
      <c r="CO800" s="507"/>
      <c r="CP800" s="507"/>
      <c r="CQ800" s="507"/>
      <c r="CR800"/>
      <c r="CS800"/>
      <c r="CT800"/>
      <c r="CU800"/>
      <c r="CV800"/>
      <c r="CW800"/>
    </row>
    <row r="801" spans="9:101" s="604" customFormat="1" outlineLevel="1">
      <c r="I801" s="605"/>
      <c r="J801" s="505" t="s">
        <v>499</v>
      </c>
      <c r="K801" s="507"/>
      <c r="L801" s="507"/>
      <c r="M801" s="507"/>
      <c r="N801" s="508">
        <f t="shared" ref="N801:AD801" si="777">+N438</f>
        <v>-0.75419741740204638</v>
      </c>
      <c r="O801" s="508">
        <f t="shared" si="777"/>
        <v>-1.3565532563996656</v>
      </c>
      <c r="P801" s="508">
        <f t="shared" si="777"/>
        <v>-2.2255827797240668</v>
      </c>
      <c r="Q801" s="508">
        <f t="shared" si="777"/>
        <v>-2.1770237539144119</v>
      </c>
      <c r="R801" s="508">
        <f t="shared" si="777"/>
        <v>-1.4667059682077042</v>
      </c>
      <c r="S801" s="508">
        <f t="shared" si="777"/>
        <v>-10.706955398584441</v>
      </c>
      <c r="T801" s="508">
        <f t="shared" si="777"/>
        <v>-6.8719919994969985</v>
      </c>
      <c r="U801" s="508">
        <f t="shared" si="777"/>
        <v>-2.714513285947338</v>
      </c>
      <c r="V801" s="508">
        <f t="shared" si="777"/>
        <v>-0.10459143894033246</v>
      </c>
      <c r="W801" s="508">
        <f t="shared" si="777"/>
        <v>1.532330110185508</v>
      </c>
      <c r="X801" s="508">
        <f t="shared" ca="1" si="777"/>
        <v>4.8889689810990742</v>
      </c>
      <c r="Y801" s="508">
        <f t="shared" ca="1" si="777"/>
        <v>8.6981422814594591</v>
      </c>
      <c r="Z801" s="508">
        <f t="shared" ca="1" si="777"/>
        <v>13.532988408208888</v>
      </c>
      <c r="AA801" s="508">
        <f t="shared" ca="1" si="777"/>
        <v>18.20321387626408</v>
      </c>
      <c r="AB801" s="508">
        <f t="shared" ca="1" si="777"/>
        <v>23.064173532059037</v>
      </c>
      <c r="AC801" s="508">
        <f t="shared" ca="1" si="777"/>
        <v>28.44167265555161</v>
      </c>
      <c r="AD801" s="508">
        <f t="shared" ca="1" si="777"/>
        <v>33.031623219189861</v>
      </c>
      <c r="AE801" s="507"/>
      <c r="AF801" s="507"/>
      <c r="AG801" s="507"/>
      <c r="AH801" s="507"/>
      <c r="AI801" s="507"/>
      <c r="AJ801" s="507"/>
      <c r="AK801" s="507"/>
      <c r="AL801" s="701"/>
      <c r="AM801" s="507"/>
      <c r="AN801" s="507"/>
      <c r="AO801" s="507"/>
      <c r="AP801" s="701"/>
      <c r="AQ801" s="507"/>
      <c r="AR801" s="507"/>
      <c r="AS801" s="507"/>
      <c r="AT801" s="701"/>
      <c r="AU801" s="507"/>
      <c r="AV801" s="507"/>
      <c r="AW801" s="507"/>
      <c r="AX801" s="700">
        <f t="shared" ref="AX801:BQ801" si="778">+AX438</f>
        <v>-4.3972241021232472</v>
      </c>
      <c r="AY801" s="508">
        <f t="shared" si="778"/>
        <v>-5.858331767518969</v>
      </c>
      <c r="AZ801" s="508">
        <f t="shared" si="778"/>
        <v>-0.12065283698381876</v>
      </c>
      <c r="BA801" s="508">
        <f t="shared" si="778"/>
        <v>-0.33346165688581619</v>
      </c>
      <c r="BB801" s="700">
        <f t="shared" si="778"/>
        <v>-0.51978648215555068</v>
      </c>
      <c r="BC801" s="508">
        <f t="shared" si="778"/>
        <v>-0.3732265374274385</v>
      </c>
      <c r="BD801" s="508">
        <f t="shared" si="778"/>
        <v>-0.38805045952881845</v>
      </c>
      <c r="BE801" s="508">
        <f t="shared" si="778"/>
        <v>-5.5739376542792538</v>
      </c>
      <c r="BF801" s="700">
        <f t="shared" si="778"/>
        <v>-0.72867258730124718</v>
      </c>
      <c r="BG801" s="508">
        <f t="shared" si="778"/>
        <v>-0.15451287917967665</v>
      </c>
      <c r="BH801" s="508">
        <f t="shared" si="778"/>
        <v>-0.63238294166931297</v>
      </c>
      <c r="BI801" s="508">
        <f t="shared" si="778"/>
        <v>-1.1989448777971012</v>
      </c>
      <c r="BJ801" s="700">
        <f t="shared" si="778"/>
        <v>0.18193641662661819</v>
      </c>
      <c r="BK801" s="508">
        <f t="shared" si="778"/>
        <v>-0.34184249845122089</v>
      </c>
      <c r="BL801" s="508">
        <f t="shared" si="778"/>
        <v>0.69354845878310234</v>
      </c>
      <c r="BM801" s="508">
        <f t="shared" si="778"/>
        <v>-0.6382338158988321</v>
      </c>
      <c r="BN801" s="700">
        <f t="shared" si="778"/>
        <v>-0.22091381142384689</v>
      </c>
      <c r="BO801" s="508">
        <f t="shared" si="778"/>
        <v>6.1060913167555325E-2</v>
      </c>
      <c r="BP801" s="508">
        <f t="shared" si="778"/>
        <v>0.23524490876875745</v>
      </c>
      <c r="BQ801" s="508">
        <f t="shared" si="778"/>
        <v>1.4569380996730605</v>
      </c>
      <c r="BR801" s="507"/>
      <c r="BS801" s="507"/>
      <c r="BT801" s="507"/>
      <c r="BU801" s="507"/>
      <c r="BV801" s="507"/>
      <c r="BW801" s="507"/>
      <c r="BX801" s="507"/>
      <c r="BY801" s="507"/>
      <c r="BZ801" s="507"/>
      <c r="CA801" s="507"/>
      <c r="CB801" s="507"/>
      <c r="CC801" s="507"/>
      <c r="CD801" s="507"/>
      <c r="CE801" s="507"/>
      <c r="CF801" s="507"/>
      <c r="CG801" s="507"/>
      <c r="CH801" s="507"/>
      <c r="CI801" s="507"/>
      <c r="CJ801" s="507"/>
      <c r="CK801" s="507"/>
      <c r="CL801" s="507"/>
      <c r="CM801" s="507"/>
      <c r="CN801" s="507"/>
      <c r="CO801" s="507"/>
      <c r="CP801" s="507"/>
      <c r="CQ801" s="507"/>
      <c r="CR801"/>
      <c r="CS801"/>
      <c r="CT801"/>
      <c r="CU801"/>
      <c r="CV801"/>
      <c r="CW801"/>
    </row>
    <row r="802" spans="9:101" s="583" customFormat="1" outlineLevel="1">
      <c r="I802" s="597"/>
      <c r="J802" s="477"/>
      <c r="K802" s="477"/>
      <c r="L802" s="477"/>
      <c r="M802" s="477"/>
      <c r="N802" s="477"/>
      <c r="O802" s="477"/>
      <c r="P802" s="477"/>
      <c r="Q802" s="477"/>
      <c r="R802" s="477"/>
      <c r="S802" s="477"/>
      <c r="T802" s="477"/>
      <c r="U802" s="477"/>
      <c r="V802" s="477"/>
      <c r="W802" s="477"/>
      <c r="X802" s="477"/>
      <c r="Y802" s="477"/>
      <c r="Z802" s="477"/>
      <c r="AA802" s="477"/>
      <c r="AB802" s="477"/>
      <c r="AC802" s="477"/>
      <c r="AD802" s="477"/>
      <c r="AE802" s="477"/>
      <c r="AF802" s="477"/>
      <c r="AG802" s="477"/>
      <c r="AH802" s="477"/>
      <c r="AI802" s="477"/>
      <c r="AJ802" s="477"/>
      <c r="AK802" s="477"/>
      <c r="AL802" s="1743"/>
      <c r="AM802" s="477"/>
      <c r="AN802" s="477"/>
      <c r="AO802" s="477"/>
      <c r="AP802" s="1743"/>
      <c r="AQ802" s="477"/>
      <c r="AR802" s="477"/>
      <c r="AS802" s="477"/>
      <c r="AT802" s="1743"/>
      <c r="AU802" s="477"/>
      <c r="AV802" s="477"/>
      <c r="AW802" s="477"/>
      <c r="AX802" s="698"/>
      <c r="AY802" s="510"/>
      <c r="AZ802" s="510"/>
      <c r="BA802" s="510"/>
      <c r="BB802" s="698"/>
      <c r="BC802" s="510"/>
      <c r="BD802" s="510"/>
      <c r="BE802" s="510"/>
      <c r="BF802" s="698"/>
      <c r="BG802" s="705"/>
      <c r="BH802" s="705"/>
      <c r="BI802" s="510"/>
      <c r="BJ802" s="698"/>
      <c r="BK802" s="510"/>
      <c r="BL802" s="510"/>
      <c r="BM802" s="510"/>
      <c r="BN802" s="698"/>
      <c r="BO802" s="510"/>
      <c r="BP802" s="510"/>
      <c r="BQ802" s="510"/>
      <c r="BR802" s="477"/>
      <c r="BS802" s="477"/>
      <c r="BT802" s="477"/>
      <c r="BU802" s="477"/>
      <c r="BV802" s="477"/>
      <c r="BW802" s="477"/>
      <c r="BX802" s="477"/>
      <c r="BY802" s="477"/>
      <c r="BZ802" s="477"/>
      <c r="CA802" s="477"/>
      <c r="CB802" s="477"/>
      <c r="CC802" s="477"/>
      <c r="CD802" s="477"/>
      <c r="CE802" s="477"/>
      <c r="CF802" s="477"/>
      <c r="CG802" s="477"/>
      <c r="CH802" s="477"/>
      <c r="CI802" s="477"/>
      <c r="CJ802" s="477"/>
      <c r="CK802" s="477"/>
      <c r="CL802" s="477"/>
      <c r="CM802" s="477"/>
      <c r="CN802" s="477"/>
      <c r="CO802" s="477"/>
      <c r="CP802" s="477"/>
      <c r="CQ802" s="477"/>
      <c r="CR802"/>
      <c r="CS802"/>
      <c r="CT802"/>
      <c r="CU802"/>
      <c r="CV802"/>
      <c r="CW802"/>
    </row>
    <row r="803" spans="9:101" s="42" customFormat="1">
      <c r="I803" s="587"/>
      <c r="J803"/>
      <c r="K803"/>
      <c r="L803"/>
      <c r="M803"/>
      <c r="N803"/>
      <c r="O803"/>
      <c r="P803"/>
      <c r="Q803"/>
      <c r="R803"/>
      <c r="S803" s="259"/>
      <c r="T803" s="259"/>
      <c r="U803" s="259"/>
      <c r="V803" s="259"/>
      <c r="W803"/>
      <c r="X803"/>
      <c r="Y803"/>
      <c r="Z803"/>
      <c r="AA803"/>
      <c r="AB803"/>
      <c r="AC803"/>
      <c r="AD803"/>
      <c r="AE803"/>
      <c r="AF803"/>
      <c r="AG803"/>
      <c r="AH803"/>
      <c r="AI803"/>
      <c r="AJ803"/>
      <c r="AK803"/>
      <c r="AL803" s="1754"/>
      <c r="AM803"/>
      <c r="AN803"/>
      <c r="AO803"/>
      <c r="AP803" s="1754"/>
      <c r="AQ803"/>
      <c r="AR803"/>
      <c r="AS803"/>
      <c r="AT803" s="1754"/>
      <c r="AU803"/>
      <c r="AV803"/>
      <c r="AW803"/>
      <c r="AX803" s="703"/>
      <c r="AY803" s="545"/>
      <c r="AZ803" s="545"/>
      <c r="BA803" s="545"/>
      <c r="BB803" s="703"/>
      <c r="BC803" s="545"/>
      <c r="BD803" s="545"/>
      <c r="BE803" s="545"/>
      <c r="BF803" s="703"/>
      <c r="BG803" s="811"/>
      <c r="BH803" s="811"/>
      <c r="BI803" s="545"/>
      <c r="BJ803" s="703"/>
      <c r="BK803" s="55"/>
      <c r="BL803" s="55"/>
      <c r="BM803" s="545"/>
      <c r="BN803" s="703"/>
      <c r="BO803" s="55"/>
      <c r="BP803" s="55"/>
      <c r="BQ803" s="545"/>
      <c r="BR803" s="259"/>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row>
    <row r="804" spans="9:101" s="42" customFormat="1">
      <c r="I804" s="587"/>
      <c r="J804"/>
      <c r="K804"/>
      <c r="L804"/>
      <c r="M804"/>
      <c r="N804"/>
      <c r="O804"/>
      <c r="P804"/>
      <c r="Q804" s="64"/>
      <c r="R804" s="64"/>
      <c r="S804" s="64"/>
      <c r="T804" s="815"/>
      <c r="U804" s="815"/>
      <c r="V804" s="815"/>
      <c r="W804" s="64"/>
      <c r="X804" s="64"/>
      <c r="Y804" s="64"/>
      <c r="Z804" s="64"/>
      <c r="AA804" s="64"/>
      <c r="AB804" s="64"/>
      <c r="AC804" s="64"/>
      <c r="AD804" s="64"/>
      <c r="AE804" s="64"/>
      <c r="AF804" s="64"/>
      <c r="AG804" s="64"/>
      <c r="AH804" s="64"/>
      <c r="AI804" s="64"/>
      <c r="AJ804" s="64"/>
      <c r="AK804" s="64"/>
      <c r="AL804" s="702"/>
      <c r="AM804" s="64"/>
      <c r="AN804" s="64"/>
      <c r="AO804" s="64"/>
      <c r="AP804" s="702"/>
      <c r="AQ804" s="64"/>
      <c r="AR804" s="64"/>
      <c r="AS804" s="64"/>
      <c r="AT804" s="702"/>
      <c r="AU804" s="64"/>
      <c r="AV804" s="64"/>
      <c r="AW804" s="64"/>
      <c r="AX804" s="702"/>
      <c r="AY804" s="815"/>
      <c r="AZ804" s="815"/>
      <c r="BA804" s="815"/>
      <c r="BB804" s="702"/>
      <c r="BC804" s="815"/>
      <c r="BD804" s="815"/>
      <c r="BE804" s="815"/>
      <c r="BF804" s="702"/>
      <c r="BG804" s="810"/>
      <c r="BH804" s="810"/>
      <c r="BI804" s="815"/>
      <c r="BJ804" s="702"/>
      <c r="BK804" s="64"/>
      <c r="BL804" s="64"/>
      <c r="BM804" s="815"/>
      <c r="BN804" s="702"/>
      <c r="BO804" s="64"/>
      <c r="BP804" s="64"/>
      <c r="BQ804" s="815"/>
      <c r="BR804" s="259"/>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row>
    <row r="805" spans="9:101">
      <c r="Q805" s="777"/>
      <c r="R805" s="644"/>
      <c r="S805" s="644"/>
      <c r="T805" s="644"/>
      <c r="V805" s="382"/>
    </row>
    <row r="806" spans="9:101">
      <c r="R806" s="644"/>
      <c r="S806" s="644"/>
      <c r="T806" s="644"/>
      <c r="V806" s="382"/>
    </row>
    <row r="807" spans="9:101">
      <c r="Q807" s="778"/>
      <c r="R807" s="778"/>
      <c r="S807" s="778"/>
      <c r="T807" s="778"/>
      <c r="V807" s="382"/>
    </row>
    <row r="808" spans="9:101">
      <c r="R808" s="644"/>
      <c r="S808" s="644"/>
      <c r="T808" s="644"/>
      <c r="V808" s="382"/>
    </row>
    <row r="809" spans="9:101">
      <c r="T809" s="604"/>
      <c r="V809" s="382"/>
    </row>
    <row r="810" spans="9:101">
      <c r="T810" s="604"/>
      <c r="V810" s="382"/>
    </row>
    <row r="811" spans="9:101">
      <c r="T811" s="604"/>
      <c r="V811" s="382"/>
    </row>
    <row r="812" spans="9:101">
      <c r="V812" s="382"/>
    </row>
    <row r="813" spans="9:101">
      <c r="T813" s="604">
        <f>T401/0.75</f>
        <v>0</v>
      </c>
      <c r="V813" s="382"/>
    </row>
  </sheetData>
  <sortState ref="I84:J87">
    <sortCondition ref="I186"/>
  </sortState>
  <phoneticPr fontId="8" type="noConversion"/>
  <printOptions headings="1"/>
  <pageMargins left="0" right="0" top="0.5" bottom="0.5" header="0.3" footer="0.3"/>
  <pageSetup scale="65" fitToHeight="100" orientation="landscape" r:id="rId1"/>
  <headerFooter>
    <oddFooter>&amp;L&amp;Z&amp;F\&amp;F\&amp;A&amp;C&amp;P/&amp;N&amp;R&amp;D &amp;T</oddFooter>
  </headerFooter>
  <rowBreaks count="4" manualBreakCount="4">
    <brk id="48" min="9" max="60" man="1"/>
    <brk id="190" min="9" max="60" man="1"/>
    <brk id="224" min="9" max="60" man="1"/>
    <brk id="301" min="9" max="60" man="1"/>
  </rowBreaks>
  <cellWatches>
    <cellWatch r="W558"/>
  </cellWatches>
  <drawing r:id="rId2"/>
  <legacyDrawing r:id="rId3"/>
  <mc:AlternateContent xmlns:mc="http://schemas.openxmlformats.org/markup-compatibility/2006">
    <mc:Choice Requires="x14">
      <controls>
        <mc:AlternateContent xmlns:mc="http://schemas.openxmlformats.org/markup-compatibility/2006">
          <mc:Choice Requires="x14">
            <control shapeId="28587" r:id="rId4" name="Drop Down 4011">
              <controlPr defaultSize="0" print="0" autoLine="0" autoPict="0">
                <anchor moveWithCells="1">
                  <from>
                    <xdr:col>11</xdr:col>
                    <xdr:colOff>38100</xdr:colOff>
                    <xdr:row>0</xdr:row>
                    <xdr:rowOff>0</xdr:rowOff>
                  </from>
                  <to>
                    <xdr:col>12</xdr:col>
                    <xdr:colOff>485775</xdr:colOff>
                    <xdr:row>6</xdr:row>
                    <xdr:rowOff>161925</xdr:rowOff>
                  </to>
                </anchor>
              </controlPr>
            </control>
          </mc:Choice>
        </mc:AlternateContent>
        <mc:AlternateContent xmlns:mc="http://schemas.openxmlformats.org/markup-compatibility/2006">
          <mc:Choice Requires="x14">
            <control shapeId="28588" r:id="rId5" name="Drop Down 4012">
              <controlPr defaultSize="0" print="0" autoLine="0" autoPict="0">
                <anchor moveWithCells="1">
                  <from>
                    <xdr:col>11</xdr:col>
                    <xdr:colOff>38100</xdr:colOff>
                    <xdr:row>0</xdr:row>
                    <xdr:rowOff>0</xdr:rowOff>
                  </from>
                  <to>
                    <xdr:col>12</xdr:col>
                    <xdr:colOff>485775</xdr:colOff>
                    <xdr:row>6</xdr:row>
                    <xdr:rowOff>161925</xdr:rowOff>
                  </to>
                </anchor>
              </controlPr>
            </control>
          </mc:Choice>
        </mc:AlternateContent>
        <mc:AlternateContent xmlns:mc="http://schemas.openxmlformats.org/markup-compatibility/2006">
          <mc:Choice Requires="x14">
            <control shapeId="28589" r:id="rId6" name="Drop Down 4013">
              <controlPr defaultSize="0" print="0" autoLine="0" autoPict="0">
                <anchor moveWithCells="1">
                  <from>
                    <xdr:col>11</xdr:col>
                    <xdr:colOff>38100</xdr:colOff>
                    <xdr:row>0</xdr:row>
                    <xdr:rowOff>0</xdr:rowOff>
                  </from>
                  <to>
                    <xdr:col>12</xdr:col>
                    <xdr:colOff>485775</xdr:colOff>
                    <xdr:row>6</xdr:row>
                    <xdr:rowOff>161925</xdr:rowOff>
                  </to>
                </anchor>
              </controlPr>
            </control>
          </mc:Choice>
        </mc:AlternateContent>
        <mc:AlternateContent xmlns:mc="http://schemas.openxmlformats.org/markup-compatibility/2006">
          <mc:Choice Requires="x14">
            <control shapeId="28590" r:id="rId7" name="Drop Down 4014">
              <controlPr defaultSize="0" print="0" autoLine="0" autoPict="0">
                <anchor moveWithCells="1">
                  <from>
                    <xdr:col>11</xdr:col>
                    <xdr:colOff>38100</xdr:colOff>
                    <xdr:row>0</xdr:row>
                    <xdr:rowOff>0</xdr:rowOff>
                  </from>
                  <to>
                    <xdr:col>12</xdr:col>
                    <xdr:colOff>485775</xdr:colOff>
                    <xdr:row>6</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56"/>
    <pageSetUpPr fitToPage="1"/>
  </sheetPr>
  <dimension ref="A1:AS165"/>
  <sheetViews>
    <sheetView topLeftCell="H1" zoomScaleNormal="100" workbookViewId="0">
      <pane ySplit="8" topLeftCell="A9" activePane="bottomLeft" state="frozen"/>
      <selection activeCell="H1" sqref="H1"/>
      <selection pane="bottomLeft" activeCell="Y32" sqref="Y32"/>
    </sheetView>
  </sheetViews>
  <sheetFormatPr defaultRowHeight="12.75" outlineLevelRow="1" outlineLevelCol="1"/>
  <cols>
    <col min="1" max="7" width="9.140625" style="2" hidden="1" customWidth="1" outlineLevel="1"/>
    <col min="8" max="8" width="9.140625" style="474" collapsed="1"/>
    <col min="9" max="9" width="35.85546875" bestFit="1" customWidth="1"/>
    <col min="10" max="10" width="7.140625" hidden="1" customWidth="1" outlineLevel="1"/>
    <col min="11" max="11" width="9.42578125" hidden="1" customWidth="1" outlineLevel="1"/>
    <col min="12" max="12" width="6.42578125" hidden="1" customWidth="1" outlineLevel="1"/>
    <col min="13" max="13" width="3.140625" hidden="1" customWidth="1" outlineLevel="1"/>
    <col min="14" max="15" width="7.7109375" hidden="1" customWidth="1" outlineLevel="1"/>
    <col min="16" max="16" width="10.140625" hidden="1" customWidth="1" outlineLevel="1"/>
    <col min="17" max="17" width="8.5703125" hidden="1" customWidth="1" outlineLevel="1" collapsed="1"/>
    <col min="18" max="18" width="10.28515625" style="259" hidden="1" customWidth="1" outlineLevel="1"/>
    <col min="19" max="19" width="8.7109375" hidden="1" customWidth="1" outlineLevel="1"/>
    <col min="20" max="20" width="10.42578125" hidden="1" customWidth="1" outlineLevel="1"/>
    <col min="21" max="21" width="10" hidden="1" customWidth="1" outlineLevel="1"/>
    <col min="22" max="22" width="11.28515625" bestFit="1" customWidth="1" collapsed="1"/>
    <col min="23" max="29" width="11.28515625" bestFit="1" customWidth="1"/>
    <col min="30" max="30" width="9.42578125" customWidth="1"/>
    <col min="32" max="32" width="7.42578125" bestFit="1" customWidth="1"/>
    <col min="33" max="33" width="8.28515625" bestFit="1" customWidth="1"/>
    <col min="34" max="34" width="32.28515625" bestFit="1" customWidth="1"/>
    <col min="35" max="35" width="8.28515625" bestFit="1" customWidth="1"/>
  </cols>
  <sheetData>
    <row r="1" spans="8:38" ht="11.25" customHeight="1">
      <c r="I1" s="242" t="s">
        <v>14</v>
      </c>
      <c r="J1" s="24"/>
      <c r="K1" s="104"/>
      <c r="L1" s="104"/>
      <c r="M1" s="104"/>
      <c r="N1" s="2"/>
      <c r="O1" s="2"/>
      <c r="P1" s="2"/>
      <c r="Q1" s="619"/>
      <c r="R1" s="1173"/>
      <c r="S1" s="704"/>
      <c r="T1" s="1172"/>
      <c r="U1" s="105"/>
      <c r="V1" s="105"/>
      <c r="W1" s="105"/>
      <c r="X1" s="105"/>
      <c r="Y1" s="105"/>
      <c r="Z1" s="105"/>
      <c r="AA1" s="105"/>
      <c r="AB1" s="105"/>
      <c r="AC1" s="105"/>
      <c r="AD1" s="106"/>
      <c r="AE1" s="2"/>
      <c r="AF1" s="2"/>
      <c r="AG1" s="2"/>
      <c r="AH1" s="2"/>
      <c r="AI1" s="2"/>
      <c r="AJ1" s="2"/>
      <c r="AK1" s="2"/>
      <c r="AL1" s="2"/>
    </row>
    <row r="2" spans="8:38" ht="12.75" customHeight="1">
      <c r="I2" s="404" t="s">
        <v>123</v>
      </c>
      <c r="J2" s="24"/>
      <c r="K2" s="24"/>
      <c r="L2" s="24"/>
      <c r="M2" s="24"/>
      <c r="N2" s="2"/>
      <c r="O2" s="2"/>
      <c r="P2" s="2"/>
      <c r="Q2" s="619"/>
      <c r="R2" s="796"/>
      <c r="S2" s="208"/>
      <c r="T2" s="530"/>
      <c r="U2" s="105"/>
      <c r="V2" s="105"/>
      <c r="W2" s="105"/>
      <c r="X2" s="105"/>
      <c r="Y2" s="105"/>
      <c r="Z2" s="105"/>
      <c r="AA2" s="105"/>
      <c r="AB2" s="105"/>
      <c r="AC2" s="105"/>
      <c r="AD2" s="106"/>
      <c r="AE2" s="2"/>
      <c r="AF2" s="2"/>
      <c r="AG2" s="2"/>
      <c r="AH2" s="2"/>
      <c r="AI2" s="2"/>
      <c r="AJ2" s="2"/>
      <c r="AK2" s="2"/>
      <c r="AL2" s="2"/>
    </row>
    <row r="3" spans="8:38" s="2" customFormat="1" ht="12.75" customHeight="1">
      <c r="H3" s="474"/>
      <c r="I3" s="404" t="s">
        <v>408</v>
      </c>
      <c r="J3" s="24"/>
      <c r="K3" s="24"/>
      <c r="L3" s="24"/>
      <c r="M3" s="24"/>
      <c r="Q3" s="619"/>
      <c r="R3" s="796"/>
      <c r="S3" s="208"/>
      <c r="T3" s="530"/>
      <c r="U3" s="105"/>
      <c r="V3" s="105"/>
      <c r="W3" s="105"/>
      <c r="X3" s="105"/>
      <c r="Y3" s="105"/>
      <c r="Z3" s="105"/>
      <c r="AA3" s="105"/>
      <c r="AB3" s="105"/>
      <c r="AC3" s="105"/>
      <c r="AD3" s="106"/>
    </row>
    <row r="4" spans="8:38" s="2" customFormat="1" ht="12.75" customHeight="1">
      <c r="H4" s="474"/>
      <c r="I4" s="404" t="s">
        <v>117</v>
      </c>
      <c r="J4" s="24"/>
      <c r="K4" s="24"/>
      <c r="L4" s="24"/>
      <c r="M4" s="24"/>
      <c r="Q4" s="619"/>
      <c r="R4" s="796"/>
      <c r="S4" s="208"/>
      <c r="T4" s="279"/>
      <c r="U4" s="105"/>
      <c r="V4" s="105"/>
      <c r="W4" s="105"/>
      <c r="X4" s="105"/>
      <c r="Y4" s="105"/>
      <c r="Z4" s="105"/>
      <c r="AA4" s="105"/>
      <c r="AB4" s="105"/>
      <c r="AC4" s="105"/>
      <c r="AD4" s="106"/>
    </row>
    <row r="5" spans="8:38" s="2" customFormat="1" ht="12.75" customHeight="1">
      <c r="H5" s="474"/>
      <c r="I5" s="404" t="s">
        <v>118</v>
      </c>
      <c r="J5" s="24"/>
      <c r="K5" s="24"/>
      <c r="L5" s="24"/>
      <c r="M5" s="24"/>
      <c r="Q5" s="619"/>
      <c r="R5" s="796"/>
      <c r="S5" s="208"/>
      <c r="T5" s="279"/>
      <c r="U5" s="105"/>
      <c r="V5" s="105"/>
      <c r="W5" s="105"/>
      <c r="X5" s="105"/>
      <c r="Y5" s="105"/>
      <c r="Z5" s="105"/>
      <c r="AA5" s="105"/>
      <c r="AB5" s="105"/>
      <c r="AC5" s="105"/>
      <c r="AD5" s="106"/>
    </row>
    <row r="6" spans="8:38">
      <c r="I6" s="24" t="s">
        <v>481</v>
      </c>
      <c r="J6" s="24"/>
      <c r="K6" s="24"/>
      <c r="L6" s="24"/>
      <c r="M6" s="24"/>
      <c r="N6" s="12">
        <v>40543</v>
      </c>
      <c r="O6" s="12">
        <v>40908</v>
      </c>
      <c r="P6" s="12">
        <v>41274</v>
      </c>
      <c r="Q6" s="88">
        <v>41639</v>
      </c>
      <c r="R6" s="88">
        <v>42004</v>
      </c>
      <c r="S6" s="12">
        <v>42369</v>
      </c>
      <c r="T6" s="12">
        <v>42735</v>
      </c>
      <c r="U6" s="12">
        <v>43100</v>
      </c>
      <c r="V6" s="12">
        <v>43465</v>
      </c>
      <c r="W6" s="12">
        <v>43830</v>
      </c>
      <c r="X6" s="12">
        <v>44196</v>
      </c>
      <c r="Y6" s="12">
        <v>44561</v>
      </c>
      <c r="Z6" s="12">
        <v>44926</v>
      </c>
      <c r="AA6" s="12">
        <v>45291</v>
      </c>
      <c r="AB6" s="12">
        <v>45657</v>
      </c>
      <c r="AC6" s="12">
        <v>46022</v>
      </c>
      <c r="AD6" s="12">
        <v>46387</v>
      </c>
      <c r="AE6" s="2"/>
      <c r="AF6" s="2"/>
      <c r="AG6" s="2"/>
      <c r="AH6" s="2"/>
      <c r="AI6" s="2"/>
      <c r="AJ6" s="2"/>
      <c r="AK6" s="2"/>
      <c r="AL6" s="2"/>
    </row>
    <row r="7" spans="8:38" ht="13.5">
      <c r="H7" s="475"/>
      <c r="I7" s="1177" t="s">
        <v>395</v>
      </c>
      <c r="J7" s="1177"/>
      <c r="K7" s="1177"/>
      <c r="L7" s="1177"/>
      <c r="M7" s="1177"/>
      <c r="N7" s="1178"/>
      <c r="O7" s="1178"/>
      <c r="P7" s="1178"/>
      <c r="Q7" s="1178"/>
      <c r="R7" s="1178"/>
      <c r="S7" s="1178"/>
      <c r="T7" s="1178"/>
      <c r="U7" s="1178"/>
      <c r="V7" s="1178"/>
      <c r="W7" s="1178"/>
      <c r="X7" s="1178"/>
      <c r="Y7" s="1178"/>
      <c r="Z7" s="1178"/>
      <c r="AA7" s="1178"/>
      <c r="AB7" s="1178"/>
      <c r="AC7" s="1178"/>
      <c r="AD7" s="1178"/>
      <c r="AE7" s="2"/>
      <c r="AF7" s="1965"/>
      <c r="AG7" s="1965"/>
      <c r="AH7" s="1965"/>
      <c r="AI7" s="1965"/>
      <c r="AJ7" s="2"/>
      <c r="AK7" s="2"/>
      <c r="AL7" s="2"/>
    </row>
    <row r="8" spans="8:38" ht="13.5" thickBot="1">
      <c r="H8" s="475"/>
      <c r="I8" s="14" t="s">
        <v>315</v>
      </c>
      <c r="J8" s="14"/>
      <c r="K8" s="14"/>
      <c r="L8" s="14"/>
      <c r="M8" s="14"/>
      <c r="N8" s="31">
        <v>40543</v>
      </c>
      <c r="O8" s="31">
        <v>40908</v>
      </c>
      <c r="P8" s="31">
        <v>41274</v>
      </c>
      <c r="Q8" s="31">
        <v>41639</v>
      </c>
      <c r="R8" s="31">
        <v>42004</v>
      </c>
      <c r="S8" s="31">
        <v>42369</v>
      </c>
      <c r="T8" s="31">
        <v>42735</v>
      </c>
      <c r="U8" s="1505">
        <v>2017</v>
      </c>
      <c r="V8" s="32">
        <v>43465</v>
      </c>
      <c r="W8" s="32">
        <v>43830</v>
      </c>
      <c r="X8" s="32">
        <v>44196</v>
      </c>
      <c r="Y8" s="32">
        <v>44197</v>
      </c>
      <c r="Z8" s="32">
        <v>44562</v>
      </c>
      <c r="AA8" s="32">
        <v>44928</v>
      </c>
      <c r="AB8" s="32">
        <v>45294</v>
      </c>
      <c r="AC8" s="32">
        <v>45661</v>
      </c>
      <c r="AD8" s="32" t="s">
        <v>160</v>
      </c>
      <c r="AE8" s="2"/>
      <c r="AF8" s="32"/>
      <c r="AG8" s="32"/>
      <c r="AH8" s="32"/>
      <c r="AI8" s="32"/>
      <c r="AJ8" s="2"/>
      <c r="AK8" s="2"/>
      <c r="AL8" s="2"/>
    </row>
    <row r="9" spans="8:38">
      <c r="H9" s="475"/>
      <c r="I9" s="20" t="s">
        <v>191</v>
      </c>
      <c r="J9" s="20"/>
      <c r="K9" s="20"/>
      <c r="L9" s="20"/>
      <c r="M9" s="20"/>
      <c r="N9" s="20"/>
      <c r="O9" s="20"/>
      <c r="P9" s="20"/>
      <c r="Q9" s="20"/>
      <c r="R9" s="13"/>
      <c r="S9" s="20"/>
      <c r="T9" s="20"/>
      <c r="U9" s="20"/>
      <c r="V9" s="20"/>
      <c r="W9" s="20"/>
      <c r="X9" s="20"/>
      <c r="Y9" s="20"/>
      <c r="Z9" s="20"/>
      <c r="AA9" s="20"/>
      <c r="AB9" s="20"/>
      <c r="AC9" s="20"/>
      <c r="AD9" s="20"/>
      <c r="AE9" s="2"/>
      <c r="AF9" s="2"/>
      <c r="AG9" s="2"/>
      <c r="AH9" s="2"/>
      <c r="AI9" s="2"/>
      <c r="AJ9" s="2"/>
      <c r="AK9" s="2"/>
      <c r="AL9" s="2"/>
    </row>
    <row r="10" spans="8:38">
      <c r="I10" s="59" t="s">
        <v>111</v>
      </c>
      <c r="J10" s="24"/>
      <c r="K10" s="24"/>
      <c r="L10" s="24"/>
      <c r="M10" s="24"/>
      <c r="N10" s="108"/>
      <c r="O10" s="108"/>
      <c r="P10" s="108"/>
      <c r="Q10" s="620"/>
      <c r="R10" s="620"/>
      <c r="S10" s="108"/>
      <c r="T10" s="1179"/>
      <c r="U10" s="1179">
        <f>Model!V406</f>
        <v>1294400</v>
      </c>
      <c r="V10" s="1179">
        <f>Model!W406</f>
        <v>1697573.2399999998</v>
      </c>
      <c r="W10" s="1179">
        <f>Model!X406</f>
        <v>2117170.9055969995</v>
      </c>
      <c r="X10" s="1179">
        <f>Model!Y406</f>
        <v>2541875.3892597575</v>
      </c>
      <c r="Y10" s="1179">
        <f>Model!Z406</f>
        <v>2893925.1306722336</v>
      </c>
      <c r="Z10" s="1179">
        <f>Model!AA406</f>
        <v>3115021.0106555927</v>
      </c>
      <c r="AA10" s="1179">
        <f>Model!AB406</f>
        <v>3353008.6158696795</v>
      </c>
      <c r="AB10" s="1179">
        <f>Model!AC406</f>
        <v>3609178.4741221229</v>
      </c>
      <c r="AC10" s="1179">
        <f>Model!AD406</f>
        <v>3884919.7095450535</v>
      </c>
      <c r="AD10" s="1179">
        <f>+(1+V47)*AC10</f>
        <v>4040316.4979268559</v>
      </c>
      <c r="AE10" s="2"/>
      <c r="AF10" s="79"/>
      <c r="AG10" s="79"/>
      <c r="AH10" s="79"/>
      <c r="AI10" s="79"/>
      <c r="AJ10" s="2"/>
      <c r="AK10" s="2"/>
      <c r="AL10" s="2"/>
    </row>
    <row r="11" spans="8:38">
      <c r="I11" s="34" t="s">
        <v>161</v>
      </c>
      <c r="J11" s="24"/>
      <c r="K11" s="24"/>
      <c r="L11" s="24"/>
      <c r="M11" s="24"/>
      <c r="N11" s="109"/>
      <c r="O11" s="109"/>
      <c r="P11" s="109"/>
      <c r="Q11" s="621"/>
      <c r="R11" s="621"/>
      <c r="S11" s="109"/>
      <c r="T11" s="109"/>
      <c r="U11" s="109"/>
      <c r="V11" s="109">
        <f t="shared" ref="V11:AD11" si="0">V10/U10-1</f>
        <v>0.31147499999999972</v>
      </c>
      <c r="W11" s="109">
        <f t="shared" si="0"/>
        <v>0.24717499999999992</v>
      </c>
      <c r="X11" s="109">
        <f t="shared" si="0"/>
        <v>0.20059999999999989</v>
      </c>
      <c r="Y11" s="109">
        <f>Y10/X10-1</f>
        <v>0.13849999999999985</v>
      </c>
      <c r="Z11" s="109">
        <f>Z10/Y10-1</f>
        <v>7.6400000000000023E-2</v>
      </c>
      <c r="AA11" s="109">
        <f>AA10/Z10-1</f>
        <v>7.6399999999999801E-2</v>
      </c>
      <c r="AB11" s="109">
        <f>AB10/AA10-1</f>
        <v>7.6400000000000023E-2</v>
      </c>
      <c r="AC11" s="109">
        <f>AC10/AB10-1</f>
        <v>7.6400000000000245E-2</v>
      </c>
      <c r="AD11" s="109">
        <f t="shared" si="0"/>
        <v>4.0000000000000036E-2</v>
      </c>
      <c r="AE11" s="2"/>
      <c r="AF11" s="2"/>
      <c r="AG11" s="2"/>
      <c r="AH11" s="2"/>
      <c r="AI11" s="2"/>
      <c r="AJ11" s="2"/>
      <c r="AK11" s="2"/>
      <c r="AL11" s="2"/>
    </row>
    <row r="12" spans="8:38">
      <c r="I12" s="49"/>
      <c r="J12" s="24"/>
      <c r="K12" s="24"/>
      <c r="L12" s="24"/>
      <c r="M12" s="24"/>
      <c r="N12" s="108"/>
      <c r="O12" s="108"/>
      <c r="P12" s="108"/>
      <c r="Q12" s="117"/>
      <c r="R12" s="117"/>
      <c r="S12" s="108"/>
      <c r="T12" s="108"/>
      <c r="U12" s="108"/>
      <c r="V12" s="108"/>
      <c r="W12" s="108"/>
      <c r="X12" s="108"/>
      <c r="Y12" s="108"/>
      <c r="Z12" s="108"/>
      <c r="AA12" s="108"/>
      <c r="AB12" s="108"/>
      <c r="AC12" s="108"/>
      <c r="AD12" s="108"/>
      <c r="AE12" s="2"/>
      <c r="AF12" s="2"/>
      <c r="AG12" s="2"/>
      <c r="AH12" s="2"/>
      <c r="AI12" s="2"/>
      <c r="AJ12" s="2"/>
      <c r="AK12" s="2"/>
      <c r="AL12" s="2"/>
    </row>
    <row r="13" spans="8:38">
      <c r="I13" s="51" t="s">
        <v>27</v>
      </c>
      <c r="J13" s="24"/>
      <c r="K13" s="24"/>
      <c r="L13" s="24"/>
      <c r="M13" s="24"/>
      <c r="N13" s="108"/>
      <c r="O13" s="108"/>
      <c r="P13" s="108"/>
      <c r="Q13" s="117"/>
      <c r="R13" s="117"/>
      <c r="S13" s="108"/>
      <c r="T13" s="108"/>
      <c r="U13" s="1179"/>
      <c r="V13" s="1179">
        <f ca="1">Model!W456</f>
        <v>8085.3286497015297</v>
      </c>
      <c r="W13" s="1179">
        <f ca="1">Model!X456</f>
        <v>15114.918921376211</v>
      </c>
      <c r="X13" s="1179">
        <f ca="1">Model!Y456</f>
        <v>23061.355205442967</v>
      </c>
      <c r="Y13" s="1179">
        <f ca="1">Model!Z456</f>
        <v>31854.249029750266</v>
      </c>
      <c r="Z13" s="1179">
        <f ca="1">Model!AA456</f>
        <v>40306.419175081697</v>
      </c>
      <c r="AA13" s="1179">
        <f ca="1">Model!AB456</f>
        <v>50365.243904088755</v>
      </c>
      <c r="AB13" s="1179">
        <f ca="1">Model!AC456</f>
        <v>61401.420899303703</v>
      </c>
      <c r="AC13" s="1179">
        <f ca="1">Model!AD456</f>
        <v>70780.264720856299</v>
      </c>
      <c r="AD13" s="1179">
        <f ca="1">AD10*AD20</f>
        <v>59957.792640928717</v>
      </c>
      <c r="AE13" s="2"/>
      <c r="AF13" s="79"/>
      <c r="AG13" s="79"/>
      <c r="AH13" s="79"/>
      <c r="AI13" s="79"/>
      <c r="AJ13" s="2"/>
      <c r="AK13" s="2"/>
      <c r="AL13" s="2"/>
    </row>
    <row r="14" spans="8:38">
      <c r="H14" s="1877"/>
      <c r="I14" s="51" t="s">
        <v>163</v>
      </c>
      <c r="J14" s="24"/>
      <c r="K14" s="24"/>
      <c r="L14" s="24"/>
      <c r="M14" s="24"/>
      <c r="N14" s="41"/>
      <c r="O14" s="41"/>
      <c r="P14" s="41"/>
      <c r="Q14" s="391"/>
      <c r="R14" s="391"/>
      <c r="S14" s="41"/>
      <c r="T14" s="41"/>
      <c r="U14" s="41"/>
      <c r="V14" s="41">
        <f>Model!W424</f>
        <v>-330.46601540473392</v>
      </c>
      <c r="W14" s="41">
        <f ca="1">Model!X424</f>
        <v>-1622.9525372313451</v>
      </c>
      <c r="X14" s="41">
        <f ca="1">Model!Y424</f>
        <v>-3026.2563750160903</v>
      </c>
      <c r="Y14" s="41">
        <f ca="1">Model!Z424</f>
        <v>-4856.2602470881138</v>
      </c>
      <c r="Z14" s="41">
        <f ca="1">Model!AA424</f>
        <v>-6732.3476381713263</v>
      </c>
      <c r="AA14" s="41">
        <f ca="1">Model!AB424</f>
        <v>-8789.396345936846</v>
      </c>
      <c r="AB14" s="41">
        <f ca="1">Model!AC424</f>
        <v>-11166.802644682281</v>
      </c>
      <c r="AC14" s="41">
        <f ca="1">Model!AD424</f>
        <v>-13360.135475227118</v>
      </c>
      <c r="AD14" s="110"/>
      <c r="AE14" s="2"/>
      <c r="AF14" s="79"/>
      <c r="AG14" s="79"/>
      <c r="AH14" s="79"/>
      <c r="AI14" s="79"/>
      <c r="AJ14" s="2"/>
      <c r="AK14" s="2"/>
      <c r="AL14" s="2"/>
    </row>
    <row r="15" spans="8:38">
      <c r="I15" s="51" t="s">
        <v>192</v>
      </c>
      <c r="J15" s="24"/>
      <c r="K15" s="24"/>
      <c r="L15" s="24"/>
      <c r="M15" s="24"/>
      <c r="N15" s="41"/>
      <c r="O15" s="41"/>
      <c r="P15" s="41"/>
      <c r="Q15" s="391"/>
      <c r="R15" s="391"/>
      <c r="S15" s="41"/>
      <c r="T15" s="41"/>
      <c r="U15" s="41"/>
      <c r="V15" s="41">
        <f>Model!W668</f>
        <v>5240.3870441676736</v>
      </c>
      <c r="W15" s="41">
        <f>Model!X668</f>
        <v>11249.069863757522</v>
      </c>
      <c r="X15" s="41">
        <f>Model!Y668</f>
        <v>11668.468046486978</v>
      </c>
      <c r="Y15" s="41">
        <f>Model!Z668</f>
        <v>13314.089241401896</v>
      </c>
      <c r="Z15" s="41">
        <f>Model!AA668</f>
        <v>5684.8587170397795</v>
      </c>
      <c r="AA15" s="41">
        <f>Model!AB668</f>
        <v>6099.0676403451562</v>
      </c>
      <c r="AB15" s="41">
        <f>Model!AC668</f>
        <v>6249.2067331083254</v>
      </c>
      <c r="AC15" s="41">
        <f>Model!AD668</f>
        <v>7795.448964182624</v>
      </c>
      <c r="AD15" s="110"/>
      <c r="AE15" s="2"/>
      <c r="AF15" s="79"/>
      <c r="AG15" s="79"/>
      <c r="AH15" s="79"/>
      <c r="AI15" s="79"/>
      <c r="AJ15" s="2"/>
      <c r="AK15" s="2"/>
      <c r="AL15" s="2"/>
    </row>
    <row r="16" spans="8:38">
      <c r="I16" s="349" t="s">
        <v>164</v>
      </c>
      <c r="J16" s="24"/>
      <c r="K16" s="24"/>
      <c r="L16" s="24"/>
      <c r="M16" s="24"/>
      <c r="N16" s="41"/>
      <c r="O16" s="41"/>
      <c r="P16" s="41"/>
      <c r="Q16" s="391"/>
      <c r="R16" s="391"/>
      <c r="S16" s="41"/>
      <c r="T16" s="41"/>
      <c r="U16" s="41"/>
      <c r="V16" s="41">
        <f>Model!W578</f>
        <v>-7723.9582419999979</v>
      </c>
      <c r="W16" s="41">
        <f>Model!X578</f>
        <v>-8892.1178035073972</v>
      </c>
      <c r="X16" s="41">
        <f>Model!Y578</f>
        <v>-10675.876634890983</v>
      </c>
      <c r="Y16" s="41">
        <f>Model!Z578</f>
        <v>-10128.73795735282</v>
      </c>
      <c r="Z16" s="41">
        <f>Model!AA578</f>
        <v>-10902.573537294576</v>
      </c>
      <c r="AA16" s="41">
        <f>Model!AB578</f>
        <v>-11735.53015554388</v>
      </c>
      <c r="AB16" s="41">
        <f>Model!AC578</f>
        <v>-12632.124659427433</v>
      </c>
      <c r="AC16" s="41">
        <f>Model!AD578</f>
        <v>-13597.218983407687</v>
      </c>
      <c r="AD16" s="110"/>
      <c r="AE16" s="2"/>
      <c r="AF16" s="79"/>
      <c r="AG16" s="79"/>
      <c r="AH16" s="79"/>
      <c r="AI16" s="79"/>
      <c r="AJ16" s="2"/>
      <c r="AK16" s="2"/>
      <c r="AL16" s="2"/>
    </row>
    <row r="17" spans="8:38">
      <c r="I17" s="19" t="s">
        <v>189</v>
      </c>
      <c r="J17" s="19"/>
      <c r="K17" s="19"/>
      <c r="L17" s="19"/>
      <c r="M17" s="19"/>
      <c r="N17" s="111"/>
      <c r="O17" s="111"/>
      <c r="P17" s="111"/>
      <c r="Q17" s="111"/>
      <c r="R17" s="111"/>
      <c r="S17" s="111"/>
      <c r="T17" s="111"/>
      <c r="U17" s="1180"/>
      <c r="V17" s="1180">
        <f t="shared" ref="V17:AC17" ca="1" si="1">IF(ISERROR(SUM(V13:V16)), "--", SUM(V13:V16))</f>
        <v>5271.2914364644703</v>
      </c>
      <c r="W17" s="1180">
        <f t="shared" ca="1" si="1"/>
        <v>15848.918444394993</v>
      </c>
      <c r="X17" s="1180">
        <f t="shared" ca="1" si="1"/>
        <v>21027.690242022873</v>
      </c>
      <c r="Y17" s="1180">
        <f t="shared" ca="1" si="1"/>
        <v>30183.340066711226</v>
      </c>
      <c r="Z17" s="1180">
        <f t="shared" ca="1" si="1"/>
        <v>28356.356716655573</v>
      </c>
      <c r="AA17" s="1180">
        <f t="shared" ca="1" si="1"/>
        <v>35939.385042953189</v>
      </c>
      <c r="AB17" s="1180">
        <f t="shared" ca="1" si="1"/>
        <v>43851.700328302315</v>
      </c>
      <c r="AC17" s="1180">
        <f t="shared" ca="1" si="1"/>
        <v>51618.359226404122</v>
      </c>
      <c r="AD17" s="1180">
        <f ca="1">AD13*AD21</f>
        <v>45665.013502751375</v>
      </c>
      <c r="AE17" s="2"/>
      <c r="AF17" s="79"/>
      <c r="AG17" s="79"/>
      <c r="AH17" s="79"/>
      <c r="AI17" s="79"/>
      <c r="AJ17" s="2"/>
      <c r="AK17" s="2"/>
      <c r="AL17" s="2"/>
    </row>
    <row r="18" spans="8:38">
      <c r="I18" s="34" t="s">
        <v>377</v>
      </c>
      <c r="J18" s="24"/>
      <c r="K18" s="24"/>
      <c r="L18" s="24"/>
      <c r="M18" s="24"/>
      <c r="N18" s="109"/>
      <c r="O18" s="109"/>
      <c r="P18" s="109"/>
      <c r="Q18" s="621"/>
      <c r="R18" s="621"/>
      <c r="S18" s="109"/>
      <c r="T18" s="109"/>
      <c r="U18" s="109"/>
      <c r="V18" s="109">
        <f t="shared" ref="V18:AD18" ca="1" si="2">IF(ISERROR(+V17/V10), "--", +V17/V10)</f>
        <v>3.1051923488523364E-3</v>
      </c>
      <c r="W18" s="109">
        <f t="shared" ca="1" si="2"/>
        <v>7.4858946920612051E-3</v>
      </c>
      <c r="X18" s="109">
        <f t="shared" ca="1" si="2"/>
        <v>8.2725102618608441E-3</v>
      </c>
      <c r="Y18" s="109">
        <f t="shared" ca="1" si="2"/>
        <v>1.0429896664154507E-2</v>
      </c>
      <c r="Z18" s="109">
        <f t="shared" ca="1" si="2"/>
        <v>9.1031028746376402E-3</v>
      </c>
      <c r="AA18" s="109">
        <f t="shared" ca="1" si="2"/>
        <v>1.071854837260282E-2</v>
      </c>
      <c r="AB18" s="109">
        <f t="shared" ca="1" si="2"/>
        <v>1.21500503903367E-2</v>
      </c>
      <c r="AC18" s="109">
        <f t="shared" ca="1" si="2"/>
        <v>1.3286853547984633E-2</v>
      </c>
      <c r="AD18" s="109">
        <f t="shared" ca="1" si="2"/>
        <v>1.1302335726961673E-2</v>
      </c>
      <c r="AE18" s="2"/>
      <c r="AF18" s="2"/>
      <c r="AG18" s="2"/>
      <c r="AH18" s="2"/>
      <c r="AI18" s="2"/>
      <c r="AJ18" s="2"/>
      <c r="AK18" s="2"/>
      <c r="AL18" s="2"/>
    </row>
    <row r="19" spans="8:38">
      <c r="I19" s="49"/>
      <c r="J19" s="24"/>
      <c r="K19" s="24"/>
      <c r="L19" s="24"/>
      <c r="M19" s="24"/>
      <c r="N19" s="112"/>
      <c r="O19" s="112"/>
      <c r="P19" s="112"/>
      <c r="Q19" s="622"/>
      <c r="R19" s="622"/>
      <c r="S19" s="112"/>
      <c r="T19" s="112"/>
      <c r="U19" s="112"/>
      <c r="V19" s="112"/>
      <c r="W19" s="112"/>
      <c r="X19" s="112"/>
      <c r="Y19" s="112"/>
      <c r="Z19" s="112"/>
      <c r="AA19" s="112"/>
      <c r="AB19" s="112"/>
      <c r="AC19" s="112"/>
      <c r="AD19" s="112"/>
      <c r="AE19" s="2"/>
      <c r="AF19" s="2"/>
      <c r="AG19" s="2"/>
      <c r="AH19" s="2"/>
      <c r="AI19" s="2"/>
      <c r="AJ19" s="2"/>
      <c r="AK19" s="2"/>
      <c r="AL19" s="2"/>
    </row>
    <row r="20" spans="8:38">
      <c r="I20" s="51" t="s">
        <v>165</v>
      </c>
      <c r="J20" s="24"/>
      <c r="K20" s="24"/>
      <c r="L20" s="24"/>
      <c r="M20" s="24"/>
      <c r="N20" s="113"/>
      <c r="O20" s="113"/>
      <c r="P20" s="113"/>
      <c r="Q20" s="140"/>
      <c r="R20" s="140"/>
      <c r="S20" s="113"/>
      <c r="T20" s="113"/>
      <c r="U20" s="113"/>
      <c r="V20" s="113">
        <f t="shared" ref="V20:AC20" ca="1" si="3">IF(ISERROR(+V13/V10), "--", +V13/V10)</f>
        <v>4.7628747079575375E-3</v>
      </c>
      <c r="W20" s="113">
        <f t="shared" ca="1" si="3"/>
        <v>7.1392058531590816E-3</v>
      </c>
      <c r="X20" s="113">
        <f t="shared" ca="1" si="3"/>
        <v>9.0725750376610213E-3</v>
      </c>
      <c r="Y20" s="113">
        <f t="shared" ca="1" si="3"/>
        <v>1.1007281664661035E-2</v>
      </c>
      <c r="Z20" s="113">
        <f t="shared" ca="1" si="3"/>
        <v>1.293937313334485E-2</v>
      </c>
      <c r="AA20" s="113">
        <f t="shared" ca="1" si="3"/>
        <v>1.5020910971034107E-2</v>
      </c>
      <c r="AB20" s="113">
        <f t="shared" ca="1" si="3"/>
        <v>1.7012575393417932E-2</v>
      </c>
      <c r="AC20" s="113">
        <f t="shared" ca="1" si="3"/>
        <v>1.8219234890994716E-2</v>
      </c>
      <c r="AD20" s="114">
        <f ca="1">AVERAGE(Y20:AC20)</f>
        <v>1.4839875210690528E-2</v>
      </c>
      <c r="AE20" s="2"/>
      <c r="AF20" s="79"/>
      <c r="AG20" s="79"/>
      <c r="AH20" s="79"/>
      <c r="AI20" s="79"/>
      <c r="AJ20" s="2"/>
      <c r="AK20" s="2"/>
      <c r="AL20" s="2"/>
    </row>
    <row r="21" spans="8:38">
      <c r="I21" s="59" t="s">
        <v>166</v>
      </c>
      <c r="J21" s="24"/>
      <c r="K21" s="24"/>
      <c r="L21" s="24"/>
      <c r="M21" s="24"/>
      <c r="N21" s="113"/>
      <c r="O21" s="113"/>
      <c r="P21" s="113"/>
      <c r="Q21" s="623"/>
      <c r="R21" s="140"/>
      <c r="S21" s="113"/>
      <c r="T21" s="793"/>
      <c r="U21" s="113"/>
      <c r="V21" s="113">
        <f t="shared" ref="V21:AC21" ca="1" si="4">V17/V13</f>
        <v>0.65195759688247923</v>
      </c>
      <c r="W21" s="113">
        <f t="shared" ca="1" si="4"/>
        <v>1.0485612610187889</v>
      </c>
      <c r="X21" s="113">
        <f t="shared" ca="1" si="4"/>
        <v>0.91181502798499425</v>
      </c>
      <c r="Y21" s="113">
        <f t="shared" ca="1" si="4"/>
        <v>0.9475451779924714</v>
      </c>
      <c r="Z21" s="113">
        <f t="shared" ca="1" si="4"/>
        <v>0.70351962037317595</v>
      </c>
      <c r="AA21" s="113">
        <f t="shared" ca="1" si="4"/>
        <v>0.71357512159363445</v>
      </c>
      <c r="AB21" s="113">
        <f t="shared" ca="1" si="4"/>
        <v>0.71418054641142026</v>
      </c>
      <c r="AC21" s="113">
        <f t="shared" ca="1" si="4"/>
        <v>0.72927615388239875</v>
      </c>
      <c r="AD21" s="114">
        <f ca="1">AVERAGE(Y21:AC21)</f>
        <v>0.76161932405062016</v>
      </c>
      <c r="AE21" s="2"/>
      <c r="AF21" s="79"/>
      <c r="AG21" s="79"/>
      <c r="AH21" s="79"/>
      <c r="AI21" s="79"/>
      <c r="AJ21" s="2"/>
      <c r="AK21" s="2"/>
      <c r="AL21" s="2"/>
    </row>
    <row r="22" spans="8:38">
      <c r="I22" s="49"/>
      <c r="J22" s="24"/>
      <c r="K22" s="24"/>
      <c r="L22" s="24"/>
      <c r="M22" s="24"/>
      <c r="N22" s="113"/>
      <c r="O22" s="113"/>
      <c r="P22" s="113"/>
      <c r="Q22" s="140"/>
      <c r="R22" s="140"/>
      <c r="S22" s="113"/>
      <c r="T22" s="113"/>
      <c r="U22" s="113"/>
      <c r="V22" s="113"/>
      <c r="W22" s="113"/>
      <c r="X22" s="113"/>
      <c r="Y22" s="113"/>
      <c r="Z22" s="113"/>
      <c r="AA22" s="113"/>
      <c r="AB22" s="113"/>
      <c r="AC22" s="113"/>
      <c r="AD22" s="113"/>
      <c r="AE22" s="2"/>
      <c r="AF22" s="2"/>
      <c r="AG22" s="2"/>
      <c r="AH22" s="2"/>
      <c r="AI22" s="2"/>
      <c r="AJ22" s="2"/>
      <c r="AK22" s="2"/>
      <c r="AL22" s="2"/>
    </row>
    <row r="23" spans="8:38">
      <c r="H23" s="475"/>
      <c r="I23" s="20" t="s">
        <v>167</v>
      </c>
      <c r="J23" s="20"/>
      <c r="K23" s="20"/>
      <c r="L23" s="20"/>
      <c r="M23" s="20"/>
      <c r="N23" s="115"/>
      <c r="O23" s="115"/>
      <c r="P23" s="115"/>
      <c r="Q23" s="115"/>
      <c r="R23" s="115"/>
      <c r="S23" s="260"/>
      <c r="T23" s="261"/>
      <c r="U23" s="261"/>
      <c r="V23" s="261"/>
      <c r="W23" s="261"/>
      <c r="X23" s="261"/>
      <c r="Y23" s="261"/>
      <c r="Z23" s="261"/>
      <c r="AA23" s="261"/>
      <c r="AB23" s="261"/>
      <c r="AC23" s="261"/>
      <c r="AD23" s="261"/>
      <c r="AE23" s="2"/>
      <c r="AF23" s="2"/>
      <c r="AG23" s="2"/>
      <c r="AH23" s="2"/>
      <c r="AI23" s="2"/>
      <c r="AJ23" s="2"/>
      <c r="AK23" s="2"/>
      <c r="AL23" s="2"/>
    </row>
    <row r="24" spans="8:38">
      <c r="I24" s="51" t="s">
        <v>168</v>
      </c>
      <c r="J24" s="24"/>
      <c r="K24" s="24"/>
      <c r="L24" s="24"/>
      <c r="M24" s="24"/>
      <c r="N24" s="116"/>
      <c r="O24" s="117"/>
      <c r="P24" s="117"/>
      <c r="Q24" s="117"/>
      <c r="R24" s="118"/>
      <c r="S24" s="118"/>
      <c r="T24" s="118"/>
      <c r="U24" s="119"/>
      <c r="V24" s="119">
        <v>0</v>
      </c>
      <c r="W24" s="119">
        <v>1</v>
      </c>
      <c r="X24" s="119">
        <f t="shared" ref="X24:AC24" si="5">W24+1</f>
        <v>2</v>
      </c>
      <c r="Y24" s="119">
        <f t="shared" si="5"/>
        <v>3</v>
      </c>
      <c r="Z24" s="119">
        <f t="shared" si="5"/>
        <v>4</v>
      </c>
      <c r="AA24" s="119">
        <f t="shared" si="5"/>
        <v>5</v>
      </c>
      <c r="AB24" s="119">
        <f t="shared" si="5"/>
        <v>6</v>
      </c>
      <c r="AC24" s="119">
        <f t="shared" si="5"/>
        <v>7</v>
      </c>
      <c r="AD24" s="117"/>
      <c r="AE24" s="2"/>
      <c r="AF24" s="2"/>
      <c r="AG24" s="2"/>
      <c r="AH24" s="2"/>
      <c r="AI24" s="2"/>
      <c r="AJ24" s="2"/>
      <c r="AK24" s="2"/>
      <c r="AL24" s="2"/>
    </row>
    <row r="25" spans="8:38">
      <c r="I25" s="59" t="s">
        <v>398</v>
      </c>
      <c r="J25" s="24"/>
      <c r="K25" s="24"/>
      <c r="L25" s="24"/>
      <c r="M25" s="24"/>
      <c r="N25" s="116"/>
      <c r="O25" s="117"/>
      <c r="P25" s="117"/>
      <c r="Q25" s="117"/>
      <c r="R25" s="117"/>
      <c r="S25" s="406"/>
      <c r="T25" s="406"/>
      <c r="U25" s="406"/>
      <c r="V25" s="406">
        <f t="shared" ref="V25:AC25" si="6">1/(1+$V$46)^V24</f>
        <v>1</v>
      </c>
      <c r="W25" s="406">
        <f t="shared" si="6"/>
        <v>0.89285714285714279</v>
      </c>
      <c r="X25" s="406">
        <f t="shared" si="6"/>
        <v>0.79719387755102034</v>
      </c>
      <c r="Y25" s="406">
        <f t="shared" si="6"/>
        <v>0.71178024781341087</v>
      </c>
      <c r="Z25" s="406">
        <f t="shared" si="6"/>
        <v>0.63551807840483121</v>
      </c>
      <c r="AA25" s="406">
        <f t="shared" si="6"/>
        <v>0.56742685571859919</v>
      </c>
      <c r="AB25" s="406">
        <f t="shared" si="6"/>
        <v>0.50663112117732068</v>
      </c>
      <c r="AC25" s="406">
        <f t="shared" si="6"/>
        <v>0.45234921533689343</v>
      </c>
      <c r="AD25" s="117"/>
      <c r="AE25" s="2"/>
      <c r="AF25" s="2"/>
      <c r="AG25" s="2"/>
      <c r="AH25" s="2"/>
      <c r="AI25" s="2"/>
      <c r="AJ25" s="83"/>
      <c r="AK25" s="83"/>
      <c r="AL25" s="83"/>
    </row>
    <row r="26" spans="8:38">
      <c r="I26" s="51" t="s">
        <v>169</v>
      </c>
      <c r="J26" s="24"/>
      <c r="K26" s="24"/>
      <c r="L26" s="24"/>
      <c r="M26" s="24"/>
      <c r="N26" s="120"/>
      <c r="O26" s="121"/>
      <c r="P26" s="117"/>
      <c r="Q26" s="117"/>
      <c r="R26" s="117"/>
      <c r="S26" s="407"/>
      <c r="T26" s="407"/>
      <c r="U26" s="352"/>
      <c r="V26" s="352">
        <f t="shared" ref="V26:AC26" ca="1" si="7">IF(ISERROR(V$17*V25),"--",V$17*V25)</f>
        <v>5271.2914364644703</v>
      </c>
      <c r="W26" s="352">
        <f t="shared" ca="1" si="7"/>
        <v>14150.820039638385</v>
      </c>
      <c r="X26" s="352">
        <f t="shared" ca="1" si="7"/>
        <v>16763.145919979968</v>
      </c>
      <c r="Y26" s="352">
        <f t="shared" ca="1" si="7"/>
        <v>21483.905272520169</v>
      </c>
      <c r="Z26" s="352">
        <f t="shared" ca="1" si="7"/>
        <v>18020.977331130878</v>
      </c>
      <c r="AA26" s="352">
        <f t="shared" ca="1" si="7"/>
        <v>20392.97225138298</v>
      </c>
      <c r="AB26" s="352">
        <f t="shared" ca="1" si="7"/>
        <v>22216.636102859684</v>
      </c>
      <c r="AC26" s="352">
        <f t="shared" ca="1" si="7"/>
        <v>23349.524293041799</v>
      </c>
      <c r="AD26" s="142"/>
      <c r="AE26" s="2"/>
      <c r="AF26" s="79"/>
      <c r="AG26" s="79"/>
      <c r="AH26" s="79"/>
      <c r="AI26" s="79"/>
      <c r="AJ26" s="83"/>
      <c r="AK26" s="83"/>
      <c r="AL26" s="83"/>
    </row>
    <row r="27" spans="8:38">
      <c r="I27" s="257"/>
      <c r="J27" s="24"/>
      <c r="K27" s="24"/>
      <c r="L27" s="24"/>
      <c r="M27" s="24"/>
      <c r="N27" s="120"/>
      <c r="O27" s="121"/>
      <c r="P27" s="117"/>
      <c r="Q27" s="476"/>
      <c r="R27" s="117"/>
      <c r="S27" s="117"/>
      <c r="T27" s="117"/>
      <c r="U27" s="117"/>
      <c r="V27" s="117"/>
      <c r="W27" s="117"/>
      <c r="X27" s="117"/>
      <c r="Y27" s="117"/>
      <c r="Z27" s="117"/>
      <c r="AA27" s="117"/>
      <c r="AB27" s="117"/>
      <c r="AC27" s="117"/>
      <c r="AD27" s="110"/>
      <c r="AE27" s="2"/>
      <c r="AF27" s="477"/>
      <c r="AG27" s="477"/>
      <c r="AH27" s="477"/>
      <c r="AI27" s="477"/>
      <c r="AJ27" s="83"/>
      <c r="AK27" s="83"/>
      <c r="AL27" s="83"/>
    </row>
    <row r="28" spans="8:38">
      <c r="I28" s="20" t="s">
        <v>386</v>
      </c>
      <c r="J28" s="20"/>
      <c r="K28" s="20"/>
      <c r="L28" s="20"/>
      <c r="M28" s="20"/>
      <c r="N28" s="115"/>
      <c r="O28" s="115"/>
      <c r="P28" s="115"/>
      <c r="Q28" s="115"/>
      <c r="R28" s="115"/>
      <c r="S28" s="260"/>
      <c r="T28" s="261"/>
      <c r="U28" s="1187"/>
      <c r="V28" s="1187" t="s">
        <v>384</v>
      </c>
      <c r="W28" s="1187" t="s">
        <v>385</v>
      </c>
      <c r="X28" s="261"/>
      <c r="Y28" s="261"/>
      <c r="Z28" s="261"/>
      <c r="AA28" s="261"/>
      <c r="AB28" s="261"/>
      <c r="AC28" s="261"/>
      <c r="AD28" s="261"/>
      <c r="AE28" s="2"/>
      <c r="AF28" s="478"/>
      <c r="AG28" s="478"/>
      <c r="AH28" s="479"/>
      <c r="AI28" s="477"/>
      <c r="AJ28" s="143"/>
      <c r="AK28" s="13"/>
      <c r="AL28" s="144"/>
    </row>
    <row r="29" spans="8:38">
      <c r="H29" s="477"/>
      <c r="I29" s="30" t="s">
        <v>188</v>
      </c>
      <c r="J29" s="474"/>
      <c r="K29" s="474"/>
      <c r="L29" s="474"/>
      <c r="M29" s="391"/>
      <c r="N29" s="117"/>
      <c r="O29" s="2"/>
      <c r="P29" s="474"/>
      <c r="Q29" s="474"/>
      <c r="R29" s="477"/>
      <c r="S29" s="474"/>
      <c r="T29" s="474"/>
      <c r="U29" s="474"/>
      <c r="V29" s="391">
        <f ca="1">SUM(V26:AC26)</f>
        <v>141649.27264701834</v>
      </c>
      <c r="W29" s="391">
        <f t="shared" ref="W29:W34" ca="1" si="8">V29/$V$48</f>
        <v>20528.880093770775</v>
      </c>
      <c r="X29" s="474"/>
      <c r="Y29" s="474"/>
      <c r="Z29" s="474"/>
      <c r="AA29" s="474"/>
      <c r="AB29" s="474"/>
      <c r="AC29" s="474"/>
      <c r="AD29" s="474"/>
      <c r="AE29" s="474"/>
      <c r="AF29" s="474"/>
      <c r="AG29" s="481"/>
      <c r="AH29" s="482"/>
      <c r="AI29" s="477"/>
      <c r="AJ29" s="30"/>
      <c r="AK29" s="422"/>
      <c r="AL29" s="421"/>
    </row>
    <row r="30" spans="8:38">
      <c r="H30" s="477"/>
      <c r="I30" s="28" t="s">
        <v>380</v>
      </c>
      <c r="J30" s="474"/>
      <c r="K30" s="474"/>
      <c r="L30" s="474"/>
      <c r="M30" s="391"/>
      <c r="N30" s="117"/>
      <c r="O30" s="2"/>
      <c r="P30" s="474"/>
      <c r="Q30" s="474"/>
      <c r="R30" s="477"/>
      <c r="S30" s="474"/>
      <c r="T30" s="474"/>
      <c r="U30" s="474"/>
      <c r="V30" s="391">
        <f ca="1">(($AD$17)/($V$46-$V$47))*AC25</f>
        <v>258206.66282897789</v>
      </c>
      <c r="W30" s="391">
        <f t="shared" ca="1" si="8"/>
        <v>37421.255482460561</v>
      </c>
      <c r="X30" s="474"/>
      <c r="Y30" s="474"/>
      <c r="Z30" s="474"/>
      <c r="AA30" s="474"/>
      <c r="AB30" s="474"/>
      <c r="AC30" s="474"/>
      <c r="AD30" s="474"/>
      <c r="AE30" s="474"/>
      <c r="AF30" s="474"/>
      <c r="AG30" s="481"/>
      <c r="AH30" s="482"/>
      <c r="AI30" s="477"/>
      <c r="AJ30" s="30"/>
      <c r="AK30" s="422"/>
      <c r="AL30" s="421"/>
    </row>
    <row r="31" spans="8:38">
      <c r="H31" s="477"/>
      <c r="I31" s="13" t="s">
        <v>379</v>
      </c>
      <c r="J31" s="474"/>
      <c r="K31" s="474"/>
      <c r="L31" s="474"/>
      <c r="M31" s="139"/>
      <c r="N31" s="117"/>
      <c r="O31" s="2"/>
      <c r="P31" s="474"/>
      <c r="Q31" s="474"/>
      <c r="R31" s="477"/>
      <c r="S31" s="474"/>
      <c r="T31" s="474"/>
      <c r="U31" s="474"/>
      <c r="V31" s="139">
        <f ca="1">SUM(V29:V30)</f>
        <v>399855.93547599623</v>
      </c>
      <c r="W31" s="139">
        <f t="shared" ca="1" si="8"/>
        <v>57950.135576231332</v>
      </c>
      <c r="X31" s="474"/>
      <c r="Y31" s="474"/>
      <c r="Z31" s="474"/>
      <c r="AA31" s="474"/>
      <c r="AB31" s="474"/>
      <c r="AC31" s="474"/>
      <c r="AD31" s="474"/>
      <c r="AE31" s="474"/>
      <c r="AF31" s="474"/>
      <c r="AG31" s="477"/>
      <c r="AH31" s="477"/>
      <c r="AI31" s="477"/>
      <c r="AJ31" s="30"/>
      <c r="AK31" s="30"/>
      <c r="AL31" s="30"/>
    </row>
    <row r="32" spans="8:38">
      <c r="H32" s="477"/>
      <c r="I32" s="30" t="s">
        <v>186</v>
      </c>
      <c r="J32" s="474"/>
      <c r="K32" s="474"/>
      <c r="L32" s="474"/>
      <c r="M32" s="391"/>
      <c r="N32" s="117"/>
      <c r="O32" s="2"/>
      <c r="P32" s="474"/>
      <c r="Q32" s="474"/>
      <c r="R32" s="477"/>
      <c r="S32" s="474"/>
      <c r="T32" s="474"/>
      <c r="U32" s="474"/>
      <c r="V32" s="391">
        <f>(Model!W524+Model!W531+Model!W533+Model!W537)</f>
        <v>23470.221999999998</v>
      </c>
      <c r="W32" s="391">
        <f t="shared" si="8"/>
        <v>3401.4814492753617</v>
      </c>
      <c r="X32" s="474"/>
      <c r="Y32" s="474"/>
      <c r="Z32" s="474"/>
      <c r="AA32" s="474"/>
      <c r="AB32" s="474"/>
      <c r="AC32" s="474"/>
      <c r="AD32" s="474"/>
      <c r="AE32" s="474"/>
      <c r="AF32" s="474"/>
      <c r="AG32" s="478"/>
      <c r="AH32" s="483"/>
      <c r="AI32" s="477"/>
      <c r="AJ32" s="143"/>
      <c r="AK32" s="13"/>
      <c r="AL32" s="144"/>
    </row>
    <row r="33" spans="8:38">
      <c r="H33" s="1878"/>
      <c r="I33" s="30" t="s">
        <v>187</v>
      </c>
      <c r="J33" s="474"/>
      <c r="K33" s="474"/>
      <c r="L33" s="474"/>
      <c r="M33" s="391"/>
      <c r="N33" s="117"/>
      <c r="O33" s="2"/>
      <c r="P33" s="474"/>
      <c r="Q33" s="474"/>
      <c r="R33" s="477"/>
      <c r="S33" s="474"/>
      <c r="T33" s="474"/>
      <c r="U33" s="474"/>
      <c r="V33" s="391">
        <f ca="1">(Model!W493+Model!W494)</f>
        <v>35848.027956126403</v>
      </c>
      <c r="W33" s="391">
        <f t="shared" ca="1" si="8"/>
        <v>5195.3663704531018</v>
      </c>
      <c r="X33" s="475"/>
      <c r="Y33" s="475"/>
      <c r="Z33" s="475"/>
      <c r="AA33" s="474"/>
      <c r="AB33" s="474"/>
      <c r="AC33" s="474"/>
      <c r="AD33" s="474"/>
      <c r="AE33" s="474"/>
      <c r="AF33" s="474"/>
      <c r="AG33" s="481"/>
      <c r="AH33" s="484"/>
      <c r="AI33" s="485"/>
      <c r="AJ33" s="30"/>
      <c r="AK33" s="422"/>
      <c r="AL33" s="421"/>
    </row>
    <row r="34" spans="8:38">
      <c r="H34" s="477"/>
      <c r="I34" s="13" t="s">
        <v>149</v>
      </c>
      <c r="J34" s="474"/>
      <c r="K34" s="474"/>
      <c r="L34" s="474"/>
      <c r="M34" s="139"/>
      <c r="N34" s="117"/>
      <c r="O34" s="2"/>
      <c r="P34" s="474"/>
      <c r="Q34" s="474"/>
      <c r="R34" s="477"/>
      <c r="S34" s="474"/>
      <c r="T34" s="474"/>
      <c r="U34" s="474"/>
      <c r="V34" s="139">
        <f ca="1">V31-V32+V33</f>
        <v>412233.74143212265</v>
      </c>
      <c r="W34" s="139">
        <f t="shared" ca="1" si="8"/>
        <v>59744.020497409074</v>
      </c>
      <c r="X34" s="474"/>
      <c r="Y34" s="474"/>
      <c r="Z34" s="474"/>
      <c r="AA34" s="474"/>
      <c r="AB34" s="474"/>
      <c r="AC34" s="474"/>
      <c r="AD34" s="474"/>
      <c r="AE34" s="474"/>
      <c r="AF34" s="474"/>
      <c r="AG34" s="481"/>
      <c r="AH34" s="484"/>
      <c r="AI34" s="485"/>
      <c r="AJ34" s="30"/>
      <c r="AK34" s="422"/>
      <c r="AL34" s="421"/>
    </row>
    <row r="35" spans="8:38">
      <c r="H35" s="477"/>
      <c r="I35" s="28" t="s">
        <v>381</v>
      </c>
      <c r="J35" s="474"/>
      <c r="K35" s="474"/>
      <c r="L35" s="474"/>
      <c r="M35" s="391"/>
      <c r="N35" s="408"/>
      <c r="O35" s="2"/>
      <c r="P35" s="474"/>
      <c r="Q35" s="474"/>
      <c r="R35" s="477"/>
      <c r="S35" s="474"/>
      <c r="T35" s="474"/>
      <c r="U35" s="474"/>
      <c r="V35" s="391">
        <f>Model!W398</f>
        <v>1499.4029299999997</v>
      </c>
      <c r="W35" s="391">
        <f>V35</f>
        <v>1499.4029299999997</v>
      </c>
      <c r="X35" s="474"/>
      <c r="Y35" s="474"/>
      <c r="Z35" s="474"/>
      <c r="AA35" s="474"/>
      <c r="AB35" s="474"/>
      <c r="AC35" s="474"/>
      <c r="AD35" s="474"/>
      <c r="AE35" s="474"/>
      <c r="AF35" s="474"/>
      <c r="AH35" s="484"/>
      <c r="AI35" s="485"/>
      <c r="AJ35" s="30"/>
      <c r="AK35" s="422"/>
      <c r="AL35" s="421"/>
    </row>
    <row r="36" spans="8:38">
      <c r="H36" s="477"/>
      <c r="I36" s="13" t="s">
        <v>388</v>
      </c>
      <c r="J36" s="474"/>
      <c r="K36" s="474"/>
      <c r="L36" s="474"/>
      <c r="M36" s="473"/>
      <c r="N36" s="117"/>
      <c r="O36" s="2"/>
      <c r="P36" s="474"/>
      <c r="Q36" s="631"/>
      <c r="R36" s="477"/>
      <c r="S36" s="474"/>
      <c r="T36" s="474"/>
      <c r="U36" s="474"/>
      <c r="V36" s="473">
        <f ca="1">ROUND(V34/V35,0)</f>
        <v>275</v>
      </c>
      <c r="W36" s="1290">
        <f ca="1">V36/$V$48</f>
        <v>39.855072463768117</v>
      </c>
      <c r="X36" s="474"/>
      <c r="Y36" s="474"/>
      <c r="Z36" s="474"/>
      <c r="AA36" s="631"/>
      <c r="AB36" s="631"/>
      <c r="AC36" s="474"/>
      <c r="AD36" s="474"/>
      <c r="AE36" s="474"/>
      <c r="AF36" s="474"/>
      <c r="AG36" s="474"/>
      <c r="AH36" s="477"/>
      <c r="AI36" s="477"/>
      <c r="AJ36" s="30"/>
      <c r="AK36" s="30"/>
      <c r="AL36" s="30"/>
    </row>
    <row r="37" spans="8:38">
      <c r="H37" s="477"/>
      <c r="I37" s="13" t="s">
        <v>172</v>
      </c>
      <c r="J37" s="474"/>
      <c r="K37" s="474"/>
      <c r="M37" s="493"/>
      <c r="N37" s="117"/>
      <c r="O37" s="2"/>
      <c r="P37" s="474"/>
      <c r="Q37" s="474"/>
      <c r="R37" s="477"/>
      <c r="S37" s="474"/>
      <c r="T37" s="474"/>
      <c r="U37" s="474"/>
      <c r="V37" s="493">
        <f ca="1">ROUND(((AD17*(1+V47))/(V46-V47))/AD13,0)</f>
        <v>10</v>
      </c>
      <c r="W37" s="493"/>
      <c r="X37" s="474"/>
      <c r="Y37" s="474"/>
      <c r="Z37" s="474"/>
      <c r="AA37" s="631"/>
      <c r="AB37" s="631"/>
      <c r="AC37" s="474"/>
      <c r="AD37" s="474"/>
      <c r="AE37" s="474"/>
      <c r="AF37" s="474"/>
      <c r="AG37" s="474"/>
      <c r="AH37" s="486"/>
      <c r="AI37" s="477"/>
      <c r="AJ37" s="143"/>
      <c r="AK37" s="13"/>
      <c r="AL37" s="144"/>
    </row>
    <row r="38" spans="8:38">
      <c r="I38" s="477"/>
      <c r="J38" s="477"/>
      <c r="K38" s="477"/>
      <c r="L38" s="477"/>
      <c r="M38" s="477"/>
      <c r="N38" s="476"/>
      <c r="O38" s="477"/>
      <c r="P38" s="477"/>
      <c r="Q38" s="477"/>
      <c r="R38" s="477"/>
      <c r="S38" s="477"/>
      <c r="T38" s="477"/>
      <c r="U38" s="477"/>
      <c r="V38" s="477"/>
      <c r="W38" s="477"/>
      <c r="X38" s="477"/>
      <c r="Y38" s="474"/>
      <c r="Z38" s="474"/>
      <c r="AA38" s="474"/>
      <c r="AB38" s="474"/>
      <c r="AC38" s="474"/>
      <c r="AD38" s="474"/>
      <c r="AE38" s="474"/>
      <c r="AF38" s="474"/>
      <c r="AG38" s="474"/>
      <c r="AH38" s="487"/>
      <c r="AI38" s="477"/>
      <c r="AJ38" s="30"/>
      <c r="AK38" s="422"/>
      <c r="AL38" s="421"/>
    </row>
    <row r="39" spans="8:38">
      <c r="I39" s="474"/>
      <c r="J39" s="474"/>
      <c r="K39" s="474"/>
      <c r="L39" s="478"/>
      <c r="M39" s="478"/>
      <c r="N39" s="476"/>
      <c r="O39" s="474"/>
      <c r="P39" s="474"/>
      <c r="Q39" s="474"/>
      <c r="R39" s="477"/>
      <c r="S39" s="474"/>
      <c r="T39" s="474"/>
      <c r="U39" s="474"/>
      <c r="V39" s="474"/>
      <c r="W39" s="474"/>
      <c r="X39" s="474"/>
      <c r="Y39" s="474"/>
      <c r="Z39" s="474"/>
      <c r="AA39" s="474"/>
      <c r="AB39" s="474"/>
      <c r="AC39" s="474"/>
      <c r="AD39" s="474"/>
      <c r="AE39" s="474"/>
      <c r="AF39" s="474"/>
      <c r="AG39" s="474"/>
      <c r="AH39" s="487"/>
      <c r="AI39" s="477"/>
      <c r="AJ39" s="30"/>
      <c r="AK39" s="422"/>
      <c r="AL39" s="421"/>
    </row>
    <row r="40" spans="8:38">
      <c r="I40" s="122" t="s">
        <v>193</v>
      </c>
      <c r="J40" s="474"/>
      <c r="K40" s="474"/>
      <c r="L40" s="1188"/>
      <c r="M40" s="1189"/>
      <c r="N40" s="476"/>
      <c r="O40" s="474"/>
      <c r="P40" s="475"/>
      <c r="Q40" s="474"/>
      <c r="R40" s="654"/>
      <c r="S40" s="474"/>
      <c r="T40" s="474"/>
      <c r="U40" s="327"/>
      <c r="V40" s="393"/>
      <c r="W40" s="474"/>
      <c r="X40" s="124" t="s">
        <v>171</v>
      </c>
      <c r="Y40" s="125"/>
      <c r="Z40" s="125"/>
      <c r="AA40" s="125"/>
      <c r="AB40" s="125"/>
      <c r="AC40" s="126"/>
      <c r="AD40" s="474"/>
      <c r="AE40" s="474"/>
      <c r="AF40" s="474"/>
      <c r="AG40" s="481"/>
      <c r="AH40" s="512"/>
      <c r="AI40" s="477"/>
      <c r="AJ40" s="30"/>
      <c r="AK40" s="422"/>
      <c r="AL40" s="421"/>
    </row>
    <row r="41" spans="8:38">
      <c r="H41" s="1877"/>
      <c r="I41" s="394" t="s">
        <v>194</v>
      </c>
      <c r="J41" s="474"/>
      <c r="K41" s="474"/>
      <c r="L41" s="1190"/>
      <c r="M41" s="1190"/>
      <c r="N41" s="476"/>
      <c r="O41" s="475"/>
      <c r="P41" s="475"/>
      <c r="Q41" s="474"/>
      <c r="R41" s="1191"/>
      <c r="S41" s="1192"/>
      <c r="T41" s="474"/>
      <c r="U41" s="395"/>
      <c r="V41" s="396" t="s">
        <v>190</v>
      </c>
      <c r="W41" s="474"/>
      <c r="X41" s="128">
        <v>645</v>
      </c>
      <c r="Y41" s="92">
        <f>Z41-0.005</f>
        <v>0.10999999999999999</v>
      </c>
      <c r="Z41" s="92">
        <f>AA41-0.005</f>
        <v>0.11499999999999999</v>
      </c>
      <c r="AA41" s="1209">
        <f>V46</f>
        <v>0.12</v>
      </c>
      <c r="AB41" s="92">
        <f>AA41+0.005</f>
        <v>0.125</v>
      </c>
      <c r="AC41" s="129">
        <f>AB41+0.005</f>
        <v>0.13</v>
      </c>
      <c r="AD41" s="474"/>
      <c r="AE41" s="474"/>
      <c r="AF41" s="474"/>
      <c r="AG41" s="480"/>
      <c r="AH41" s="480"/>
      <c r="AI41" s="477"/>
      <c r="AJ41" s="30"/>
      <c r="AK41" s="30"/>
      <c r="AL41" s="30"/>
    </row>
    <row r="42" spans="8:38">
      <c r="H42" s="1877"/>
      <c r="I42" s="123" t="s">
        <v>173</v>
      </c>
      <c r="J42" s="474"/>
      <c r="K42" s="474"/>
      <c r="L42" s="1190"/>
      <c r="M42" s="1190"/>
      <c r="N42" s="476"/>
      <c r="O42" s="475"/>
      <c r="P42" s="475"/>
      <c r="Q42" s="474"/>
      <c r="R42" s="477"/>
      <c r="S42" s="474"/>
      <c r="T42" s="474"/>
      <c r="U42" s="30"/>
      <c r="V42" s="397">
        <v>0.12</v>
      </c>
      <c r="W42" s="474"/>
      <c r="X42" s="131">
        <v>0.05</v>
      </c>
      <c r="Y42" s="636">
        <f t="shared" ref="Y42:AC44" ca="1" si="9">Y48/$V$35/$V$48</f>
        <v>52.092086844947232</v>
      </c>
      <c r="Z42" s="637">
        <f t="shared" ca="1" si="9"/>
        <v>48.166596768476012</v>
      </c>
      <c r="AA42" s="1210">
        <f t="shared" ca="1" si="9"/>
        <v>44.83669482618739</v>
      </c>
      <c r="AB42" s="637">
        <f t="shared" ca="1" si="9"/>
        <v>41.981981270401583</v>
      </c>
      <c r="AC42" s="638">
        <f t="shared" ca="1" si="9"/>
        <v>39.512208773302987</v>
      </c>
      <c r="AD42" s="474"/>
      <c r="AE42" s="474"/>
      <c r="AF42" s="474"/>
      <c r="AG42" s="478"/>
      <c r="AH42" s="488"/>
      <c r="AI42" s="477"/>
      <c r="AJ42" s="143"/>
      <c r="AK42" s="13"/>
      <c r="AL42" s="144"/>
    </row>
    <row r="43" spans="8:38">
      <c r="I43" s="123" t="s">
        <v>174</v>
      </c>
      <c r="J43" s="474"/>
      <c r="K43" s="474"/>
      <c r="L43" s="398"/>
      <c r="M43" s="398"/>
      <c r="N43" s="117"/>
      <c r="O43" s="24"/>
      <c r="P43" s="24"/>
      <c r="Q43" s="474"/>
      <c r="R43" s="83"/>
      <c r="S43" s="2"/>
      <c r="T43" s="2"/>
      <c r="U43" s="30"/>
      <c r="V43" s="397">
        <v>0.04</v>
      </c>
      <c r="W43" s="474"/>
      <c r="X43" s="1204">
        <v>0.04</v>
      </c>
      <c r="Y43" s="1205">
        <f t="shared" ca="1" si="9"/>
        <v>46.473475634485922</v>
      </c>
      <c r="Z43" s="1206">
        <f t="shared" ca="1" si="9"/>
        <v>43.454737397174597</v>
      </c>
      <c r="AA43" s="1207">
        <f t="shared" ca="1" si="9"/>
        <v>40.843504765398528</v>
      </c>
      <c r="AB43" s="1206">
        <f t="shared" ca="1" si="9"/>
        <v>38.566744476267466</v>
      </c>
      <c r="AC43" s="1208">
        <f t="shared" ca="1" si="9"/>
        <v>36.567699088072708</v>
      </c>
      <c r="AD43" s="474"/>
      <c r="AE43" s="474"/>
      <c r="AF43" s="474"/>
      <c r="AG43" s="474"/>
      <c r="AH43" s="489"/>
      <c r="AI43" s="477"/>
      <c r="AJ43" s="654"/>
      <c r="AK43" s="422"/>
      <c r="AL43" s="421"/>
    </row>
    <row r="44" spans="8:38">
      <c r="I44" s="123" t="s">
        <v>175</v>
      </c>
      <c r="J44" s="474"/>
      <c r="K44" s="474"/>
      <c r="L44" s="398"/>
      <c r="M44" s="398"/>
      <c r="N44" s="117"/>
      <c r="O44" s="24"/>
      <c r="P44" s="24"/>
      <c r="Q44" s="474"/>
      <c r="R44" s="83"/>
      <c r="S44" s="2"/>
      <c r="T44" s="2"/>
      <c r="U44" s="30"/>
      <c r="V44" s="397">
        <v>0.25</v>
      </c>
      <c r="W44" s="474"/>
      <c r="X44" s="135">
        <v>0.03</v>
      </c>
      <c r="Y44" s="639">
        <f t="shared" ca="1" si="9"/>
        <v>42.259517226639936</v>
      </c>
      <c r="Z44" s="640">
        <f t="shared" ca="1" si="9"/>
        <v>39.851550819120568</v>
      </c>
      <c r="AA44" s="1211">
        <f t="shared" ca="1" si="9"/>
        <v>37.737690273673856</v>
      </c>
      <c r="AB44" s="640">
        <f t="shared" ca="1" si="9"/>
        <v>35.870504901951058</v>
      </c>
      <c r="AC44" s="641">
        <f t="shared" ca="1" si="9"/>
        <v>34.212091339888481</v>
      </c>
      <c r="AD44" s="474"/>
      <c r="AE44" s="474"/>
      <c r="AF44" s="474"/>
      <c r="AG44" s="474"/>
      <c r="AH44" s="489"/>
      <c r="AI44" s="477"/>
      <c r="AJ44" s="654"/>
      <c r="AK44" s="422"/>
      <c r="AL44" s="421"/>
    </row>
    <row r="45" spans="8:38">
      <c r="I45" s="123" t="s">
        <v>176</v>
      </c>
      <c r="J45" s="474"/>
      <c r="K45" s="474"/>
      <c r="L45" s="92"/>
      <c r="M45" s="92"/>
      <c r="N45" s="117"/>
      <c r="O45" s="24"/>
      <c r="P45" s="24"/>
      <c r="Q45" s="474"/>
      <c r="R45" s="83"/>
      <c r="S45" s="2"/>
      <c r="T45" s="2"/>
      <c r="U45" s="30"/>
      <c r="V45" s="397">
        <f>Model!U533/(Model!U556+Model!U533)</f>
        <v>6.3550150733591881E-2</v>
      </c>
      <c r="W45" s="474"/>
      <c r="X45" s="474"/>
      <c r="Y45" s="474"/>
      <c r="Z45" s="474"/>
      <c r="AA45" s="474"/>
      <c r="AB45" s="474"/>
      <c r="AC45" s="474"/>
      <c r="AD45" s="474"/>
      <c r="AE45" s="474"/>
      <c r="AF45" s="474"/>
      <c r="AG45" s="474"/>
      <c r="AH45" s="474"/>
      <c r="AI45" s="474"/>
      <c r="AJ45" s="474"/>
      <c r="AK45" s="422"/>
      <c r="AL45" s="421"/>
    </row>
    <row r="46" spans="8:38">
      <c r="I46" s="1196" t="s">
        <v>177</v>
      </c>
      <c r="J46" s="1197"/>
      <c r="K46" s="1197"/>
      <c r="L46" s="1198"/>
      <c r="M46" s="1198"/>
      <c r="N46" s="1199"/>
      <c r="O46" s="1200"/>
      <c r="P46" s="1200"/>
      <c r="Q46" s="1200"/>
      <c r="R46" s="1201"/>
      <c r="S46" s="1200"/>
      <c r="T46" s="1200"/>
      <c r="U46" s="1202"/>
      <c r="V46" s="1203">
        <v>0.12</v>
      </c>
      <c r="W46" s="474"/>
      <c r="X46" s="124" t="s">
        <v>170</v>
      </c>
      <c r="Y46" s="125"/>
      <c r="Z46" s="125"/>
      <c r="AA46" s="125"/>
      <c r="AB46" s="125"/>
      <c r="AC46" s="126"/>
      <c r="AD46" s="474"/>
      <c r="AE46" s="474"/>
      <c r="AF46" s="474"/>
      <c r="AG46" s="474"/>
      <c r="AH46" s="474"/>
      <c r="AI46" s="474"/>
      <c r="AJ46" s="474"/>
      <c r="AK46" s="83"/>
      <c r="AL46" s="83"/>
    </row>
    <row r="47" spans="8:38">
      <c r="I47" s="130" t="s">
        <v>382</v>
      </c>
      <c r="J47" s="474"/>
      <c r="K47" s="474"/>
      <c r="L47" s="24"/>
      <c r="M47" s="24"/>
      <c r="N47" s="24"/>
      <c r="O47" s="24"/>
      <c r="P47" s="24"/>
      <c r="Q47" s="24"/>
      <c r="R47" s="540"/>
      <c r="S47" s="267"/>
      <c r="T47" s="267"/>
      <c r="U47" s="13"/>
      <c r="V47" s="399">
        <v>0.04</v>
      </c>
      <c r="W47" s="474"/>
      <c r="X47" s="128">
        <v>460216.70485432388</v>
      </c>
      <c r="Y47" s="92">
        <f>Z47-0.005</f>
        <v>0.10999999999999999</v>
      </c>
      <c r="Z47" s="92">
        <f>AA47-0.005</f>
        <v>0.11499999999999999</v>
      </c>
      <c r="AA47" s="1209">
        <f>V46</f>
        <v>0.12</v>
      </c>
      <c r="AB47" s="92">
        <f>AA47+0.005</f>
        <v>0.125</v>
      </c>
      <c r="AC47" s="129">
        <f>AB47+0.005</f>
        <v>0.13</v>
      </c>
      <c r="AD47" s="474"/>
      <c r="AE47" s="474"/>
      <c r="AF47" s="474"/>
      <c r="AG47" s="474"/>
      <c r="AH47" s="474"/>
      <c r="AI47" s="474"/>
      <c r="AJ47" s="474"/>
      <c r="AK47" s="83"/>
      <c r="AL47" s="83"/>
    </row>
    <row r="48" spans="8:38">
      <c r="I48" s="392" t="s">
        <v>383</v>
      </c>
      <c r="J48" s="13"/>
      <c r="K48" s="389"/>
      <c r="L48" s="24"/>
      <c r="M48" s="24"/>
      <c r="N48" s="24"/>
      <c r="O48" s="24"/>
      <c r="P48" s="24"/>
      <c r="Q48" s="24"/>
      <c r="R48" s="540"/>
      <c r="S48" s="267"/>
      <c r="T48" s="267"/>
      <c r="U48" s="20"/>
      <c r="V48" s="400">
        <v>6.9</v>
      </c>
      <c r="W48" s="474"/>
      <c r="X48" s="131">
        <v>0.05</v>
      </c>
      <c r="Y48" s="132">
        <f t="shared" ref="Y48:AC50" ca="1" si="10">$V$29+((($AD$17*(1+$X48))/(Y$47-$X48))/(1+Y$47)^$AC$24)+($V$33-$V$32)</f>
        <v>538938.49075138546</v>
      </c>
      <c r="Z48" s="133">
        <f t="shared" ca="1" si="10"/>
        <v>498325.84062719205</v>
      </c>
      <c r="AA48" s="1217">
        <f t="shared" ca="1" si="10"/>
        <v>463875.07399791828</v>
      </c>
      <c r="AB48" s="133">
        <f t="shared" ca="1" si="10"/>
        <v>434340.54949591216</v>
      </c>
      <c r="AC48" s="134">
        <f t="shared" ca="1" si="10"/>
        <v>408788.57907768921</v>
      </c>
      <c r="AD48" s="474"/>
      <c r="AE48" s="474"/>
      <c r="AF48" s="474"/>
      <c r="AG48" s="474"/>
      <c r="AH48" s="474"/>
      <c r="AI48" s="474"/>
      <c r="AJ48" s="474"/>
      <c r="AK48" s="83"/>
      <c r="AL48" s="83"/>
    </row>
    <row r="49" spans="1:45">
      <c r="I49" s="13"/>
      <c r="J49" s="13"/>
      <c r="K49" s="389"/>
      <c r="L49" s="24"/>
      <c r="M49" s="24"/>
      <c r="N49" s="24"/>
      <c r="O49" s="24"/>
      <c r="P49" s="24"/>
      <c r="Q49" s="24"/>
      <c r="R49" s="540"/>
      <c r="S49" s="267"/>
      <c r="T49" s="267"/>
      <c r="U49" s="267"/>
      <c r="V49" s="267"/>
      <c r="W49" s="474"/>
      <c r="X49" s="1212">
        <v>0.04</v>
      </c>
      <c r="Y49" s="1213">
        <f t="shared" ca="1" si="10"/>
        <v>480809.01218205935</v>
      </c>
      <c r="Z49" s="1214">
        <f t="shared" ca="1" si="10"/>
        <v>449577.50797235873</v>
      </c>
      <c r="AA49" s="1215">
        <f t="shared" ca="1" si="10"/>
        <v>422562.0079452818</v>
      </c>
      <c r="AB49" s="1214">
        <f t="shared" ca="1" si="10"/>
        <v>399006.91871110955</v>
      </c>
      <c r="AC49" s="1216">
        <f t="shared" ca="1" si="10"/>
        <v>378325.0345765003</v>
      </c>
      <c r="AD49" s="474"/>
      <c r="AE49" s="474"/>
      <c r="AF49" s="474"/>
      <c r="AG49" s="474"/>
      <c r="AH49" s="474"/>
      <c r="AI49" s="474"/>
      <c r="AJ49" s="474"/>
      <c r="AK49" s="83"/>
      <c r="AL49" s="83"/>
    </row>
    <row r="50" spans="1:45">
      <c r="I50" s="13"/>
      <c r="J50" s="13"/>
      <c r="K50" s="389"/>
      <c r="L50" s="24"/>
      <c r="M50" s="24"/>
      <c r="N50" s="24"/>
      <c r="O50" s="24"/>
      <c r="P50" s="24"/>
      <c r="Q50" s="24"/>
      <c r="R50" s="540"/>
      <c r="S50" s="267"/>
      <c r="T50" s="267"/>
      <c r="W50" s="474"/>
      <c r="X50" s="135">
        <v>0.03</v>
      </c>
      <c r="Y50" s="136">
        <f t="shared" ca="1" si="10"/>
        <v>437211.90325506474</v>
      </c>
      <c r="Z50" s="137">
        <f t="shared" ca="1" si="10"/>
        <v>412299.37123630964</v>
      </c>
      <c r="AA50" s="1218">
        <f t="shared" ca="1" si="10"/>
        <v>390429.62323767564</v>
      </c>
      <c r="AB50" s="137">
        <f t="shared" ca="1" si="10"/>
        <v>371111.94703889696</v>
      </c>
      <c r="AC50" s="127">
        <f t="shared" ca="1" si="10"/>
        <v>353954.1989755492</v>
      </c>
      <c r="AD50" s="794"/>
      <c r="AE50" s="794"/>
      <c r="AF50" s="794"/>
      <c r="AG50" s="478"/>
      <c r="AH50" s="490"/>
      <c r="AI50" s="477"/>
      <c r="AJ50" s="477"/>
      <c r="AK50" s="83"/>
      <c r="AL50" s="83"/>
    </row>
    <row r="51" spans="1:45">
      <c r="I51" s="478"/>
      <c r="J51" s="478"/>
      <c r="K51" s="1193"/>
      <c r="L51" s="475"/>
      <c r="M51" s="475"/>
      <c r="N51" s="475"/>
      <c r="O51" s="475"/>
      <c r="P51" s="475"/>
      <c r="Q51" s="475"/>
      <c r="R51" s="1194"/>
      <c r="S51" s="1195"/>
      <c r="T51" s="1195"/>
      <c r="U51" s="474"/>
      <c r="V51" s="474"/>
      <c r="W51" s="474"/>
      <c r="X51" s="474"/>
      <c r="Y51" s="474"/>
      <c r="Z51" s="474"/>
      <c r="AA51" s="474"/>
      <c r="AB51" s="474"/>
      <c r="AC51" s="794"/>
      <c r="AD51" s="794"/>
      <c r="AE51" s="794"/>
      <c r="AF51" s="794"/>
      <c r="AG51" s="478"/>
      <c r="AH51" s="490"/>
      <c r="AI51" s="477"/>
      <c r="AJ51" s="83"/>
      <c r="AK51" s="83"/>
      <c r="AL51" s="83"/>
    </row>
    <row r="52" spans="1:45">
      <c r="I52" s="478"/>
      <c r="J52" s="478"/>
      <c r="K52" s="1193"/>
      <c r="L52" s="475"/>
      <c r="M52" s="475"/>
      <c r="N52" s="475"/>
      <c r="O52" s="475"/>
      <c r="P52" s="475"/>
      <c r="Q52" s="475"/>
      <c r="R52" s="1194"/>
      <c r="S52" s="1195"/>
      <c r="T52" s="1195"/>
      <c r="U52" s="474"/>
      <c r="V52" s="474"/>
      <c r="W52" s="474"/>
      <c r="X52" s="474"/>
      <c r="Y52" s="474"/>
      <c r="Z52" s="474"/>
      <c r="AA52" s="474"/>
      <c r="AB52" s="474"/>
      <c r="AC52" s="794"/>
      <c r="AD52" s="794"/>
      <c r="AE52" s="794"/>
      <c r="AF52" s="794"/>
      <c r="AG52" s="478"/>
      <c r="AH52" s="490"/>
      <c r="AI52" s="477"/>
      <c r="AJ52" s="83"/>
      <c r="AK52" s="83"/>
      <c r="AL52" s="83"/>
    </row>
    <row r="53" spans="1:45" ht="13.5" thickBot="1">
      <c r="A53"/>
      <c r="B53"/>
      <c r="C53"/>
      <c r="D53"/>
      <c r="E53"/>
      <c r="F53"/>
      <c r="G53"/>
      <c r="I53" s="1879" t="s">
        <v>409</v>
      </c>
      <c r="J53" s="1219"/>
      <c r="K53" s="1219"/>
      <c r="L53" s="1219"/>
      <c r="M53" s="1220"/>
      <c r="N53" s="1220"/>
      <c r="O53" s="1220"/>
      <c r="P53" s="1220"/>
      <c r="Q53" s="1220"/>
      <c r="R53" s="1221"/>
      <c r="S53" s="1220"/>
      <c r="T53" s="1222"/>
      <c r="U53" s="1222"/>
      <c r="V53" s="1223"/>
      <c r="W53" s="1223"/>
      <c r="X53" s="1171"/>
      <c r="Y53" s="1171"/>
      <c r="Z53" s="1171"/>
      <c r="AA53" s="1171"/>
      <c r="AB53" s="1171"/>
      <c r="AC53" s="1171"/>
      <c r="AD53" s="474"/>
      <c r="AE53" s="474"/>
      <c r="AF53" s="474"/>
      <c r="AG53" s="474"/>
      <c r="AH53" s="474"/>
      <c r="AI53" s="474"/>
      <c r="AJ53" s="474"/>
      <c r="AK53" s="474"/>
      <c r="AL53" s="474"/>
      <c r="AM53" s="474"/>
      <c r="AN53" s="474"/>
      <c r="AO53" s="474"/>
      <c r="AP53" s="474"/>
      <c r="AQ53" s="474"/>
      <c r="AR53" s="474"/>
      <c r="AS53" s="474"/>
    </row>
    <row r="54" spans="1:45" ht="13.5" thickBot="1">
      <c r="A54"/>
      <c r="B54"/>
      <c r="C54"/>
      <c r="D54"/>
      <c r="E54"/>
      <c r="F54"/>
      <c r="G54"/>
      <c r="I54" s="1227" t="s">
        <v>410</v>
      </c>
      <c r="J54" s="1226"/>
      <c r="K54" s="474"/>
      <c r="L54" s="474"/>
      <c r="M54" s="1226"/>
      <c r="N54" s="1226"/>
      <c r="O54" s="1226"/>
      <c r="P54" s="1226"/>
      <c r="Q54" s="1226"/>
      <c r="R54" s="1226"/>
      <c r="S54" s="1226"/>
      <c r="T54" s="1228"/>
      <c r="U54" s="1228"/>
      <c r="V54" s="1226" t="s">
        <v>411</v>
      </c>
      <c r="W54" s="1226"/>
      <c r="X54" s="1966" t="s">
        <v>579</v>
      </c>
      <c r="Y54" s="1967"/>
      <c r="Z54" s="1967"/>
      <c r="AA54" s="1967"/>
      <c r="AB54" s="1967"/>
      <c r="AC54" s="1968"/>
      <c r="AD54" s="474"/>
      <c r="AE54" s="474"/>
      <c r="AF54" s="474"/>
      <c r="AG54" s="474"/>
      <c r="AH54" s="474"/>
      <c r="AI54" s="474"/>
      <c r="AJ54" s="474"/>
      <c r="AK54" s="474"/>
      <c r="AL54" s="474"/>
      <c r="AM54" s="474"/>
      <c r="AN54" s="474"/>
      <c r="AO54" s="474"/>
      <c r="AP54" s="474"/>
      <c r="AQ54" s="474"/>
      <c r="AR54" s="474"/>
      <c r="AS54" s="474"/>
    </row>
    <row r="55" spans="1:45">
      <c r="A55"/>
      <c r="B55"/>
      <c r="C55"/>
      <c r="D55"/>
      <c r="E55"/>
      <c r="F55"/>
      <c r="G55"/>
      <c r="I55" s="1229" t="s">
        <v>130</v>
      </c>
      <c r="J55" s="1229"/>
      <c r="K55" s="474"/>
      <c r="L55" s="474"/>
      <c r="M55" s="790"/>
      <c r="N55" s="790"/>
      <c r="O55" s="790"/>
      <c r="P55" s="790"/>
      <c r="Q55" s="790"/>
      <c r="R55" s="790"/>
      <c r="S55" s="790"/>
      <c r="T55" s="1228"/>
      <c r="U55" s="1228"/>
      <c r="V55" s="790"/>
      <c r="W55" s="790"/>
      <c r="X55" s="1240"/>
      <c r="Y55" s="424" t="s">
        <v>424</v>
      </c>
      <c r="Z55" s="424" t="s">
        <v>501</v>
      </c>
      <c r="AA55" s="424" t="s">
        <v>580</v>
      </c>
      <c r="AB55" s="1833" t="s">
        <v>581</v>
      </c>
      <c r="AC55" s="1834" t="s">
        <v>694</v>
      </c>
      <c r="AD55" s="474"/>
      <c r="AE55" s="474"/>
      <c r="AF55" s="474"/>
      <c r="AG55" s="474"/>
      <c r="AH55" s="474"/>
      <c r="AI55" s="474"/>
      <c r="AJ55" s="474"/>
      <c r="AK55" s="474"/>
      <c r="AL55" s="474"/>
      <c r="AM55" s="474"/>
      <c r="AN55" s="474"/>
      <c r="AO55" s="474"/>
      <c r="AP55" s="474"/>
      <c r="AQ55" s="474"/>
      <c r="AR55" s="474"/>
      <c r="AS55" s="474"/>
    </row>
    <row r="56" spans="1:45">
      <c r="A56"/>
      <c r="B56"/>
      <c r="C56"/>
      <c r="D56"/>
      <c r="E56"/>
      <c r="F56"/>
      <c r="G56"/>
      <c r="I56" s="1229" t="s">
        <v>578</v>
      </c>
      <c r="J56" s="1229"/>
      <c r="K56" s="474"/>
      <c r="L56" s="474"/>
      <c r="M56" s="1230"/>
      <c r="N56" s="1230"/>
      <c r="O56" s="1230"/>
      <c r="P56" s="1230"/>
      <c r="Q56" s="1230"/>
      <c r="R56" s="1230"/>
      <c r="S56" s="1230"/>
      <c r="T56" s="1228"/>
      <c r="U56" s="1228"/>
      <c r="V56" s="1880">
        <v>40</v>
      </c>
      <c r="W56" s="1230"/>
      <c r="X56" s="1250" t="s">
        <v>425</v>
      </c>
      <c r="Y56" s="1251">
        <f ca="1">IF(V$76&lt;0, "--", $V$57/V$76)</f>
        <v>60.296832531786393</v>
      </c>
      <c r="Z56" s="1251">
        <f ca="1">IF(W$76&lt;0, "--", $V$57/W$76)</f>
        <v>33.082103171984066</v>
      </c>
      <c r="AA56" s="1251">
        <f ca="1">IF(X$76&lt;0, "--", $V$57/X$76)</f>
        <v>21.505243691502972</v>
      </c>
      <c r="AB56" s="1251">
        <f ca="1">IF(Y$76&lt;0, "--", $V$57/Y$76)</f>
        <v>15.353916502747664</v>
      </c>
      <c r="AC56" s="1252">
        <f ca="1">IF(Z$76&lt;0, "--", $V$57/Z$76)</f>
        <v>12.212281385422921</v>
      </c>
      <c r="AD56" s="474"/>
      <c r="AE56" s="474"/>
      <c r="AF56" s="474"/>
      <c r="AG56" s="474"/>
      <c r="AH56" s="474"/>
      <c r="AI56" s="474"/>
      <c r="AJ56" s="474"/>
      <c r="AK56" s="474"/>
      <c r="AL56" s="474"/>
      <c r="AM56" s="474"/>
      <c r="AN56" s="474"/>
      <c r="AO56" s="474"/>
      <c r="AP56" s="474"/>
      <c r="AQ56" s="474"/>
      <c r="AR56" s="474"/>
      <c r="AS56" s="474"/>
    </row>
    <row r="57" spans="1:45">
      <c r="A57"/>
      <c r="B57"/>
      <c r="C57"/>
      <c r="D57"/>
      <c r="E57"/>
      <c r="F57"/>
      <c r="G57"/>
      <c r="I57" s="1229" t="s">
        <v>577</v>
      </c>
      <c r="J57" s="1229"/>
      <c r="K57" s="474"/>
      <c r="L57" s="474"/>
      <c r="M57" s="1226"/>
      <c r="N57" s="1226"/>
      <c r="O57" s="1226"/>
      <c r="P57" s="1226"/>
      <c r="Q57" s="1226"/>
      <c r="R57" s="1226"/>
      <c r="S57" s="1226"/>
      <c r="T57" s="1228"/>
      <c r="U57" s="1228"/>
      <c r="V57" s="1145">
        <f ca="1">Valuation!W36</f>
        <v>39.855072463768117</v>
      </c>
      <c r="W57" s="1231">
        <f ca="1">V57/V56-1</f>
        <v>-3.6231884057971175E-3</v>
      </c>
      <c r="X57" s="1241" t="s">
        <v>426</v>
      </c>
      <c r="Y57" s="444">
        <f ca="1">IF(ISERROR(Y$56/V$79), "--", Y$56/V$79/100)</f>
        <v>1.0925206455435248</v>
      </c>
      <c r="Z57" s="444">
        <f ca="1">IF(ISERROR(Z$56/W$79), "--", Z$56/W$79/100)</f>
        <v>0.57264949253320285</v>
      </c>
      <c r="AA57" s="444">
        <f ca="1">IF(ISERROR(AA$56/X$79), "--", AA$56/X$79/100)</f>
        <v>0.54580652808215802</v>
      </c>
      <c r="AB57" s="444">
        <f ca="1">IF(ISERROR(AB$56/Y$79), "--", AB$56/Y$79/100)</f>
        <v>0.52978747972451379</v>
      </c>
      <c r="AC57" s="1242">
        <f ca="1">IF(ISERROR(AC$56/Z$79), "--", AC$56/Z$79/100)</f>
        <v>0.54791886171413484</v>
      </c>
      <c r="AD57" s="474"/>
      <c r="AE57" s="474"/>
      <c r="AF57" s="474"/>
      <c r="AG57" s="474"/>
      <c r="AH57" s="474"/>
      <c r="AI57" s="474"/>
      <c r="AJ57" s="474"/>
      <c r="AK57" s="474"/>
      <c r="AL57" s="474"/>
      <c r="AM57" s="474"/>
      <c r="AN57" s="474"/>
      <c r="AO57" s="474"/>
      <c r="AP57" s="474"/>
      <c r="AQ57" s="474"/>
      <c r="AR57" s="474"/>
      <c r="AS57" s="474"/>
    </row>
    <row r="58" spans="1:45">
      <c r="A58"/>
      <c r="B58"/>
      <c r="C58"/>
      <c r="D58"/>
      <c r="E58"/>
      <c r="F58"/>
      <c r="G58"/>
      <c r="I58" s="1232" t="s">
        <v>503</v>
      </c>
      <c r="J58" s="1233"/>
      <c r="K58" s="474"/>
      <c r="L58" s="474"/>
      <c r="M58" s="790"/>
      <c r="N58" s="790"/>
      <c r="O58" s="790"/>
      <c r="P58" s="790"/>
      <c r="Q58" s="790"/>
      <c r="R58" s="790"/>
      <c r="S58" s="790"/>
      <c r="T58" s="1228"/>
      <c r="U58" s="1228"/>
      <c r="V58" s="1224">
        <f>Model!W398</f>
        <v>1499.4029299999997</v>
      </c>
      <c r="W58" s="790"/>
      <c r="X58" s="1250" t="s">
        <v>495</v>
      </c>
      <c r="Y58" s="1253">
        <f ca="1">IF(V$86&lt;0, "--", $V$57*$V$58/V$86)</f>
        <v>0.89174476860906171</v>
      </c>
      <c r="Z58" s="1253">
        <f ca="1">IF(W$86&lt;0, "--", $V$57*$V$58/W$86)</f>
        <v>0.71751643109696883</v>
      </c>
      <c r="AA58" s="1253">
        <f ca="1">IF(X$86&lt;0, "--", $V$57*$V$58/X$86)</f>
        <v>0.59832840266812015</v>
      </c>
      <c r="AB58" s="1253">
        <f ca="1">IF(Y$86&lt;0, "--", $V$57*$V$58/Y$86)</f>
        <v>0.53025610374512222</v>
      </c>
      <c r="AC58" s="1254">
        <f ca="1">IF(Z$86&lt;0, "--", $V$57*$V$58/Z$86)</f>
        <v>0.4903290231889233</v>
      </c>
      <c r="AD58" s="474"/>
      <c r="AE58" s="474"/>
      <c r="AF58" s="474"/>
      <c r="AG58" s="474"/>
      <c r="AH58" s="474"/>
      <c r="AI58" s="474"/>
      <c r="AJ58" s="474"/>
      <c r="AK58" s="474"/>
      <c r="AL58" s="474"/>
      <c r="AM58" s="474"/>
      <c r="AN58" s="474"/>
      <c r="AO58" s="474"/>
      <c r="AP58" s="474"/>
      <c r="AQ58" s="474"/>
      <c r="AR58" s="474"/>
      <c r="AS58" s="474"/>
    </row>
    <row r="59" spans="1:45">
      <c r="A59"/>
      <c r="B59"/>
      <c r="C59"/>
      <c r="D59"/>
      <c r="E59"/>
      <c r="F59"/>
      <c r="G59"/>
      <c r="I59" s="1235" t="s">
        <v>131</v>
      </c>
      <c r="J59" s="1235"/>
      <c r="K59" s="474"/>
      <c r="L59" s="474"/>
      <c r="M59" s="1230"/>
      <c r="N59" s="1230"/>
      <c r="O59" s="1230"/>
      <c r="P59" s="1230"/>
      <c r="Q59" s="1230"/>
      <c r="R59" s="1230"/>
      <c r="S59" s="1230"/>
      <c r="T59" s="1228"/>
      <c r="U59" s="1228"/>
      <c r="V59" s="1224">
        <f>V56*V58</f>
        <v>59976.117199999993</v>
      </c>
      <c r="W59" s="1236"/>
      <c r="X59" s="1243" t="s">
        <v>429</v>
      </c>
      <c r="Y59" s="547">
        <f ca="1">$V$60/V$82</f>
        <v>0.23639904270958118</v>
      </c>
      <c r="Z59" s="547">
        <f ca="1">$V$60/W$82</f>
        <v>0.18954761177026574</v>
      </c>
      <c r="AA59" s="547">
        <f ca="1">$V$60/X$82</f>
        <v>0.1578774044396683</v>
      </c>
      <c r="AB59" s="547">
        <f ca="1">$V$60/Y$82</f>
        <v>0.13867141364924754</v>
      </c>
      <c r="AC59" s="1244">
        <f ca="1">$V$60/Z$82</f>
        <v>0.12882888670498654</v>
      </c>
      <c r="AD59" s="474"/>
      <c r="AE59" s="474"/>
      <c r="AF59" s="474"/>
      <c r="AG59" s="474"/>
      <c r="AH59" s="474"/>
      <c r="AI59" s="474"/>
      <c r="AJ59" s="474"/>
      <c r="AK59" s="474"/>
      <c r="AL59" s="474"/>
      <c r="AM59" s="474"/>
      <c r="AN59" s="474"/>
      <c r="AO59" s="474"/>
      <c r="AP59" s="474"/>
      <c r="AQ59" s="474"/>
      <c r="AR59" s="474"/>
      <c r="AS59" s="474"/>
    </row>
    <row r="60" spans="1:45">
      <c r="A60"/>
      <c r="B60"/>
      <c r="C60"/>
      <c r="D60"/>
      <c r="E60"/>
      <c r="F60"/>
      <c r="G60"/>
      <c r="I60" s="1237" t="s">
        <v>412</v>
      </c>
      <c r="J60" s="1235"/>
      <c r="K60" s="474"/>
      <c r="L60" s="474"/>
      <c r="M60" s="1226"/>
      <c r="N60" s="1226"/>
      <c r="O60" s="1226"/>
      <c r="P60" s="1226"/>
      <c r="Q60" s="1226"/>
      <c r="R60" s="1226"/>
      <c r="S60" s="1226"/>
      <c r="T60" s="1228"/>
      <c r="U60" s="1228"/>
      <c r="V60" s="1224">
        <f ca="1">Valuation!W31</f>
        <v>57950.135576231332</v>
      </c>
      <c r="W60" s="1238"/>
      <c r="X60" s="1250" t="s">
        <v>427</v>
      </c>
      <c r="Y60" s="1251">
        <f ca="1">$V$60/V$86</f>
        <v>0.86475497321760841</v>
      </c>
      <c r="Z60" s="1251">
        <f ca="1">$V$60/W$86</f>
        <v>0.69579987906659424</v>
      </c>
      <c r="AA60" s="1251">
        <f ca="1">$V$60/X$86</f>
        <v>0.58021922868317333</v>
      </c>
      <c r="AB60" s="1251">
        <f ca="1">$V$60/Y$86</f>
        <v>0.5142072249078814</v>
      </c>
      <c r="AC60" s="1252">
        <f ca="1">$V$60/Z$86</f>
        <v>0.47548858848583853</v>
      </c>
      <c r="AD60" s="474"/>
      <c r="AE60" s="474"/>
      <c r="AF60" s="474"/>
      <c r="AG60" s="474"/>
      <c r="AH60" s="474"/>
      <c r="AI60" s="474"/>
      <c r="AJ60" s="474"/>
      <c r="AK60" s="474"/>
      <c r="AL60" s="474"/>
      <c r="AM60" s="474"/>
      <c r="AN60" s="474"/>
      <c r="AO60" s="474"/>
      <c r="AP60" s="474"/>
      <c r="AQ60" s="474"/>
      <c r="AR60" s="474"/>
      <c r="AS60" s="474"/>
    </row>
    <row r="61" spans="1:45">
      <c r="A61"/>
      <c r="B61"/>
      <c r="C61"/>
      <c r="D61"/>
      <c r="E61"/>
      <c r="F61"/>
      <c r="G61"/>
      <c r="I61" s="1239"/>
      <c r="J61" s="1239"/>
      <c r="K61" s="474"/>
      <c r="L61" s="474"/>
      <c r="M61" s="790"/>
      <c r="N61" s="790"/>
      <c r="O61" s="790"/>
      <c r="P61" s="790"/>
      <c r="Q61" s="790"/>
      <c r="R61" s="790"/>
      <c r="S61" s="790"/>
      <c r="T61" s="1228"/>
      <c r="U61" s="1228"/>
      <c r="V61" s="1224"/>
      <c r="W61" s="1234"/>
      <c r="X61" s="1241" t="s">
        <v>428</v>
      </c>
      <c r="Y61" s="444">
        <f ca="1">IF(V$95&lt;0,"--",$V$60/V$95)</f>
        <v>49.633689148828381</v>
      </c>
      <c r="Z61" s="444">
        <f ca="1">IF(W$95&lt;0,"--",$V$60/W$95)</f>
        <v>26.550237613108102</v>
      </c>
      <c r="AA61" s="444">
        <f ca="1">IF(X$95&lt;0,"--",$V$60/X$95)</f>
        <v>17.401609111449165</v>
      </c>
      <c r="AB61" s="444">
        <f ca="1">IF(Y$95&lt;0,"--",$V$60/Y$95)</f>
        <v>12.598152556998082</v>
      </c>
      <c r="AC61" s="1242">
        <f ca="1">IF(Z$95&lt;0,"--",$V$60/Z$95)</f>
        <v>9.9563468320573936</v>
      </c>
      <c r="AD61" s="474"/>
      <c r="AE61" s="474"/>
      <c r="AF61" s="474"/>
      <c r="AG61" s="474"/>
      <c r="AH61" s="474"/>
      <c r="AI61" s="474"/>
      <c r="AJ61" s="474"/>
      <c r="AK61" s="474"/>
      <c r="AL61" s="474"/>
      <c r="AM61" s="474"/>
      <c r="AN61" s="474"/>
      <c r="AO61" s="474"/>
      <c r="AP61" s="474"/>
      <c r="AQ61" s="474"/>
      <c r="AR61" s="474"/>
      <c r="AS61" s="474"/>
    </row>
    <row r="62" spans="1:45">
      <c r="A62"/>
      <c r="B62"/>
      <c r="C62"/>
      <c r="D62"/>
      <c r="E62"/>
      <c r="F62"/>
      <c r="G62"/>
      <c r="I62" s="1237" t="s">
        <v>132</v>
      </c>
      <c r="J62" s="1239"/>
      <c r="K62" s="474"/>
      <c r="L62" s="474"/>
      <c r="M62" s="1230"/>
      <c r="N62" s="1230"/>
      <c r="O62" s="1230"/>
      <c r="P62" s="1230"/>
      <c r="Q62" s="1230"/>
      <c r="R62" s="1230"/>
      <c r="S62" s="1230"/>
      <c r="T62" s="1228"/>
      <c r="U62" s="1228"/>
      <c r="V62" s="1224">
        <f ca="1">Model!W524+Model!W533+Model!W537-(Model!W493+Model!W494+Model!W495)</f>
        <v>-33650.538956126402</v>
      </c>
      <c r="W62" s="1225">
        <f>Valuation!V48</f>
        <v>6.9</v>
      </c>
      <c r="X62" s="1250" t="s">
        <v>138</v>
      </c>
      <c r="Y62" s="1251">
        <f ca="1">IF(V$98&lt;0,"--",$V$60/V$98)</f>
        <v>59.682443659477876</v>
      </c>
      <c r="Z62" s="1251">
        <f ca="1">IF(W$98&lt;0,"--",$V$60/W$98)</f>
        <v>22.320410806716414</v>
      </c>
      <c r="AA62" s="1251">
        <f ca="1">IF(X$98&lt;0,"--",$V$60/X$98)</f>
        <v>16.954447046626711</v>
      </c>
      <c r="AB62" s="1251">
        <f ca="1">IF(Y$98&lt;0,"--",$V$60/Y$98)</f>
        <v>11.631737553490316</v>
      </c>
      <c r="AC62" s="1252">
        <f ca="1">IF(Z$98&lt;0,"--",$V$60/Z$98)</f>
        <v>11.550362402200363</v>
      </c>
      <c r="AD62" s="474"/>
      <c r="AE62" s="474"/>
      <c r="AF62" s="474"/>
      <c r="AG62" s="474"/>
      <c r="AH62" s="474"/>
      <c r="AI62" s="474"/>
      <c r="AJ62" s="474"/>
      <c r="AK62" s="474"/>
      <c r="AL62" s="474"/>
      <c r="AM62" s="474"/>
      <c r="AN62" s="474"/>
      <c r="AO62" s="474"/>
      <c r="AP62" s="474"/>
      <c r="AQ62" s="474"/>
      <c r="AR62" s="474"/>
      <c r="AS62" s="474"/>
    </row>
    <row r="63" spans="1:45" ht="13.5" thickBot="1">
      <c r="A63"/>
      <c r="B63"/>
      <c r="C63"/>
      <c r="D63"/>
      <c r="E63"/>
      <c r="F63"/>
      <c r="G63"/>
      <c r="I63" s="1237" t="s">
        <v>133</v>
      </c>
      <c r="J63" s="1239"/>
      <c r="K63" s="474"/>
      <c r="L63" s="474"/>
      <c r="M63" s="1226"/>
      <c r="N63" s="1226"/>
      <c r="O63" s="1226"/>
      <c r="P63" s="1226"/>
      <c r="Q63" s="1226"/>
      <c r="R63" s="1226"/>
      <c r="S63" s="1226"/>
      <c r="T63" s="1228"/>
      <c r="U63" s="1228"/>
      <c r="V63" s="1224">
        <f ca="1">V59+V62</f>
        <v>26325.578243873591</v>
      </c>
      <c r="W63" s="1234"/>
      <c r="X63" s="1245" t="s">
        <v>419</v>
      </c>
      <c r="Y63" s="1246">
        <f ca="1">V$98/$V$60</f>
        <v>1.675534610656303E-2</v>
      </c>
      <c r="Z63" s="1246">
        <f ca="1">W$98/$V$60</f>
        <v>4.4802042787630544E-2</v>
      </c>
      <c r="AA63" s="1246">
        <f ca="1">X$98/$V$60</f>
        <v>5.8981575586032564E-2</v>
      </c>
      <c r="AB63" s="1246">
        <f ca="1">Y$98/$V$60</f>
        <v>8.5971678384364134E-2</v>
      </c>
      <c r="AC63" s="1247">
        <f ca="1">Z$98/$V$60</f>
        <v>8.6577370058059683E-2</v>
      </c>
      <c r="AD63" s="474"/>
      <c r="AE63" s="474"/>
      <c r="AF63" s="474"/>
      <c r="AG63" s="474"/>
      <c r="AH63" s="474"/>
      <c r="AI63" s="474"/>
      <c r="AJ63" s="474"/>
      <c r="AK63" s="474"/>
      <c r="AL63" s="474"/>
      <c r="AM63" s="474"/>
      <c r="AN63" s="474"/>
      <c r="AO63" s="474"/>
      <c r="AP63" s="474"/>
      <c r="AQ63" s="474"/>
      <c r="AR63" s="474"/>
      <c r="AS63" s="474"/>
    </row>
    <row r="64" spans="1:45">
      <c r="A64"/>
      <c r="B64"/>
      <c r="C64"/>
      <c r="D64"/>
      <c r="E64"/>
      <c r="F64"/>
      <c r="G64"/>
      <c r="I64" s="1239"/>
      <c r="J64" s="1239"/>
      <c r="K64" s="1239"/>
      <c r="L64" s="1239"/>
      <c r="M64" s="1239"/>
      <c r="N64" s="1239"/>
      <c r="O64" s="1239"/>
      <c r="P64" s="1239"/>
      <c r="Q64" s="1239"/>
      <c r="R64" s="1239"/>
      <c r="S64" s="1239"/>
      <c r="T64" s="1234"/>
      <c r="U64" s="1234"/>
      <c r="V64" s="1234"/>
      <c r="W64" s="1234"/>
      <c r="X64" s="1255" t="s">
        <v>583</v>
      </c>
      <c r="Y64" s="1256">
        <f>Model!W41</f>
        <v>1.478924731475679E-2</v>
      </c>
      <c r="Z64" s="1256">
        <f ca="1">Model!X41</f>
        <v>2.2339629381717893E-2</v>
      </c>
      <c r="AA64" s="1256">
        <f ca="1">Model!Y41</f>
        <v>2.9516829081151694E-2</v>
      </c>
      <c r="AB64" s="1256">
        <f ca="1">Model!Z41</f>
        <v>3.7737938810166446E-2</v>
      </c>
      <c r="AC64" s="1256">
        <f ca="1">Model!AA41</f>
        <v>4.5189724833605754E-2</v>
      </c>
      <c r="AD64" s="474"/>
      <c r="AE64" s="474"/>
      <c r="AF64" s="474"/>
      <c r="AG64" s="474"/>
      <c r="AH64" s="474"/>
      <c r="AI64" s="474"/>
      <c r="AJ64" s="474"/>
      <c r="AK64" s="474"/>
      <c r="AL64" s="474"/>
      <c r="AM64" s="474"/>
      <c r="AN64" s="474"/>
      <c r="AO64" s="474"/>
      <c r="AP64" s="474"/>
      <c r="AQ64" s="474"/>
      <c r="AR64" s="474"/>
      <c r="AS64" s="474"/>
    </row>
    <row r="65" spans="1:45">
      <c r="A65"/>
      <c r="B65"/>
      <c r="C65"/>
      <c r="D65"/>
      <c r="E65"/>
      <c r="F65"/>
      <c r="G65"/>
      <c r="I65" s="1239"/>
      <c r="J65" s="1239"/>
      <c r="K65" s="1239"/>
      <c r="L65" s="1239"/>
      <c r="M65" s="1239"/>
      <c r="N65" s="1239"/>
      <c r="O65" s="1239"/>
      <c r="P65" s="1239"/>
      <c r="Q65" s="1239"/>
      <c r="R65" s="1239"/>
      <c r="S65" s="1239"/>
      <c r="T65" s="1234"/>
      <c r="U65" s="1234"/>
      <c r="V65" s="1234"/>
      <c r="W65" s="1234"/>
      <c r="X65" s="628"/>
      <c r="Y65" s="1176"/>
      <c r="Z65" s="1176"/>
      <c r="AA65" s="1176"/>
      <c r="AB65" s="1176"/>
      <c r="AC65" s="1176"/>
      <c r="AD65" s="474"/>
      <c r="AE65" s="474"/>
      <c r="AF65" s="474"/>
      <c r="AG65" s="474"/>
      <c r="AH65" s="474"/>
      <c r="AI65" s="474"/>
      <c r="AJ65" s="474"/>
      <c r="AK65" s="474"/>
      <c r="AL65" s="474"/>
      <c r="AM65" s="474"/>
      <c r="AN65" s="474"/>
      <c r="AO65" s="474"/>
      <c r="AP65" s="474"/>
      <c r="AQ65" s="474"/>
      <c r="AR65" s="474"/>
      <c r="AS65" s="474"/>
    </row>
    <row r="66" spans="1:45">
      <c r="A66"/>
      <c r="B66"/>
      <c r="C66"/>
      <c r="D66"/>
      <c r="E66"/>
      <c r="F66"/>
      <c r="G66"/>
      <c r="I66" s="1879" t="s">
        <v>582</v>
      </c>
      <c r="J66" s="1248"/>
      <c r="K66" s="1248"/>
      <c r="L66" s="1248"/>
      <c r="M66" s="1249"/>
      <c r="N66" s="1249"/>
      <c r="O66" s="1249"/>
      <c r="P66" s="1249"/>
      <c r="Q66" s="1249"/>
      <c r="R66" s="1249"/>
      <c r="S66" s="1249"/>
      <c r="T66" s="1249"/>
      <c r="U66" s="1249"/>
      <c r="V66" s="1249"/>
      <c r="W66" s="1249"/>
      <c r="X66" s="1249"/>
      <c r="Y66" s="1249"/>
      <c r="Z66" s="1249"/>
      <c r="AA66" s="1249"/>
      <c r="AB66" s="1249"/>
      <c r="AC66" s="1249"/>
      <c r="AD66" s="474"/>
      <c r="AE66" s="474"/>
      <c r="AF66" s="474"/>
      <c r="AG66" s="474"/>
      <c r="AH66" s="474"/>
      <c r="AI66" s="474"/>
      <c r="AJ66" s="474"/>
      <c r="AK66" s="474"/>
      <c r="AL66" s="474"/>
      <c r="AM66" s="474"/>
      <c r="AN66" s="474"/>
      <c r="AO66" s="474"/>
      <c r="AP66" s="474"/>
      <c r="AQ66" s="474"/>
      <c r="AR66" s="474"/>
      <c r="AS66" s="474"/>
    </row>
    <row r="67" spans="1:45">
      <c r="A67"/>
      <c r="B67"/>
      <c r="C67"/>
      <c r="D67"/>
      <c r="E67"/>
      <c r="F67"/>
      <c r="G67"/>
      <c r="I67" s="420" t="s">
        <v>134</v>
      </c>
      <c r="J67" s="420"/>
      <c r="K67" s="420"/>
      <c r="L67" s="420"/>
      <c r="M67" s="1855"/>
      <c r="N67" s="1855"/>
      <c r="O67" s="1855"/>
      <c r="P67" s="1855"/>
      <c r="Q67" s="1855"/>
      <c r="R67" s="1855"/>
      <c r="S67" s="1855"/>
      <c r="T67" s="1855"/>
      <c r="U67" s="1855">
        <f>Model!V437/Model!V10</f>
        <v>-1.5551101890425694E-2</v>
      </c>
      <c r="V67" s="1855">
        <f>Model!W437/Model!W10</f>
        <v>0.22645816058429266</v>
      </c>
      <c r="W67" s="1855">
        <f ca="1">Model!X437/Model!X10</f>
        <v>0.7225250716239765</v>
      </c>
      <c r="X67" s="1855">
        <f ca="1">Model!Y437/Model!Y10</f>
        <v>1.2854705970120934</v>
      </c>
      <c r="Y67" s="1855">
        <f ca="1">Model!Z437/Model!Z10</f>
        <v>1.9999970252888419</v>
      </c>
      <c r="Z67" s="1855">
        <f ca="1">Model!AA437/Model!AA10</f>
        <v>2.6901946935195205</v>
      </c>
      <c r="AA67" s="1855">
        <f ca="1">Model!AB437/Model!AB10</f>
        <v>3.4085803566404489</v>
      </c>
      <c r="AB67" s="1855">
        <f ca="1">Model!AC437/Model!AC10</f>
        <v>4.2033037337738177</v>
      </c>
      <c r="AC67" s="1855">
        <f ca="1">Model!AD437/Model!AD10</f>
        <v>4.881637830914622</v>
      </c>
      <c r="AD67" s="474"/>
      <c r="AE67" s="474"/>
      <c r="AF67" s="474"/>
      <c r="AG67" s="474"/>
      <c r="AH67" s="474"/>
      <c r="AI67" s="474"/>
      <c r="AJ67" s="474"/>
      <c r="AK67" s="474"/>
      <c r="AL67" s="474"/>
      <c r="AM67" s="474"/>
      <c r="AN67" s="474"/>
      <c r="AO67" s="474"/>
      <c r="AP67" s="474"/>
      <c r="AQ67" s="474"/>
      <c r="AR67" s="474"/>
      <c r="AS67" s="474"/>
    </row>
    <row r="68" spans="1:45">
      <c r="A68"/>
      <c r="B68"/>
      <c r="C68"/>
      <c r="D68"/>
      <c r="E68"/>
      <c r="F68"/>
      <c r="G68"/>
      <c r="H68" s="477"/>
      <c r="I68" s="1856" t="s">
        <v>135</v>
      </c>
      <c r="J68" s="1856"/>
      <c r="K68" s="1856"/>
      <c r="L68" s="1856"/>
      <c r="M68" s="1857"/>
      <c r="N68" s="1857"/>
      <c r="O68" s="1857"/>
      <c r="P68" s="1857"/>
      <c r="Q68" s="1857"/>
      <c r="R68" s="1857"/>
      <c r="S68" s="1857"/>
      <c r="T68" s="1857"/>
      <c r="U68" s="1857">
        <f t="shared" ref="U68:AC68" si="11">$V$56/U67</f>
        <v>-2572.165000386673</v>
      </c>
      <c r="V68" s="1857">
        <f t="shared" si="11"/>
        <v>176.63306942348464</v>
      </c>
      <c r="W68" s="1857">
        <f t="shared" ca="1" si="11"/>
        <v>55.361400691735703</v>
      </c>
      <c r="X68" s="1857">
        <f t="shared" ca="1" si="11"/>
        <v>31.117008893843792</v>
      </c>
      <c r="Y68" s="1857">
        <f t="shared" ca="1" si="11"/>
        <v>20.000029747155825</v>
      </c>
      <c r="Z68" s="1857">
        <f t="shared" ca="1" si="11"/>
        <v>14.868812319181595</v>
      </c>
      <c r="AA68" s="1857">
        <f t="shared" ca="1" si="11"/>
        <v>11.735090804614222</v>
      </c>
      <c r="AB68" s="1857">
        <f t="shared" ca="1" si="11"/>
        <v>9.5163239521801408</v>
      </c>
      <c r="AC68" s="1857">
        <f t="shared" ca="1" si="11"/>
        <v>8.1939712419234532</v>
      </c>
      <c r="AD68" s="474"/>
      <c r="AE68" s="474"/>
      <c r="AF68" s="474"/>
      <c r="AG68" s="474"/>
      <c r="AH68" s="474"/>
      <c r="AI68" s="474"/>
      <c r="AJ68" s="474"/>
      <c r="AK68" s="474"/>
      <c r="AL68" s="474"/>
      <c r="AM68" s="474"/>
      <c r="AN68" s="474"/>
      <c r="AO68" s="474"/>
      <c r="AP68" s="474"/>
      <c r="AQ68" s="474"/>
      <c r="AR68" s="474"/>
      <c r="AS68" s="474"/>
    </row>
    <row r="69" spans="1:45">
      <c r="A69"/>
      <c r="B69"/>
      <c r="C69"/>
      <c r="D69"/>
      <c r="E69"/>
      <c r="F69"/>
      <c r="G69"/>
      <c r="H69" s="477"/>
      <c r="I69" s="420"/>
      <c r="J69" s="420"/>
      <c r="K69" s="420"/>
      <c r="L69" s="420"/>
      <c r="M69" s="1858"/>
      <c r="N69" s="1858"/>
      <c r="O69" s="1858"/>
      <c r="P69" s="1858"/>
      <c r="Q69" s="1858"/>
      <c r="R69" s="1858"/>
      <c r="S69" s="1858"/>
      <c r="T69" s="1858"/>
      <c r="U69" s="1858"/>
      <c r="V69" s="1858"/>
      <c r="W69" s="1858"/>
      <c r="X69" s="1858"/>
      <c r="Y69" s="1858"/>
      <c r="Z69" s="1858"/>
      <c r="AA69" s="1858"/>
      <c r="AB69" s="1858"/>
      <c r="AC69" s="1858"/>
      <c r="AD69" s="474"/>
      <c r="AE69" s="474"/>
      <c r="AF69" s="474"/>
      <c r="AG69" s="474"/>
      <c r="AH69" s="474"/>
      <c r="AI69" s="474"/>
      <c r="AJ69" s="474"/>
      <c r="AK69" s="474"/>
      <c r="AL69" s="474"/>
      <c r="AM69" s="474"/>
      <c r="AN69" s="474"/>
      <c r="AO69" s="474"/>
      <c r="AP69" s="474"/>
      <c r="AQ69" s="474"/>
      <c r="AR69" s="474"/>
      <c r="AS69" s="474"/>
    </row>
    <row r="70" spans="1:45">
      <c r="A70"/>
      <c r="B70"/>
      <c r="C70"/>
      <c r="D70"/>
      <c r="E70"/>
      <c r="F70"/>
      <c r="G70"/>
      <c r="H70" s="477"/>
      <c r="I70" s="1859" t="s">
        <v>420</v>
      </c>
      <c r="J70" s="420"/>
      <c r="K70" s="420"/>
      <c r="L70" s="420"/>
      <c r="M70" s="1855"/>
      <c r="N70" s="1855"/>
      <c r="O70" s="1855"/>
      <c r="P70" s="1855"/>
      <c r="Q70" s="1855"/>
      <c r="R70" s="1855"/>
      <c r="S70" s="1855"/>
      <c r="T70" s="1855"/>
      <c r="U70" s="1855">
        <f>Model!V472/Model!V10</f>
        <v>0.50745636397884852</v>
      </c>
      <c r="V70" s="1855">
        <f>Model!W472/Model!W10</f>
        <v>0.67646373943235993</v>
      </c>
      <c r="W70" s="1855">
        <f ca="1">Model!X472/Model!X10</f>
        <v>1.2329512606357289</v>
      </c>
      <c r="X70" s="1855">
        <f ca="1">Model!Y472/Model!Y10</f>
        <v>1.8966825670752649</v>
      </c>
      <c r="Y70" s="1855">
        <f ca="1">Model!Z472/Model!Z10</f>
        <v>2.6565613277289648</v>
      </c>
      <c r="Z70" s="1855">
        <f ca="1">Model!AA472/Model!AA10</f>
        <v>3.3399673265853469</v>
      </c>
      <c r="AA70" s="1855">
        <f ca="1">Model!AB472/Model!AB10</f>
        <v>4.0698148014321704</v>
      </c>
      <c r="AB70" s="1855">
        <f ca="1">Model!AC472/Model!AC10</f>
        <v>4.8582128826577753</v>
      </c>
      <c r="AC70" s="1855">
        <f ca="1">Model!AD472/Model!AD10</f>
        <v>5.5357596189927341</v>
      </c>
      <c r="AD70" s="474"/>
      <c r="AE70" s="474"/>
      <c r="AF70" s="474"/>
      <c r="AG70" s="474"/>
      <c r="AH70" s="474"/>
      <c r="AI70" s="474"/>
      <c r="AJ70" s="474"/>
      <c r="AK70" s="474"/>
      <c r="AL70" s="474"/>
      <c r="AM70" s="474"/>
      <c r="AN70" s="474"/>
      <c r="AO70" s="474"/>
      <c r="AP70" s="474"/>
      <c r="AQ70" s="474"/>
      <c r="AR70" s="474"/>
      <c r="AS70" s="474"/>
    </row>
    <row r="71" spans="1:45">
      <c r="A71"/>
      <c r="B71"/>
      <c r="C71"/>
      <c r="D71"/>
      <c r="E71"/>
      <c r="F71"/>
      <c r="G71"/>
      <c r="H71" s="477"/>
      <c r="I71" s="1856" t="s">
        <v>422</v>
      </c>
      <c r="J71" s="1856"/>
      <c r="K71" s="1856"/>
      <c r="L71" s="1856"/>
      <c r="M71" s="1857"/>
      <c r="N71" s="1857"/>
      <c r="O71" s="1857"/>
      <c r="P71" s="1857"/>
      <c r="Q71" s="1857"/>
      <c r="R71" s="1857"/>
      <c r="S71" s="1857"/>
      <c r="T71" s="1857"/>
      <c r="U71" s="1857">
        <f t="shared" ref="U71:AC71" si="12" xml:space="preserve"> $V$56/U70</f>
        <v>78.824511503549203</v>
      </c>
      <c r="V71" s="1857">
        <f t="shared" si="12"/>
        <v>59.131033443958344</v>
      </c>
      <c r="W71" s="1857">
        <f t="shared" ca="1" si="12"/>
        <v>32.442482746134971</v>
      </c>
      <c r="X71" s="1857">
        <f t="shared" ca="1" si="12"/>
        <v>21.089454131315744</v>
      </c>
      <c r="Y71" s="1857">
        <f t="shared" ca="1" si="12"/>
        <v>15.057058755799593</v>
      </c>
      <c r="Z71" s="1857">
        <f t="shared" ca="1" si="12"/>
        <v>11.97616506054101</v>
      </c>
      <c r="AA71" s="1857">
        <f t="shared" ca="1" si="12"/>
        <v>9.8284570555701887</v>
      </c>
      <c r="AB71" s="1857">
        <f t="shared" ca="1" si="12"/>
        <v>8.2334802871209831</v>
      </c>
      <c r="AC71" s="1857">
        <f t="shared" ca="1" si="12"/>
        <v>7.2257472782530696</v>
      </c>
      <c r="AD71" s="474"/>
      <c r="AE71" s="474"/>
      <c r="AF71" s="474"/>
      <c r="AG71" s="474"/>
      <c r="AH71" s="474"/>
      <c r="AI71" s="474"/>
      <c r="AJ71" s="474"/>
      <c r="AK71" s="474"/>
      <c r="AL71" s="474"/>
      <c r="AM71" s="474"/>
      <c r="AN71" s="474"/>
      <c r="AO71" s="474"/>
      <c r="AP71" s="474"/>
      <c r="AQ71" s="474"/>
      <c r="AR71" s="474"/>
      <c r="AS71" s="474"/>
    </row>
    <row r="72" spans="1:45">
      <c r="A72"/>
      <c r="B72"/>
      <c r="C72"/>
      <c r="D72"/>
      <c r="E72"/>
      <c r="F72"/>
      <c r="G72"/>
      <c r="H72" s="477"/>
      <c r="I72" s="1860"/>
      <c r="J72" s="1860"/>
      <c r="K72" s="1860"/>
      <c r="L72" s="1860"/>
      <c r="M72" s="1861"/>
      <c r="N72" s="1861"/>
      <c r="O72" s="1861"/>
      <c r="P72" s="1861"/>
      <c r="Q72" s="1861"/>
      <c r="R72" s="1861"/>
      <c r="S72" s="1861"/>
      <c r="T72" s="1861"/>
      <c r="U72" s="1861"/>
      <c r="V72" s="1861"/>
      <c r="W72" s="1861"/>
      <c r="X72" s="1861"/>
      <c r="Y72" s="1861"/>
      <c r="Z72" s="1861"/>
      <c r="AA72" s="1861"/>
      <c r="AB72" s="1861"/>
      <c r="AC72" s="1861"/>
      <c r="AD72" s="474"/>
      <c r="AE72" s="474"/>
      <c r="AF72" s="474"/>
      <c r="AG72" s="474"/>
      <c r="AH72" s="474"/>
      <c r="AI72" s="474"/>
      <c r="AJ72" s="474"/>
      <c r="AK72" s="474"/>
      <c r="AL72" s="474"/>
      <c r="AM72" s="474"/>
      <c r="AN72" s="474"/>
      <c r="AO72" s="474"/>
      <c r="AP72" s="474"/>
      <c r="AQ72" s="474"/>
      <c r="AR72" s="474"/>
      <c r="AS72" s="474"/>
    </row>
    <row r="73" spans="1:45">
      <c r="A73"/>
      <c r="B73"/>
      <c r="C73"/>
      <c r="D73"/>
      <c r="E73"/>
      <c r="F73"/>
      <c r="G73"/>
      <c r="H73" s="477"/>
      <c r="I73" s="420" t="s">
        <v>136</v>
      </c>
      <c r="J73" s="420"/>
      <c r="K73" s="420"/>
      <c r="L73" s="420"/>
      <c r="M73" s="1855"/>
      <c r="N73" s="1855"/>
      <c r="O73" s="1855"/>
      <c r="P73" s="1855"/>
      <c r="Q73" s="1855"/>
      <c r="R73" s="1855"/>
      <c r="S73" s="1855"/>
      <c r="T73" s="1855"/>
      <c r="U73" s="1855">
        <f>Model!V438/Model!V10</f>
        <v>-1.5195176508067825E-2</v>
      </c>
      <c r="V73" s="1855">
        <f>Model!W438/Model!W10</f>
        <v>0.22127510616397225</v>
      </c>
      <c r="W73" s="1855">
        <f ca="1">Model!X438/Model!X10</f>
        <v>0.70598830051972183</v>
      </c>
      <c r="X73" s="1855">
        <f ca="1">Model!Y438/Model!Y10</f>
        <v>1.2560494269255535</v>
      </c>
      <c r="Y73" s="1855">
        <f ca="1">Model!Z438/Model!Z10</f>
        <v>1.9542221528099475</v>
      </c>
      <c r="Z73" s="1855">
        <f ca="1">Model!AA438/Model!AA10</f>
        <v>2.6286229424208054</v>
      </c>
      <c r="AA73" s="1855">
        <f ca="1">Model!AB438/Model!AB10</f>
        <v>3.3305665750265754</v>
      </c>
      <c r="AB73" s="1855">
        <f ca="1">Model!AC438/Model!AC10</f>
        <v>4.1071007444839864</v>
      </c>
      <c r="AC73" s="1855">
        <f ca="1">Model!AD438/Model!AD10</f>
        <v>4.7699094901357197</v>
      </c>
      <c r="AD73" s="474"/>
      <c r="AE73" s="474"/>
      <c r="AF73" s="474"/>
      <c r="AG73" s="474"/>
      <c r="AH73" s="474"/>
      <c r="AI73" s="474"/>
      <c r="AJ73" s="474"/>
      <c r="AK73" s="474"/>
      <c r="AL73" s="474"/>
      <c r="AM73" s="474"/>
      <c r="AN73" s="474"/>
      <c r="AO73" s="474"/>
      <c r="AP73" s="474"/>
      <c r="AQ73" s="474"/>
      <c r="AR73" s="474"/>
      <c r="AS73" s="474"/>
    </row>
    <row r="74" spans="1:45">
      <c r="A74"/>
      <c r="B74"/>
      <c r="C74"/>
      <c r="D74"/>
      <c r="E74"/>
      <c r="F74"/>
      <c r="G74"/>
      <c r="H74" s="477"/>
      <c r="I74" s="1856" t="s">
        <v>137</v>
      </c>
      <c r="J74" s="1856"/>
      <c r="K74" s="1856"/>
      <c r="L74" s="1856"/>
      <c r="M74" s="1857"/>
      <c r="N74" s="1857"/>
      <c r="O74" s="1857"/>
      <c r="P74" s="1857"/>
      <c r="Q74" s="1857"/>
      <c r="R74" s="1857"/>
      <c r="S74" s="1857"/>
      <c r="T74" s="1857"/>
      <c r="U74" s="1857">
        <f t="shared" ref="U74:AC74" si="13">$V$56/U73</f>
        <v>-2632.4143045500091</v>
      </c>
      <c r="V74" s="1857">
        <f t="shared" si="13"/>
        <v>180.77044767231368</v>
      </c>
      <c r="W74" s="1857">
        <f t="shared" ca="1" si="13"/>
        <v>56.658162706879864</v>
      </c>
      <c r="X74" s="1857">
        <f t="shared" ca="1" si="13"/>
        <v>31.845880538243193</v>
      </c>
      <c r="Y74" s="1857">
        <f t="shared" ca="1" si="13"/>
        <v>20.468501977876254</v>
      </c>
      <c r="Z74" s="1857">
        <f t="shared" ca="1" si="13"/>
        <v>15.217093084930005</v>
      </c>
      <c r="AA74" s="1857">
        <f t="shared" ca="1" si="13"/>
        <v>12.009968604119805</v>
      </c>
      <c r="AB74" s="1857">
        <f t="shared" ca="1" si="13"/>
        <v>9.7392302961454558</v>
      </c>
      <c r="AC74" s="1857">
        <f t="shared" ca="1" si="13"/>
        <v>8.3859033557598739</v>
      </c>
      <c r="AD74" s="474"/>
      <c r="AE74" s="474"/>
      <c r="AF74" s="474"/>
      <c r="AG74" s="474"/>
      <c r="AH74" s="474"/>
      <c r="AI74" s="474"/>
      <c r="AJ74" s="474"/>
      <c r="AK74" s="474"/>
      <c r="AL74" s="474"/>
      <c r="AM74" s="474"/>
      <c r="AN74" s="474"/>
      <c r="AO74" s="474"/>
      <c r="AP74" s="474"/>
      <c r="AQ74" s="474"/>
      <c r="AR74" s="474"/>
      <c r="AS74" s="474"/>
    </row>
    <row r="75" spans="1:45">
      <c r="A75"/>
      <c r="B75"/>
      <c r="C75"/>
      <c r="D75"/>
      <c r="E75"/>
      <c r="F75"/>
      <c r="G75"/>
      <c r="H75" s="477"/>
      <c r="I75" s="420"/>
      <c r="J75" s="420"/>
      <c r="K75" s="420"/>
      <c r="L75" s="420"/>
      <c r="M75" s="1858"/>
      <c r="N75" s="1858"/>
      <c r="O75" s="1858"/>
      <c r="P75" s="1858"/>
      <c r="Q75" s="1858"/>
      <c r="R75" s="1858"/>
      <c r="S75" s="1858"/>
      <c r="T75" s="1858"/>
      <c r="U75" s="1858"/>
      <c r="V75" s="1858"/>
      <c r="W75" s="1858"/>
      <c r="X75" s="1858"/>
      <c r="Y75" s="1858"/>
      <c r="Z75" s="1858"/>
      <c r="AA75" s="1858"/>
      <c r="AB75" s="1858"/>
      <c r="AC75" s="1858"/>
      <c r="AD75" s="474"/>
      <c r="AE75" s="474"/>
      <c r="AF75" s="474"/>
      <c r="AG75" s="474"/>
      <c r="AH75" s="474"/>
      <c r="AI75" s="474"/>
      <c r="AJ75" s="474"/>
      <c r="AK75" s="474"/>
      <c r="AL75" s="474"/>
      <c r="AM75" s="474"/>
      <c r="AN75" s="474"/>
      <c r="AO75" s="474"/>
      <c r="AP75" s="474"/>
      <c r="AQ75" s="474"/>
      <c r="AR75" s="474"/>
      <c r="AS75" s="474"/>
    </row>
    <row r="76" spans="1:45">
      <c r="A76"/>
      <c r="B76"/>
      <c r="C76"/>
      <c r="D76"/>
      <c r="E76"/>
      <c r="F76"/>
      <c r="G76"/>
      <c r="H76" s="477"/>
      <c r="I76" s="1859" t="s">
        <v>421</v>
      </c>
      <c r="J76" s="420"/>
      <c r="K76" s="420"/>
      <c r="L76" s="420"/>
      <c r="M76" s="1855"/>
      <c r="N76" s="1855"/>
      <c r="O76" s="1855"/>
      <c r="P76" s="1855"/>
      <c r="Q76" s="1855"/>
      <c r="R76" s="1855"/>
      <c r="S76" s="1855"/>
      <c r="T76" s="1855">
        <f>Model!U473/Model!U10</f>
        <v>0.22874067164522738</v>
      </c>
      <c r="U76" s="1855">
        <f>Model!V473/Model!V10</f>
        <v>0.49584197152924947</v>
      </c>
      <c r="V76" s="1855">
        <f>Model!W473/Model!W10</f>
        <v>0.660981195699756</v>
      </c>
      <c r="W76" s="1855">
        <f ca="1">Model!X473/Model!X10</f>
        <v>1.2047321252996941</v>
      </c>
      <c r="X76" s="1855">
        <f ca="1">Model!Y473/Model!Y10</f>
        <v>1.8532723011883574</v>
      </c>
      <c r="Y76" s="1855">
        <f ca="1">Model!Z473/Model!Z10</f>
        <v>2.5957593592902399</v>
      </c>
      <c r="Z76" s="1855">
        <f ca="1">Model!AA473/Model!AA10</f>
        <v>3.2635239236577664</v>
      </c>
      <c r="AA76" s="1855">
        <f ca="1">Model!AB473/Model!AB10</f>
        <v>3.9766670361141845</v>
      </c>
      <c r="AB76" s="1855">
        <f ca="1">Model!AC473/Model!AC10</f>
        <v>4.7470206796859413</v>
      </c>
      <c r="AC76" s="1855">
        <f ca="1">Model!AD473/Model!AD10</f>
        <v>5.409060085228873</v>
      </c>
      <c r="AD76" s="474"/>
      <c r="AE76" s="474"/>
      <c r="AF76" s="474"/>
      <c r="AG76" s="474"/>
      <c r="AH76" s="474"/>
      <c r="AI76" s="474"/>
      <c r="AJ76" s="474"/>
      <c r="AK76" s="474"/>
      <c r="AL76" s="474"/>
      <c r="AM76" s="474"/>
      <c r="AN76" s="474"/>
      <c r="AO76" s="474"/>
      <c r="AP76" s="474"/>
      <c r="AQ76" s="474"/>
      <c r="AR76" s="474"/>
      <c r="AS76" s="474"/>
    </row>
    <row r="77" spans="1:45">
      <c r="A77"/>
      <c r="B77"/>
      <c r="C77"/>
      <c r="D77"/>
      <c r="E77"/>
      <c r="F77"/>
      <c r="G77"/>
      <c r="H77" s="477"/>
      <c r="I77" s="1856" t="s">
        <v>423</v>
      </c>
      <c r="J77" s="1856"/>
      <c r="K77" s="1856"/>
      <c r="L77" s="1856"/>
      <c r="M77" s="1857"/>
      <c r="N77" s="1857"/>
      <c r="O77" s="1857"/>
      <c r="P77" s="1857"/>
      <c r="Q77" s="1857"/>
      <c r="R77" s="1857"/>
      <c r="S77" s="1857"/>
      <c r="T77" s="1857"/>
      <c r="U77" s="1857">
        <f t="shared" ref="U77:AC77" si="14" xml:space="preserve"> $V$56/U76</f>
        <v>80.670863494338988</v>
      </c>
      <c r="V77" s="1857">
        <f t="shared" si="14"/>
        <v>60.516093740992886</v>
      </c>
      <c r="W77" s="1857">
        <f t="shared" ca="1" si="14"/>
        <v>33.202401728973101</v>
      </c>
      <c r="X77" s="1857">
        <f t="shared" ca="1" si="14"/>
        <v>21.583444577653889</v>
      </c>
      <c r="Y77" s="1857">
        <f t="shared" ca="1" si="14"/>
        <v>15.409748926394018</v>
      </c>
      <c r="Z77" s="1857">
        <f t="shared" ca="1" si="14"/>
        <v>12.256689681369913</v>
      </c>
      <c r="AA77" s="1857">
        <f t="shared" ca="1" si="14"/>
        <v>10.058674673222367</v>
      </c>
      <c r="AB77" s="1857">
        <f t="shared" ca="1" si="14"/>
        <v>8.4263378441078043</v>
      </c>
      <c r="AC77" s="1857">
        <f t="shared" ca="1" si="14"/>
        <v>7.3950001238167946</v>
      </c>
      <c r="AD77" s="474"/>
      <c r="AE77" s="474"/>
      <c r="AF77" s="474"/>
      <c r="AG77" s="474"/>
      <c r="AH77" s="474"/>
      <c r="AI77" s="474"/>
      <c r="AJ77" s="474"/>
      <c r="AK77" s="474"/>
      <c r="AL77" s="474"/>
      <c r="AM77" s="474"/>
      <c r="AN77" s="474"/>
      <c r="AO77" s="474"/>
      <c r="AP77" s="474"/>
      <c r="AQ77" s="474"/>
      <c r="AR77" s="474"/>
      <c r="AS77" s="474"/>
    </row>
    <row r="78" spans="1:45">
      <c r="A78"/>
      <c r="B78"/>
      <c r="C78"/>
      <c r="D78"/>
      <c r="E78"/>
      <c r="F78"/>
      <c r="G78"/>
      <c r="H78" s="477"/>
      <c r="I78" s="1860"/>
      <c r="J78" s="1860"/>
      <c r="K78" s="1860"/>
      <c r="L78" s="1860"/>
      <c r="M78" s="1861"/>
      <c r="N78" s="1861"/>
      <c r="O78" s="1861"/>
      <c r="P78" s="1861"/>
      <c r="Q78" s="1861"/>
      <c r="R78" s="1861"/>
      <c r="S78" s="1861"/>
      <c r="T78" s="1861"/>
      <c r="U78" s="1861"/>
      <c r="V78" s="1861"/>
      <c r="W78" s="1861"/>
      <c r="X78" s="1861"/>
      <c r="Y78" s="1861"/>
      <c r="Z78" s="1861"/>
      <c r="AA78" s="1861"/>
      <c r="AB78" s="1861"/>
      <c r="AC78" s="1861"/>
      <c r="AD78" s="474"/>
      <c r="AE78" s="474"/>
      <c r="AF78" s="474"/>
      <c r="AG78" s="474"/>
      <c r="AH78" s="474"/>
      <c r="AI78" s="474"/>
      <c r="AJ78" s="474"/>
      <c r="AK78" s="474"/>
      <c r="AL78" s="474"/>
      <c r="AM78" s="474"/>
      <c r="AN78" s="474"/>
      <c r="AO78" s="474"/>
      <c r="AP78" s="474"/>
      <c r="AQ78" s="474"/>
      <c r="AR78" s="474"/>
      <c r="AS78" s="474"/>
    </row>
    <row r="79" spans="1:45">
      <c r="A79"/>
      <c r="B79"/>
      <c r="C79"/>
      <c r="D79"/>
      <c r="E79"/>
      <c r="F79"/>
      <c r="G79"/>
      <c r="H79" s="477"/>
      <c r="I79" s="1859" t="s">
        <v>413</v>
      </c>
      <c r="J79" s="1859"/>
      <c r="K79" s="1859"/>
      <c r="L79" s="1859"/>
      <c r="M79" s="546"/>
      <c r="N79" s="546"/>
      <c r="O79" s="546"/>
      <c r="P79" s="546"/>
      <c r="Q79" s="546"/>
      <c r="R79" s="546"/>
      <c r="S79" s="546"/>
      <c r="T79" s="546"/>
      <c r="U79" s="546">
        <f t="shared" ref="U79:AA79" ca="1" si="15">(W76/T76)^(1/3)-1</f>
        <v>0.73986559323383982</v>
      </c>
      <c r="V79" s="546">
        <f t="shared" ca="1" si="15"/>
        <v>0.55190565759779253</v>
      </c>
      <c r="W79" s="546">
        <f t="shared" ca="1" si="15"/>
        <v>0.57770247949824083</v>
      </c>
      <c r="X79" s="546">
        <f t="shared" ca="1" si="15"/>
        <v>0.39400854671100372</v>
      </c>
      <c r="Y79" s="546">
        <f t="shared" ca="1" si="15"/>
        <v>0.28981274738186724</v>
      </c>
      <c r="Z79" s="546">
        <f t="shared" ca="1" si="15"/>
        <v>0.22288485100179711</v>
      </c>
      <c r="AA79" s="546">
        <f t="shared" ca="1" si="15"/>
        <v>0.18343661404931244</v>
      </c>
      <c r="AB79" s="1862"/>
      <c r="AC79" s="1862"/>
      <c r="AD79" s="474"/>
      <c r="AE79" s="474"/>
      <c r="AF79" s="474"/>
      <c r="AG79" s="474"/>
      <c r="AH79" s="474"/>
      <c r="AI79" s="474"/>
      <c r="AJ79" s="474"/>
      <c r="AK79" s="474"/>
      <c r="AL79" s="474"/>
      <c r="AM79" s="474"/>
      <c r="AN79" s="474"/>
      <c r="AO79" s="474"/>
      <c r="AP79" s="474"/>
      <c r="AQ79" s="474"/>
      <c r="AR79" s="474"/>
      <c r="AS79" s="474"/>
    </row>
    <row r="80" spans="1:45">
      <c r="A80"/>
      <c r="B80"/>
      <c r="C80"/>
      <c r="D80"/>
      <c r="E80"/>
      <c r="F80"/>
      <c r="G80"/>
      <c r="H80" s="477"/>
      <c r="I80" s="1863" t="s">
        <v>141</v>
      </c>
      <c r="J80" s="1863"/>
      <c r="K80" s="1863"/>
      <c r="L80" s="1863"/>
      <c r="M80" s="1857"/>
      <c r="N80" s="1857"/>
      <c r="O80" s="1857"/>
      <c r="P80" s="1857"/>
      <c r="Q80" s="1857"/>
      <c r="R80" s="1857"/>
      <c r="S80" s="1857"/>
      <c r="T80" s="1857"/>
      <c r="U80" s="1857">
        <f ca="1">IF(ISERROR(U77/U79), "--", U77/U79)</f>
        <v>109.03448441457985</v>
      </c>
      <c r="V80" s="1857">
        <f t="shared" ref="V80:AA80" ca="1" si="16">IF(ISERROR(V77/V79/100), "--", V77/V79/100)</f>
        <v>1.096493447890956</v>
      </c>
      <c r="W80" s="1857">
        <f t="shared" ca="1" si="16"/>
        <v>0.57473185432423279</v>
      </c>
      <c r="X80" s="1857">
        <f t="shared" ca="1" si="16"/>
        <v>0.54779127909336578</v>
      </c>
      <c r="Y80" s="1857">
        <f t="shared" ca="1" si="16"/>
        <v>0.53171397965078482</v>
      </c>
      <c r="Z80" s="1857">
        <f t="shared" ca="1" si="16"/>
        <v>0.54991129393854987</v>
      </c>
      <c r="AA80" s="1857">
        <f t="shared" ca="1" si="16"/>
        <v>0.54834607176723937</v>
      </c>
      <c r="AB80" s="1857"/>
      <c r="AC80" s="1857"/>
      <c r="AD80" s="474"/>
      <c r="AE80" s="474"/>
      <c r="AF80" s="474"/>
      <c r="AG80" s="474"/>
      <c r="AH80" s="474"/>
      <c r="AI80" s="474"/>
      <c r="AJ80" s="474"/>
      <c r="AK80" s="474"/>
      <c r="AL80" s="474"/>
      <c r="AM80" s="474"/>
      <c r="AN80" s="474"/>
      <c r="AO80" s="474"/>
      <c r="AP80" s="474"/>
      <c r="AQ80" s="474"/>
      <c r="AR80" s="474"/>
      <c r="AS80" s="474"/>
    </row>
    <row r="81" spans="1:45">
      <c r="A81"/>
      <c r="B81"/>
      <c r="C81"/>
      <c r="D81"/>
      <c r="E81"/>
      <c r="F81"/>
      <c r="G81"/>
      <c r="H81" s="477"/>
      <c r="I81" s="1864"/>
      <c r="J81" s="1864"/>
      <c r="K81" s="1864"/>
      <c r="L81" s="1864"/>
      <c r="M81" s="1865"/>
      <c r="N81" s="1865"/>
      <c r="O81" s="1865"/>
      <c r="P81" s="1865"/>
      <c r="Q81" s="1865"/>
      <c r="R81" s="1865"/>
      <c r="S81" s="1865"/>
      <c r="T81" s="1865"/>
      <c r="U81" s="1865"/>
      <c r="V81" s="1865"/>
      <c r="W81" s="1865"/>
      <c r="X81" s="1865"/>
      <c r="Y81" s="1865"/>
      <c r="Z81" s="1865"/>
      <c r="AA81" s="1865"/>
      <c r="AB81" s="1865"/>
      <c r="AC81" s="1865"/>
      <c r="AD81" s="474"/>
      <c r="AE81" s="474"/>
      <c r="AF81" s="474"/>
      <c r="AG81" s="474"/>
      <c r="AH81" s="474"/>
      <c r="AI81" s="474"/>
      <c r="AJ81" s="474"/>
      <c r="AK81" s="474"/>
      <c r="AL81" s="474"/>
      <c r="AM81" s="474"/>
      <c r="AN81" s="474"/>
      <c r="AO81" s="474"/>
      <c r="AP81" s="474"/>
      <c r="AQ81" s="474"/>
      <c r="AR81" s="474"/>
      <c r="AS81" s="474"/>
    </row>
    <row r="82" spans="1:45">
      <c r="A82"/>
      <c r="B82"/>
      <c r="C82"/>
      <c r="D82"/>
      <c r="E82"/>
      <c r="F82"/>
      <c r="G82"/>
      <c r="H82" s="477"/>
      <c r="I82" s="1866" t="s">
        <v>393</v>
      </c>
      <c r="J82" s="1860"/>
      <c r="K82" s="1860"/>
      <c r="L82" s="1860"/>
      <c r="M82" s="1867"/>
      <c r="N82" s="1867"/>
      <c r="O82" s="1867"/>
      <c r="P82" s="1867"/>
      <c r="Q82" s="1867"/>
      <c r="R82" s="1867"/>
      <c r="S82" s="1867"/>
      <c r="T82" s="1867"/>
      <c r="U82" s="1867">
        <f>Model!V406/Model!V10</f>
        <v>188052.06880520686</v>
      </c>
      <c r="V82" s="1867">
        <f>Model!W406/Model!W10</f>
        <v>245136.92996389885</v>
      </c>
      <c r="W82" s="1867">
        <f>Model!X406/Model!X10</f>
        <v>305728.65062772552</v>
      </c>
      <c r="X82" s="1867">
        <f>Model!Y406/Model!Y10</f>
        <v>367057.81794364727</v>
      </c>
      <c r="Y82" s="1867">
        <f>Model!Z406/Model!Z10</f>
        <v>417895.32572884235</v>
      </c>
      <c r="Z82" s="1867">
        <f>Model!AA406/Model!AA10</f>
        <v>449822.52861452597</v>
      </c>
      <c r="AA82" s="1867">
        <f>Model!AB406/Model!AB10</f>
        <v>484188.9698006757</v>
      </c>
      <c r="AB82" s="1867">
        <f>Model!AC406/Model!AC10</f>
        <v>521181.00709344732</v>
      </c>
      <c r="AC82" s="1867">
        <f>Model!AD406/Model!AD10</f>
        <v>560999.23603538668</v>
      </c>
      <c r="AD82" s="474"/>
      <c r="AE82" s="474"/>
      <c r="AF82" s="474"/>
      <c r="AG82" s="474"/>
      <c r="AH82" s="474"/>
      <c r="AI82" s="474"/>
      <c r="AJ82" s="474"/>
      <c r="AK82" s="474"/>
      <c r="AL82" s="474"/>
      <c r="AM82" s="474"/>
      <c r="AN82" s="474"/>
      <c r="AO82" s="474"/>
      <c r="AP82" s="474"/>
      <c r="AQ82" s="474"/>
      <c r="AR82" s="474"/>
      <c r="AS82" s="474"/>
    </row>
    <row r="83" spans="1:45">
      <c r="A83"/>
      <c r="B83"/>
      <c r="C83"/>
      <c r="D83"/>
      <c r="E83"/>
      <c r="F83"/>
      <c r="G83"/>
      <c r="H83" s="477"/>
      <c r="I83" s="1856" t="s">
        <v>394</v>
      </c>
      <c r="J83" s="1856"/>
      <c r="K83" s="1856"/>
      <c r="L83" s="1856"/>
      <c r="M83" s="1857"/>
      <c r="N83" s="1857"/>
      <c r="O83" s="1857"/>
      <c r="P83" s="1857"/>
      <c r="Q83" s="1857"/>
      <c r="R83" s="1857"/>
      <c r="S83" s="1857"/>
      <c r="T83" s="1857"/>
      <c r="U83" s="1857">
        <f t="shared" ref="U83:AC83" ca="1" si="17">IF(ISERROR($V$63/U82), "-", $V$63/U82)</f>
        <v>0.13999089938831175</v>
      </c>
      <c r="V83" s="1857">
        <f t="shared" ca="1" si="17"/>
        <v>0.10739131899771504</v>
      </c>
      <c r="W83" s="1857">
        <f t="shared" ca="1" si="17"/>
        <v>8.6107658506396498E-2</v>
      </c>
      <c r="X83" s="1857">
        <f t="shared" ca="1" si="17"/>
        <v>7.1720521827749864E-2</v>
      </c>
      <c r="Y83" s="1857">
        <f t="shared" ca="1" si="17"/>
        <v>6.2995627428853646E-2</v>
      </c>
      <c r="Z83" s="1857">
        <f t="shared" ca="1" si="17"/>
        <v>5.8524365875932405E-2</v>
      </c>
      <c r="AA83" s="1857">
        <f t="shared" ca="1" si="17"/>
        <v>5.4370462538027138E-2</v>
      </c>
      <c r="AB83" s="1857">
        <f t="shared" ca="1" si="17"/>
        <v>5.0511392175796303E-2</v>
      </c>
      <c r="AC83" s="1857">
        <f t="shared" ca="1" si="17"/>
        <v>4.6926228331286048E-2</v>
      </c>
      <c r="AD83" s="474"/>
      <c r="AE83" s="474"/>
      <c r="AF83" s="474"/>
      <c r="AG83" s="474"/>
      <c r="AH83" s="474"/>
      <c r="AI83" s="474"/>
      <c r="AJ83" s="474"/>
      <c r="AK83" s="474"/>
      <c r="AL83" s="474"/>
      <c r="AM83" s="474"/>
      <c r="AN83" s="474"/>
      <c r="AO83" s="474"/>
      <c r="AP83" s="474"/>
      <c r="AQ83" s="474"/>
      <c r="AR83" s="474"/>
      <c r="AS83" s="474"/>
    </row>
    <row r="84" spans="1:45">
      <c r="A84"/>
      <c r="B84"/>
      <c r="C84"/>
      <c r="D84"/>
      <c r="E84"/>
      <c r="F84"/>
      <c r="G84"/>
      <c r="H84" s="477"/>
      <c r="I84" s="1856" t="s">
        <v>417</v>
      </c>
      <c r="J84" s="1856"/>
      <c r="K84" s="1856"/>
      <c r="L84" s="1856"/>
      <c r="M84" s="1857"/>
      <c r="N84" s="1857"/>
      <c r="O84" s="1857"/>
      <c r="P84" s="1857"/>
      <c r="Q84" s="1857"/>
      <c r="R84" s="1857"/>
      <c r="S84" s="1857"/>
      <c r="T84" s="1857"/>
      <c r="U84" s="1857">
        <f t="shared" ref="U84:AC84" si="18">IF(ISERROR($V$59/U82), "-", $V$59/U82)</f>
        <v>0.31893356760741659</v>
      </c>
      <c r="V84" s="1857">
        <f t="shared" si="18"/>
        <v>0.24466373634047159</v>
      </c>
      <c r="W84" s="1857">
        <f t="shared" si="18"/>
        <v>0.19617434308775561</v>
      </c>
      <c r="X84" s="1857">
        <f t="shared" si="18"/>
        <v>0.16339692077940662</v>
      </c>
      <c r="Y84" s="1857">
        <f t="shared" si="18"/>
        <v>0.14351947367536816</v>
      </c>
      <c r="Z84" s="1857">
        <f t="shared" si="18"/>
        <v>0.13333284436581952</v>
      </c>
      <c r="AA84" s="1857">
        <f t="shared" si="18"/>
        <v>0.12386923482517609</v>
      </c>
      <c r="AB84" s="1857">
        <f t="shared" si="18"/>
        <v>0.11507732703936835</v>
      </c>
      <c r="AC84" s="1857">
        <f t="shared" si="18"/>
        <v>0.1069094454100412</v>
      </c>
      <c r="AD84" s="474"/>
      <c r="AE84" s="474"/>
      <c r="AF84" s="474"/>
      <c r="AG84" s="474"/>
      <c r="AH84" s="474"/>
      <c r="AI84" s="474"/>
      <c r="AJ84" s="474"/>
      <c r="AK84" s="474"/>
      <c r="AL84" s="474"/>
      <c r="AM84" s="474"/>
      <c r="AN84" s="474"/>
      <c r="AO84" s="474"/>
      <c r="AP84" s="474"/>
      <c r="AQ84" s="474"/>
      <c r="AR84" s="474"/>
      <c r="AS84" s="474"/>
    </row>
    <row r="85" spans="1:45">
      <c r="A85"/>
      <c r="B85"/>
      <c r="C85"/>
      <c r="D85"/>
      <c r="E85"/>
      <c r="F85"/>
      <c r="G85"/>
      <c r="H85" s="477"/>
      <c r="I85" s="1860"/>
      <c r="J85" s="1860"/>
      <c r="K85" s="1860"/>
      <c r="L85" s="1860"/>
      <c r="M85" s="1868"/>
      <c r="N85" s="1868"/>
      <c r="O85" s="1868"/>
      <c r="P85" s="1868"/>
      <c r="Q85" s="1868"/>
      <c r="R85" s="1868"/>
      <c r="S85" s="1868"/>
      <c r="T85" s="1868"/>
      <c r="U85" s="1868"/>
      <c r="V85" s="1868"/>
      <c r="W85" s="1868"/>
      <c r="X85" s="1868"/>
      <c r="Y85" s="1868"/>
      <c r="Z85" s="1861"/>
      <c r="AA85" s="1861"/>
      <c r="AB85" s="1861"/>
      <c r="AC85" s="1861"/>
      <c r="AD85" s="474"/>
      <c r="AE85" s="474"/>
      <c r="AF85" s="474"/>
      <c r="AG85" s="474"/>
      <c r="AH85" s="474"/>
      <c r="AI85" s="474"/>
      <c r="AJ85" s="474"/>
      <c r="AK85" s="474"/>
      <c r="AL85" s="474"/>
      <c r="AM85" s="474"/>
      <c r="AN85" s="474"/>
      <c r="AO85" s="474"/>
      <c r="AP85" s="474"/>
      <c r="AQ85" s="474"/>
      <c r="AR85" s="474"/>
      <c r="AS85" s="474"/>
    </row>
    <row r="86" spans="1:45">
      <c r="A86"/>
      <c r="B86"/>
      <c r="C86"/>
      <c r="D86"/>
      <c r="E86"/>
      <c r="F86"/>
      <c r="G86"/>
      <c r="H86" s="477"/>
      <c r="I86" s="1866" t="s">
        <v>430</v>
      </c>
      <c r="J86" s="1860"/>
      <c r="K86" s="1860"/>
      <c r="L86" s="1860"/>
      <c r="M86" s="1867"/>
      <c r="N86" s="1867"/>
      <c r="O86" s="1867"/>
      <c r="P86" s="1867"/>
      <c r="Q86" s="1867"/>
      <c r="R86" s="1867"/>
      <c r="S86" s="1867"/>
      <c r="T86" s="1867"/>
      <c r="U86" s="1867">
        <f>Model!V409/Model!V10</f>
        <v>52640.01539981403</v>
      </c>
      <c r="V86" s="1867">
        <f>Model!W409/Model!W10</f>
        <v>67013.359126006049</v>
      </c>
      <c r="W86" s="1867">
        <f>Model!X409/Model!X10</f>
        <v>83285.636171668535</v>
      </c>
      <c r="X86" s="1867">
        <f>Model!Y409/Model!Y10</f>
        <v>99876.275572167913</v>
      </c>
      <c r="Y86" s="1867">
        <f>Model!Z409/Model!Z10</f>
        <v>112698.01894870869</v>
      </c>
      <c r="Z86" s="1867">
        <f>Model!AA409/Model!AA10</f>
        <v>121874.92398244435</v>
      </c>
      <c r="AA86" s="1867">
        <f>Model!AB409/Model!AB10</f>
        <v>131796.24627665195</v>
      </c>
      <c r="AB86" s="1867">
        <f>Model!AC409/Model!AC10</f>
        <v>142522.16756112588</v>
      </c>
      <c r="AC86" s="1867">
        <f>Model!AD409/Model!AD10</f>
        <v>154117.72020020048</v>
      </c>
      <c r="AD86" s="474"/>
      <c r="AE86" s="474"/>
      <c r="AF86" s="474"/>
      <c r="AG86" s="474"/>
      <c r="AH86" s="474"/>
      <c r="AI86" s="474"/>
      <c r="AJ86" s="474"/>
      <c r="AK86" s="474"/>
      <c r="AL86" s="474"/>
      <c r="AM86" s="474"/>
      <c r="AN86" s="474"/>
      <c r="AO86" s="474"/>
      <c r="AP86" s="474"/>
      <c r="AQ86" s="474"/>
      <c r="AR86" s="474"/>
      <c r="AS86" s="474"/>
    </row>
    <row r="87" spans="1:45">
      <c r="A87"/>
      <c r="B87"/>
      <c r="C87"/>
      <c r="D87"/>
      <c r="E87"/>
      <c r="F87"/>
      <c r="G87"/>
      <c r="H87" s="477"/>
      <c r="I87" s="1856" t="s">
        <v>414</v>
      </c>
      <c r="J87" s="1856"/>
      <c r="K87" s="1856"/>
      <c r="L87" s="1856"/>
      <c r="M87" s="1857"/>
      <c r="N87" s="1857"/>
      <c r="O87" s="1857"/>
      <c r="P87" s="1857"/>
      <c r="Q87" s="1857"/>
      <c r="R87" s="1857"/>
      <c r="S87" s="1857"/>
      <c r="T87" s="1857"/>
      <c r="U87" s="1857">
        <f t="shared" ref="U87:AC87" ca="1" si="19">IF(ISERROR($V$63/U86), "--", $V$63/U86)</f>
        <v>0.50010582337266174</v>
      </c>
      <c r="V87" s="1857">
        <f t="shared" ca="1" si="19"/>
        <v>0.39284074977309047</v>
      </c>
      <c r="W87" s="1857">
        <f t="shared" ca="1" si="19"/>
        <v>0.31608785684978441</v>
      </c>
      <c r="X87" s="1857">
        <f t="shared" ca="1" si="19"/>
        <v>0.26358189763345186</v>
      </c>
      <c r="Y87" s="1857">
        <f t="shared" ca="1" si="19"/>
        <v>0.23359397520425743</v>
      </c>
      <c r="Z87" s="1857">
        <f t="shared" ca="1" si="19"/>
        <v>0.21600487929465867</v>
      </c>
      <c r="AA87" s="1857">
        <f t="shared" ca="1" si="19"/>
        <v>0.19974452222724068</v>
      </c>
      <c r="AB87" s="1857">
        <f t="shared" ca="1" si="19"/>
        <v>0.18471216579401867</v>
      </c>
      <c r="AC87" s="1857">
        <f t="shared" ca="1" si="19"/>
        <v>0.17081473960084798</v>
      </c>
      <c r="AD87" s="474"/>
      <c r="AE87" s="474"/>
      <c r="AF87" s="474"/>
      <c r="AG87" s="474"/>
      <c r="AH87" s="474"/>
      <c r="AI87" s="474"/>
      <c r="AJ87" s="474"/>
      <c r="AK87" s="474"/>
      <c r="AL87" s="474"/>
      <c r="AM87" s="474"/>
      <c r="AN87" s="474"/>
      <c r="AO87" s="474"/>
      <c r="AP87" s="474"/>
      <c r="AQ87" s="474"/>
      <c r="AR87" s="474"/>
      <c r="AS87" s="474"/>
    </row>
    <row r="88" spans="1:45">
      <c r="A88"/>
      <c r="B88"/>
      <c r="C88"/>
      <c r="D88"/>
      <c r="E88"/>
      <c r="F88"/>
      <c r="G88"/>
      <c r="H88" s="477"/>
      <c r="I88" s="1856" t="s">
        <v>415</v>
      </c>
      <c r="J88" s="1856"/>
      <c r="K88" s="1856"/>
      <c r="L88" s="1856"/>
      <c r="M88" s="1857"/>
      <c r="N88" s="1857"/>
      <c r="O88" s="1857"/>
      <c r="P88" s="1857"/>
      <c r="Q88" s="1857"/>
      <c r="R88" s="1857"/>
      <c r="S88" s="1857"/>
      <c r="T88" s="1857"/>
      <c r="U88" s="1857">
        <f t="shared" ref="U88:AC88" si="20">IF(ISERROR($V$59/U86), "--", $V$59/U86)</f>
        <v>1.1393635952509975</v>
      </c>
      <c r="V88" s="1857">
        <f t="shared" si="20"/>
        <v>0.89498747685854929</v>
      </c>
      <c r="W88" s="1857">
        <f t="shared" si="20"/>
        <v>0.72012558175550334</v>
      </c>
      <c r="X88" s="1857">
        <f t="shared" si="20"/>
        <v>0.60050414231418614</v>
      </c>
      <c r="Y88" s="1857">
        <f t="shared" si="20"/>
        <v>0.53218430775874082</v>
      </c>
      <c r="Z88" s="1857">
        <f t="shared" si="20"/>
        <v>0.49211203781870122</v>
      </c>
      <c r="AA88" s="1857">
        <f t="shared" si="20"/>
        <v>0.45506696051194684</v>
      </c>
      <c r="AB88" s="1857">
        <f t="shared" si="20"/>
        <v>0.42081956951908567</v>
      </c>
      <c r="AC88" s="1857">
        <f t="shared" si="20"/>
        <v>0.38915782767932466</v>
      </c>
      <c r="AD88" s="474"/>
      <c r="AE88" s="474"/>
      <c r="AF88" s="474"/>
      <c r="AG88" s="474"/>
      <c r="AH88" s="474"/>
      <c r="AI88" s="474"/>
      <c r="AJ88" s="474"/>
      <c r="AK88" s="474"/>
      <c r="AL88" s="474"/>
      <c r="AM88" s="474"/>
      <c r="AN88" s="474"/>
      <c r="AO88" s="474"/>
      <c r="AP88" s="474"/>
      <c r="AQ88" s="474"/>
      <c r="AR88" s="474"/>
      <c r="AS88" s="474"/>
    </row>
    <row r="89" spans="1:45">
      <c r="A89"/>
      <c r="B89"/>
      <c r="C89"/>
      <c r="D89"/>
      <c r="E89"/>
      <c r="F89"/>
      <c r="G89"/>
      <c r="H89" s="477"/>
      <c r="I89" s="1860"/>
      <c r="J89" s="1860"/>
      <c r="K89" s="1860"/>
      <c r="L89" s="1860"/>
      <c r="M89" s="1868"/>
      <c r="N89" s="1868"/>
      <c r="O89" s="1868"/>
      <c r="P89" s="1868"/>
      <c r="Q89" s="1868"/>
      <c r="R89" s="1868"/>
      <c r="S89" s="1868"/>
      <c r="T89" s="1868"/>
      <c r="U89" s="1868"/>
      <c r="V89" s="1868"/>
      <c r="W89" s="1868"/>
      <c r="X89" s="1868"/>
      <c r="Y89" s="1868"/>
      <c r="Z89" s="1861"/>
      <c r="AA89" s="1861"/>
      <c r="AB89" s="1861"/>
      <c r="AC89" s="1861"/>
      <c r="AD89" s="474"/>
      <c r="AE89" s="474"/>
      <c r="AF89" s="474"/>
      <c r="AG89" s="474"/>
      <c r="AH89" s="474"/>
      <c r="AI89" s="474"/>
      <c r="AJ89" s="474"/>
      <c r="AK89" s="474"/>
      <c r="AL89" s="474"/>
      <c r="AM89" s="474"/>
      <c r="AN89" s="474"/>
      <c r="AO89" s="474"/>
      <c r="AP89" s="474"/>
      <c r="AQ89" s="474"/>
      <c r="AR89" s="474"/>
      <c r="AS89" s="474"/>
    </row>
    <row r="90" spans="1:45">
      <c r="A90"/>
      <c r="B90"/>
      <c r="C90"/>
      <c r="D90"/>
      <c r="E90"/>
      <c r="F90"/>
      <c r="G90"/>
      <c r="H90" s="477"/>
      <c r="I90" s="1866" t="s">
        <v>514</v>
      </c>
      <c r="J90" s="1860"/>
      <c r="K90" s="1860"/>
      <c r="L90" s="1860"/>
      <c r="M90" s="1861"/>
      <c r="N90" s="1861"/>
      <c r="O90" s="1861"/>
      <c r="P90" s="1861"/>
      <c r="Q90" s="1861"/>
      <c r="R90" s="1861"/>
      <c r="S90" s="1861"/>
      <c r="T90" s="1861">
        <f>Model!U411/Model!U10</f>
        <v>5483.1436104218401</v>
      </c>
      <c r="U90" s="1861">
        <f>Model!V411/Model!V10</f>
        <v>7382.4562703393694</v>
      </c>
      <c r="V90" s="1861">
        <f>Model!W411/Model!W10</f>
        <v>9590.0887335575462</v>
      </c>
      <c r="W90" s="1861">
        <f>Model!X411/Model!X10</f>
        <v>12327.748556673318</v>
      </c>
      <c r="X90" s="1861">
        <f>Model!Y411/Model!Y10</f>
        <v>15409.090317466869</v>
      </c>
      <c r="Y90" s="1861">
        <f>Model!Z411/Model!Z10</f>
        <v>18173.641925999887</v>
      </c>
      <c r="Z90" s="1861">
        <f>Model!AA411/Model!AA10</f>
        <v>20190.600206126499</v>
      </c>
      <c r="AA90" s="1861">
        <f>Model!AB411/Model!AB10</f>
        <v>22409.670890480065</v>
      </c>
      <c r="AB90" s="1861">
        <f>Model!AC411/Model!AC10</f>
        <v>24668.801237944503</v>
      </c>
      <c r="AC90" s="1861">
        <f>Model!AD411/Model!AD10</f>
        <v>27330.257194738071</v>
      </c>
      <c r="AD90" s="474"/>
      <c r="AE90" s="474"/>
      <c r="AF90" s="474"/>
      <c r="AG90" s="474"/>
      <c r="AH90" s="474"/>
      <c r="AI90" s="474"/>
      <c r="AJ90" s="474"/>
      <c r="AK90" s="474"/>
      <c r="AL90" s="474"/>
      <c r="AM90" s="474"/>
      <c r="AN90" s="474"/>
      <c r="AO90" s="474"/>
      <c r="AP90" s="474"/>
      <c r="AQ90" s="474"/>
      <c r="AR90" s="474"/>
      <c r="AS90" s="474"/>
    </row>
    <row r="91" spans="1:45">
      <c r="A91"/>
      <c r="B91"/>
      <c r="C91"/>
      <c r="D91"/>
      <c r="E91"/>
      <c r="F91"/>
      <c r="G91"/>
      <c r="H91" s="477"/>
      <c r="I91" s="1859" t="s">
        <v>517</v>
      </c>
      <c r="J91" s="1860"/>
      <c r="K91" s="1860"/>
      <c r="L91" s="1860"/>
      <c r="M91" s="546"/>
      <c r="N91" s="546"/>
      <c r="O91" s="546"/>
      <c r="P91" s="546"/>
      <c r="Q91" s="546"/>
      <c r="R91" s="546"/>
      <c r="S91" s="546"/>
      <c r="T91" s="546"/>
      <c r="U91" s="546">
        <f t="shared" ref="U91:AA91" si="21">(W90/T90)^(1/3)-1</f>
        <v>0.31004048051288025</v>
      </c>
      <c r="V91" s="546">
        <f t="shared" si="21"/>
        <v>0.27798387027844274</v>
      </c>
      <c r="W91" s="546">
        <f t="shared" si="21"/>
        <v>0.23748453571299266</v>
      </c>
      <c r="X91" s="546">
        <f t="shared" si="21"/>
        <v>0.17875031165546562</v>
      </c>
      <c r="Y91" s="546">
        <f t="shared" si="21"/>
        <v>0.13297282347287509</v>
      </c>
      <c r="Z91" s="546">
        <f t="shared" si="21"/>
        <v>0.10722366528169203</v>
      </c>
      <c r="AA91" s="546">
        <f t="shared" si="21"/>
        <v>0.1061945040792236</v>
      </c>
      <c r="AB91" s="546"/>
      <c r="AC91" s="546"/>
      <c r="AD91" s="474"/>
      <c r="AE91" s="474"/>
      <c r="AF91" s="474"/>
      <c r="AG91" s="474"/>
      <c r="AH91" s="474"/>
      <c r="AI91" s="474"/>
      <c r="AJ91" s="474"/>
      <c r="AK91" s="474"/>
      <c r="AL91" s="474"/>
      <c r="AM91" s="474"/>
      <c r="AN91" s="474"/>
      <c r="AO91" s="474"/>
      <c r="AP91" s="474"/>
      <c r="AQ91" s="474"/>
      <c r="AR91" s="474"/>
      <c r="AS91" s="474"/>
    </row>
    <row r="92" spans="1:45">
      <c r="A92"/>
      <c r="B92"/>
      <c r="C92"/>
      <c r="D92"/>
      <c r="E92"/>
      <c r="F92"/>
      <c r="G92"/>
      <c r="H92" s="477"/>
      <c r="I92" s="1856" t="s">
        <v>515</v>
      </c>
      <c r="J92" s="1856"/>
      <c r="K92" s="1856"/>
      <c r="L92" s="1856"/>
      <c r="M92" s="1857"/>
      <c r="N92" s="1857"/>
      <c r="O92" s="1857"/>
      <c r="P92" s="1857"/>
      <c r="Q92" s="1857"/>
      <c r="R92" s="1857"/>
      <c r="S92" s="1857"/>
      <c r="T92" s="1857"/>
      <c r="U92" s="1857">
        <f t="shared" ref="U92:AC92" ca="1" si="22">IF(ISERROR($V$63/U90), "--", $V$63/U90)</f>
        <v>3.5659646708159114</v>
      </c>
      <c r="V92" s="1857">
        <f t="shared" ca="1" si="22"/>
        <v>2.7450818209591099</v>
      </c>
      <c r="W92" s="1857">
        <f t="shared" ca="1" si="22"/>
        <v>2.1354733285521874</v>
      </c>
      <c r="X92" s="1857">
        <f t="shared" ca="1" si="22"/>
        <v>1.7084446713919519</v>
      </c>
      <c r="Y92" s="1857">
        <f t="shared" ca="1" si="22"/>
        <v>1.4485582114507958</v>
      </c>
      <c r="Z92" s="1857">
        <f t="shared" ca="1" si="22"/>
        <v>1.3038531779696938</v>
      </c>
      <c r="AA92" s="1857">
        <f t="shared" ca="1" si="22"/>
        <v>1.1747418501829519</v>
      </c>
      <c r="AB92" s="1857">
        <f t="shared" ca="1" si="22"/>
        <v>1.0671608235012533</v>
      </c>
      <c r="AC92" s="1857">
        <f t="shared" ca="1" si="22"/>
        <v>0.96323931590889267</v>
      </c>
      <c r="AD92" s="474"/>
      <c r="AE92" s="474"/>
      <c r="AF92" s="474"/>
      <c r="AG92" s="474"/>
      <c r="AH92" s="474"/>
      <c r="AI92" s="474"/>
      <c r="AJ92" s="474"/>
      <c r="AK92" s="474"/>
      <c r="AL92" s="474"/>
      <c r="AM92" s="474"/>
      <c r="AN92" s="474"/>
      <c r="AO92" s="474"/>
      <c r="AP92" s="474"/>
      <c r="AQ92" s="474"/>
      <c r="AR92" s="474"/>
      <c r="AS92" s="474"/>
    </row>
    <row r="93" spans="1:45">
      <c r="A93"/>
      <c r="B93"/>
      <c r="C93"/>
      <c r="D93"/>
      <c r="E93"/>
      <c r="F93"/>
      <c r="G93"/>
      <c r="H93" s="477"/>
      <c r="I93" s="1856" t="s">
        <v>516</v>
      </c>
      <c r="J93" s="1856"/>
      <c r="K93" s="1856"/>
      <c r="L93" s="1856"/>
      <c r="M93" s="1857"/>
      <c r="N93" s="1857"/>
      <c r="O93" s="1857"/>
      <c r="P93" s="1857"/>
      <c r="Q93" s="1857"/>
      <c r="R93" s="1857"/>
      <c r="S93" s="1857"/>
      <c r="T93" s="1857"/>
      <c r="U93" s="1857">
        <f t="shared" ref="U93:AC93" si="23">IF(ISERROR($V$59/U90), "--", $V$59/U90)</f>
        <v>8.1241412077125528</v>
      </c>
      <c r="V93" s="1857">
        <f t="shared" si="23"/>
        <v>6.2539689533979121</v>
      </c>
      <c r="W93" s="1857">
        <f t="shared" si="23"/>
        <v>4.8651314491268911</v>
      </c>
      <c r="X93" s="1857">
        <f t="shared" si="23"/>
        <v>3.8922555429514536</v>
      </c>
      <c r="Y93" s="1857">
        <f t="shared" si="23"/>
        <v>3.3001705131097543</v>
      </c>
      <c r="Z93" s="1857">
        <f t="shared" si="23"/>
        <v>2.9704969930414076</v>
      </c>
      <c r="AA93" s="1857">
        <f t="shared" si="23"/>
        <v>2.6763497551174957</v>
      </c>
      <c r="AB93" s="1857">
        <f t="shared" si="23"/>
        <v>2.4312538181931305</v>
      </c>
      <c r="AC93" s="1857">
        <f t="shared" si="23"/>
        <v>2.1944951623633924</v>
      </c>
      <c r="AD93" s="474"/>
      <c r="AE93" s="474"/>
      <c r="AF93" s="474"/>
      <c r="AG93" s="474"/>
      <c r="AH93" s="474"/>
      <c r="AI93" s="474"/>
      <c r="AJ93" s="474"/>
      <c r="AK93" s="474"/>
      <c r="AL93" s="474"/>
      <c r="AM93" s="474"/>
      <c r="AN93" s="474"/>
      <c r="AO93" s="474"/>
      <c r="AP93" s="474"/>
      <c r="AQ93" s="474"/>
      <c r="AR93" s="474"/>
      <c r="AS93" s="474"/>
    </row>
    <row r="94" spans="1:45">
      <c r="A94"/>
      <c r="B94"/>
      <c r="C94"/>
      <c r="D94"/>
      <c r="E94"/>
      <c r="F94"/>
      <c r="G94"/>
      <c r="H94" s="477"/>
      <c r="I94" s="1860"/>
      <c r="J94" s="1860"/>
      <c r="K94" s="1860"/>
      <c r="L94" s="1860"/>
      <c r="M94" s="1868"/>
      <c r="N94" s="1868"/>
      <c r="O94" s="1868"/>
      <c r="P94" s="1868"/>
      <c r="Q94" s="1868"/>
      <c r="R94" s="1868"/>
      <c r="S94" s="1868"/>
      <c r="T94" s="1868"/>
      <c r="U94" s="1868"/>
      <c r="V94" s="1868"/>
      <c r="W94" s="1868"/>
      <c r="X94" s="1868"/>
      <c r="Y94" s="1868"/>
      <c r="Z94" s="1861"/>
      <c r="AA94" s="1861"/>
      <c r="AB94" s="1861"/>
      <c r="AC94" s="1861"/>
      <c r="AD94" s="474"/>
      <c r="AE94" s="474"/>
      <c r="AF94" s="474"/>
      <c r="AG94" s="474"/>
      <c r="AH94" s="474"/>
      <c r="AI94" s="474"/>
      <c r="AJ94" s="474"/>
      <c r="AK94" s="474"/>
      <c r="AL94" s="474"/>
      <c r="AM94" s="474"/>
      <c r="AN94" s="474"/>
      <c r="AO94" s="474"/>
      <c r="AP94" s="474"/>
      <c r="AQ94" s="474"/>
      <c r="AR94" s="474"/>
      <c r="AS94" s="474"/>
    </row>
    <row r="95" spans="1:45">
      <c r="A95"/>
      <c r="B95"/>
      <c r="C95"/>
      <c r="D95"/>
      <c r="E95"/>
      <c r="F95"/>
      <c r="G95"/>
      <c r="H95" s="477"/>
      <c r="I95" s="1866" t="s">
        <v>416</v>
      </c>
      <c r="J95" s="1860"/>
      <c r="K95" s="1860"/>
      <c r="L95" s="1860"/>
      <c r="M95" s="775"/>
      <c r="N95" s="775"/>
      <c r="O95" s="775"/>
      <c r="P95" s="775"/>
      <c r="Q95" s="775"/>
      <c r="R95" s="775"/>
      <c r="S95" s="775"/>
      <c r="T95" s="775"/>
      <c r="U95" s="775">
        <f>Model!V456/Model!V10</f>
        <v>770.10155160389809</v>
      </c>
      <c r="V95" s="775">
        <f ca="1">Model!W456/Model!W10</f>
        <v>1167.5564837114121</v>
      </c>
      <c r="W95" s="775">
        <f ca="1">Model!X456/Model!X10</f>
        <v>2182.6597720398859</v>
      </c>
      <c r="X95" s="775">
        <f ca="1">Model!Y456/Model!Y10</f>
        <v>3330.1595964538578</v>
      </c>
      <c r="Y95" s="775">
        <f ca="1">Model!Z456/Model!Z10</f>
        <v>4599.8915566426376</v>
      </c>
      <c r="Z95" s="775">
        <f ca="1">Model!AA456/Model!AA10</f>
        <v>5820.4215415280423</v>
      </c>
      <c r="AA95" s="775">
        <f ca="1">Model!AB456/Model!AB10</f>
        <v>7272.9594085326717</v>
      </c>
      <c r="AB95" s="775">
        <f ca="1">Model!AC456/Model!AC10</f>
        <v>8866.6311767947573</v>
      </c>
      <c r="AC95" s="775">
        <f ca="1">Model!AD456/Model!AD10</f>
        <v>10220.976854997298</v>
      </c>
      <c r="AD95" s="474"/>
      <c r="AE95" s="474"/>
      <c r="AF95" s="474"/>
      <c r="AG95" s="474"/>
      <c r="AH95" s="474"/>
      <c r="AI95" s="474"/>
      <c r="AJ95" s="474"/>
      <c r="AK95" s="474"/>
      <c r="AL95" s="474"/>
      <c r="AM95" s="474"/>
      <c r="AN95" s="474"/>
      <c r="AO95" s="474"/>
      <c r="AP95" s="474"/>
      <c r="AQ95" s="474"/>
      <c r="AR95" s="474"/>
      <c r="AS95" s="474"/>
    </row>
    <row r="96" spans="1:45">
      <c r="A96"/>
      <c r="B96"/>
      <c r="C96"/>
      <c r="D96"/>
      <c r="E96"/>
      <c r="F96"/>
      <c r="G96"/>
      <c r="H96" s="477"/>
      <c r="I96" s="1856" t="s">
        <v>418</v>
      </c>
      <c r="J96" s="1856"/>
      <c r="K96" s="1856"/>
      <c r="L96" s="1856"/>
      <c r="M96" s="1857"/>
      <c r="N96" s="1857"/>
      <c r="O96" s="1857"/>
      <c r="P96" s="1857"/>
      <c r="Q96" s="1857"/>
      <c r="R96" s="1857"/>
      <c r="S96" s="1857"/>
      <c r="T96" s="1857"/>
      <c r="U96" s="1857">
        <f t="shared" ref="U96:AC96" ca="1" si="24">$V$63/U95</f>
        <v>34.184554217615911</v>
      </c>
      <c r="V96" s="1857">
        <f t="shared" ca="1" si="24"/>
        <v>22.547584302037546</v>
      </c>
      <c r="W96" s="1857">
        <f t="shared" ca="1" si="24"/>
        <v>12.061237661090003</v>
      </c>
      <c r="X96" s="1857">
        <f t="shared" ca="1" si="24"/>
        <v>7.9052001807680794</v>
      </c>
      <c r="Y96" s="1857">
        <f t="shared" ca="1" si="24"/>
        <v>5.7230867118719786</v>
      </c>
      <c r="Z96" s="1857">
        <f t="shared" ca="1" si="24"/>
        <v>4.5229676331935069</v>
      </c>
      <c r="AA96" s="1857">
        <f t="shared" ca="1" si="24"/>
        <v>3.619651474059967</v>
      </c>
      <c r="AB96" s="1857">
        <f t="shared" ca="1" si="24"/>
        <v>2.969062061899157</v>
      </c>
      <c r="AC96" s="1857">
        <f t="shared" ca="1" si="24"/>
        <v>2.5756420954032726</v>
      </c>
      <c r="AD96" s="474"/>
      <c r="AE96" s="474"/>
      <c r="AF96" s="474"/>
      <c r="AG96" s="474"/>
      <c r="AH96" s="474"/>
      <c r="AI96" s="474"/>
      <c r="AJ96" s="474"/>
      <c r="AK96" s="474"/>
      <c r="AL96" s="474"/>
      <c r="AM96" s="474"/>
      <c r="AN96" s="474"/>
      <c r="AO96" s="474"/>
      <c r="AP96" s="474"/>
      <c r="AQ96" s="474"/>
      <c r="AR96" s="474"/>
      <c r="AS96" s="474"/>
    </row>
    <row r="97" spans="1:45">
      <c r="A97"/>
      <c r="B97"/>
      <c r="C97"/>
      <c r="D97"/>
      <c r="E97"/>
      <c r="F97"/>
      <c r="G97"/>
      <c r="H97" s="477"/>
      <c r="I97" s="1860"/>
      <c r="J97" s="1860"/>
      <c r="K97" s="1860"/>
      <c r="L97" s="1860"/>
      <c r="M97" s="775"/>
      <c r="N97" s="775"/>
      <c r="O97" s="775"/>
      <c r="P97" s="775"/>
      <c r="Q97" s="775"/>
      <c r="R97" s="775"/>
      <c r="S97" s="775"/>
      <c r="T97" s="775"/>
      <c r="U97" s="775"/>
      <c r="V97" s="775"/>
      <c r="W97" s="775"/>
      <c r="X97" s="775"/>
      <c r="Y97" s="775"/>
      <c r="Z97" s="775"/>
      <c r="AA97" s="775"/>
      <c r="AB97" s="775"/>
      <c r="AC97" s="775"/>
      <c r="AD97" s="474"/>
      <c r="AE97" s="474"/>
      <c r="AF97" s="474"/>
      <c r="AG97" s="474"/>
      <c r="AH97" s="474"/>
      <c r="AI97" s="474"/>
      <c r="AJ97" s="474"/>
      <c r="AK97" s="474"/>
      <c r="AL97" s="474"/>
      <c r="AM97" s="474"/>
      <c r="AN97" s="474"/>
      <c r="AO97" s="474"/>
      <c r="AP97" s="474"/>
      <c r="AQ97" s="474"/>
      <c r="AR97" s="474"/>
      <c r="AS97" s="474"/>
    </row>
    <row r="98" spans="1:45">
      <c r="A98"/>
      <c r="B98"/>
      <c r="C98"/>
      <c r="D98"/>
      <c r="E98"/>
      <c r="F98"/>
      <c r="G98"/>
      <c r="H98" s="477"/>
      <c r="I98" s="1860" t="s">
        <v>158</v>
      </c>
      <c r="J98" s="1860"/>
      <c r="K98" s="1860"/>
      <c r="L98" s="1860"/>
      <c r="M98" s="775"/>
      <c r="N98" s="775"/>
      <c r="O98" s="775"/>
      <c r="P98" s="775"/>
      <c r="Q98" s="775"/>
      <c r="R98" s="775"/>
      <c r="S98" s="775"/>
      <c r="T98" s="775"/>
      <c r="U98" s="775">
        <f ca="1">Model!V641/Model!V10</f>
        <v>1852.9038819153807</v>
      </c>
      <c r="V98" s="775">
        <f ca="1">Model!W641/Model!W10</f>
        <v>970.97457850200738</v>
      </c>
      <c r="W98" s="775">
        <f ca="1">Model!X641/Model!X10</f>
        <v>2596.2844536353073</v>
      </c>
      <c r="X98" s="775">
        <f ca="1">Model!Y641/Model!Y10</f>
        <v>3417.9903017103229</v>
      </c>
      <c r="Y98" s="775">
        <f ca="1">Model!Z641/Model!Z10</f>
        <v>4982.0704180900584</v>
      </c>
      <c r="Z98" s="775">
        <f ca="1">Model!AA641/Model!AA10</f>
        <v>5017.1703326981096</v>
      </c>
      <c r="AA98" s="775">
        <f ca="1">Model!AB641/Model!AB10</f>
        <v>6406.9681231078184</v>
      </c>
      <c r="AB98" s="775">
        <f ca="1">Model!AC641/Model!AC10</f>
        <v>7930.785986620619</v>
      </c>
      <c r="AC98" s="775">
        <f ca="1">Model!AD641/Model!AD10</f>
        <v>9528.1723368794901</v>
      </c>
      <c r="AD98" s="474"/>
      <c r="AE98" s="474"/>
      <c r="AF98" s="474"/>
      <c r="AG98" s="474"/>
      <c r="AH98" s="474"/>
      <c r="AI98" s="474"/>
      <c r="AJ98" s="474"/>
      <c r="AK98" s="474"/>
      <c r="AL98" s="474"/>
      <c r="AM98" s="474"/>
      <c r="AN98" s="474"/>
      <c r="AO98" s="474"/>
      <c r="AP98" s="474"/>
      <c r="AQ98" s="474"/>
      <c r="AR98" s="474"/>
      <c r="AS98" s="474"/>
    </row>
    <row r="99" spans="1:45">
      <c r="A99"/>
      <c r="B99"/>
      <c r="C99"/>
      <c r="D99"/>
      <c r="E99"/>
      <c r="F99"/>
      <c r="G99"/>
      <c r="H99" s="477"/>
      <c r="I99" s="1856" t="s">
        <v>138</v>
      </c>
      <c r="J99" s="1856"/>
      <c r="K99" s="1856"/>
      <c r="L99" s="1856"/>
      <c r="M99" s="1869"/>
      <c r="N99" s="1857"/>
      <c r="O99" s="1857"/>
      <c r="P99" s="1857"/>
      <c r="Q99" s="1857"/>
      <c r="R99" s="1857"/>
      <c r="S99" s="1857"/>
      <c r="T99" s="1857"/>
      <c r="U99" s="1857">
        <f t="shared" ref="U99:AC99" ca="1" si="25">$V$63/U98</f>
        <v>14.207740887595508</v>
      </c>
      <c r="V99" s="1857">
        <f t="shared" ca="1" si="25"/>
        <v>27.112530880559163</v>
      </c>
      <c r="W99" s="1857">
        <f t="shared" ca="1" si="25"/>
        <v>10.139712621632279</v>
      </c>
      <c r="X99" s="1857">
        <f t="shared" ca="1" si="25"/>
        <v>7.7020634700749664</v>
      </c>
      <c r="Y99" s="1857">
        <f t="shared" ca="1" si="25"/>
        <v>5.2840638599335259</v>
      </c>
      <c r="Z99" s="1857">
        <f t="shared" ca="1" si="25"/>
        <v>5.2470967693290076</v>
      </c>
      <c r="AA99" s="1857">
        <f t="shared" ca="1" si="25"/>
        <v>4.1088979589153762</v>
      </c>
      <c r="AB99" s="1857">
        <f t="shared" ca="1" si="25"/>
        <v>3.3194160437925477</v>
      </c>
      <c r="AC99" s="1857">
        <f t="shared" ca="1" si="25"/>
        <v>2.7629200347246563</v>
      </c>
      <c r="AD99" s="474"/>
      <c r="AE99" s="474"/>
      <c r="AF99" s="474"/>
      <c r="AG99" s="474"/>
      <c r="AH99" s="474"/>
      <c r="AI99" s="474"/>
      <c r="AJ99" s="474"/>
      <c r="AK99" s="474"/>
      <c r="AL99" s="474"/>
      <c r="AM99" s="474"/>
      <c r="AN99" s="474"/>
      <c r="AO99" s="474"/>
      <c r="AP99" s="474"/>
      <c r="AQ99" s="474"/>
      <c r="AR99" s="474"/>
      <c r="AS99" s="474"/>
    </row>
    <row r="100" spans="1:45">
      <c r="A100"/>
      <c r="B100"/>
      <c r="C100"/>
      <c r="D100"/>
      <c r="E100"/>
      <c r="F100"/>
      <c r="G100"/>
      <c r="H100" s="477"/>
      <c r="I100" s="1856" t="s">
        <v>419</v>
      </c>
      <c r="J100" s="1856"/>
      <c r="K100" s="1856"/>
      <c r="L100" s="1856"/>
      <c r="M100" s="1870"/>
      <c r="N100" s="1870"/>
      <c r="O100" s="1870"/>
      <c r="P100" s="1870"/>
      <c r="Q100" s="1870"/>
      <c r="R100" s="1870"/>
      <c r="S100" s="1870"/>
      <c r="T100" s="1870"/>
      <c r="U100" s="1870">
        <f t="shared" ref="U100:AC100" ca="1" si="26">U98/$V$63</f>
        <v>7.0384166484418351E-2</v>
      </c>
      <c r="V100" s="1871">
        <f t="shared" ca="1" si="26"/>
        <v>3.6883314376122758E-2</v>
      </c>
      <c r="W100" s="1871">
        <f t="shared" ca="1" si="26"/>
        <v>9.8622124444294273E-2</v>
      </c>
      <c r="X100" s="1871">
        <f t="shared" ca="1" si="26"/>
        <v>0.12983533619079182</v>
      </c>
      <c r="Y100" s="1871">
        <f t="shared" ca="1" si="26"/>
        <v>0.18924828058618126</v>
      </c>
      <c r="Z100" s="1871">
        <f t="shared" ca="1" si="26"/>
        <v>0.19058158138903142</v>
      </c>
      <c r="AA100" s="1871">
        <f t="shared" ca="1" si="26"/>
        <v>0.24337425995946846</v>
      </c>
      <c r="AB100" s="1871">
        <f t="shared" ca="1" si="26"/>
        <v>0.301257807640607</v>
      </c>
      <c r="AC100" s="1871">
        <f t="shared" ca="1" si="26"/>
        <v>0.36193591831536909</v>
      </c>
      <c r="AD100" s="1279"/>
      <c r="AE100" s="474"/>
      <c r="AF100" s="474"/>
      <c r="AG100" s="474"/>
      <c r="AH100" s="474"/>
      <c r="AI100" s="474"/>
      <c r="AJ100" s="474"/>
      <c r="AK100" s="474"/>
      <c r="AL100" s="474"/>
      <c r="AM100" s="474"/>
      <c r="AN100" s="474"/>
      <c r="AO100" s="474"/>
      <c r="AP100" s="474"/>
      <c r="AQ100" s="474"/>
      <c r="AR100" s="474"/>
      <c r="AS100" s="474"/>
    </row>
    <row r="101" spans="1:45">
      <c r="A101"/>
      <c r="B101"/>
      <c r="C101"/>
      <c r="D101"/>
      <c r="E101"/>
      <c r="F101"/>
      <c r="G101"/>
      <c r="H101" s="477"/>
      <c r="I101" s="1860"/>
      <c r="J101" s="1860"/>
      <c r="K101" s="1860"/>
      <c r="L101" s="1860"/>
      <c r="M101" s="775"/>
      <c r="N101" s="775"/>
      <c r="O101" s="775"/>
      <c r="P101" s="775"/>
      <c r="Q101" s="775"/>
      <c r="R101" s="775"/>
      <c r="S101" s="775"/>
      <c r="T101" s="775"/>
      <c r="U101" s="775"/>
      <c r="V101" s="775"/>
      <c r="W101" s="775"/>
      <c r="X101" s="775"/>
      <c r="Y101" s="775"/>
      <c r="Z101" s="775"/>
      <c r="AA101" s="775"/>
      <c r="AB101" s="775"/>
      <c r="AC101" s="775"/>
      <c r="AD101" s="474"/>
      <c r="AE101" s="474"/>
      <c r="AF101" s="474"/>
      <c r="AG101" s="474"/>
      <c r="AH101" s="474"/>
      <c r="AI101" s="474"/>
      <c r="AJ101" s="474"/>
      <c r="AK101" s="474"/>
      <c r="AL101" s="474"/>
      <c r="AM101" s="474"/>
      <c r="AN101" s="474"/>
      <c r="AO101" s="474"/>
      <c r="AP101" s="474"/>
      <c r="AQ101" s="474"/>
      <c r="AR101" s="474"/>
      <c r="AS101" s="474"/>
    </row>
    <row r="102" spans="1:45">
      <c r="A102"/>
      <c r="B102"/>
      <c r="C102"/>
      <c r="D102"/>
      <c r="E102"/>
      <c r="F102"/>
      <c r="G102"/>
      <c r="H102" s="477"/>
      <c r="I102" s="1860" t="s">
        <v>159</v>
      </c>
      <c r="J102" s="1860"/>
      <c r="K102" s="1860"/>
      <c r="L102" s="1860"/>
      <c r="M102" s="775"/>
      <c r="N102" s="775"/>
      <c r="O102" s="775"/>
      <c r="P102" s="775"/>
      <c r="Q102" s="775"/>
      <c r="R102" s="775"/>
      <c r="S102" s="775"/>
      <c r="T102" s="775"/>
      <c r="U102" s="775">
        <f>Model!V556/Model!V10</f>
        <v>7611.0970188284518</v>
      </c>
      <c r="V102" s="775">
        <f>Model!W556/Model!W10</f>
        <v>8890.1797956099272</v>
      </c>
      <c r="W102" s="775">
        <f ca="1">Model!X556/Model!X10</f>
        <v>10499.182704716708</v>
      </c>
      <c r="X102" s="775">
        <f ca="1">Model!Y556/Model!Y10</f>
        <v>13636.257103374954</v>
      </c>
      <c r="Y102" s="775">
        <f ca="1">Model!Z556/Model!Z10</f>
        <v>18027.818640423062</v>
      </c>
      <c r="Z102" s="775">
        <f ca="1">Model!AA556/Model!AA10</f>
        <v>23657.946721496191</v>
      </c>
      <c r="AA102" s="775">
        <f ca="1">Model!AB556/Model!AB10</f>
        <v>30727.607154511021</v>
      </c>
      <c r="AB102" s="775">
        <f ca="1">Model!AC556/Model!AC10</f>
        <v>39417.322316794874</v>
      </c>
      <c r="AC102" s="775">
        <f ca="1">Model!AD556/Model!AD10</f>
        <v>49608.066258551058</v>
      </c>
      <c r="AD102" s="474"/>
      <c r="AE102" s="474"/>
      <c r="AF102" s="474"/>
      <c r="AG102" s="474"/>
      <c r="AH102" s="474"/>
      <c r="AI102" s="474"/>
      <c r="AJ102" s="474"/>
      <c r="AK102" s="474"/>
      <c r="AL102" s="474"/>
      <c r="AM102" s="474"/>
      <c r="AN102" s="474"/>
      <c r="AO102" s="474"/>
      <c r="AP102" s="474"/>
      <c r="AQ102" s="474"/>
      <c r="AR102" s="474"/>
      <c r="AS102" s="474"/>
    </row>
    <row r="103" spans="1:45">
      <c r="A103"/>
      <c r="B103"/>
      <c r="C103"/>
      <c r="D103"/>
      <c r="E103"/>
      <c r="F103"/>
      <c r="G103"/>
      <c r="H103" s="477"/>
      <c r="I103" s="1856" t="s">
        <v>139</v>
      </c>
      <c r="J103" s="1856"/>
      <c r="K103" s="1856"/>
      <c r="L103" s="1856"/>
      <c r="M103" s="1857"/>
      <c r="N103" s="1857"/>
      <c r="O103" s="1857"/>
      <c r="P103" s="1857"/>
      <c r="Q103" s="1857"/>
      <c r="R103" s="1857"/>
      <c r="S103" s="1857"/>
      <c r="T103" s="1857"/>
      <c r="U103" s="1857">
        <f t="shared" ref="U103:AC103" si="27">IF(ISERROR($V$59/U102), "--", $V$59/U102)</f>
        <v>7.880088383005778</v>
      </c>
      <c r="V103" s="1857">
        <f t="shared" si="27"/>
        <v>6.7463334351929403</v>
      </c>
      <c r="W103" s="1857">
        <f t="shared" ca="1" si="27"/>
        <v>5.7124558060177399</v>
      </c>
      <c r="X103" s="1857">
        <f t="shared" ca="1" si="27"/>
        <v>4.3982829558967458</v>
      </c>
      <c r="Y103" s="1857">
        <f t="shared" ca="1" si="27"/>
        <v>3.3268649078551262</v>
      </c>
      <c r="Z103" s="1857">
        <f t="shared" ca="1" si="27"/>
        <v>2.5351362020569699</v>
      </c>
      <c r="AA103" s="1857">
        <f t="shared" ca="1" si="27"/>
        <v>1.9518642274491294</v>
      </c>
      <c r="AB103" s="1857">
        <f t="shared" ca="1" si="27"/>
        <v>1.5215675158747517</v>
      </c>
      <c r="AC103" s="1857">
        <f t="shared" ca="1" si="27"/>
        <v>1.208999296352572</v>
      </c>
      <c r="AD103" s="474"/>
      <c r="AE103" s="474"/>
      <c r="AF103" s="474"/>
      <c r="AG103" s="474"/>
      <c r="AH103" s="474"/>
      <c r="AI103" s="474"/>
      <c r="AJ103" s="474"/>
      <c r="AK103" s="474"/>
      <c r="AL103" s="474"/>
      <c r="AM103" s="474"/>
      <c r="AN103" s="474"/>
      <c r="AO103" s="474"/>
      <c r="AP103" s="474"/>
      <c r="AQ103" s="474"/>
      <c r="AR103" s="474"/>
      <c r="AS103" s="474"/>
    </row>
    <row r="104" spans="1:45">
      <c r="A104"/>
      <c r="B104"/>
      <c r="C104"/>
      <c r="D104"/>
      <c r="E104"/>
      <c r="F104"/>
      <c r="G104"/>
      <c r="H104" s="477"/>
      <c r="I104" s="1860" t="s">
        <v>204</v>
      </c>
      <c r="J104" s="1860"/>
      <c r="K104" s="1860"/>
      <c r="L104" s="1860"/>
      <c r="M104" s="1176"/>
      <c r="N104" s="1176"/>
      <c r="O104" s="1176"/>
      <c r="P104" s="1176"/>
      <c r="Q104" s="1176"/>
      <c r="R104" s="1176"/>
      <c r="S104" s="1176"/>
      <c r="T104" s="1176"/>
      <c r="U104" s="1176">
        <f>IF(ISERROR(Model!V625), "-", Model!V625)</f>
        <v>-1.7591478559636571E-3</v>
      </c>
      <c r="V104" s="1176">
        <f>IF(ISERROR(Model!W625), "-", Model!W625)</f>
        <v>2.0162490351816643E-2</v>
      </c>
      <c r="W104" s="1176">
        <f ca="1">IF(ISERROR(Model!X625), "-", Model!X625)</f>
        <v>5.6232779913056634E-2</v>
      </c>
      <c r="X104" s="1176">
        <f ca="1">IF(ISERROR(Model!Y625), "-", Model!Y625)</f>
        <v>8.2783601627860942E-2</v>
      </c>
      <c r="Y104" s="1176">
        <f ca="1">IF(ISERROR(Model!Z625), "-", Model!Z625)</f>
        <v>0.10112001971871841</v>
      </c>
      <c r="Z104" s="1176">
        <f ca="1">IF(ISERROR(Model!AA625), "-", Model!AA625)</f>
        <v>0.10641620531203584</v>
      </c>
      <c r="AA104" s="1176">
        <f ca="1">IF(ISERROR(Model!AB625), "-", Model!AB625)</f>
        <v>0.10644837647681779</v>
      </c>
      <c r="AB104" s="1176">
        <f ca="1">IF(ISERROR(Model!AC625), "-", Model!AC625)</f>
        <v>0.10482883912793257</v>
      </c>
      <c r="AC104" s="1176">
        <f ca="1">IF(ISERROR(Model!AD625), "-", Model!AD625)</f>
        <v>9.8804150485634235E-2</v>
      </c>
      <c r="AD104" s="474"/>
      <c r="AE104" s="474"/>
      <c r="AF104" s="474"/>
      <c r="AG104" s="474"/>
      <c r="AH104" s="474"/>
      <c r="AI104" s="474"/>
      <c r="AJ104" s="474"/>
      <c r="AK104" s="474"/>
      <c r="AL104" s="474"/>
      <c r="AM104" s="474"/>
      <c r="AN104" s="474"/>
      <c r="AO104" s="474"/>
      <c r="AP104" s="474"/>
      <c r="AQ104" s="474"/>
      <c r="AR104" s="474"/>
      <c r="AS104" s="474"/>
    </row>
    <row r="105" spans="1:45">
      <c r="A105"/>
      <c r="B105"/>
      <c r="C105"/>
      <c r="D105"/>
      <c r="E105"/>
      <c r="F105"/>
      <c r="G105"/>
      <c r="H105" s="477"/>
      <c r="I105" s="1860"/>
      <c r="J105" s="1860"/>
      <c r="K105" s="1860"/>
      <c r="L105" s="1860"/>
      <c r="M105" s="775"/>
      <c r="N105" s="775"/>
      <c r="O105" s="775"/>
      <c r="P105" s="775"/>
      <c r="Q105" s="775"/>
      <c r="R105" s="775"/>
      <c r="S105" s="775"/>
      <c r="T105" s="775"/>
      <c r="U105" s="775"/>
      <c r="V105" s="775"/>
      <c r="W105" s="775"/>
      <c r="X105" s="775"/>
      <c r="Y105" s="775"/>
      <c r="Z105" s="775"/>
      <c r="AA105" s="775"/>
      <c r="AB105" s="775"/>
      <c r="AC105" s="775"/>
      <c r="AD105" s="474"/>
      <c r="AE105" s="474"/>
      <c r="AF105" s="474"/>
      <c r="AG105" s="474"/>
      <c r="AH105" s="474"/>
      <c r="AI105" s="474"/>
      <c r="AJ105" s="474"/>
      <c r="AK105" s="474"/>
      <c r="AL105" s="474"/>
      <c r="AM105" s="474"/>
      <c r="AN105" s="474"/>
      <c r="AO105" s="474"/>
      <c r="AP105" s="474"/>
      <c r="AQ105" s="474"/>
      <c r="AR105" s="474"/>
      <c r="AS105" s="474"/>
    </row>
    <row r="106" spans="1:45">
      <c r="A106"/>
      <c r="B106"/>
      <c r="C106"/>
      <c r="D106"/>
      <c r="E106"/>
      <c r="F106"/>
      <c r="G106"/>
      <c r="H106" s="477"/>
      <c r="I106" s="1860" t="s">
        <v>157</v>
      </c>
      <c r="J106" s="1860"/>
      <c r="K106" s="1860"/>
      <c r="L106" s="1860"/>
      <c r="M106" s="775"/>
      <c r="N106" s="775"/>
      <c r="O106" s="775"/>
      <c r="P106" s="775"/>
      <c r="Q106" s="775"/>
      <c r="R106" s="775"/>
      <c r="S106" s="775"/>
      <c r="T106" s="775"/>
      <c r="U106" s="775">
        <f>(Model!V518-Model!V532)/Model!V10</f>
        <v>9560.1384530450996</v>
      </c>
      <c r="V106" s="775">
        <f ca="1">(Model!W518-Model!W532)/Model!W10</f>
        <v>10418.748893082848</v>
      </c>
      <c r="W106" s="775">
        <f ca="1">(Model!X518-Model!X532)/Model!X10</f>
        <v>12027.75180218963</v>
      </c>
      <c r="X106" s="775">
        <f ca="1">(Model!Y518-Model!Y532)/Model!Y10</f>
        <v>14746.816958970623</v>
      </c>
      <c r="Y106" s="775">
        <f ca="1">(Model!Z518-Model!Z532)/Model!Z10</f>
        <v>19138.378496018733</v>
      </c>
      <c r="Z106" s="775">
        <f ca="1">(Model!AA518-Model!AA532)/Model!AA10</f>
        <v>24768.506577091855</v>
      </c>
      <c r="AA106" s="775">
        <f ca="1">(Model!AB518-Model!AB532)/Model!AB10</f>
        <v>31838.167010106692</v>
      </c>
      <c r="AB106" s="775">
        <f ca="1">(Model!AC518-Model!AC532)/Model!AC10</f>
        <v>40527.882172390542</v>
      </c>
      <c r="AC106" s="775">
        <f ca="1">(Model!AD518-Model!AD532)/Model!AD10</f>
        <v>50718.626114146718</v>
      </c>
      <c r="AD106" s="474"/>
      <c r="AE106" s="474"/>
      <c r="AF106" s="474"/>
      <c r="AG106" s="474"/>
      <c r="AH106" s="474"/>
      <c r="AI106" s="474"/>
      <c r="AJ106" s="474"/>
      <c r="AK106" s="474"/>
      <c r="AL106" s="474"/>
      <c r="AM106" s="474"/>
      <c r="AN106" s="474"/>
      <c r="AO106" s="474"/>
      <c r="AP106" s="474"/>
      <c r="AQ106" s="474"/>
      <c r="AR106" s="474"/>
      <c r="AS106" s="474"/>
    </row>
    <row r="107" spans="1:45">
      <c r="A107"/>
      <c r="B107"/>
      <c r="C107"/>
      <c r="D107"/>
      <c r="E107"/>
      <c r="F107"/>
      <c r="G107"/>
      <c r="H107" s="477"/>
      <c r="I107" s="1863" t="s">
        <v>140</v>
      </c>
      <c r="J107" s="1863"/>
      <c r="K107" s="1863"/>
      <c r="L107" s="1863"/>
      <c r="M107" s="1872"/>
      <c r="N107" s="1872"/>
      <c r="O107" s="1872"/>
      <c r="P107" s="1872"/>
      <c r="Q107" s="1872"/>
      <c r="R107" s="1872"/>
      <c r="S107" s="1872"/>
      <c r="T107" s="1872"/>
      <c r="U107" s="1872">
        <f t="shared" ref="U107:AC107" ca="1" si="28">IF(U106&lt;&gt;0,$V$63/U106, "-")</f>
        <v>2.753681693332418</v>
      </c>
      <c r="V107" s="1872">
        <f t="shared" ca="1" si="28"/>
        <v>2.5267504298286245</v>
      </c>
      <c r="W107" s="1872">
        <f t="shared" ca="1" si="28"/>
        <v>2.188736405342274</v>
      </c>
      <c r="X107" s="1872">
        <f t="shared" ca="1" si="28"/>
        <v>1.7851702043307387</v>
      </c>
      <c r="Y107" s="1872">
        <f t="shared" ca="1" si="28"/>
        <v>1.3755385937920486</v>
      </c>
      <c r="Z107" s="1872">
        <f t="shared" ca="1" si="28"/>
        <v>1.0628649798458925</v>
      </c>
      <c r="AA107" s="1872">
        <f t="shared" ca="1" si="28"/>
        <v>0.8268559630181227</v>
      </c>
      <c r="AB107" s="1872">
        <f t="shared" ca="1" si="28"/>
        <v>0.6495670840113078</v>
      </c>
      <c r="AC107" s="1872">
        <f t="shared" ca="1" si="28"/>
        <v>0.51905148583137029</v>
      </c>
      <c r="AD107" s="474"/>
      <c r="AE107" s="474"/>
      <c r="AF107" s="474"/>
      <c r="AG107" s="474"/>
      <c r="AH107" s="474"/>
      <c r="AI107" s="474"/>
      <c r="AJ107" s="474"/>
      <c r="AK107" s="474"/>
      <c r="AL107" s="474"/>
      <c r="AM107" s="474"/>
      <c r="AN107" s="474"/>
      <c r="AO107" s="474"/>
      <c r="AP107" s="474"/>
      <c r="AQ107" s="474"/>
      <c r="AR107" s="474"/>
      <c r="AS107" s="474"/>
    </row>
    <row r="108" spans="1:45">
      <c r="A108"/>
      <c r="B108"/>
      <c r="C108"/>
      <c r="D108"/>
      <c r="E108"/>
      <c r="F108"/>
      <c r="G108"/>
      <c r="H108" s="477"/>
      <c r="I108" s="1860" t="s">
        <v>197</v>
      </c>
      <c r="J108" s="1860"/>
      <c r="K108" s="1860"/>
      <c r="L108" s="1860"/>
      <c r="M108" s="775"/>
      <c r="N108" s="775"/>
      <c r="O108" s="775"/>
      <c r="P108" s="775"/>
      <c r="Q108" s="775"/>
      <c r="R108" s="775"/>
      <c r="S108" s="775"/>
      <c r="T108" s="775"/>
      <c r="U108" s="775">
        <f>Model!V417/Model!V10</f>
        <v>-121.37900976290805</v>
      </c>
      <c r="V108" s="775">
        <f>Model!W417/Model!W10</f>
        <v>20.238069652578591</v>
      </c>
      <c r="W108" s="775">
        <f>Model!X417/Model!X10</f>
        <v>852.12242415176877</v>
      </c>
      <c r="X108" s="775">
        <f>Model!Y417/Model!Y10</f>
        <v>1822.1406539932134</v>
      </c>
      <c r="Y108" s="775">
        <f>Model!Z417/Model!Z10</f>
        <v>3006.7027475408336</v>
      </c>
      <c r="Z108" s="775">
        <f>Model!AA417/Model!AA10</f>
        <v>4212.8626709377504</v>
      </c>
      <c r="AA108" s="775">
        <f>Model!AB417/Model!AB10</f>
        <v>5562.0921443296702</v>
      </c>
      <c r="AB108" s="775">
        <f>Model!AC417/Model!AC10</f>
        <v>7084.9394390093348</v>
      </c>
      <c r="AC108" s="775">
        <f>Model!AD417/Model!AD10</f>
        <v>8368.6854049984886</v>
      </c>
      <c r="AD108" s="474"/>
      <c r="AE108" s="474"/>
      <c r="AF108" s="474"/>
      <c r="AG108" s="474"/>
      <c r="AH108" s="474"/>
      <c r="AI108" s="474"/>
      <c r="AJ108" s="474"/>
      <c r="AK108" s="474"/>
      <c r="AL108" s="474"/>
      <c r="AM108" s="474"/>
      <c r="AN108" s="474"/>
      <c r="AO108" s="474"/>
      <c r="AP108" s="474"/>
      <c r="AQ108" s="474"/>
      <c r="AR108" s="474"/>
      <c r="AS108" s="474"/>
    </row>
    <row r="109" spans="1:45">
      <c r="A109"/>
      <c r="B109"/>
      <c r="C109"/>
      <c r="D109"/>
      <c r="E109"/>
      <c r="F109"/>
      <c r="G109"/>
      <c r="H109" s="477"/>
      <c r="I109" s="1860" t="s">
        <v>129</v>
      </c>
      <c r="J109" s="1860"/>
      <c r="K109" s="1860"/>
      <c r="L109" s="1860"/>
      <c r="M109" s="1865"/>
      <c r="N109" s="1865"/>
      <c r="O109" s="1865"/>
      <c r="P109" s="1865"/>
      <c r="Q109" s="1865"/>
      <c r="R109" s="1865"/>
      <c r="S109" s="1865"/>
      <c r="T109" s="1865"/>
      <c r="U109" s="1865">
        <f t="shared" ref="U109:AC109" si="29">U108/U106</f>
        <v>-1.2696365262811269E-2</v>
      </c>
      <c r="V109" s="1865">
        <f t="shared" ca="1" si="29"/>
        <v>1.9424663997819284E-3</v>
      </c>
      <c r="W109" s="1865">
        <f t="shared" ca="1" si="29"/>
        <v>7.0846359167192119E-2</v>
      </c>
      <c r="X109" s="1865">
        <f t="shared" ca="1" si="29"/>
        <v>0.12356162411609704</v>
      </c>
      <c r="Y109" s="1865">
        <f t="shared" ca="1" si="29"/>
        <v>0.15710331719932824</v>
      </c>
      <c r="Z109" s="1865">
        <f t="shared" ca="1" si="29"/>
        <v>0.17008949077431196</v>
      </c>
      <c r="AA109" s="1865">
        <f t="shared" ca="1" si="29"/>
        <v>0.17469888082954155</v>
      </c>
      <c r="AB109" s="1865">
        <f t="shared" ca="1" si="29"/>
        <v>0.17481642413172829</v>
      </c>
      <c r="AC109" s="1865">
        <f t="shared" ca="1" si="29"/>
        <v>0.16500221015774416</v>
      </c>
      <c r="AD109" s="474"/>
      <c r="AE109" s="474"/>
      <c r="AF109" s="474"/>
      <c r="AG109" s="474"/>
      <c r="AH109" s="474"/>
      <c r="AI109" s="474"/>
      <c r="AJ109" s="474"/>
      <c r="AK109" s="474"/>
      <c r="AL109" s="474"/>
      <c r="AM109" s="474"/>
      <c r="AN109" s="474"/>
      <c r="AO109" s="474"/>
      <c r="AP109" s="474"/>
      <c r="AQ109" s="474"/>
      <c r="AR109" s="474"/>
      <c r="AS109" s="474"/>
    </row>
    <row r="110" spans="1:45">
      <c r="A110"/>
      <c r="B110"/>
      <c r="C110"/>
      <c r="D110"/>
      <c r="E110"/>
      <c r="F110"/>
      <c r="G110"/>
      <c r="H110" s="477"/>
      <c r="I110" s="1873"/>
      <c r="J110" s="1873"/>
      <c r="K110" s="1873"/>
      <c r="L110" s="1873"/>
      <c r="M110" s="1874"/>
      <c r="N110" s="1874"/>
      <c r="O110" s="1874"/>
      <c r="P110" s="1874"/>
      <c r="Q110" s="1874"/>
      <c r="R110" s="1874"/>
      <c r="S110" s="1874"/>
      <c r="T110" s="1874"/>
      <c r="U110" s="1874"/>
      <c r="V110" s="1874"/>
      <c r="W110" s="1874"/>
      <c r="X110" s="1874"/>
      <c r="Y110" s="1874"/>
      <c r="Z110" s="1874"/>
      <c r="AA110" s="1874"/>
      <c r="AB110" s="1874"/>
      <c r="AC110" s="1874"/>
      <c r="AD110" s="474"/>
      <c r="AE110" s="474"/>
      <c r="AF110" s="474"/>
      <c r="AG110" s="474"/>
      <c r="AH110" s="474"/>
      <c r="AI110" s="474"/>
      <c r="AJ110" s="474"/>
      <c r="AK110" s="474"/>
      <c r="AL110" s="474"/>
      <c r="AM110" s="474"/>
      <c r="AN110" s="474"/>
      <c r="AO110" s="474"/>
      <c r="AP110" s="474"/>
      <c r="AQ110" s="474"/>
      <c r="AR110" s="474"/>
      <c r="AS110" s="474"/>
    </row>
    <row r="111" spans="1:45">
      <c r="A111"/>
      <c r="B111"/>
      <c r="C111"/>
      <c r="D111"/>
      <c r="E111"/>
      <c r="F111"/>
      <c r="G111"/>
      <c r="H111" s="477"/>
      <c r="I111" s="1875"/>
      <c r="J111" s="1875"/>
      <c r="K111" s="1875"/>
      <c r="L111" s="1875"/>
      <c r="M111" s="1876"/>
      <c r="N111" s="1876"/>
      <c r="O111" s="1876"/>
      <c r="P111" s="1876"/>
      <c r="Q111" s="1876"/>
      <c r="R111" s="1876"/>
      <c r="S111" s="1876"/>
      <c r="T111" s="1876"/>
      <c r="U111" s="1876"/>
      <c r="V111" s="1876"/>
      <c r="W111" s="1876"/>
      <c r="X111" s="1876"/>
      <c r="Y111" s="1876"/>
      <c r="Z111" s="1876"/>
      <c r="AA111" s="1876"/>
      <c r="AB111" s="1876"/>
      <c r="AC111" s="1876"/>
      <c r="AD111" s="474"/>
      <c r="AE111" s="474"/>
      <c r="AF111" s="474"/>
      <c r="AG111" s="474"/>
      <c r="AH111" s="474"/>
      <c r="AI111" s="474"/>
      <c r="AJ111" s="474"/>
      <c r="AK111" s="474"/>
      <c r="AL111" s="474"/>
      <c r="AM111" s="474"/>
      <c r="AN111" s="474"/>
      <c r="AO111" s="474"/>
      <c r="AP111" s="474"/>
      <c r="AQ111" s="474"/>
      <c r="AR111" s="474"/>
      <c r="AS111" s="474"/>
    </row>
    <row r="112" spans="1:45">
      <c r="A112"/>
      <c r="B112"/>
      <c r="C112"/>
      <c r="D112"/>
      <c r="E112"/>
      <c r="F112"/>
      <c r="G112"/>
      <c r="H112" s="477"/>
      <c r="I112" s="83"/>
      <c r="J112" s="83"/>
      <c r="K112" s="83"/>
      <c r="L112" s="83"/>
      <c r="M112" s="463"/>
      <c r="N112" s="463"/>
      <c r="O112" s="463"/>
      <c r="P112" s="463"/>
      <c r="Q112" s="463"/>
      <c r="R112" s="463"/>
      <c r="S112" s="463"/>
      <c r="T112" s="463"/>
      <c r="U112" s="463"/>
      <c r="V112" s="463"/>
      <c r="W112" s="463"/>
      <c r="X112" s="463"/>
      <c r="Y112" s="463"/>
      <c r="Z112" s="463"/>
      <c r="AA112" s="463"/>
      <c r="AB112" s="463"/>
      <c r="AC112" s="463"/>
      <c r="AD112" s="474"/>
      <c r="AE112" s="474"/>
      <c r="AF112" s="474"/>
      <c r="AG112" s="474"/>
      <c r="AH112" s="474"/>
      <c r="AI112" s="474"/>
      <c r="AJ112" s="474"/>
      <c r="AK112" s="474"/>
      <c r="AL112" s="474"/>
      <c r="AM112" s="474"/>
      <c r="AN112" s="474"/>
      <c r="AO112" s="474"/>
      <c r="AP112" s="474"/>
      <c r="AQ112" s="474"/>
      <c r="AR112" s="474"/>
      <c r="AS112" s="474"/>
    </row>
    <row r="113" spans="1:45">
      <c r="A113"/>
      <c r="B113"/>
      <c r="C113"/>
      <c r="D113"/>
      <c r="E113"/>
      <c r="F113"/>
      <c r="G113"/>
      <c r="H113" s="477"/>
      <c r="I113" s="83"/>
      <c r="J113" s="83"/>
      <c r="K113" s="83"/>
      <c r="L113" s="83"/>
      <c r="M113" s="463"/>
      <c r="N113" s="463"/>
      <c r="O113" s="463"/>
      <c r="P113" s="463"/>
      <c r="Q113" s="463"/>
      <c r="R113" s="463"/>
      <c r="S113" s="463"/>
      <c r="T113" s="463"/>
      <c r="U113" s="463"/>
      <c r="V113" s="463"/>
      <c r="W113" s="463"/>
      <c r="X113" s="463"/>
      <c r="Y113" s="463"/>
      <c r="Z113" s="463"/>
      <c r="AA113" s="463"/>
      <c r="AB113" s="463"/>
      <c r="AC113" s="463"/>
      <c r="AD113" s="474"/>
      <c r="AE113" s="474"/>
      <c r="AF113" s="474"/>
      <c r="AG113" s="474"/>
      <c r="AH113" s="474"/>
      <c r="AI113" s="474"/>
      <c r="AJ113" s="474"/>
      <c r="AK113" s="474"/>
      <c r="AL113" s="474"/>
      <c r="AM113" s="474"/>
      <c r="AN113" s="474"/>
      <c r="AO113" s="474"/>
      <c r="AP113" s="474"/>
      <c r="AQ113" s="474"/>
      <c r="AR113" s="474"/>
      <c r="AS113" s="474"/>
    </row>
    <row r="114" spans="1:45">
      <c r="A114"/>
      <c r="B114"/>
      <c r="C114"/>
      <c r="D114"/>
      <c r="E114"/>
      <c r="F114"/>
      <c r="G114"/>
      <c r="I114" s="2"/>
      <c r="J114" s="2"/>
      <c r="K114" s="2"/>
      <c r="L114" s="2"/>
      <c r="M114" s="405"/>
      <c r="N114" s="405"/>
      <c r="O114" s="405"/>
      <c r="P114" s="405"/>
      <c r="Q114" s="405"/>
      <c r="R114" s="405"/>
      <c r="S114" s="463"/>
      <c r="T114" s="405"/>
      <c r="U114" s="405"/>
      <c r="V114" s="405"/>
      <c r="W114" s="405"/>
      <c r="X114" s="405"/>
      <c r="Y114" s="405"/>
      <c r="Z114" s="405"/>
      <c r="AA114" s="405"/>
      <c r="AB114" s="405"/>
      <c r="AC114" s="405"/>
      <c r="AD114" s="474"/>
      <c r="AE114" s="474"/>
      <c r="AF114" s="474"/>
      <c r="AG114" s="474"/>
      <c r="AH114" s="474"/>
      <c r="AI114" s="474"/>
      <c r="AJ114" s="474"/>
      <c r="AK114" s="474"/>
      <c r="AL114" s="474"/>
      <c r="AM114" s="474"/>
      <c r="AN114" s="474"/>
      <c r="AO114" s="474"/>
      <c r="AP114" s="474"/>
      <c r="AQ114" s="474"/>
      <c r="AR114" s="474"/>
      <c r="AS114" s="474"/>
    </row>
    <row r="115" spans="1:45">
      <c r="I115" s="654"/>
      <c r="J115" s="654"/>
      <c r="K115" s="654"/>
      <c r="L115" s="475"/>
      <c r="M115" s="475"/>
      <c r="N115" s="475"/>
      <c r="O115" s="475"/>
      <c r="P115" s="475"/>
      <c r="Q115" s="475"/>
      <c r="R115" s="1194"/>
      <c r="S115" s="1195"/>
      <c r="T115" s="1195"/>
      <c r="U115" s="474"/>
      <c r="V115" s="474"/>
      <c r="W115" s="474"/>
      <c r="X115" s="474"/>
      <c r="Y115" s="474"/>
      <c r="Z115" s="474"/>
      <c r="AA115" s="474"/>
      <c r="AB115" s="474"/>
      <c r="AC115" s="474"/>
      <c r="AD115" s="474"/>
      <c r="AE115" s="474"/>
      <c r="AF115" s="480"/>
      <c r="AG115" s="481"/>
      <c r="AH115" s="491"/>
      <c r="AI115" s="477"/>
      <c r="AJ115" s="1835"/>
      <c r="AK115" s="478"/>
      <c r="AL115" s="1836"/>
      <c r="AM115" s="474"/>
      <c r="AN115" s="474"/>
      <c r="AO115" s="474"/>
      <c r="AP115" s="474"/>
      <c r="AQ115" s="474"/>
      <c r="AR115" s="474"/>
      <c r="AS115" s="474"/>
    </row>
    <row r="116" spans="1:45">
      <c r="I116" s="654"/>
      <c r="J116" s="654"/>
      <c r="K116" s="654"/>
      <c r="L116" s="475"/>
      <c r="M116" s="475"/>
      <c r="N116" s="475"/>
      <c r="O116" s="475"/>
      <c r="P116" s="475"/>
      <c r="Q116" s="475"/>
      <c r="R116" s="1194"/>
      <c r="S116" s="1195"/>
      <c r="T116" s="1195"/>
      <c r="U116" s="474"/>
      <c r="V116" s="474"/>
      <c r="W116" s="474"/>
      <c r="X116" s="474"/>
      <c r="Y116" s="474"/>
      <c r="Z116" s="474"/>
      <c r="AA116" s="474"/>
      <c r="AB116" s="474"/>
      <c r="AC116" s="474"/>
      <c r="AD116" s="474"/>
      <c r="AE116" s="474"/>
      <c r="AF116" s="480"/>
      <c r="AG116" s="481"/>
      <c r="AH116" s="491"/>
      <c r="AI116" s="477"/>
      <c r="AJ116" s="1835"/>
      <c r="AK116" s="478"/>
      <c r="AL116" s="1836"/>
      <c r="AM116" s="474"/>
      <c r="AN116" s="474"/>
      <c r="AO116" s="474"/>
      <c r="AP116" s="474"/>
      <c r="AQ116" s="474"/>
      <c r="AR116" s="474"/>
      <c r="AS116" s="474"/>
    </row>
    <row r="117" spans="1:45">
      <c r="I117" s="654"/>
      <c r="J117" s="654"/>
      <c r="K117" s="654"/>
      <c r="L117" s="475"/>
      <c r="M117" s="475"/>
      <c r="N117" s="475"/>
      <c r="O117" s="475"/>
      <c r="P117" s="475"/>
      <c r="Q117" s="475"/>
      <c r="R117" s="1194"/>
      <c r="S117" s="1195"/>
      <c r="T117" s="1195"/>
      <c r="U117" s="474"/>
      <c r="V117" s="474"/>
      <c r="W117" s="474"/>
      <c r="X117" s="474"/>
      <c r="Y117" s="474"/>
      <c r="Z117" s="474"/>
      <c r="AA117" s="474"/>
      <c r="AB117" s="474"/>
      <c r="AC117" s="474"/>
      <c r="AD117" s="474"/>
      <c r="AE117" s="474"/>
      <c r="AF117" s="480"/>
      <c r="AG117" s="481"/>
      <c r="AH117" s="491"/>
      <c r="AI117" s="477"/>
      <c r="AJ117" s="1835"/>
      <c r="AK117" s="478"/>
      <c r="AL117" s="1836"/>
      <c r="AM117" s="474"/>
      <c r="AN117" s="474"/>
      <c r="AO117" s="474"/>
      <c r="AP117" s="474"/>
      <c r="AQ117" s="474"/>
      <c r="AR117" s="474"/>
      <c r="AS117" s="474"/>
    </row>
    <row r="118" spans="1:45">
      <c r="I118" s="654"/>
      <c r="J118" s="654"/>
      <c r="K118" s="654"/>
      <c r="L118" s="475"/>
      <c r="M118" s="475"/>
      <c r="N118" s="475"/>
      <c r="O118" s="475"/>
      <c r="P118" s="475"/>
      <c r="Q118" s="475"/>
      <c r="R118" s="1194"/>
      <c r="S118" s="1195"/>
      <c r="T118" s="1195"/>
      <c r="U118" s="474"/>
      <c r="V118" s="474"/>
      <c r="W118" s="474"/>
      <c r="X118" s="474"/>
      <c r="Y118" s="474"/>
      <c r="Z118" s="474"/>
      <c r="AA118" s="474"/>
      <c r="AB118" s="474"/>
      <c r="AC118" s="474"/>
      <c r="AD118" s="474"/>
      <c r="AE118" s="474"/>
      <c r="AF118" s="480"/>
      <c r="AG118" s="481"/>
      <c r="AH118" s="491"/>
      <c r="AI118" s="477"/>
      <c r="AJ118" s="1835"/>
      <c r="AK118" s="478"/>
      <c r="AL118" s="1836"/>
      <c r="AM118" s="474"/>
      <c r="AN118" s="474"/>
      <c r="AO118" s="474"/>
      <c r="AP118" s="474"/>
      <c r="AQ118" s="474"/>
      <c r="AR118" s="474"/>
      <c r="AS118" s="474"/>
    </row>
    <row r="119" spans="1:45">
      <c r="I119" s="654"/>
      <c r="J119" s="654"/>
      <c r="K119" s="654"/>
      <c r="L119" s="475"/>
      <c r="M119" s="475"/>
      <c r="N119" s="475"/>
      <c r="O119" s="475"/>
      <c r="P119" s="475"/>
      <c r="Q119" s="475"/>
      <c r="R119" s="1194"/>
      <c r="S119" s="1195"/>
      <c r="T119" s="1195"/>
      <c r="U119" s="474"/>
      <c r="V119" s="474"/>
      <c r="W119" s="474"/>
      <c r="X119" s="474"/>
      <c r="Y119" s="474"/>
      <c r="Z119" s="474"/>
      <c r="AA119" s="474"/>
      <c r="AB119" s="474"/>
      <c r="AC119" s="474"/>
      <c r="AD119" s="474"/>
      <c r="AE119" s="474"/>
      <c r="AF119" s="480"/>
      <c r="AG119" s="481"/>
      <c r="AH119" s="491"/>
      <c r="AI119" s="477"/>
      <c r="AJ119" s="1835"/>
      <c r="AK119" s="478"/>
      <c r="AL119" s="1836"/>
      <c r="AM119" s="474"/>
      <c r="AN119" s="474"/>
      <c r="AO119" s="474"/>
      <c r="AP119" s="474"/>
      <c r="AQ119" s="474"/>
      <c r="AR119" s="474"/>
      <c r="AS119" s="474"/>
    </row>
    <row r="120" spans="1:45">
      <c r="I120" s="1181"/>
      <c r="J120" s="1181"/>
      <c r="K120" s="1181"/>
      <c r="L120" s="1181"/>
      <c r="M120" s="1181"/>
      <c r="N120" s="1181"/>
      <c r="O120" s="1181"/>
      <c r="P120" s="1181"/>
      <c r="Q120" s="1181"/>
      <c r="R120" s="1182"/>
      <c r="S120" s="1182"/>
      <c r="T120" s="1182"/>
      <c r="U120" s="474"/>
      <c r="V120" s="474"/>
      <c r="W120" s="474"/>
      <c r="X120" s="474"/>
      <c r="Y120" s="474"/>
      <c r="Z120" s="474"/>
      <c r="AA120" s="474"/>
      <c r="AB120" s="474"/>
      <c r="AC120" s="474"/>
      <c r="AD120" s="474"/>
      <c r="AE120" s="474"/>
      <c r="AF120" s="480"/>
      <c r="AG120" s="481"/>
      <c r="AH120" s="491"/>
      <c r="AI120" s="477"/>
      <c r="AJ120" s="1835"/>
      <c r="AK120" s="478"/>
      <c r="AL120" s="1836"/>
      <c r="AM120" s="474"/>
      <c r="AN120" s="474"/>
      <c r="AO120" s="474"/>
      <c r="AP120" s="474"/>
      <c r="AQ120" s="474"/>
      <c r="AR120" s="474"/>
      <c r="AS120" s="474"/>
    </row>
    <row r="121" spans="1:45">
      <c r="I121" s="1184"/>
      <c r="J121" s="1183"/>
      <c r="K121" s="1183"/>
      <c r="L121" s="1183"/>
      <c r="M121" s="1183"/>
      <c r="N121" s="1185"/>
      <c r="O121" s="1181"/>
      <c r="P121" s="1181"/>
      <c r="Q121" s="1181"/>
      <c r="R121" s="1182"/>
      <c r="S121" s="1182"/>
      <c r="T121" s="1182"/>
      <c r="U121" s="474"/>
      <c r="V121" s="474"/>
      <c r="W121" s="474"/>
      <c r="X121" s="474"/>
      <c r="Y121" s="474"/>
      <c r="Z121" s="474"/>
      <c r="AA121" s="474"/>
      <c r="AB121" s="474"/>
      <c r="AC121" s="474"/>
      <c r="AD121" s="474"/>
      <c r="AE121" s="474"/>
      <c r="AF121" s="480"/>
      <c r="AG121" s="480"/>
      <c r="AH121" s="480"/>
      <c r="AI121" s="477"/>
      <c r="AJ121" s="654"/>
      <c r="AK121" s="1837"/>
      <c r="AL121" s="1838"/>
      <c r="AM121" s="474"/>
      <c r="AN121" s="474"/>
      <c r="AO121" s="474"/>
      <c r="AP121" s="474"/>
      <c r="AQ121" s="474"/>
      <c r="AR121" s="474"/>
      <c r="AS121" s="474"/>
    </row>
    <row r="122" spans="1:45">
      <c r="I122" s="1186"/>
      <c r="J122" s="1181"/>
      <c r="K122" s="1181"/>
      <c r="L122" s="1181"/>
      <c r="M122" s="1181"/>
      <c r="N122" s="1181"/>
      <c r="O122" s="1181"/>
      <c r="P122" s="1181"/>
      <c r="Q122" s="1181"/>
      <c r="R122" s="1181"/>
      <c r="S122" s="1181"/>
      <c r="T122" s="1181"/>
      <c r="U122" s="1181"/>
      <c r="V122" s="1181"/>
      <c r="W122" s="1181"/>
      <c r="X122" s="1181"/>
      <c r="Y122" s="474"/>
      <c r="Z122" s="474"/>
      <c r="AA122" s="474"/>
      <c r="AB122" s="474"/>
      <c r="AC122" s="474"/>
      <c r="AD122" s="474"/>
      <c r="AE122" s="474"/>
      <c r="AF122" s="478"/>
      <c r="AG122" s="478"/>
      <c r="AH122" s="479"/>
      <c r="AI122" s="477"/>
      <c r="AJ122" s="654"/>
      <c r="AK122" s="1837"/>
      <c r="AL122" s="1838"/>
      <c r="AM122" s="474"/>
      <c r="AN122" s="474"/>
      <c r="AO122" s="474"/>
      <c r="AP122" s="474"/>
      <c r="AQ122" s="474"/>
      <c r="AR122" s="474"/>
      <c r="AS122" s="474"/>
    </row>
    <row r="123" spans="1:45">
      <c r="I123" s="1186"/>
      <c r="J123" s="1181"/>
      <c r="K123" s="1181"/>
      <c r="L123" s="1181"/>
      <c r="M123" s="1181"/>
      <c r="N123" s="1181"/>
      <c r="O123" s="1181"/>
      <c r="P123" s="1181"/>
      <c r="Q123" s="1181"/>
      <c r="R123" s="1181"/>
      <c r="S123" s="1181"/>
      <c r="T123" s="1181"/>
      <c r="U123" s="1181"/>
      <c r="V123" s="1181"/>
      <c r="W123" s="1181"/>
      <c r="X123" s="1181"/>
      <c r="Y123" s="474"/>
      <c r="Z123" s="474"/>
      <c r="AA123" s="474"/>
      <c r="AB123" s="474"/>
      <c r="AC123" s="474"/>
      <c r="AD123" s="474"/>
      <c r="AE123" s="474"/>
      <c r="AF123" s="480"/>
      <c r="AG123" s="481"/>
      <c r="AH123" s="492"/>
      <c r="AI123" s="477"/>
      <c r="AJ123" s="654"/>
      <c r="AK123" s="1837"/>
      <c r="AL123" s="1838"/>
      <c r="AM123" s="474"/>
      <c r="AN123" s="474"/>
      <c r="AO123" s="474"/>
      <c r="AP123" s="474"/>
      <c r="AQ123" s="474"/>
      <c r="AR123" s="474"/>
      <c r="AS123" s="474"/>
    </row>
    <row r="124" spans="1:45" s="2" customFormat="1">
      <c r="H124" s="474"/>
      <c r="R124" s="83"/>
      <c r="AD124" s="654"/>
      <c r="AE124" s="654"/>
      <c r="AF124" s="477"/>
      <c r="AG124" s="474"/>
      <c r="AH124" s="474"/>
      <c r="AI124" s="477"/>
      <c r="AJ124" s="474"/>
      <c r="AK124" s="474"/>
      <c r="AL124" s="474"/>
      <c r="AM124" s="477"/>
      <c r="AN124" s="474"/>
      <c r="AO124" s="474"/>
      <c r="AP124" s="474"/>
      <c r="AQ124" s="474"/>
      <c r="AR124" s="474"/>
      <c r="AS124" s="474"/>
    </row>
    <row r="125" spans="1:45" s="2" customFormat="1" hidden="1" outlineLevel="1">
      <c r="H125" s="474"/>
      <c r="I125" s="24" t="s">
        <v>481</v>
      </c>
      <c r="J125" s="24"/>
      <c r="K125" s="24"/>
      <c r="L125" s="24"/>
      <c r="M125" s="24"/>
      <c r="N125" s="12"/>
      <c r="O125" s="12">
        <v>40908</v>
      </c>
      <c r="P125" s="12">
        <v>41274</v>
      </c>
      <c r="Q125" s="88">
        <v>41639</v>
      </c>
      <c r="R125" s="88">
        <v>42004</v>
      </c>
      <c r="S125" s="12">
        <v>42369</v>
      </c>
      <c r="T125" s="12">
        <v>42735</v>
      </c>
      <c r="U125" s="12">
        <v>43100</v>
      </c>
      <c r="V125" s="12">
        <v>43465</v>
      </c>
      <c r="W125" s="12">
        <v>43830</v>
      </c>
      <c r="X125" s="12">
        <v>44196</v>
      </c>
      <c r="Y125" s="12">
        <v>44561</v>
      </c>
      <c r="Z125" s="12">
        <v>44926</v>
      </c>
      <c r="AA125" s="12">
        <v>45291</v>
      </c>
      <c r="AB125" s="12">
        <v>45657</v>
      </c>
      <c r="AC125" s="12">
        <v>46022</v>
      </c>
      <c r="AD125" s="1839"/>
      <c r="AE125" s="477"/>
      <c r="AF125" s="477"/>
      <c r="AG125" s="474"/>
      <c r="AH125" s="474"/>
      <c r="AI125" s="477"/>
      <c r="AJ125" s="474"/>
      <c r="AK125" s="474"/>
      <c r="AL125" s="474"/>
      <c r="AM125" s="477"/>
      <c r="AN125" s="474"/>
      <c r="AO125" s="474"/>
      <c r="AP125" s="474"/>
      <c r="AQ125" s="474"/>
      <c r="AR125" s="474"/>
      <c r="AS125" s="474"/>
    </row>
    <row r="126" spans="1:45" s="2" customFormat="1" ht="13.5" hidden="1" outlineLevel="1">
      <c r="H126" s="475"/>
      <c r="I126" s="170" t="s">
        <v>378</v>
      </c>
      <c r="J126" s="170"/>
      <c r="K126" s="170"/>
      <c r="L126" s="170"/>
      <c r="M126" s="170"/>
      <c r="N126" s="171"/>
      <c r="O126" s="171"/>
      <c r="P126" s="171"/>
      <c r="Q126" s="171"/>
      <c r="R126" s="171"/>
      <c r="S126" s="171"/>
      <c r="T126" s="171"/>
      <c r="U126" s="171"/>
      <c r="V126" s="171"/>
      <c r="W126" s="171"/>
      <c r="X126" s="171"/>
      <c r="Y126" s="171"/>
      <c r="Z126" s="171"/>
      <c r="AA126" s="171"/>
      <c r="AB126" s="171"/>
      <c r="AC126" s="171"/>
      <c r="AD126" s="1097"/>
      <c r="AE126" s="477"/>
      <c r="AF126" s="1840"/>
      <c r="AG126" s="1841"/>
      <c r="AH126" s="1841"/>
      <c r="AI126" s="1841"/>
      <c r="AJ126" s="474"/>
      <c r="AK126" s="474"/>
      <c r="AL126" s="474"/>
      <c r="AM126" s="477"/>
      <c r="AN126" s="474"/>
      <c r="AO126" s="474"/>
      <c r="AP126" s="474"/>
      <c r="AQ126" s="474"/>
      <c r="AR126" s="474"/>
      <c r="AS126" s="474"/>
    </row>
    <row r="127" spans="1:45" s="2" customFormat="1" ht="13.5" hidden="1" outlineLevel="1" thickBot="1">
      <c r="H127" s="475"/>
      <c r="I127" s="14" t="s">
        <v>477</v>
      </c>
      <c r="J127" s="14"/>
      <c r="K127" s="14"/>
      <c r="L127" s="14"/>
      <c r="M127" s="14"/>
      <c r="N127" s="31"/>
      <c r="O127" s="31">
        <v>40908</v>
      </c>
      <c r="P127" s="31">
        <v>41274</v>
      </c>
      <c r="Q127" s="31">
        <v>41639</v>
      </c>
      <c r="R127" s="141">
        <v>42004</v>
      </c>
      <c r="S127" s="32">
        <v>42369</v>
      </c>
      <c r="T127" s="32">
        <v>42735</v>
      </c>
      <c r="U127" s="32">
        <v>43100</v>
      </c>
      <c r="V127" s="32">
        <v>43465</v>
      </c>
      <c r="W127" s="32">
        <v>43830</v>
      </c>
      <c r="X127" s="32">
        <v>44196</v>
      </c>
      <c r="Y127" s="32">
        <v>44197</v>
      </c>
      <c r="Z127" s="32">
        <v>44562</v>
      </c>
      <c r="AA127" s="32">
        <v>44928</v>
      </c>
      <c r="AB127" s="32">
        <v>45294</v>
      </c>
      <c r="AC127" s="32">
        <v>45661</v>
      </c>
      <c r="AD127" s="1842"/>
      <c r="AE127" s="477"/>
      <c r="AF127" s="1843"/>
      <c r="AG127" s="1841"/>
      <c r="AH127" s="1841"/>
      <c r="AI127" s="1841"/>
      <c r="AJ127" s="474"/>
      <c r="AK127" s="474"/>
      <c r="AL127" s="474"/>
      <c r="AM127" s="477"/>
      <c r="AN127" s="474"/>
      <c r="AO127" s="474"/>
      <c r="AP127" s="474"/>
      <c r="AQ127" s="474"/>
      <c r="AR127" s="474"/>
      <c r="AS127" s="474"/>
    </row>
    <row r="128" spans="1:45" s="149" customFormat="1" ht="13.5" hidden="1" customHeight="1" outlineLevel="1">
      <c r="H128" s="1841"/>
      <c r="I128" s="145"/>
      <c r="J128" s="145"/>
      <c r="K128" s="145"/>
      <c r="L128" s="145"/>
      <c r="M128" s="145"/>
      <c r="N128" s="146"/>
      <c r="O128" s="146">
        <v>0</v>
      </c>
      <c r="P128" s="146">
        <v>0</v>
      </c>
      <c r="Q128" s="146">
        <v>0</v>
      </c>
      <c r="R128" s="146">
        <v>0</v>
      </c>
      <c r="S128" s="146">
        <v>1</v>
      </c>
      <c r="T128" s="146">
        <v>2</v>
      </c>
      <c r="U128" s="146">
        <v>3</v>
      </c>
      <c r="V128" s="146">
        <v>4</v>
      </c>
      <c r="W128" s="146">
        <v>5</v>
      </c>
      <c r="X128" s="146">
        <v>6</v>
      </c>
      <c r="Y128" s="146">
        <v>7</v>
      </c>
      <c r="Z128" s="146">
        <v>8</v>
      </c>
      <c r="AA128" s="146">
        <v>9</v>
      </c>
      <c r="AB128" s="146">
        <v>10</v>
      </c>
      <c r="AC128" s="146">
        <v>11</v>
      </c>
      <c r="AD128" s="1844"/>
      <c r="AE128" s="1844"/>
      <c r="AF128" s="1843"/>
      <c r="AG128" s="1841"/>
      <c r="AH128" s="1841"/>
      <c r="AI128" s="1841"/>
      <c r="AJ128" s="1841"/>
      <c r="AK128" s="1841"/>
      <c r="AL128" s="1841"/>
      <c r="AM128" s="1841"/>
      <c r="AN128" s="1841"/>
      <c r="AO128" s="1841"/>
      <c r="AP128" s="1841"/>
      <c r="AQ128" s="1841"/>
      <c r="AR128" s="1841"/>
      <c r="AS128" s="1841"/>
    </row>
    <row r="129" spans="8:45" s="149" customFormat="1" ht="13.5" hidden="1" customHeight="1" outlineLevel="1">
      <c r="H129" s="1841"/>
      <c r="I129" s="147"/>
      <c r="J129" s="148"/>
      <c r="K129" s="148"/>
      <c r="L129" s="148"/>
      <c r="M129" s="148"/>
      <c r="P129" s="150"/>
      <c r="Q129" s="150"/>
      <c r="R129" s="150"/>
      <c r="S129" s="150"/>
      <c r="AD129" s="1843"/>
      <c r="AE129" s="1843"/>
      <c r="AF129" s="1843"/>
      <c r="AG129" s="1841"/>
      <c r="AH129" s="1841"/>
      <c r="AI129" s="1841"/>
      <c r="AJ129" s="1841"/>
      <c r="AK129" s="1841"/>
      <c r="AL129" s="1841"/>
      <c r="AM129" s="1841"/>
      <c r="AN129" s="1841"/>
      <c r="AO129" s="1841"/>
      <c r="AP129" s="1841"/>
      <c r="AQ129" s="1841"/>
      <c r="AR129" s="1841"/>
      <c r="AS129" s="1841"/>
    </row>
    <row r="130" spans="8:45" s="149" customFormat="1" ht="13.5" hidden="1" customHeight="1" outlineLevel="1">
      <c r="H130" s="1841"/>
      <c r="I130" s="151" t="s">
        <v>480</v>
      </c>
      <c r="J130" s="148"/>
      <c r="K130" s="148"/>
      <c r="L130" s="148"/>
      <c r="M130" s="148"/>
      <c r="N130" s="163"/>
      <c r="O130" s="163">
        <f>Model!P425</f>
        <v>-1283.4709999999995</v>
      </c>
      <c r="P130" s="163">
        <f>Model!Q425</f>
        <v>-1730.5660000000018</v>
      </c>
      <c r="Q130" s="163">
        <f>Model!R425</f>
        <v>-49.96</v>
      </c>
      <c r="R130" s="1174">
        <f>Model!S425</f>
        <v>-4996</v>
      </c>
      <c r="S130" s="163">
        <f>Model!T425</f>
        <v>-9388</v>
      </c>
      <c r="T130" s="163">
        <f>Model!U425</f>
        <v>-2048.2919999999717</v>
      </c>
      <c r="U130" s="163">
        <f>Model!V425</f>
        <v>-18.633000000049066</v>
      </c>
      <c r="V130" s="163">
        <f>Model!W425</f>
        <v>2211.5802569393732</v>
      </c>
      <c r="W130" s="163">
        <f ca="1">Model!X425</f>
        <v>7393.4504473872385</v>
      </c>
      <c r="X130" s="163">
        <f ca="1">Model!Y425</f>
        <v>13786.279041739968</v>
      </c>
      <c r="Y130" s="163">
        <f ca="1">Model!Z425</f>
        <v>22122.963347845853</v>
      </c>
      <c r="Z130" s="163">
        <f ca="1">Model!AA425</f>
        <v>30669.583685002712</v>
      </c>
      <c r="AA130" s="163">
        <f ca="1">Model!AB425</f>
        <v>40040.583353712304</v>
      </c>
      <c r="AB130" s="163">
        <f ca="1">Model!AC425</f>
        <v>50870.989825774843</v>
      </c>
      <c r="AC130" s="163">
        <f ca="1">Model!AD425</f>
        <v>60862.839387145767</v>
      </c>
      <c r="AD130" s="1845"/>
      <c r="AE130" s="1845"/>
      <c r="AF130" s="720"/>
      <c r="AG130" s="1841"/>
      <c r="AH130" s="1841"/>
      <c r="AI130" s="1841"/>
      <c r="AJ130" s="1841"/>
      <c r="AK130" s="1841"/>
      <c r="AL130" s="1841"/>
      <c r="AM130" s="1841"/>
      <c r="AN130" s="1841"/>
      <c r="AO130" s="1841"/>
      <c r="AP130" s="1841"/>
      <c r="AQ130" s="1841"/>
      <c r="AR130" s="1841"/>
      <c r="AS130" s="1841"/>
    </row>
    <row r="131" spans="8:45" s="152" customFormat="1" ht="11.25" hidden="1" outlineLevel="1">
      <c r="H131" s="1846"/>
      <c r="I131" s="151" t="s">
        <v>143</v>
      </c>
      <c r="J131" s="148"/>
      <c r="K131" s="148"/>
      <c r="L131" s="148"/>
      <c r="M131" s="148"/>
      <c r="N131" s="164"/>
      <c r="O131" s="164">
        <f>Model!P556</f>
        <v>2783.3910000000005</v>
      </c>
      <c r="P131" s="164">
        <f>Model!Q556</f>
        <v>1664.6609999999994</v>
      </c>
      <c r="Q131" s="164">
        <f>Model!R556</f>
        <v>2066.5649999999996</v>
      </c>
      <c r="R131" s="1175">
        <f>Model!S556</f>
        <v>37498.066999999995</v>
      </c>
      <c r="S131" s="164">
        <f>Model!T556</f>
        <v>30678.447999999993</v>
      </c>
      <c r="T131" s="164">
        <f>Model!U556</f>
        <v>34162.862000000008</v>
      </c>
      <c r="U131" s="164">
        <f>Model!V556</f>
        <v>52388.703000000001</v>
      </c>
      <c r="V131" s="164">
        <f>Model!W556</f>
        <v>61564.495084598748</v>
      </c>
      <c r="W131" s="164">
        <f ca="1">Model!X556</f>
        <v>72706.840230163216</v>
      </c>
      <c r="X131" s="164">
        <f ca="1">Model!Y556</f>
        <v>94431.080440871563</v>
      </c>
      <c r="Y131" s="164">
        <f ca="1">Model!Z556</f>
        <v>124842.64408492971</v>
      </c>
      <c r="Z131" s="164">
        <f ca="1">Model!AA556</f>
        <v>163831.28104636114</v>
      </c>
      <c r="AA131" s="164">
        <f ca="1">Model!AB556</f>
        <v>212788.67954498885</v>
      </c>
      <c r="AB131" s="164">
        <f ca="1">Model!AC556</f>
        <v>272964.95704380452</v>
      </c>
      <c r="AC131" s="164">
        <f ca="1">Model!AD556</f>
        <v>343535.85884046613</v>
      </c>
      <c r="AD131" s="1845"/>
      <c r="AE131" s="1845"/>
      <c r="AF131" s="720"/>
      <c r="AG131" s="1841"/>
      <c r="AH131" s="1841"/>
      <c r="AI131" s="1841"/>
      <c r="AJ131" s="1846"/>
      <c r="AK131" s="1846"/>
      <c r="AL131" s="1846"/>
      <c r="AM131" s="1846"/>
      <c r="AN131" s="1846"/>
      <c r="AO131" s="1846"/>
      <c r="AP131" s="1846"/>
      <c r="AQ131" s="1846"/>
      <c r="AR131" s="1846"/>
      <c r="AS131" s="1846"/>
    </row>
    <row r="132" spans="8:45" s="152" customFormat="1" hidden="1" outlineLevel="1">
      <c r="H132" s="1877"/>
      <c r="I132" s="152" t="s">
        <v>144</v>
      </c>
      <c r="N132" s="9"/>
      <c r="O132" s="9" t="str">
        <f t="shared" ref="O132:T132" si="30">IF(O130&lt;0, "--", O130/O131)</f>
        <v>--</v>
      </c>
      <c r="P132" s="9" t="str">
        <f t="shared" si="30"/>
        <v>--</v>
      </c>
      <c r="Q132" s="9" t="str">
        <f t="shared" si="30"/>
        <v>--</v>
      </c>
      <c r="R132" s="1176" t="str">
        <f t="shared" si="30"/>
        <v>--</v>
      </c>
      <c r="S132" s="9" t="str">
        <f t="shared" si="30"/>
        <v>--</v>
      </c>
      <c r="T132" s="9" t="str">
        <f t="shared" si="30"/>
        <v>--</v>
      </c>
      <c r="U132" s="9" t="str">
        <f t="shared" ref="U132:AC132" si="31">IF(U130&lt;0, "--", U130/U131)</f>
        <v>--</v>
      </c>
      <c r="V132" s="9">
        <f t="shared" si="31"/>
        <v>3.5922982132807778E-2</v>
      </c>
      <c r="W132" s="9">
        <f t="shared" ca="1" si="31"/>
        <v>0.10168851271740435</v>
      </c>
      <c r="X132" s="9">
        <f t="shared" ca="1" si="31"/>
        <v>0.14599302451455384</v>
      </c>
      <c r="Y132" s="9">
        <f t="shared" ca="1" si="31"/>
        <v>0.17720678306681595</v>
      </c>
      <c r="Z132" s="9">
        <f t="shared" ca="1" si="31"/>
        <v>0.18720224543885366</v>
      </c>
      <c r="AA132" s="9">
        <f t="shared" ca="1" si="31"/>
        <v>0.18817064629251917</v>
      </c>
      <c r="AB132" s="9">
        <f t="shared" ca="1" si="31"/>
        <v>0.18636454428694754</v>
      </c>
      <c r="AC132" s="9">
        <f t="shared" ca="1" si="31"/>
        <v>0.17716589934039384</v>
      </c>
      <c r="AD132" s="1847"/>
      <c r="AE132" s="1847"/>
      <c r="AF132" s="720"/>
      <c r="AG132" s="1841"/>
      <c r="AH132" s="1841"/>
      <c r="AI132" s="1841"/>
      <c r="AJ132" s="1846"/>
      <c r="AK132" s="1846"/>
      <c r="AL132" s="1846"/>
      <c r="AM132" s="1846"/>
      <c r="AN132" s="1846"/>
      <c r="AO132" s="1846"/>
      <c r="AP132" s="1846"/>
      <c r="AQ132" s="1846"/>
      <c r="AR132" s="1846"/>
      <c r="AS132" s="1846"/>
    </row>
    <row r="133" spans="8:45" s="152" customFormat="1" ht="14.25" hidden="1" customHeight="1" outlineLevel="1">
      <c r="H133" s="1846"/>
      <c r="I133" s="152" t="s">
        <v>145</v>
      </c>
      <c r="N133" s="9"/>
      <c r="O133" s="9" t="str">
        <f>IF(O130&lt;0, "--", P131/P131)</f>
        <v>--</v>
      </c>
      <c r="P133" s="9" t="str">
        <f>IF(P130&lt;0, "--", Q131/Q131)</f>
        <v>--</v>
      </c>
      <c r="Q133" s="9" t="str">
        <f>IF(Q130&lt;0, "--", Q130/R131)</f>
        <v>--</v>
      </c>
      <c r="R133" s="1176" t="str">
        <f>IF(R130&lt;0, "--", R130/S131)</f>
        <v>--</v>
      </c>
      <c r="S133" s="9" t="str">
        <f>IF(S130&lt;0, "--", S130/T131)</f>
        <v>--</v>
      </c>
      <c r="T133" s="9" t="str">
        <f>IF(T130&lt;0, "--", T130/U131)</f>
        <v>--</v>
      </c>
      <c r="U133" s="9" t="str">
        <f t="shared" ref="U133:AC133" si="32">IF(U130&lt;0, "--", U130/V131)</f>
        <v>--</v>
      </c>
      <c r="V133" s="9">
        <f t="shared" ca="1" si="32"/>
        <v>3.0417774310344398E-2</v>
      </c>
      <c r="W133" s="9">
        <f t="shared" ca="1" si="32"/>
        <v>7.8294671763463303E-2</v>
      </c>
      <c r="X133" s="9">
        <f t="shared" ca="1" si="32"/>
        <v>0.11042924589422541</v>
      </c>
      <c r="Y133" s="9">
        <f t="shared" ca="1" si="32"/>
        <v>0.13503503852591786</v>
      </c>
      <c r="Z133" s="9">
        <f t="shared" ca="1" si="32"/>
        <v>0.14413165094395164</v>
      </c>
      <c r="AA133" s="9">
        <f t="shared" ca="1" si="32"/>
        <v>0.14668763268131418</v>
      </c>
      <c r="AB133" s="9">
        <f t="shared" ca="1" si="32"/>
        <v>0.14808058174037289</v>
      </c>
      <c r="AC133" s="9" t="e">
        <f t="shared" ca="1" si="32"/>
        <v>#DIV/0!</v>
      </c>
      <c r="AD133" s="1847"/>
      <c r="AE133" s="1847"/>
      <c r="AF133" s="1848"/>
      <c r="AG133" s="1849"/>
      <c r="AH133" s="1849"/>
      <c r="AI133" s="1849"/>
      <c r="AJ133" s="1846"/>
      <c r="AK133" s="1846"/>
      <c r="AL133" s="1846"/>
      <c r="AM133" s="1846"/>
      <c r="AN133" s="1846"/>
      <c r="AO133" s="1846"/>
      <c r="AP133" s="1846"/>
      <c r="AQ133" s="1846"/>
      <c r="AR133" s="1846"/>
      <c r="AS133" s="1846"/>
    </row>
    <row r="134" spans="8:45" s="152" customFormat="1" ht="11.25" hidden="1" outlineLevel="1">
      <c r="H134" s="1846"/>
      <c r="N134" s="154"/>
      <c r="O134" s="154"/>
      <c r="P134" s="154"/>
      <c r="Q134" s="154"/>
      <c r="R134" s="154"/>
      <c r="S134" s="154"/>
      <c r="T134" s="154"/>
      <c r="U134" s="154"/>
      <c r="V134" s="154"/>
      <c r="W134" s="154"/>
      <c r="X134" s="154"/>
      <c r="Y134" s="154"/>
      <c r="Z134" s="154"/>
      <c r="AA134" s="154"/>
      <c r="AB134" s="154"/>
      <c r="AC134" s="154"/>
      <c r="AD134" s="1847"/>
      <c r="AE134" s="1847"/>
      <c r="AF134" s="1850"/>
      <c r="AG134" s="1841"/>
      <c r="AH134" s="1841"/>
      <c r="AI134" s="1841"/>
      <c r="AJ134" s="1846"/>
      <c r="AK134" s="1846"/>
      <c r="AL134" s="1846"/>
      <c r="AM134" s="1846"/>
      <c r="AN134" s="1846"/>
      <c r="AO134" s="1846"/>
      <c r="AP134" s="1846"/>
      <c r="AQ134" s="1846"/>
      <c r="AR134" s="1846"/>
      <c r="AS134" s="1846"/>
    </row>
    <row r="135" spans="8:45" s="155" customFormat="1" ht="11.25" hidden="1" outlineLevel="1">
      <c r="H135" s="1849"/>
      <c r="I135" s="155" t="s">
        <v>142</v>
      </c>
      <c r="J135" s="152"/>
      <c r="K135" s="152"/>
      <c r="L135" s="152"/>
      <c r="M135" s="152"/>
      <c r="N135" s="156"/>
      <c r="O135" s="156"/>
      <c r="P135" s="156"/>
      <c r="Q135" s="156" t="e">
        <f>+Q136*Q131</f>
        <v>#VALUE!</v>
      </c>
      <c r="R135" s="156" t="e">
        <f>+R136*R131</f>
        <v>#VALUE!</v>
      </c>
      <c r="S135" s="156" t="e">
        <f>+S136*S131</f>
        <v>#VALUE!</v>
      </c>
      <c r="T135" s="156" t="e">
        <f>+T136*T131</f>
        <v>#VALUE!</v>
      </c>
      <c r="U135" s="156" t="e">
        <f t="shared" ref="U135:AC135" si="33">+U136*U131</f>
        <v>#VALUE!</v>
      </c>
      <c r="V135" s="156">
        <f t="shared" si="33"/>
        <v>2211.5802569393732</v>
      </c>
      <c r="W135" s="156">
        <f t="shared" ca="1" si="33"/>
        <v>7393.4504473872385</v>
      </c>
      <c r="X135" s="156">
        <f t="shared" ca="1" si="33"/>
        <v>13786.279041739968</v>
      </c>
      <c r="Y135" s="156">
        <f t="shared" ca="1" si="33"/>
        <v>22122.963347845853</v>
      </c>
      <c r="Z135" s="156">
        <f t="shared" ca="1" si="33"/>
        <v>30669.583685002712</v>
      </c>
      <c r="AA135" s="156">
        <f t="shared" ca="1" si="33"/>
        <v>40040.583353712304</v>
      </c>
      <c r="AB135" s="156">
        <f t="shared" ca="1" si="33"/>
        <v>50870.989825774843</v>
      </c>
      <c r="AC135" s="156">
        <f t="shared" ca="1" si="33"/>
        <v>60862.839387145767</v>
      </c>
      <c r="AD135" s="1848"/>
      <c r="AE135" s="1848"/>
      <c r="AF135" s="1851"/>
      <c r="AG135" s="1841"/>
      <c r="AH135" s="1841"/>
      <c r="AI135" s="1841"/>
      <c r="AJ135" s="1849"/>
      <c r="AK135" s="1849"/>
      <c r="AL135" s="1849"/>
      <c r="AM135" s="1849"/>
      <c r="AN135" s="1849"/>
      <c r="AO135" s="1849"/>
      <c r="AP135" s="1849"/>
      <c r="AQ135" s="1849"/>
      <c r="AR135" s="1849"/>
      <c r="AS135" s="1849"/>
    </row>
    <row r="136" spans="8:45" s="152" customFormat="1" ht="11.25" hidden="1" outlineLevel="1">
      <c r="H136" s="1846"/>
      <c r="I136" s="155" t="s">
        <v>198</v>
      </c>
      <c r="J136" s="155"/>
      <c r="K136" s="155"/>
      <c r="L136" s="155"/>
      <c r="M136" s="155"/>
      <c r="N136" s="157"/>
      <c r="O136" s="157"/>
      <c r="P136" s="158"/>
      <c r="Q136" s="158" t="e">
        <f>+Q132-$R$141</f>
        <v>#VALUE!</v>
      </c>
      <c r="R136" s="158" t="e">
        <f>+R132-$R$141</f>
        <v>#VALUE!</v>
      </c>
      <c r="S136" s="158" t="e">
        <f>+S132-$R$141</f>
        <v>#VALUE!</v>
      </c>
      <c r="T136" s="158" t="e">
        <f>+T132-$R$141</f>
        <v>#VALUE!</v>
      </c>
      <c r="U136" s="158" t="e">
        <f t="shared" ref="U136:AC136" si="34">+U132-$R$141</f>
        <v>#VALUE!</v>
      </c>
      <c r="V136" s="158">
        <f t="shared" si="34"/>
        <v>3.5922982132807778E-2</v>
      </c>
      <c r="W136" s="158">
        <f t="shared" ca="1" si="34"/>
        <v>0.10168851271740435</v>
      </c>
      <c r="X136" s="158">
        <f t="shared" ca="1" si="34"/>
        <v>0.14599302451455384</v>
      </c>
      <c r="Y136" s="158">
        <f t="shared" ca="1" si="34"/>
        <v>0.17720678306681595</v>
      </c>
      <c r="Z136" s="158">
        <f t="shared" ca="1" si="34"/>
        <v>0.18720224543885366</v>
      </c>
      <c r="AA136" s="158">
        <f t="shared" ca="1" si="34"/>
        <v>0.18817064629251917</v>
      </c>
      <c r="AB136" s="158">
        <f t="shared" ca="1" si="34"/>
        <v>0.18636454428694754</v>
      </c>
      <c r="AC136" s="158">
        <f t="shared" ca="1" si="34"/>
        <v>0.17716589934039384</v>
      </c>
      <c r="AD136" s="1852"/>
      <c r="AE136" s="1852"/>
      <c r="AF136" s="1853"/>
      <c r="AG136" s="1841"/>
      <c r="AH136" s="1841"/>
      <c r="AI136" s="1841"/>
      <c r="AJ136" s="1846"/>
      <c r="AK136" s="1846"/>
      <c r="AL136" s="1846"/>
      <c r="AM136" s="1846"/>
      <c r="AN136" s="1846"/>
      <c r="AO136" s="1846"/>
      <c r="AP136" s="1846"/>
      <c r="AQ136" s="1846"/>
      <c r="AR136" s="1846"/>
      <c r="AS136" s="1846"/>
    </row>
    <row r="137" spans="8:45" s="152" customFormat="1" ht="11.25" hidden="1" outlineLevel="1">
      <c r="H137" s="1846"/>
      <c r="N137" s="153"/>
      <c r="O137" s="153"/>
      <c r="P137" s="153"/>
      <c r="Q137" s="153"/>
      <c r="R137" s="153"/>
      <c r="S137" s="153"/>
      <c r="AA137" s="153"/>
      <c r="AB137" s="153"/>
      <c r="AC137" s="153"/>
      <c r="AD137" s="1845"/>
      <c r="AE137" s="1845"/>
      <c r="AF137" s="1843"/>
      <c r="AG137" s="1841"/>
      <c r="AH137" s="1841"/>
      <c r="AI137" s="1841"/>
      <c r="AJ137" s="1846"/>
      <c r="AK137" s="1846"/>
      <c r="AL137" s="1846"/>
      <c r="AM137" s="1846"/>
      <c r="AN137" s="1846"/>
      <c r="AO137" s="1846"/>
      <c r="AP137" s="1846"/>
      <c r="AQ137" s="1846"/>
      <c r="AR137" s="1846"/>
      <c r="AS137" s="1846"/>
    </row>
    <row r="138" spans="8:45" s="152" customFormat="1" ht="11.25" hidden="1" outlineLevel="1">
      <c r="H138" s="1846"/>
      <c r="I138" s="152" t="s">
        <v>146</v>
      </c>
      <c r="N138" s="153"/>
      <c r="O138" s="153"/>
      <c r="P138" s="153"/>
      <c r="Q138" s="159"/>
      <c r="R138" s="159"/>
      <c r="S138" s="159">
        <f>1/(1+$R$141)^S128</f>
        <v>1</v>
      </c>
      <c r="T138" s="159">
        <f t="shared" ref="T138:AC138" si="35">1/(1+$R$141)^T128</f>
        <v>1</v>
      </c>
      <c r="U138" s="159">
        <f t="shared" si="35"/>
        <v>1</v>
      </c>
      <c r="V138" s="159">
        <f t="shared" si="35"/>
        <v>1</v>
      </c>
      <c r="W138" s="159">
        <f>1/(1+$R$141)^W128</f>
        <v>1</v>
      </c>
      <c r="X138" s="159">
        <f t="shared" si="35"/>
        <v>1</v>
      </c>
      <c r="Y138" s="159">
        <f t="shared" si="35"/>
        <v>1</v>
      </c>
      <c r="Z138" s="159">
        <f t="shared" si="35"/>
        <v>1</v>
      </c>
      <c r="AA138" s="159">
        <f t="shared" si="35"/>
        <v>1</v>
      </c>
      <c r="AB138" s="159">
        <f t="shared" si="35"/>
        <v>1</v>
      </c>
      <c r="AC138" s="159">
        <f t="shared" si="35"/>
        <v>1</v>
      </c>
      <c r="AD138" s="1854"/>
      <c r="AE138" s="1854"/>
      <c r="AF138" s="1843"/>
      <c r="AG138" s="1841"/>
      <c r="AH138" s="1841"/>
      <c r="AI138" s="1841"/>
      <c r="AJ138" s="1846"/>
      <c r="AK138" s="1846"/>
      <c r="AL138" s="1846"/>
      <c r="AM138" s="1846"/>
      <c r="AN138" s="1846"/>
      <c r="AO138" s="1846"/>
      <c r="AP138" s="1846"/>
      <c r="AQ138" s="1846"/>
      <c r="AR138" s="1846"/>
      <c r="AS138" s="1846"/>
    </row>
    <row r="139" spans="8:45" s="152" customFormat="1" ht="11.25" hidden="1" outlineLevel="1">
      <c r="H139" s="1846"/>
      <c r="I139" s="152" t="s">
        <v>147</v>
      </c>
      <c r="N139" s="153"/>
      <c r="O139" s="153"/>
      <c r="P139" s="153"/>
      <c r="Q139" s="153"/>
      <c r="R139" s="153"/>
      <c r="S139" s="167" t="e">
        <f>S138*S135</f>
        <v>#VALUE!</v>
      </c>
      <c r="T139" s="167" t="e">
        <f>T138*T135</f>
        <v>#VALUE!</v>
      </c>
      <c r="U139" s="167" t="e">
        <f t="shared" ref="U139:AC139" si="36">U138*U135</f>
        <v>#VALUE!</v>
      </c>
      <c r="V139" s="167">
        <f t="shared" si="36"/>
        <v>2211.5802569393732</v>
      </c>
      <c r="W139" s="167">
        <f t="shared" ca="1" si="36"/>
        <v>7393.4504473872385</v>
      </c>
      <c r="X139" s="167">
        <f t="shared" ca="1" si="36"/>
        <v>13786.279041739968</v>
      </c>
      <c r="Y139" s="167">
        <f t="shared" ca="1" si="36"/>
        <v>22122.963347845853</v>
      </c>
      <c r="Z139" s="167">
        <f t="shared" ca="1" si="36"/>
        <v>30669.583685002712</v>
      </c>
      <c r="AA139" s="167">
        <f t="shared" ca="1" si="36"/>
        <v>40040.583353712304</v>
      </c>
      <c r="AB139" s="167">
        <f t="shared" ca="1" si="36"/>
        <v>50870.989825774843</v>
      </c>
      <c r="AC139" s="167">
        <f t="shared" ca="1" si="36"/>
        <v>60862.839387145767</v>
      </c>
      <c r="AD139" s="1845"/>
      <c r="AE139" s="1845"/>
      <c r="AF139" s="1841"/>
      <c r="AG139" s="1841"/>
      <c r="AH139" s="1841"/>
      <c r="AI139" s="1841"/>
      <c r="AJ139" s="1846"/>
      <c r="AK139" s="1846"/>
      <c r="AL139" s="1846"/>
      <c r="AM139" s="1846"/>
      <c r="AN139" s="1846"/>
      <c r="AO139" s="1846"/>
      <c r="AP139" s="1846"/>
      <c r="AQ139" s="1846"/>
      <c r="AR139" s="1846"/>
      <c r="AS139" s="1846"/>
    </row>
    <row r="140" spans="8:45" s="152" customFormat="1" ht="11.25" hidden="1" outlineLevel="1">
      <c r="H140" s="1846"/>
      <c r="N140" s="153"/>
      <c r="O140" s="153"/>
      <c r="P140" s="153"/>
      <c r="Q140" s="153"/>
      <c r="R140" s="153"/>
      <c r="S140" s="153"/>
      <c r="AA140" s="153"/>
      <c r="AB140" s="153"/>
      <c r="AC140" s="153"/>
      <c r="AD140" s="1845"/>
      <c r="AE140" s="1845"/>
      <c r="AF140" s="1841"/>
      <c r="AG140" s="1841"/>
      <c r="AH140" s="1841"/>
      <c r="AI140" s="1841"/>
      <c r="AJ140" s="1846"/>
      <c r="AK140" s="1846"/>
      <c r="AL140" s="1846"/>
      <c r="AM140" s="1846"/>
      <c r="AN140" s="1846"/>
      <c r="AO140" s="1846"/>
      <c r="AP140" s="1846"/>
      <c r="AQ140" s="1846"/>
      <c r="AR140" s="1846"/>
      <c r="AS140" s="1846"/>
    </row>
    <row r="141" spans="8:45" s="152" customFormat="1" ht="11.25" hidden="1" outlineLevel="1">
      <c r="H141" s="1846"/>
      <c r="I141" s="152" t="s">
        <v>173</v>
      </c>
      <c r="N141" s="153"/>
      <c r="O141" s="153"/>
      <c r="P141" s="153"/>
      <c r="Q141" s="153"/>
      <c r="R141" s="154">
        <f>R142+R143*R144</f>
        <v>0</v>
      </c>
      <c r="AA141" s="153"/>
      <c r="AB141" s="153"/>
      <c r="AC141" s="153"/>
      <c r="AD141" s="1845"/>
      <c r="AE141" s="1845"/>
      <c r="AF141" s="1841"/>
      <c r="AG141" s="1841"/>
      <c r="AH141" s="1841"/>
      <c r="AI141" s="1841"/>
      <c r="AJ141" s="1846"/>
      <c r="AK141" s="1846"/>
      <c r="AL141" s="1846"/>
      <c r="AM141" s="1846"/>
      <c r="AN141" s="1846"/>
      <c r="AO141" s="1846"/>
      <c r="AP141" s="1846"/>
      <c r="AQ141" s="1846"/>
      <c r="AR141" s="1846"/>
      <c r="AS141" s="1846"/>
    </row>
    <row r="142" spans="8:45" s="152" customFormat="1" ht="11.25" hidden="1" outlineLevel="1">
      <c r="H142" s="1846"/>
      <c r="N142" s="153"/>
      <c r="O142" s="153"/>
      <c r="P142" s="153"/>
      <c r="Q142" s="153"/>
      <c r="R142" s="165"/>
      <c r="AA142" s="153"/>
      <c r="AB142" s="153"/>
      <c r="AC142" s="153"/>
      <c r="AD142" s="1845"/>
      <c r="AE142" s="1845"/>
      <c r="AF142" s="1841"/>
      <c r="AG142" s="1841"/>
      <c r="AH142" s="1841"/>
      <c r="AI142" s="1841"/>
      <c r="AJ142" s="1846"/>
      <c r="AK142" s="1846"/>
      <c r="AL142" s="1846"/>
      <c r="AM142" s="1846"/>
      <c r="AN142" s="1846"/>
      <c r="AO142" s="1846"/>
      <c r="AP142" s="1846"/>
      <c r="AQ142" s="1846"/>
      <c r="AR142" s="1846"/>
      <c r="AS142" s="1846"/>
    </row>
    <row r="143" spans="8:45" s="152" customFormat="1" ht="11.25" hidden="1" outlineLevel="1">
      <c r="H143" s="1846"/>
      <c r="N143" s="153"/>
      <c r="O143" s="153"/>
      <c r="P143" s="153"/>
      <c r="Q143" s="153"/>
      <c r="R143" s="166"/>
      <c r="AA143" s="153"/>
      <c r="AB143" s="153"/>
      <c r="AC143" s="153"/>
      <c r="AD143" s="1845"/>
      <c r="AE143" s="1845"/>
      <c r="AF143" s="1841"/>
      <c r="AG143" s="1841"/>
      <c r="AH143" s="1841"/>
      <c r="AI143" s="1841"/>
      <c r="AJ143" s="1846"/>
      <c r="AK143" s="1846"/>
      <c r="AL143" s="1846"/>
      <c r="AM143" s="1846"/>
      <c r="AN143" s="1846"/>
      <c r="AO143" s="1846"/>
      <c r="AP143" s="1846"/>
      <c r="AQ143" s="1846"/>
      <c r="AR143" s="1846"/>
      <c r="AS143" s="1846"/>
    </row>
    <row r="144" spans="8:45" s="152" customFormat="1" ht="11.25" hidden="1" outlineLevel="1">
      <c r="H144" s="1846"/>
      <c r="N144" s="153"/>
      <c r="O144" s="153"/>
      <c r="P144" s="153"/>
      <c r="Q144" s="153"/>
      <c r="R144" s="165"/>
      <c r="AA144" s="153"/>
      <c r="AB144" s="153"/>
      <c r="AC144" s="153"/>
      <c r="AD144" s="1845"/>
      <c r="AE144" s="1845"/>
      <c r="AF144" s="1841"/>
      <c r="AG144" s="1841"/>
      <c r="AH144" s="1841"/>
      <c r="AI144" s="1841"/>
      <c r="AJ144" s="1846"/>
      <c r="AK144" s="1846"/>
      <c r="AL144" s="1846"/>
      <c r="AM144" s="1846"/>
      <c r="AN144" s="1846"/>
      <c r="AO144" s="1846"/>
      <c r="AP144" s="1846"/>
      <c r="AQ144" s="1846"/>
      <c r="AR144" s="1846"/>
      <c r="AS144" s="1846"/>
    </row>
    <row r="145" spans="8:45" s="152" customFormat="1" ht="11.25" hidden="1" outlineLevel="1">
      <c r="H145" s="1846"/>
      <c r="I145" s="152" t="s">
        <v>148</v>
      </c>
      <c r="N145" s="153"/>
      <c r="O145" s="153"/>
      <c r="P145" s="153"/>
      <c r="Q145" s="153"/>
      <c r="R145" s="165"/>
      <c r="AA145" s="153"/>
      <c r="AB145" s="153"/>
      <c r="AC145" s="153"/>
      <c r="AD145" s="1845"/>
      <c r="AE145" s="1845"/>
      <c r="AF145" s="1841"/>
      <c r="AG145" s="1841"/>
      <c r="AH145" s="1841"/>
      <c r="AI145" s="1841"/>
      <c r="AJ145" s="1846"/>
      <c r="AK145" s="1846"/>
      <c r="AL145" s="1846"/>
      <c r="AM145" s="1846"/>
      <c r="AN145" s="1846"/>
      <c r="AO145" s="1846"/>
      <c r="AP145" s="1846"/>
      <c r="AQ145" s="1846"/>
      <c r="AR145" s="1846"/>
      <c r="AS145" s="1846"/>
    </row>
    <row r="146" spans="8:45" s="152" customFormat="1" ht="11.25" hidden="1" outlineLevel="1">
      <c r="H146" s="1846"/>
      <c r="N146" s="153"/>
      <c r="O146" s="153"/>
      <c r="P146" s="153"/>
      <c r="Q146" s="153"/>
      <c r="R146" s="153"/>
      <c r="AA146" s="153"/>
      <c r="AB146" s="153"/>
      <c r="AC146" s="153"/>
      <c r="AD146" s="1845"/>
      <c r="AE146" s="1845"/>
      <c r="AF146" s="1841"/>
      <c r="AG146" s="1841"/>
      <c r="AH146" s="1841"/>
      <c r="AI146" s="1841"/>
      <c r="AJ146" s="1846"/>
      <c r="AK146" s="1846"/>
      <c r="AL146" s="1846"/>
      <c r="AM146" s="1846"/>
      <c r="AN146" s="1846"/>
      <c r="AO146" s="1846"/>
      <c r="AP146" s="1846"/>
      <c r="AQ146" s="1846"/>
      <c r="AR146" s="1846"/>
      <c r="AS146" s="1846"/>
    </row>
    <row r="147" spans="8:45" s="152" customFormat="1" ht="11.25" hidden="1" outlineLevel="1">
      <c r="H147" s="1846"/>
      <c r="I147" s="155" t="s">
        <v>149</v>
      </c>
      <c r="N147" s="153"/>
      <c r="O147" s="153"/>
      <c r="P147" s="153"/>
      <c r="Q147" s="153"/>
      <c r="R147" s="153"/>
      <c r="AA147" s="153"/>
      <c r="AB147" s="153"/>
      <c r="AC147" s="153"/>
      <c r="AD147" s="1845"/>
      <c r="AE147" s="1845"/>
      <c r="AF147" s="1841"/>
      <c r="AG147" s="1841"/>
      <c r="AH147" s="1841"/>
      <c r="AI147" s="1841"/>
      <c r="AJ147" s="1846"/>
      <c r="AK147" s="1846"/>
      <c r="AL147" s="1846"/>
      <c r="AM147" s="1846"/>
      <c r="AN147" s="1846"/>
      <c r="AO147" s="1846"/>
      <c r="AP147" s="1846"/>
      <c r="AQ147" s="1846"/>
      <c r="AR147" s="1846"/>
      <c r="AS147" s="1846"/>
    </row>
    <row r="148" spans="8:45" s="152" customFormat="1" ht="11.25" hidden="1" outlineLevel="1">
      <c r="H148" s="1846"/>
      <c r="I148" s="160" t="s">
        <v>150</v>
      </c>
      <c r="N148" s="153"/>
      <c r="O148" s="153"/>
      <c r="P148" s="153"/>
      <c r="Q148" s="153"/>
      <c r="R148" s="168">
        <f>S131</f>
        <v>30678.447999999993</v>
      </c>
      <c r="AA148" s="153"/>
      <c r="AB148" s="153"/>
      <c r="AC148" s="153"/>
      <c r="AD148" s="1845"/>
      <c r="AE148" s="1845"/>
      <c r="AF148" s="1841"/>
      <c r="AG148" s="1841"/>
      <c r="AH148" s="1841"/>
      <c r="AI148" s="1841"/>
      <c r="AJ148" s="1846"/>
      <c r="AK148" s="1846"/>
      <c r="AL148" s="1846"/>
      <c r="AM148" s="1846"/>
      <c r="AN148" s="1846"/>
      <c r="AO148" s="1846"/>
      <c r="AP148" s="1846"/>
      <c r="AQ148" s="1846"/>
      <c r="AR148" s="1846"/>
      <c r="AS148" s="1846"/>
    </row>
    <row r="149" spans="8:45" s="152" customFormat="1" ht="11.25" hidden="1" outlineLevel="1">
      <c r="H149" s="1846"/>
      <c r="I149" s="160" t="s">
        <v>151</v>
      </c>
      <c r="N149" s="153"/>
      <c r="O149" s="153"/>
      <c r="P149" s="153"/>
      <c r="Q149" s="153"/>
      <c r="R149" s="168" t="e">
        <f>+SUM(S139:AD139)</f>
        <v>#VALUE!</v>
      </c>
      <c r="AA149" s="153"/>
      <c r="AB149" s="153"/>
      <c r="AC149" s="153"/>
      <c r="AD149" s="1845"/>
      <c r="AE149" s="1845"/>
      <c r="AF149" s="1841"/>
      <c r="AG149" s="1841"/>
      <c r="AH149" s="1841"/>
      <c r="AI149" s="1841"/>
      <c r="AJ149" s="1846"/>
      <c r="AK149" s="1846"/>
      <c r="AL149" s="1846"/>
      <c r="AM149" s="1846"/>
      <c r="AN149" s="1846"/>
      <c r="AO149" s="1846"/>
      <c r="AP149" s="1846"/>
      <c r="AQ149" s="1846"/>
      <c r="AR149" s="1846"/>
      <c r="AS149" s="1846"/>
    </row>
    <row r="150" spans="8:45" s="152" customFormat="1" ht="11.25" hidden="1" outlineLevel="1">
      <c r="H150" s="1846"/>
      <c r="I150" s="160" t="s">
        <v>152</v>
      </c>
      <c r="N150" s="153"/>
      <c r="O150" s="153"/>
      <c r="P150" s="153"/>
      <c r="Q150" s="153"/>
      <c r="R150" s="168" t="e">
        <f ca="1">+AC139*(1+$R$141)/($R$141-$R$145)</f>
        <v>#DIV/0!</v>
      </c>
      <c r="AA150" s="153"/>
      <c r="AB150" s="153"/>
      <c r="AC150" s="153"/>
      <c r="AD150" s="1845"/>
      <c r="AE150" s="1845"/>
      <c r="AF150" s="1841"/>
      <c r="AG150" s="1841"/>
      <c r="AH150" s="1841"/>
      <c r="AI150" s="1841"/>
      <c r="AJ150" s="1846"/>
      <c r="AK150" s="1846"/>
      <c r="AL150" s="1846"/>
      <c r="AM150" s="1846"/>
      <c r="AN150" s="1846"/>
      <c r="AO150" s="1846"/>
      <c r="AP150" s="1846"/>
      <c r="AQ150" s="1846"/>
      <c r="AR150" s="1846"/>
      <c r="AS150" s="1846"/>
    </row>
    <row r="151" spans="8:45" s="152" customFormat="1" ht="11.25" hidden="1" outlineLevel="1">
      <c r="H151" s="1846"/>
      <c r="I151" s="155" t="s">
        <v>153</v>
      </c>
      <c r="J151" s="155"/>
      <c r="K151" s="155"/>
      <c r="L151" s="155"/>
      <c r="M151" s="155"/>
      <c r="N151" s="153"/>
      <c r="O151" s="153"/>
      <c r="P151" s="153"/>
      <c r="Q151" s="161"/>
      <c r="R151" s="169" t="e">
        <f>SUM(R148:R150)</f>
        <v>#VALUE!</v>
      </c>
      <c r="AA151" s="153"/>
      <c r="AB151" s="153"/>
      <c r="AC151" s="153"/>
      <c r="AD151" s="1845"/>
      <c r="AE151" s="1845"/>
      <c r="AF151" s="1841"/>
      <c r="AG151" s="1841"/>
      <c r="AH151" s="1841"/>
      <c r="AI151" s="1841"/>
      <c r="AJ151" s="1846"/>
      <c r="AK151" s="1846"/>
      <c r="AL151" s="1846"/>
      <c r="AM151" s="1846"/>
      <c r="AN151" s="1846"/>
      <c r="AO151" s="1846"/>
      <c r="AP151" s="1846"/>
      <c r="AQ151" s="1846"/>
      <c r="AR151" s="1846"/>
      <c r="AS151" s="1846"/>
    </row>
    <row r="152" spans="8:45" s="152" customFormat="1" ht="11.25" hidden="1" outlineLevel="1">
      <c r="H152" s="1846"/>
      <c r="I152" s="152" t="s">
        <v>154</v>
      </c>
      <c r="N152" s="153"/>
      <c r="O152" s="153"/>
      <c r="P152" s="153"/>
      <c r="Q152" s="153"/>
      <c r="R152" s="168">
        <f>V35</f>
        <v>1499.4029299999997</v>
      </c>
      <c r="AA152" s="153"/>
      <c r="AB152" s="153"/>
      <c r="AC152" s="153"/>
      <c r="AD152" s="1845"/>
      <c r="AE152" s="1845"/>
      <c r="AF152" s="1841"/>
      <c r="AG152" s="1841"/>
      <c r="AH152" s="1841"/>
      <c r="AI152" s="1841"/>
      <c r="AJ152" s="1846"/>
      <c r="AK152" s="1846"/>
      <c r="AL152" s="1846"/>
      <c r="AM152" s="1846"/>
      <c r="AN152" s="1846"/>
      <c r="AO152" s="1846"/>
      <c r="AP152" s="1846"/>
      <c r="AQ152" s="1846"/>
      <c r="AR152" s="1846"/>
      <c r="AS152" s="1846"/>
    </row>
    <row r="153" spans="8:45" s="152" customFormat="1" ht="11.25" hidden="1" outlineLevel="1">
      <c r="H153" s="1846"/>
      <c r="I153" s="155" t="s">
        <v>155</v>
      </c>
      <c r="N153" s="153"/>
      <c r="O153" s="153"/>
      <c r="P153" s="153"/>
      <c r="Q153" s="153"/>
      <c r="R153" s="277" t="e">
        <f>R151/R152</f>
        <v>#VALUE!</v>
      </c>
      <c r="AA153" s="153"/>
      <c r="AB153" s="153"/>
      <c r="AC153" s="153"/>
      <c r="AD153" s="1845"/>
      <c r="AE153" s="1845"/>
      <c r="AF153" s="1841"/>
      <c r="AG153" s="1841"/>
      <c r="AH153" s="1841"/>
      <c r="AI153" s="1841"/>
      <c r="AJ153" s="1846"/>
      <c r="AK153" s="1846"/>
      <c r="AL153" s="1846"/>
      <c r="AM153" s="1846"/>
      <c r="AN153" s="1846"/>
      <c r="AO153" s="1846"/>
      <c r="AP153" s="1846"/>
      <c r="AQ153" s="1846"/>
      <c r="AR153" s="1846"/>
      <c r="AS153" s="1846"/>
    </row>
    <row r="154" spans="8:45" s="152" customFormat="1" ht="11.25" hidden="1" outlineLevel="1">
      <c r="H154" s="1846"/>
      <c r="N154" s="153"/>
      <c r="O154" s="153"/>
      <c r="P154" s="153"/>
      <c r="Q154" s="153"/>
      <c r="R154" s="168"/>
      <c r="AA154" s="153"/>
      <c r="AB154" s="153"/>
      <c r="AC154" s="153"/>
      <c r="AD154" s="1845"/>
      <c r="AE154" s="1845"/>
      <c r="AF154" s="1841"/>
      <c r="AG154" s="1841"/>
      <c r="AH154" s="1841"/>
      <c r="AI154" s="1841"/>
      <c r="AJ154" s="1846"/>
      <c r="AK154" s="1846"/>
      <c r="AL154" s="1846"/>
      <c r="AM154" s="1846"/>
      <c r="AN154" s="1846"/>
      <c r="AO154" s="1846"/>
      <c r="AP154" s="1846"/>
      <c r="AQ154" s="1846"/>
      <c r="AR154" s="1846"/>
      <c r="AS154" s="1846"/>
    </row>
    <row r="155" spans="8:45" s="152" customFormat="1" ht="11.25" hidden="1" outlineLevel="1">
      <c r="H155" s="1846"/>
      <c r="I155" s="155" t="s">
        <v>156</v>
      </c>
      <c r="N155" s="153"/>
      <c r="O155" s="153"/>
      <c r="P155" s="153"/>
      <c r="Q155" s="153"/>
      <c r="R155" s="168"/>
      <c r="AA155" s="153"/>
      <c r="AB155" s="153"/>
      <c r="AC155" s="153"/>
      <c r="AD155" s="1845"/>
      <c r="AE155" s="1845"/>
      <c r="AF155" s="1841"/>
      <c r="AG155" s="1841"/>
      <c r="AH155" s="1841"/>
      <c r="AI155" s="1841"/>
      <c r="AJ155" s="1846"/>
      <c r="AK155" s="1846"/>
      <c r="AL155" s="1846"/>
      <c r="AM155" s="1846"/>
      <c r="AN155" s="1846"/>
      <c r="AO155" s="1846"/>
      <c r="AP155" s="1846"/>
      <c r="AQ155" s="1846"/>
      <c r="AR155" s="1846"/>
      <c r="AS155" s="1846"/>
    </row>
    <row r="156" spans="8:45" s="152" customFormat="1" ht="11.25" collapsed="1">
      <c r="H156" s="1846"/>
      <c r="N156" s="153"/>
      <c r="O156" s="153"/>
      <c r="P156" s="153"/>
      <c r="Q156" s="159"/>
      <c r="R156" s="168">
        <f>R148/R152</f>
        <v>20.46044287775268</v>
      </c>
      <c r="S156" s="154" t="e">
        <f>R156/R$159</f>
        <v>#VALUE!</v>
      </c>
      <c r="AA156" s="153"/>
      <c r="AB156" s="153"/>
      <c r="AC156" s="153"/>
      <c r="AD156" s="153"/>
      <c r="AE156" s="153"/>
      <c r="AF156" s="149"/>
      <c r="AG156" s="149"/>
      <c r="AH156" s="149"/>
      <c r="AI156" s="149"/>
    </row>
    <row r="157" spans="8:45" s="152" customFormat="1" ht="11.25">
      <c r="H157" s="1846"/>
      <c r="N157" s="153"/>
      <c r="O157" s="153"/>
      <c r="P157" s="153"/>
      <c r="Q157" s="159"/>
      <c r="R157" s="168" t="e">
        <f>(R149/R$152)</f>
        <v>#VALUE!</v>
      </c>
      <c r="S157" s="154" t="e">
        <f>R157/R$159</f>
        <v>#VALUE!</v>
      </c>
      <c r="AA157" s="153"/>
      <c r="AB157" s="153"/>
      <c r="AC157" s="153"/>
      <c r="AD157" s="153"/>
      <c r="AE157" s="153"/>
      <c r="AF157" s="149"/>
      <c r="AG157" s="149"/>
      <c r="AH157" s="149"/>
      <c r="AI157" s="149"/>
    </row>
    <row r="158" spans="8:45" s="152" customFormat="1" ht="11.25">
      <c r="H158" s="1846"/>
      <c r="J158" s="155"/>
      <c r="K158" s="155"/>
      <c r="L158" s="155"/>
      <c r="M158" s="155"/>
      <c r="N158" s="153"/>
      <c r="O158" s="153"/>
      <c r="P158" s="153"/>
      <c r="Q158" s="162"/>
      <c r="R158" s="168" t="e">
        <f ca="1">(R150/R$152)</f>
        <v>#DIV/0!</v>
      </c>
      <c r="S158" s="154" t="e">
        <f ca="1">R158/R$159</f>
        <v>#DIV/0!</v>
      </c>
      <c r="AA158" s="153"/>
      <c r="AB158" s="153"/>
      <c r="AC158" s="153"/>
      <c r="AD158" s="153"/>
      <c r="AE158" s="153"/>
      <c r="AF158" s="149"/>
      <c r="AG158" s="149"/>
      <c r="AH158" s="149"/>
      <c r="AI158" s="149"/>
    </row>
    <row r="159" spans="8:45" s="152" customFormat="1">
      <c r="H159" s="1846"/>
      <c r="N159" s="153"/>
      <c r="O159" s="153"/>
      <c r="P159" s="153"/>
      <c r="Q159" s="153"/>
      <c r="R159" s="168" t="e">
        <f>((SUM(S139:W139)+S131)/R152)</f>
        <v>#VALUE!</v>
      </c>
      <c r="S159" s="154" t="e">
        <f>R159/R$159</f>
        <v>#VALUE!</v>
      </c>
      <c r="AA159" s="153"/>
      <c r="AB159" s="153"/>
      <c r="AC159" s="153"/>
      <c r="AD159" s="153"/>
      <c r="AE159" s="153"/>
      <c r="AF159" s="2"/>
      <c r="AG159" s="2"/>
      <c r="AH159" s="2"/>
      <c r="AI159" s="2"/>
    </row>
    <row r="160" spans="8:45" s="152" customFormat="1">
      <c r="H160" s="1845"/>
      <c r="N160" s="153"/>
      <c r="O160" s="153"/>
      <c r="P160" s="153"/>
      <c r="Q160" s="153"/>
      <c r="R160" s="153"/>
      <c r="S160" s="153"/>
      <c r="T160" s="153"/>
      <c r="AA160" s="153"/>
      <c r="AB160" s="153"/>
      <c r="AC160" s="153"/>
      <c r="AD160" s="153"/>
      <c r="AE160" s="153"/>
      <c r="AF160" s="2"/>
      <c r="AG160" s="2"/>
      <c r="AH160" s="2"/>
      <c r="AI160" s="2"/>
    </row>
    <row r="161" spans="8:35" s="2" customFormat="1">
      <c r="H161" s="474"/>
      <c r="R161" s="83"/>
    </row>
    <row r="162" spans="8:35" s="2" customFormat="1">
      <c r="H162" s="474"/>
      <c r="R162" s="83"/>
    </row>
    <row r="163" spans="8:35" s="2" customFormat="1">
      <c r="H163" s="474"/>
      <c r="R163" s="83"/>
    </row>
    <row r="164" spans="8:35">
      <c r="AF164" s="2"/>
      <c r="AG164" s="2"/>
      <c r="AH164" s="2"/>
      <c r="AI164" s="2"/>
    </row>
    <row r="165" spans="8:35">
      <c r="K165" s="64"/>
    </row>
  </sheetData>
  <mergeCells count="2">
    <mergeCell ref="AF7:AI7"/>
    <mergeCell ref="X54:AC54"/>
  </mergeCells>
  <phoneticPr fontId="8" type="noConversion"/>
  <pageMargins left="0" right="0" top="0" bottom="0" header="0" footer="0"/>
  <pageSetup paperSize="5" scale="41" orientation="landscape" r:id="rId1"/>
  <headerFooter>
    <oddFooter>&amp;L&amp;Z&amp;F\&amp;F\&amp;A&amp;C&amp;P/&amp;N&amp;R&amp;D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504" r:id="rId4" name="Drop Down 144">
              <controlPr defaultSize="0" print="0" autoLine="0" autoPict="0">
                <anchor moveWithCells="1">
                  <from>
                    <xdr:col>8</xdr:col>
                    <xdr:colOff>1304925</xdr:colOff>
                    <xdr:row>3</xdr:row>
                    <xdr:rowOff>76200</xdr:rowOff>
                  </from>
                  <to>
                    <xdr:col>8</xdr:col>
                    <xdr:colOff>2190750</xdr:colOff>
                    <xdr:row>4</xdr:row>
                    <xdr:rowOff>85725</xdr:rowOff>
                  </to>
                </anchor>
              </controlPr>
            </control>
          </mc:Choice>
        </mc:AlternateContent>
        <mc:AlternateContent xmlns:mc="http://schemas.openxmlformats.org/markup-compatibility/2006">
          <mc:Choice Requires="x14">
            <control shapeId="15505" r:id="rId5" name="Drop Down 145">
              <controlPr defaultSize="0" print="0" autoLine="0" autoPict="0">
                <anchor moveWithCells="1">
                  <from>
                    <xdr:col>8</xdr:col>
                    <xdr:colOff>1285875</xdr:colOff>
                    <xdr:row>4</xdr:row>
                    <xdr:rowOff>95250</xdr:rowOff>
                  </from>
                  <to>
                    <xdr:col>8</xdr:col>
                    <xdr:colOff>2171700</xdr:colOff>
                    <xdr:row>5</xdr:row>
                    <xdr:rowOff>104775</xdr:rowOff>
                  </to>
                </anchor>
              </controlPr>
            </control>
          </mc:Choice>
        </mc:AlternateContent>
        <mc:AlternateContent xmlns:mc="http://schemas.openxmlformats.org/markup-compatibility/2006">
          <mc:Choice Requires="x14">
            <control shapeId="15506" r:id="rId6" name="Drop Down 146">
              <controlPr defaultSize="0" print="0" autoLine="0" autoPict="0">
                <anchor moveWithCells="1">
                  <from>
                    <xdr:col>8</xdr:col>
                    <xdr:colOff>1323975</xdr:colOff>
                    <xdr:row>2</xdr:row>
                    <xdr:rowOff>47625</xdr:rowOff>
                  </from>
                  <to>
                    <xdr:col>8</xdr:col>
                    <xdr:colOff>2209800</xdr:colOff>
                    <xdr:row>3</xdr:row>
                    <xdr:rowOff>66675</xdr:rowOff>
                  </to>
                </anchor>
              </controlPr>
            </control>
          </mc:Choice>
        </mc:AlternateContent>
        <mc:AlternateContent xmlns:mc="http://schemas.openxmlformats.org/markup-compatibility/2006">
          <mc:Choice Requires="x14">
            <control shapeId="15507" r:id="rId7" name="Drop Down 147">
              <controlPr defaultSize="0" print="0" autoLine="0" autoPict="0">
                <anchor moveWithCells="1">
                  <from>
                    <xdr:col>8</xdr:col>
                    <xdr:colOff>1343025</xdr:colOff>
                    <xdr:row>1</xdr:row>
                    <xdr:rowOff>9525</xdr:rowOff>
                  </from>
                  <to>
                    <xdr:col>8</xdr:col>
                    <xdr:colOff>2228850</xdr:colOff>
                    <xdr:row>2</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3"/>
  <sheetViews>
    <sheetView workbookViewId="0">
      <selection activeCell="B42" sqref="B42"/>
    </sheetView>
  </sheetViews>
  <sheetFormatPr defaultRowHeight="12.75"/>
  <cols>
    <col min="1" max="1" width="29.5703125" style="1" bestFit="1" customWidth="1"/>
    <col min="2" max="2" width="19.85546875" style="1946"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c r="A1" s="1" t="s">
        <v>1017</v>
      </c>
      <c r="B1" s="1945">
        <v>6.1</v>
      </c>
    </row>
    <row r="2" spans="1:2">
      <c r="A2" s="1" t="s">
        <v>1018</v>
      </c>
      <c r="B2" s="1949">
        <v>43213.822337962964</v>
      </c>
    </row>
    <row r="3" spans="1:2">
      <c r="A3" s="1" t="s">
        <v>1019</v>
      </c>
      <c r="B3" s="1946" t="s">
        <v>708</v>
      </c>
    </row>
    <row r="4" spans="1:2">
      <c r="A4" s="1" t="s">
        <v>1020</v>
      </c>
      <c r="B4" s="1946" t="s">
        <v>1021</v>
      </c>
    </row>
    <row r="5" spans="1:2">
      <c r="A5" s="1" t="s">
        <v>1022</v>
      </c>
      <c r="B5" s="1946" t="s">
        <v>1023</v>
      </c>
    </row>
    <row r="6" spans="1:2">
      <c r="A6" s="1" t="s">
        <v>1024</v>
      </c>
    </row>
    <row r="7" spans="1:2">
      <c r="A7" s="1" t="s">
        <v>1025</v>
      </c>
      <c r="B7" s="1946" t="s">
        <v>447</v>
      </c>
    </row>
    <row r="8" spans="1:2">
      <c r="A8" s="1" t="s">
        <v>1026</v>
      </c>
      <c r="B8" s="1946" t="s">
        <v>1027</v>
      </c>
    </row>
    <row r="9" spans="1:2">
      <c r="A9" s="1" t="s">
        <v>1028</v>
      </c>
      <c r="B9" s="1946" t="s">
        <v>1065</v>
      </c>
    </row>
    <row r="10" spans="1:2">
      <c r="A10" s="1" t="s">
        <v>1029</v>
      </c>
    </row>
    <row r="11" spans="1:2">
      <c r="A11" s="1" t="s">
        <v>1030</v>
      </c>
    </row>
    <row r="12" spans="1:2">
      <c r="A12" s="1" t="s">
        <v>1031</v>
      </c>
    </row>
    <row r="13" spans="1:2">
      <c r="A13" s="1" t="s">
        <v>1032</v>
      </c>
    </row>
    <row r="14" spans="1:2">
      <c r="A14" s="1" t="s">
        <v>1033</v>
      </c>
    </row>
    <row r="15" spans="1:2">
      <c r="A15" s="1" t="s">
        <v>1034</v>
      </c>
    </row>
    <row r="16" spans="1:2">
      <c r="A16" s="1" t="s">
        <v>1035</v>
      </c>
    </row>
    <row r="17" spans="1:4">
      <c r="A17" s="1" t="s">
        <v>1036</v>
      </c>
      <c r="B17" s="1946" t="s">
        <v>1066</v>
      </c>
    </row>
    <row r="18" spans="1:4">
      <c r="A18" s="1" t="s">
        <v>1037</v>
      </c>
      <c r="B18" s="1946" t="s">
        <v>1069</v>
      </c>
    </row>
    <row r="19" spans="1:4">
      <c r="A19" s="1" t="s">
        <v>1038</v>
      </c>
      <c r="B19" s="1946" t="s">
        <v>446</v>
      </c>
    </row>
    <row r="20" spans="1:4">
      <c r="A20" s="1" t="s">
        <v>1039</v>
      </c>
      <c r="B20" s="1947" t="s">
        <v>1070</v>
      </c>
    </row>
    <row r="21" spans="1:4">
      <c r="A21" s="1" t="s">
        <v>1040</v>
      </c>
      <c r="B21" s="1946" t="s">
        <v>446</v>
      </c>
    </row>
    <row r="22" spans="1:4">
      <c r="A22" s="1" t="s">
        <v>1041</v>
      </c>
      <c r="B22" s="1947" t="s">
        <v>504</v>
      </c>
    </row>
    <row r="23" spans="1:4">
      <c r="A23" s="1" t="s">
        <v>450</v>
      </c>
      <c r="B23" s="1945">
        <v>37.44</v>
      </c>
    </row>
    <row r="24" spans="1:4">
      <c r="A24" s="1" t="s">
        <v>449</v>
      </c>
      <c r="B24" s="1946" t="s">
        <v>281</v>
      </c>
      <c r="D24" s="1" t="s">
        <v>289</v>
      </c>
    </row>
    <row r="25" spans="1:4">
      <c r="A25" s="1" t="s">
        <v>1042</v>
      </c>
      <c r="B25" s="1946" t="s">
        <v>1071</v>
      </c>
    </row>
    <row r="26" spans="1:4">
      <c r="A26" s="1" t="s">
        <v>1043</v>
      </c>
      <c r="B26" s="1946">
        <v>0</v>
      </c>
    </row>
    <row r="27" spans="1:4">
      <c r="A27" s="1" t="s">
        <v>1044</v>
      </c>
      <c r="B27" s="1946" t="s">
        <v>1045</v>
      </c>
    </row>
    <row r="28" spans="1:4">
      <c r="A28" s="1" t="s">
        <v>1046</v>
      </c>
      <c r="B28" s="1946" t="s">
        <v>1047</v>
      </c>
    </row>
    <row r="29" spans="1:4">
      <c r="A29" s="1" t="s">
        <v>1048</v>
      </c>
    </row>
    <row r="30" spans="1:4">
      <c r="A30" s="1" t="s">
        <v>1049</v>
      </c>
    </row>
    <row r="31" spans="1:4">
      <c r="A31" s="1" t="s">
        <v>1050</v>
      </c>
    </row>
    <row r="32" spans="1:4">
      <c r="A32" s="1" t="s">
        <v>1051</v>
      </c>
      <c r="B32" s="1945"/>
    </row>
    <row r="33" spans="1:2">
      <c r="A33" s="1" t="s">
        <v>1052</v>
      </c>
      <c r="B33" s="1945"/>
    </row>
    <row r="34" spans="1:2">
      <c r="A34" s="1" t="s">
        <v>1053</v>
      </c>
      <c r="B34" s="1945"/>
    </row>
    <row r="35" spans="1:2">
      <c r="A35" s="1" t="s">
        <v>1054</v>
      </c>
      <c r="B35" s="1946">
        <v>1000000</v>
      </c>
    </row>
    <row r="36" spans="1:2">
      <c r="A36" s="1" t="s">
        <v>1055</v>
      </c>
      <c r="B36" s="1946" t="s">
        <v>1067</v>
      </c>
    </row>
    <row r="37" spans="1:2">
      <c r="A37" s="1" t="s">
        <v>1056</v>
      </c>
      <c r="B37" s="1946" t="s">
        <v>1057</v>
      </c>
    </row>
    <row r="38" spans="1:2">
      <c r="A38" s="1" t="s">
        <v>1058</v>
      </c>
      <c r="B38" s="1946" t="s">
        <v>1059</v>
      </c>
    </row>
    <row r="39" spans="1:2">
      <c r="A39" s="1" t="s">
        <v>1060</v>
      </c>
      <c r="B39" s="1946" t="s">
        <v>1068</v>
      </c>
    </row>
    <row r="40" spans="1:2">
      <c r="A40" s="1" t="s">
        <v>1061</v>
      </c>
      <c r="B40" s="1946">
        <v>1900000858</v>
      </c>
    </row>
    <row r="41" spans="1:2">
      <c r="A41" s="1" t="s">
        <v>1062</v>
      </c>
      <c r="B41" s="1946">
        <v>5</v>
      </c>
    </row>
    <row r="42" spans="1:2">
      <c r="A42" s="1948" t="s">
        <v>1063</v>
      </c>
    </row>
    <row r="43" spans="1:2">
      <c r="A43" s="1" t="s">
        <v>1064</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c r="A1" s="1950" t="s">
        <v>1072</v>
      </c>
    </row>
    <row r="2" spans="1:1">
      <c r="A2" s="1950" t="s">
        <v>1077</v>
      </c>
    </row>
    <row r="3" spans="1:1">
      <c r="A3" s="1950" t="s">
        <v>1078</v>
      </c>
    </row>
    <row r="4" spans="1:1">
      <c r="A4" s="1950" t="s">
        <v>1079</v>
      </c>
    </row>
    <row r="5" spans="1:1">
      <c r="A5" s="1950" t="s">
        <v>1080</v>
      </c>
    </row>
    <row r="6" spans="1:1">
      <c r="A6" s="1950" t="s">
        <v>1073</v>
      </c>
    </row>
    <row r="7" spans="1:1">
      <c r="A7" s="1950" t="s">
        <v>1081</v>
      </c>
    </row>
    <row r="8" spans="1:1">
      <c r="A8" s="1950" t="s">
        <v>1082</v>
      </c>
    </row>
    <row r="9" spans="1:1">
      <c r="A9" s="1950" t="s">
        <v>1083</v>
      </c>
    </row>
    <row r="10" spans="1:1">
      <c r="A10" s="1950" t="s">
        <v>1074</v>
      </c>
    </row>
    <row r="11" spans="1:1">
      <c r="A11" s="1950" t="s">
        <v>1084</v>
      </c>
    </row>
    <row r="12" spans="1:1">
      <c r="A12" s="1950" t="s">
        <v>1075</v>
      </c>
    </row>
    <row r="13" spans="1:1">
      <c r="A13" s="1950" t="s">
        <v>1076</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N2"/>
  <sheetViews>
    <sheetView workbookViewId="0"/>
  </sheetViews>
  <sheetFormatPr defaultRowHeight="12.75"/>
  <sheetData>
    <row r="1" spans="1:14">
      <c r="A1" t="s">
        <v>612</v>
      </c>
    </row>
    <row r="2" spans="1:14">
      <c r="A2" s="471" t="s">
        <v>453</v>
      </c>
      <c r="B2" s="471" t="s">
        <v>607</v>
      </c>
      <c r="C2" s="471" t="s">
        <v>452</v>
      </c>
      <c r="D2" s="471" t="s">
        <v>281</v>
      </c>
      <c r="E2" s="471" t="s">
        <v>608</v>
      </c>
      <c r="F2" s="471" t="s">
        <v>613</v>
      </c>
      <c r="G2" s="471" t="s">
        <v>609</v>
      </c>
      <c r="H2" s="471" t="s">
        <v>614</v>
      </c>
      <c r="I2" s="471" t="s">
        <v>454</v>
      </c>
      <c r="J2" s="471" t="s">
        <v>504</v>
      </c>
      <c r="K2" s="471" t="s">
        <v>610</v>
      </c>
      <c r="L2" s="471" t="s">
        <v>615</v>
      </c>
      <c r="M2" s="471" t="s">
        <v>611</v>
      </c>
      <c r="N2" s="471" t="s">
        <v>616</v>
      </c>
    </row>
  </sheetData>
  <phoneticPr fontId="119"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e66611e8-d748-4c28-a871-208cd182713e</GUID>
    <SOURCE_ALTADDRESS>$V$41:$AB$60</SOURCE_ALTADDRESS>
    <SOURCETYPE>Table</SOURCETYPE>
    <SOURCE_OBJECTNAME>Linking_Range_17</SOURCE_OBJECTNAME>
    <OBJECTTYPE>Native</OBJECTTYPE>
    <SOURCE_SHEETCODE>Sheet25</SOURCE_SHEETCODE>
    <SOURCE_SHEETNAME>BullBear</SOURCE_SHEETNAME>
    <SOURCEAPPLICATION>EXCEL_SOURCE</SOURCEAPPLICATION>
    <UPDATEDAT>2/6/2015 11:31:05 AM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/MSResearch/Content/ExternalAssets/2015-02/Images/vnliDSM3R29mHvKsMlbqA--.png</TARGET_BINARYFULLNAME>
    <TARGET_STORYFULLNAME>/MSResearch/Content/ExternalAssets/2015-02/Sections/20150205_103059_Linking_Range_17.xml</TARGET_STORYFULLNAME>
    <TARGET_UUID>91c5ee5c-adb0-11e4-946e-d93333148876</TARGET_UUID>
  </Link>
  <Link>
    <GUID>d62e97a3-b5db-472d-adaa-086bfcc53aa8</GUID>
    <SOURCE_ALTADDRESS>$V$41:$AB$63</SOURCE_ALTADDRESS>
    <SOURCETYPE>Table</SOURCETYPE>
    <SOURCE_OBJECTNAME>Linking_Range_18</SOURCE_OBJECTNAME>
    <OBJECTTYPE>Native</OBJECTTYPE>
    <SOURCE_SHEETCODE>Sheet25</SOURCE_SHEETCODE>
    <SOURCE_SHEETNAME>BullBear</SOURCE_SHEETNAME>
    <SOURCEAPPLICATION>EXCEL_SOURCE</SOURCEAPPLICATION>
    <UPDATEDAT>2/6/2015 3:29:36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/MSResearch/Content/ExternalAssets/2015-02/Images/HBaFpttKSydDfNeHm_grg--.png</TARGET_BINARYFULLNAME>
    <TARGET_STORYFULLNAME>/MSResearch/Content/ExternalAssets/2015-02/Sections/20150206_022929_Linking_Range_18.xml</TARGET_STORYFULLNAME>
    <TARGET_UUID>e311c38c-add1-11e4-946e-d93333148876</TARGET_UUID>
  </Link>
  <Link>
    <GUID>0b93e2f1-9ea9-4b54-a154-d1b19743e39b</GUID>
    <SOURCE_ALTADDRESS>$B$1:$AE$44</SOURCE_ALTADDRESS>
    <SOURCETYPE>Table</SOURCETYPE>
    <SOURCE_OBJECTNAME>Linking_Range_20</SOURCE_OBJECTNAME>
    <OBJECTTYPE>Native</OBJECTTYPE>
    <SOURCE_SHEETCODE>Sheet28</SOURCE_SHEETCODE>
    <SOURCE_SHEETNAME>OldVs.New</SOURCE_SHEETNAME>
    <SOURCEAPPLICATION>EXCEL_SOURCE</SOURCEAPPLICATION>
    <UPDATEDAT>2/6/2015 3:41:05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/MSResearch/Content/ExternalAssets/2015-02/Images/GYt_LIa5AugTwh9OgYsw--.png</TARGET_BINARYFULLNAME>
    <TARGET_STORYFULLNAME>/MSResearch/Content/ExternalAssets/2015-02/Sections/20150206_024040_Linking_Range_2.xml</TARGET_STORYFULLNAME>
    <TARGET_UUID>7317e92e-add3-11e4-946e-d93333148876</TARGET_UUID>
    <LINKSTATUS>Unknown</LINKSTATUS>
  </Link>
  <Link>
    <GUID>2eedcc3f-2144-49a5-b393-010d6a5205ec</GUID>
    <SOURCE_ALTADDRESS>$I$13:$N$17</SOURCE_ALTADDRESS>
    <SOURCETYPE>Table</SOURCETYPE>
    <SOURCE_OBJECTNAME>Linking_Range_21</SOURCE_OBJECTNAME>
    <OBJECTTYPE>Native</OBJECTTYPE>
    <SOURCE_SHEETCODE>Sheet32</SOURCE_SHEETCODE>
    <SOURCE_SHEETNAME>WeChat</SOURCE_SHEETNAME>
    <SOURCEAPPLICATION>EXCEL_SOURCE</SOURCEAPPLICATION>
    <UPDATEDAT>2/6/2015 6:27:01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/MSResearch/Content/ExternalAssets/2015-02/Images/WPvlz1DkuRxstVupNUow--.png</TARGET_BINARYFULLNAME>
    <TARGET_STORYFULLNAME>/MSResearch/Content/ExternalAssets/2015-02/Sections/20150206_052653_Linking_Range_21.xml</TARGET_STORYFULLNAME>
    <TARGET_UUID>ab5aaef4-adea-11e4-946e-d93333148876</TARGET_UUID>
  </Link>
  <Link>
    <GUID>65fdd241-f928-4620-b134-5ba056655ef8</GUID>
    <SOURCE_ALTADDRESS>$B$1:$AD$60</SOURCE_ALTADDRESS>
    <SOURCETYPE>Table</SOURCETYPE>
    <SOURCE_OBJECTNAME>Linking_Range_22</SOURCE_OBJECTNAME>
    <OBJECTTYPE>Native</OBJECTTYPE>
    <SOURCE_SHEETCODE>Sheet28</SOURCE_SHEETCODE>
    <SOURCE_SHEETNAME>OldVs.New</SOURCE_SHEETNAME>
    <SOURCEAPPLICATION>EXCEL_SOURCE</SOURCEAPPLICATION>
    <UPDATEDAT>2/6/2015 6:45:24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/MSResearch/Content/ExternalAssets/2015-02/Images/e6dWu9uHckCl5FyrgeIaOg--.png</TARGET_BINARYFULLNAME>
    <TARGET_STORYFULLNAME>/MSResearch/Content/ExternalAssets/2015-02/Sections/20150206_054246_Linking_Range_22.xml</TARGET_STORYFULLNAME>
    <TARGET_UUID>e3051f90-adec-11e4-946e-d93333148876</TARGET_UUID>
    <TRANSPARENTBACKGROUND>False</TRANSPARENTBACKGROUND>
    <TRANSPARENTPLOTAREA>False</TRANSPARENTPLOTAREA>
    <LINKSTATUS>Unknown</LINKSTATUS>
  </Link>
  <Link>
    <GUID>b1d5b50d-88d1-457a-a602-897288653edd</GUID>
    <SOURCE_ALTADDRESS>$I$10:$AE$52</SOURCE_ALTADDRESS>
    <SOURCETYPE>Table</SOURCETYPE>
    <SOURCE_OBJECTNAME>Linking_Range_10</SOURCE_OBJECTNAME>
    <OBJECTTYPE>Native</OBJECTTYPE>
    <SOURCE_SHEETCODE>Sheet1</SOURCE_SHEETCODE>
    <SOURCE_SHEETNAME>DCF</SOURCE_SHEETNAME>
    <SOURCEAPPLICATION>EXCEL_SOURCE</SOURCEAPPLICATION>
    <UPDATEDAT>2/6/2015 6:57:01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/MSResearch/Content/ExternalAssets/2015-02/Images/moz7cQ9BDEKErUImu8r8AA--.png</TARGET_BINARYFULLNAME>
    <TARGET_STORYFULLNAME>/MSResearch/Content/ExternalAssets/2015-02/Sections/20150206_055011_Linking_Range_1.xml</TARGET_STORYFULLNAME>
    <TARGET_UUID>ec946308-aded-11e4-946e-d93333148876</TARGET_UUID>
    <TRANSPARENTBACKGROUND>False</TRANSPARENTBACKGROUND>
    <TRANSPARENTPLOTAREA>False</TRANSPARENTPLOTAREA>
  </Link>
  <Link>
    <GUID>759c74e7-507a-4dae-8aa8-fbc5f5a637c9</GUID>
    <SOURCE_ALTADDRESS>$B$1:$AD$115</SOURCE_ALTADDRESS>
    <SOURCETYPE>Table</SOURCETYPE>
    <SOURCE_OBJECTNAME>Linking_Range_23</SOURCE_OBJECTNAME>
    <OBJECTTYPE>Native</OBJECTTYPE>
    <SOURCE_SHEETCODE>Sheet28</SOURCE_SHEETCODE>
    <SOURCE_SHEETNAME>OldVs.New</SOURCE_SHEETNAME>
    <SOURCEAPPLICATION>EXCEL_SOURCE</SOURCEAPPLICATION>
    <UPDATEDAT>2/9/2015 1:37:13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/MSResearch/Content/ExternalAssets/2015-02/Images/P3hWafxKEemZmmlnHnIlw--.png</TARGET_BINARYFULLNAME>
    <TARGET_STORYFULLNAME>/MSResearch/Content/ExternalAssets/2015-02/Sections/20150206_062927_Linking_Range_23.xml</TARGET_STORYFULLNAME>
    <TARGET_UUID>69107ea8-adf3-11e4-946e-d93333148876</TARGET_UUID>
    <LINKSTATUS>Unknown</LINKSTATUS>
  </Link>
  <Link>
    <GUID>6d3ac82a-0881-4755-b763-80e3d39a4723</GUID>
    <SOURCE_ALTADDRESS>$AK$19:$BL$264</SOURCE_ALTADDRESS>
    <SOURCETYPE>Table</SOURCETYPE>
    <SOURCE_OBJECTNAME>Linking_Range_25</SOURCE_OBJECTNAME>
    <OBJECTTYPE>Native</OBJECTTYPE>
    <SOURCE_SHEETCODE>Sheet3</SOURCE_SHEETCODE>
    <SOURCE_SHEETNAME>Main</SOURCE_SHEETNAME>
    <SOURCEAPPLICATION>EXCEL_SOURCE</SOURCEAPPLICATION>
    <UPDATEDAT>2/9/2015 1:56:38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/MSResearch/Content/ExternalAssets/2015-02/Images/4mtqWVUPUmgnk_Cwao6g--.png</TARGET_BINARYFULLNAME>
    <TARGET_STORYFULLNAME>/MSResearch/Content/ExternalAssets/2015-02/Sections/20150209_125534_Linking_Range_25.xml</TARGET_STORYFULLNAME>
    <TARGET_UUID>43733b02-b020-11e4-9343-7c9184ca9b36</TARGET_UUID>
    <TRANSPARENTBACKGROUND>False</TRANSPARENTBACKGROUND>
    <TRANSPARENTPLOTAREA>False</TRANSPARENTPLOTAREA>
  </Link>
  <Link>
    <GUID>7a79db00-4941-47cd-8849-21a3f1ec1e67</GUID>
    <SOURCE_ALTADDRESS>$AG$7:$AI$21</SOURCE_ALTADDRESS>
    <SOURCETYPE>Table</SOURCETYPE>
    <SOURCE_OBJECTNAME>Linking_Range_26</SOURCE_OBJECTNAME>
    <OBJECTTYPE>Native</OBJECTTYPE>
    <SOURCE_SHEETCODE>Sheet26</SOURCE_SHEETCODE>
    <SOURCE_SHEETNAME>Summary</SOURCE_SHEETNAME>
    <SOURCEAPPLICATION>EXCEL_SOURCE</SOURCEAPPLICATION>
    <UPDATEDAT>2/25/2015 2:01:08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/MSResearch/Content/ExternalAssets/2015-02/Images/kZsNen4g_kOQgkxhkMm-Q--.png</TARGET_BINARYFULLNAME>
    <TARGET_STORYFULLNAME>/MSResearch/Content/ExternalAssets/2015-02/Sections/20150225_010059_Linking_Range_26.xml</TARGET_STORYFULLNAME>
    <TARGET_UUID>abbf322a-bcb3-11e4-a5e9-e3b3f180109b</TARGET_UUID>
  </Link>
  <Link>
    <GUID>902339fc-9aac-48c5-ac75-ee724f52400a</GUID>
    <SOURCE_ALTADDRESS>$Y$2:$AD$18</SOURCE_ALTADDRESS>
    <SOURCETYPE>Table</SOURCETYPE>
    <SOURCE_OBJECTNAME>Linking_Range_27</SOURCE_OBJECTNAME>
    <OBJECTTYPE>Native</OBJECTTYPE>
    <SOURCE_SHEETCODE>Sheet7</SOURCE_SHEETCODE>
    <SOURCE_SHEETNAME>Charts</SOURCE_SHEETNAME>
    <SOURCEAPPLICATION>EXCEL_SOURCE</SOURCEAPPLICATION>
    <UPDATEDAT>3/3/2015 7:52:06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/MSResearch/Content/ExternalAssets/2015-03/Images/_18lAIl1U_Qk9SghYxzzw--.png</TARGET_BINARYFULLNAME>
    <TARGET_STORYFULLNAME>/MSResearch/Content/ExternalAssets/2015-03/Sections/20150303_041323_Linking_Range_27.xml</TARGET_STORYFULLNAME>
    <TARGET_UUID>8ae38084-c185-11e4-88af-319e7ae7f514</TARGET_UUID>
    <LINKSTATUS>Unknown</LINKSTATUS>
  </Link>
  <Link>
    <GUID>8a13378d-bf1f-4f91-8e40-4605cd3cb2d2</GUID>
    <SOURCE_ALTADDRESS>$Y$20:$AD$36</SOURCE_ALTADDRESS>
    <SOURCETYPE>Table</SOURCETYPE>
    <SOURCE_OBJECTNAME>Linking_Range_28</SOURCE_OBJECTNAME>
    <OBJECTTYPE>Native</OBJECTTYPE>
    <SOURCE_SHEETCODE>Sheet7</SOURCE_SHEETCODE>
    <SOURCE_SHEETNAME>Charts</SOURCE_SHEETNAME>
    <SOURCEAPPLICATION>EXCEL_SOURCE</SOURCEAPPLICATION>
    <UPDATEDAT>3/3/2015 7:52:49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/MSResearch/Content/ExternalAssets/2015-03/Images/cWGxCSGxaM8qu7lqxyw--.png</TARGET_BINARYFULLNAME>
    <TARGET_STORYFULLNAME>/MSResearch/Content/ExternalAssets/2015-03/Sections/20150303_041441_Linking_Range_28.xml</TARGET_STORYFULLNAME>
    <TARGET_UUID>b967fe94-c185-11e4-88af-319e7ae7f514</TARGET_UUID>
    <LINKSTATUS>Unknown</LINKSTATUS>
  </Link>
  <Link>
    <GUID>46455955-d25e-4b2e-92c1-176e76782d96</GUID>
    <SOURCE_ALTADDRESS>$O$38:$W$48</SOURCE_ALTADDRESS>
    <SOURCETYPE>Table</SOURCETYPE>
    <SOURCE_OBJECTNAME>Linking_Range_29</SOURCE_OBJECTNAME>
    <OBJECTTYPE>Native</OBJECTTYPE>
    <SOURCE_SHEETCODE>Sheet7</SOURCE_SHEETCODE>
    <SOURCE_SHEETNAME>Charts</SOURCE_SHEETNAME>
    <SOURCEAPPLICATION>EXCEL_SOURCE</SOURCEAPPLICATION>
    <UPDATEDAT>3/3/2015 7:53:00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/MSResearch/Content/ExternalAssets/2015-03/Images/GnQh9P5YrUeKd_I2GqVY_g--.png</TARGET_BINARYFULLNAME>
    <TARGET_STORYFULLNAME>/MSResearch/Content/ExternalAssets/2015-03/Sections/20150303_041631_Linking_Range_29.xml</TARGET_STORYFULLNAME>
    <TARGET_UUID>fae30a44-c185-11e4-88af-319e7ae7f514</TARGET_UUID>
    <LINKSTATUS>Unknown</LINKSTATUS>
  </Link>
  <Link>
    <GUID>1b26b42e-8d26-4b13-ae0c-4cdc3f92ed53</GUID>
    <SOURCE_ALTADDRESS>$Y$51:$AD$67</SOURCE_ALTADDRESS>
    <SOURCETYPE>Table</SOURCETYPE>
    <SOURCE_OBJECTNAME>Linking_Range_30</SOURCE_OBJECTNAME>
    <OBJECTTYPE>Native</OBJECTTYPE>
    <SOURCE_SHEETCODE>Sheet7</SOURCE_SHEETCODE>
    <SOURCE_SHEETNAME>Charts</SOURCE_SHEETNAME>
    <SOURCEAPPLICATION>EXCEL_SOURCE</SOURCEAPPLICATION>
    <UPDATEDAT>3/3/2015 7:53:13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/MSResearch/Content/ExternalAssets/2015-03/Images/yqZpTA_fMUSvyrtBIQxLMA--.png</TARGET_BINARYFULLNAME>
    <TARGET_STORYFULLNAME>/MSResearch/Content/ExternalAssets/2015-03/Sections/20150303_041800_Linking_Range_3.xml</TARGET_STORYFULLNAME>
    <TARGET_UUID>3017cd44-c186-11e4-88af-319e7ae7f514</TARGET_UUID>
    <LINKSTATUS>Unknown</LINKSTATUS>
  </Link>
  <Link>
    <GUID>66f4dc12-5a53-4aa4-8528-26b7a8b500e1</GUID>
    <SOURCE_ALTADDRESS>$Y$69:$AD$85</SOURCE_ALTADDRESS>
    <SOURCETYPE>Table</SOURCETYPE>
    <SOURCE_OBJECTNAME>Linking_Range_31</SOURCE_OBJECTNAME>
    <OBJECTTYPE>Native</OBJECTTYPE>
    <SOURCE_SHEETCODE>Sheet7</SOURCE_SHEETCODE>
    <SOURCE_SHEETNAME>Charts</SOURCE_SHEETNAME>
    <SOURCEAPPLICATION>EXCEL_SOURCE</SOURCEAPPLICATION>
    <UPDATEDAT>3/3/2015 7:53:26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/MSResearch/Content/ExternalAssets/2015-03/Images/zFeiP3OCDUqBqmAueX5xA--.png</TARGET_BINARYFULLNAME>
    <TARGET_STORYFULLNAME>/MSResearch/Content/ExternalAssets/2015-03/Sections/20150303_041934_Linking_Range_31.xml</TARGET_STORYFULLNAME>
    <TARGET_UUID>68707fc4-c186-11e4-88af-319e7ae7f514</TARGET_UUID>
    <LINKSTATUS>Unknown</LINKSTATUS>
  </Link>
  <Link>
    <GUID>d62a187f-cc98-4f9f-befe-656083976a94</GUID>
    <SOURCE_ALTADDRESS>$Y$87:$AD$103</SOURCE_ALTADDRESS>
    <SOURCETYPE>Table</SOURCETYPE>
    <SOURCE_OBJECTNAME>Linking_Range_32</SOURCE_OBJECTNAME>
    <OBJECTTYPE>Native</OBJECTTYPE>
    <SOURCE_SHEETCODE>Sheet7</SOURCE_SHEETCODE>
    <SOURCE_SHEETNAME>Charts</SOURCE_SHEETNAME>
    <SOURCEAPPLICATION>EXCEL_SOURCE</SOURCEAPPLICATION>
    <UPDATEDAT>3/3/2015 7:53:39 PM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/MSResearch/Content/ExternalAssets/2015-03/Images/8KCNZAstAyjbuD-e5fCGA--.png</TARGET_BINARYFULLNAME>
    <TARGET_STORYFULLNAME>/MSResearch/Content/ExternalAssets/2015-03/Sections/20150303_042021_Linking_Range_32.xml</TARGET_STORYFULLNAME>
    <TARGET_UUID>842973f6-c186-11e4-88af-319e7ae7f514</TARGET_UUID>
    <LINKSTATUS>Unknown</LINKSTATUS>
  </Link>
  <Link>
    <GUID>15f833bb-94f7-4fb5-8632-cd75e0b2e4bc</GUID>
    <SOURCE_ALTADDRESS>$H$41:$M$60</SOURCE_ALTADDRESS>
    <SOURCETYPE>Table</SOURCETYPE>
    <SOURCE_OBJECTNAME>Linking_Range_24</SOURCE_OBJECTNAME>
    <OBJECTTYPE>Native</OBJECTTYPE>
    <SOURCE_SHEETCODE>Sheet25</SOURCE_SHEETCODE>
    <SOURCE_SHEETNAME>BullBear</SOURCE_SHEETNAME>
    <SOURCEAPPLICATION>EXCEL_SOURCE</SOURCEAPPLICATION>
    <UPDATEDAT>3/4/2015 1:39:41 AM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/MSResearch/Content/ExternalAssets/2015-02/Images/C3pZ7stcjSs_edE5P2yOg--.png</TARGET_BINARYFULLNAME>
    <TARGET_STORYFULLNAME>/MSResearch/Content/ExternalAssets/2015-02/Sections/20150208_112616_Linking_Range_24.xml</TARGET_STORYFULLNAME>
    <TARGET_UUID>c9f69104-b013-11e4-9343-7c9184ca9b36</TARGET_UUID>
    <TRANSPARENTBACKGROUND>False</TRANSPARENTBACKGROUND>
    <TRANSPARENTPLOTAREA>False</TRANSPARENTPLOTAREA>
    <EXTRACTSOURCEMODE>CopyToClipboard</EXTRACTSOURCEMODE>
    <LINKSTATUS>Unknown</LINKSTATUS>
  </Link>
  <Link>
    <GUID>c628595e-46ee-4133-889d-e075a07cebde</GUID>
    <SOURCETYPE>Chart</SOURCETYPE>
    <SOURCE_OBJECTNAME>MWA_Risk_Reward</SOURCE_OBJECTNAME>
    <SOURCE_SHEETCODE>MWRSSData</SOURCE_SHEETCODE>
    <SOURCE_SHEETNAME>MWA RR</SOURCE_SHEETNAME>
    <OBJECTTYPE>Native</OBJECTTYPE>
    <SOURCEAPPLICATION>EXCEL_SOURCE</SOURCEAPPLICATION>
    <UPDATEDAT>3/4/2015 1:49:08 AM</UPDATEDAT>
    <SOURCE_ISOUTOFDATE>False</SOURCE_ISOUTOFDATE>
    <SOURCE_WORKBOOKNAME>JD.xlsm</SOURCE_WORKBOOKNAME>
    <SOURCE_WORKBOOKPATH>\\MSAD\ROOT\AP\HK\LIB\ER\ecomm\JD\Financials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/MSResearch/Content/ExternalAssets/2015-02/Images/eK3-94PWAEiUwjSbuw-nFQ--.png</TARGET_BINARYFULLNAME>
    <TARGET_STORYFULLNAME>/MSResearch/Content/ExternalAssets/2015-02/Sections/20150208_112400_MWA_Risk_Reward.xml</TARGET_STORYFULLNAME>
    <TARGET_UUID>78d7bbcc-b013-11e4-9343-7c9184ca9b36</TARGET_UUID>
    <HIDEGRIDLINES>False</HIDEGRIDLINES>
    <EXTRACTSOURCEMODE>CopyToClipboard</EXTRACTSOURCEMODE>
  </Link>
  <Link>
    <GUID>930006c0-8b46-4949-8129-4c5a696dbf4c</GUID>
    <SOURCETYPE>Chart</SOURCETYPE>
    <SOURCE_OBJECTNAME>MWA_Risk_Reward</SOURCE_OBJECTNAME>
    <SOURCE_SHEETCODE>Sheet31</SOURCE_SHEETCODE>
    <SOURCE_SHEETNAME>HA</SOURCE_SHEETNAME>
    <OBJECTTYPE>Native</OBJECTTYPE>
    <SOURCEAPPLICATION>EXCEL_SOURCE</SOURCEAPPLICATION>
    <UPDATEDAT>3/4/2015 1:50:05 AM</UPDATEDAT>
    <SOURCE_ISOUTOFDATE>False</SOURCE_ISOUTOFDATE>
    <SOURCE_WORKBOOKNAME>JD.xlsm</SOURCE_WORKBOOKNAME>
    <SOURCE_WORKBOOKPATH>\\MSAD\ROOT\AP\HK\LIB\ER\ecomm\JD\Financials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/MSResearch/Content/ExternalAssets/2015-03/Images/aVJ-6tqMUES8aKDQ-FpDww--.png</TARGET_BINARYFULLNAME>
    <TARGET_STORYFULLNAME>/MSResearch/Content/ExternalAssets/2015-03/Sections/20150303_124951_MWA_Risk_Reward.xml</TARGET_STORYFULLNAME>
    <TARGET_UUID>b14877a0-c1cd-11e4-88af-319e7ae7f514</TARGET_UUID>
  </Link>
  <Link>
    <GUID>83d25abb-434d-448e-bb96-82d2cb70095e</GUID>
    <SOURCETYPE>Chart</SOURCETYPE>
    <SOURCE_OBJECTNAME>1</SOURCE_OBJECTNAME>
    <SOURCE_SHEETCODE>MWRSSData</SOURCE_SHEETCODE>
    <SOURCE_SHEETNAME>MWA RR</SOURCE_SHEETNAME>
    <OBJECTTYPE>Native</OBJECTTYPE>
    <SOURCEAPPLICATION>EXCEL_SOURCE</SOURCEAPPLICATION>
    <UPDATEDAT>3/4/2015 1:52:56 AM</UPDATEDAT>
    <SOURCE_ISOUTOFDATE>False</SOURCE_ISOUTOFDATE>
    <SOURCE_WORKBOOKNAME>JD.xlsm</SOURCE_WORKBOOKNAME>
    <SOURCE_WORKBOOKPATH>\\MSAD\ROOT\AP\HK\LIB\ER\ecomm\JD\Financials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/MSResearch/Content/ExternalAssets/2015-03/Images/vZa_WkdnQUCS239ixiIbbg--.png</TARGET_BINARYFULLNAME>
    <TARGET_STORYFULLNAME>/MSResearch/Content/ExternalAssets/2015-03/Sections/20150303_125251_1.xml</TARGET_STORYFULLNAME>
    <TARGET_UUID>1c7ee96e-c1ce-11e4-88af-319e7ae7f514</TARGET_UUID>
  </Link>
  <Link>
    <GUID>b89e8378-c0a9-41a9-9bad-01038ce9954f</GUID>
    <SOURCE_ALTADDRESS>$H$2:$M$18</SOURCE_ALTADDRESS>
    <SOURCETYPE>Table</SOURCETYPE>
    <SOURCE_OBJECTNAME>Linking_Range_33</SOURCE_OBJECTNAME>
    <OBJECTTYPE>Native</OBJECTTYPE>
    <SOURCE_SHEETCODE>Sheet7</SOURCE_SHEETCODE>
    <SOURCE_SHEETNAME>Charts</SOURCE_SHEETNAME>
    <SOURCEAPPLICATION>EXCEL_SOURCE</SOURCEAPPLICATION>
    <UPDATEDAT>3/4/2015 2:01:54 AM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/MSResearch/Content/ExternalAssets/2015-03/Images/mAmXts8bhkmWrxyrz4b_8A--.png</TARGET_BINARYFULLNAME>
    <TARGET_STORYFULLNAME>/MSResearch/Content/ExternalAssets/2015-03/Sections/20150303_044452_Linking_Range_33.xml</TARGET_STORYFULLNAME>
    <TARGET_UUID>f11b2a6a-c189-11e4-88af-319e7ae7f514</TARGET_UUID>
    <LINKSTATUS>Unknown</LINKSTATUS>
  </Link>
  <Link>
    <GUID>7ac4efaf-39d3-4161-84de-d1e5179f733a</GUID>
    <SOURCE_ALTADDRESS>$H$20:$M$36</SOURCE_ALTADDRESS>
    <SOURCETYPE>Table</SOURCETYPE>
    <SOURCE_OBJECTNAME>Linking_Range_34</SOURCE_OBJECTNAME>
    <OBJECTTYPE>Native</OBJECTTYPE>
    <SOURCE_SHEETCODE>Sheet7</SOURCE_SHEETCODE>
    <SOURCE_SHEETNAME>Charts</SOURCE_SHEETNAME>
    <SOURCEAPPLICATION>EXCEL_SOURCE</SOURCEAPPLICATION>
    <UPDATEDAT>3/4/2015 2:02:26 AM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/MSResearch/Content/ExternalAssets/2015-03/Images/yhZ9QzaT2UWW6yOqn48j8A--.png</TARGET_BINARYFULLNAME>
    <TARGET_STORYFULLNAME>/MSResearch/Content/ExternalAssets/2015-03/Sections/20150303_044554_Linking_Range_34.xml</TARGET_STORYFULLNAME>
    <TARGET_UUID>1604752a-c18a-11e4-88af-319e7ae7f514</TARGET_UUID>
    <LINKSTATUS>Unknown</LINKSTATUS>
  </Link>
  <Link>
    <GUID>c13c5e65-eb42-461e-9900-e675d5cc5abd</GUID>
    <SOURCE_ALTADDRESS>$A$38:$F$48</SOURCE_ALTADDRESS>
    <SOURCETYPE>Table</SOURCETYPE>
    <SOURCE_OBJECTNAME>Linking_Range_35</SOURCE_OBJECTNAME>
    <OBJECTTYPE>Native</OBJECTTYPE>
    <SOURCE_SHEETCODE>Sheet7</SOURCE_SHEETCODE>
    <SOURCE_SHEETNAME>Charts</SOURCE_SHEETNAME>
    <SOURCEAPPLICATION>EXCEL_SOURCE</SOURCEAPPLICATION>
    <UPDATEDAT>3/4/2015 2:02:44 AM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/MSResearch/Content/ExternalAssets/2015-03/Images/tZuO54_qbkSx_StxkxexSQ--.png</TARGET_BINARYFULLNAME>
    <TARGET_STORYFULLNAME>/MSResearch/Content/ExternalAssets/2015-03/Sections/20150303_044706_Linking_Range_35.xml</TARGET_STORYFULLNAME>
    <TARGET_UUID>40cf48fc-c18a-11e4-88af-319e7ae7f514</TARGET_UUID>
    <LINKSTATUS>Unknown</LINKSTATUS>
  </Link>
  <Link>
    <GUID>6866cef5-abb9-4213-b4e8-b311ff188324</GUID>
    <SOURCE_ALTADDRESS>$H$51:$M$67</SOURCE_ALTADDRESS>
    <SOURCETYPE>Table</SOURCETYPE>
    <SOURCE_OBJECTNAME>Linking_Range_36</SOURCE_OBJECTNAME>
    <OBJECTTYPE>Native</OBJECTTYPE>
    <SOURCE_SHEETCODE>Sheet7</SOURCE_SHEETCODE>
    <SOURCE_SHEETNAME>Charts</SOURCE_SHEETNAME>
    <SOURCEAPPLICATION>EXCEL_SOURCE</SOURCEAPPLICATION>
    <UPDATEDAT>3/4/2015 2:04:48 AM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/MSResearch/Content/ExternalAssets/2015-03/Images/aPGFPXlmLk2RdGg9zhHNA--.png</TARGET_BINARYFULLNAME>
    <TARGET_STORYFULLNAME>/MSResearch/Content/ExternalAssets/2015-03/Sections/20150303_044810_Linking_Range_36.xml</TARGET_STORYFULLNAME>
    <TARGET_UUID>6743f69a-c18a-11e4-88af-319e7ae7f514</TARGET_UUID>
    <LINKSTATUS>Unknown</LINKSTATUS>
  </Link>
  <Link>
    <GUID>d2ce89b4-44f7-4d6f-9d32-5e032ecc4b6c</GUID>
    <SOURCE_ALTADDRESS>$H$70:$M$86</SOURCE_ALTADDRESS>
    <SOURCETYPE>Table</SOURCETYPE>
    <SOURCE_OBJECTNAME>Linking_Range_37</SOURCE_OBJECTNAME>
    <OBJECTTYPE>Native</OBJECTTYPE>
    <SOURCE_SHEETCODE>Sheet7</SOURCE_SHEETCODE>
    <SOURCE_SHEETNAME>Charts</SOURCE_SHEETNAME>
    <SOURCEAPPLICATION>EXCEL_SOURCE</SOURCEAPPLICATION>
    <UPDATEDAT>3/4/2015 2:05:06 AM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/MSResearch/Content/ExternalAssets/2015-03/Images/BSA7SG3l7Eu169LcpCbVCw--.png</TARGET_BINARYFULLNAME>
    <TARGET_STORYFULLNAME>/MSResearch/Content/ExternalAssets/2015-03/Sections/20150303_044918_Linking_Range_37.xml</TARGET_STORYFULLNAME>
    <TARGET_UUID>8f51b262-c18a-11e4-88af-319e7ae7f514</TARGET_UUID>
    <LINKSTATUS>Unknown</LINKSTATUS>
  </Link>
  <Link>
    <GUID>99976c67-a216-49fa-bd60-adff19f09e9a</GUID>
    <SOURCE_ALTADDRESS>$H$87:$M$103</SOURCE_ALTADDRESS>
    <SOURCETYPE>Table</SOURCETYPE>
    <SOURCE_OBJECTNAME>Linking_Range_38</SOURCE_OBJECTNAME>
    <OBJECTTYPE>Native</OBJECTTYPE>
    <SOURCE_SHEETCODE>Sheet7</SOURCE_SHEETCODE>
    <SOURCE_SHEETNAME>Charts</SOURCE_SHEETNAME>
    <SOURCEAPPLICATION>EXCEL_SOURCE</SOURCEAPPLICATION>
    <UPDATEDAT>3/4/2015 2:05:50 AM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/MSResearch/Content/ExternalAssets/2015-03/Images/pW4w2VEYk_cBFSHqRixaw--.png</TARGET_BINARYFULLNAME>
    <TARGET_STORYFULLNAME>/MSResearch/Content/ExternalAssets/2015-03/Sections/20150303_045004_Linking_Range_38.xml</TARGET_STORYFULLNAME>
    <TARGET_UUID>ab0d2ae0-c18a-11e4-88af-319e7ae7f514</TARGET_UUID>
    <LINKSTATUS>Unknown</LINKSTATUS>
  </Link>
  <Link>
    <GUID>72e470bf-75e8-48f6-8c31-36e07e522d18</GUID>
    <SOURCE_ALTADDRESS>$H$41:$M$63</SOURCE_ALTADDRESS>
    <SOURCETYPE>Table</SOURCETYPE>
    <SOURCE_OBJECTNAME>Linking_Range_5</SOURCE_OBJECTNAME>
    <OBJECTTYPE>Native</OBJECTTYPE>
    <SOURCE_SHEETCODE>Sheet25</SOURCE_SHEETCODE>
    <SOURCE_SHEETNAME>BullBear</SOURCE_SHEETNAME>
    <SOURCEAPPLICATION>EXCEL_SOURCE</SOURCEAPPLICATION>
    <UPDATEDAT>3/4/2015 2:15:12 AM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/MSResearch/Content/ExternalAssets/2015-03/Images/Zy_VGULXAEueB5il9zVWNA--.png</TARGET_BINARYFULLNAME>
    <TARGET_STORYFULLNAME>/MSResearch/Content/ExternalAssets/2015-03/Sections/20150303_124058_Linking_Range_5.xml</TARGET_STORYFULLNAME>
    <TARGET_UUID>73559d7a-c1cc-11e4-88af-319e7ae7f514</TARGET_UUID>
    <TRANSPARENTBACKGROUND>False</TRANSPARENTBACKGROUND>
    <TRANSPARENTPLOTAREA>False</TRANSPARENTPLOTAREA>
  </Link>
  <Link>
    <GUID>f64e57df-f40a-45d9-ae82-76d23518353f</GUID>
    <SOURCE_ALTADDRESS>$D$7:$AB$68</SOURCE_ALTADDRESS>
    <SOURCETYPE>Table</SOURCETYPE>
    <SOURCE_OBJECTNAME>Linking_Range_40</SOURCE_OBJECTNAME>
    <OBJECTTYPE>Native</OBJECTTYPE>
    <SOURCE_SHEETCODE>Sheet26</SOURCE_SHEETCODE>
    <SOURCE_SHEETNAME>Summary</SOURCE_SHEETNAME>
    <SOURCEAPPLICATION>EXCEL_SOURCE</SOURCEAPPLICATION>
    <UPDATEDAT>3/4/2015 2:45:53 AM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/MSResearch/Content/ExternalAssets/2015-03/Images/keQ9bMQFq_hI3X9h_ftw--.png</TARGET_BINARYFULLNAME>
    <TARGET_STORYFULLNAME>/MSResearch/Content/ExternalAssets/2015-03/Sections/20150303_014549_Linking_Range_4.xml</TARGET_STORYFULLNAME>
    <TARGET_UUID>82cce124-c1d5-11e4-88af-319e7ae7f514</TARGET_UUID>
  </Link>
  <Link>
    <GUID>8a70a45b-3878-4ec1-96ef-f3c6a8c5fe31</GUID>
    <SOURCE_ALTADDRESS>$B$1:$AC$115</SOURCE_ALTADDRESS>
    <SOURCETYPE>Table</SOURCETYPE>
    <SOURCE_OBJECTNAME>Linking_Range_39</SOURCE_OBJECTNAME>
    <OBJECTTYPE>Native</OBJECTTYPE>
    <SOURCE_SHEETCODE>Sheet28</SOURCE_SHEETCODE>
    <SOURCE_SHEETNAME>OldVs.New</SOURCE_SHEETNAME>
    <SOURCEAPPLICATION>EXCEL_SOURCE</SOURCEAPPLICATION>
    <UPDATEDAT>3/4/2015 3:06:56 AM</UPDATEDAT>
    <SOURCE_ISOUTOFDATE>False</SOURCE_ISOUTOFDATE>
    <SOURCE_WORKBOOKNAME>JD.xlsm</SOURCE_WORKBOOKNAME>
    <SOURCE_WORKBOOKPATH>\\MSAD\ROOT\AP\HK\LIB\ER\ecomm\JD\Financials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/MSResearch/Content/ExternalAssets/2015-03/Images/iDSCi6VYCJ4ZEH1_GBBQ--.png</TARGET_BINARYFULLNAME>
    <TARGET_STORYFULLNAME>/MSResearch/Content/ExternalAssets/2015-03/Sections/20150303_020652_Linking_Range_39.xml</TARGET_STORYFULLNAME>
    <TARGET_UUID>735b725c-c1d8-11e4-88af-319e7ae7f514</TARGET_UUID>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FC85037A-1A21-4CDE-AB3A-658A0E4FE83E}">
  <ds:schemaRefs>
    <ds:schemaRef ds:uri="thomsonreuters.linking.metadata"/>
  </ds:schemaRefs>
</ds:datastoreItem>
</file>

<file path=customXml/itemProps2.xml><?xml version="1.0" encoding="utf-8"?>
<ds:datastoreItem xmlns:ds="http://schemas.openxmlformats.org/officeDocument/2006/customXml" ds:itemID="{DDD1FCA0-9273-43F0-88B6-53DE6FED07F9}">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83</vt:i4>
      </vt:variant>
    </vt:vector>
  </HeadingPairs>
  <TitlesOfParts>
    <vt:vector size="90" baseType="lpstr">
      <vt:lpstr>ImportantDisclosures</vt:lpstr>
      <vt:lpstr>CircularReferenceAlert</vt:lpstr>
      <vt:lpstr>Scenario</vt:lpstr>
      <vt:lpstr>Model</vt:lpstr>
      <vt:lpstr>Valuation</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Linking_23</vt:lpstr>
      <vt:lpstr>Linking_36</vt:lpstr>
      <vt:lpstr>Linking_38</vt:lpstr>
      <vt:lpstr>Linking_Range_10</vt:lpstr>
      <vt:lpstr>Linking_Range_19</vt:lpstr>
      <vt:lpstr>Linking_Range_3</vt:lpstr>
      <vt:lpstr>Linking_Range_4</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Model!Print_Area</vt:lpstr>
      <vt:lpstr>Valuation!Print_Area</vt:lpstr>
      <vt:lpstr>Model!Print_Titles</vt:lpstr>
      <vt:lpstr>Valuation!Print_Titles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2014-02-17T06:18:29Z</dcterms:created>
  <dc:creator>sailes</dc:creator>
  <cp:lastModifiedBy>O'Donnell, Patricia A (Research)</cp:lastModifiedBy>
  <cp:lastPrinted>2018-04-21T10:11:10Z</cp:lastPrinted>
  <dcterms:modified xsi:type="dcterms:W3CDTF">2018-04-23T13:53:23Z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41</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763291</vt:lpwstr>
  </property>
  <property fmtid="{D5CDD505-2E9C-101B-9397-08002B2CF9AE}" name="ERModPubCompanyName" pid="6">
    <vt:lpwstr>JD.com, Inc.</vt:lpwstr>
  </property>
  <property fmtid="{D5CDD505-2E9C-101B-9397-08002B2CF9AE}" name="ERModPubMaxIterations" pid="7">
    <vt:i4>100</vt:i4>
  </property>
  <property fmtid="{D5CDD505-2E9C-101B-9397-08002B2CF9AE}" name="ERModPubMaxChange" pid="8">
    <vt:r8>0.001</vt:r8>
  </property>
  <property fmtid="{D5CDD505-2E9C-101B-9397-08002B2CF9AE}" name="MSDH34TAG" pid="9">
    <vt:lpwstr>.TEZUF76X5TAHATHESADREYAK-00-INB160+*94600-06=ab63c7a8/-46eb/-11e8/-adef/-6a0a1ce82510,MD=20180423095400/-0400,ZZ=000Z-ed85.</vt:lpwstr>
  </property>
</Properties>
</file>