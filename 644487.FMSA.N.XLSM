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120" yWindow="135" windowWidth="28590" windowHeight="13035"/>
  </bookViews>
  <sheets>
    <sheet name="ImportantDisclosures" sheetId="18" r:id="rId1"/>
    <sheet name="Model" sheetId="2" r:id="rId2"/>
    <sheet name="IndexInformation" sheetId="19" r:id="rId3"/>
    <sheet name="ModPubIndex" sheetId="20" r:id="rId4"/>
  </sheets>
  <definedNames>
    <definedName name="_bdm.632E397AAAA04E58AD9890248CC98FE5.edm">Model!$1:$1048576</definedName>
    <definedName name="_Order1">255</definedName>
    <definedName name="AdditionalInstructions">IndexInformation!$B$42</definedName>
    <definedName name="Address" localSheetId="0">ImportantDisclosures!$A$2:$A$2</definedName>
    <definedName name="ANA" localSheetId="3">ModPubIndex!$A$7</definedName>
    <definedName name="Authors" localSheetId="0">ImportantDisclosures!$A$7</definedName>
    <definedName name="Authors" localSheetId="2">IndexInformation!$B$18</definedName>
    <definedName name="BRO" localSheetId="3">ModPubIndex!$A$1</definedName>
    <definedName name="CopyrightStamp">ImportantDisclosures!$A$27</definedName>
    <definedName name="COU" localSheetId="3">ModPubIndex!$A$5</definedName>
    <definedName name="CQEnd" localSheetId="2">IndexInformation!$B$31</definedName>
    <definedName name="Currency" localSheetId="2">IndexInformation!$B$24</definedName>
    <definedName name="CurrentStockPrice" localSheetId="2">IndexInformation!$B$23</definedName>
    <definedName name="CurrQtrEPS" localSheetId="2">IndexInformation!$B$29</definedName>
    <definedName name="CurrYearEPS" localSheetId="2">IndexInformation!$B$11</definedName>
    <definedName name="CurrYearTotalRevenue" localSheetId="2">IndexInformation!$B$10</definedName>
    <definedName name="CurrYearTotalRevenueActual" localSheetId="2">IndexInformation!$B$32</definedName>
    <definedName name="CUSIP" localSheetId="2">IndexInformation!$B$20</definedName>
    <definedName name="CYEnd" localSheetId="2">IndexInformation!$B$30</definedName>
    <definedName name="Date" localSheetId="0">ImportantDisclosures!$A$8</definedName>
    <definedName name="Deleted" localSheetId="2">IndexInformation!$B$27</definedName>
    <definedName name="Description" localSheetId="2">IndexInformation!$B$7</definedName>
    <definedName name="Discipline" localSheetId="2">IndexInformation!$B$3</definedName>
    <definedName name="DISCIPLINE" localSheetId="3">ModPubIndex!$A$12</definedName>
    <definedName name="DisclosuresText">ImportantDisclosures!$A$22</definedName>
    <definedName name="Distribution" localSheetId="2">IndexInformation!$B$26</definedName>
    <definedName name="DistTable" localSheetId="0">ImportantDisclosures!#REF!</definedName>
    <definedName name="DistTablePreamble" localSheetId="0">ImportantDisclosures!#REF!</definedName>
    <definedName name="DOCDAT" localSheetId="3">ModPubIndex!$A$2</definedName>
    <definedName name="DOCTIME" localSheetId="3">ModPubIndex!$A$3</definedName>
    <definedName name="DocType" localSheetId="2">IndexInformation!$B$5</definedName>
    <definedName name="EMAIL_ALERT" localSheetId="3">ModPubIndex!$A$10</definedName>
    <definedName name="EmailAlert" localSheetId="2">IndexInformation!$B$28</definedName>
    <definedName name="ev.Calculation">-4105</definedName>
    <definedName name="ev.Initialized">FALSE</definedName>
    <definedName name="FiveYearGrowthRate" localSheetId="2">IndexInformation!$B$16</definedName>
    <definedName name="FollowingYearEPS" localSheetId="2">IndexInformation!$B$15</definedName>
    <definedName name="FollowingYearTotalRevenue" localSheetId="2">IndexInformation!$B$14</definedName>
    <definedName name="FollowingYearTotalRevenueActual" localSheetId="2">IndexInformation!$B$34</definedName>
    <definedName name="HL" localSheetId="3">ModPubIndex!$A$8</definedName>
    <definedName name="hn.ExtDb">FALSE</definedName>
    <definedName name="hn.ModelType">"DEAL"</definedName>
    <definedName name="hn.ModelVersion">1</definedName>
    <definedName name="hn.NoUpload">0</definedName>
    <definedName name="IND" localSheetId="3">ModPubIndex!$A$9</definedName>
    <definedName name="Industry" localSheetId="0">ImportantDisclosures!$A$12</definedName>
    <definedName name="IndustryId">IndexInformation!$B$40</definedName>
    <definedName name="IndustryRating" localSheetId="0">ImportantDisclosures!$A$13</definedName>
    <definedName name="IsColHidden">FALSE</definedName>
    <definedName name="IsLTMColHidden">FALSE</definedName>
    <definedName name="KeepVersions" localSheetId="2">IndexInformation!$B$8</definedName>
    <definedName name="LanguageCode">IndexInformation!$B$38</definedName>
    <definedName name="LastCell" localSheetId="0">ImportantDisclosures!$A$22</definedName>
    <definedName name="Linking_1">Model!$B$9:$N$40</definedName>
    <definedName name="Linking_2">Model!$B$56:$N$196</definedName>
    <definedName name="Linking_3">Model!$B$243:$N$268</definedName>
    <definedName name="Linking_4">Model!$B$283:$N$331</definedName>
    <definedName name="MacroVersion" localSheetId="2">IndexInformation!$B$1</definedName>
    <definedName name="model">Model!$B$7:$AY$474</definedName>
    <definedName name="ModelPrice" localSheetId="0">ImportantDisclosures!$A$14</definedName>
    <definedName name="Multiplier" localSheetId="2">IndexInformation!$B$35</definedName>
    <definedName name="NextYearEPS" localSheetId="2">IndexInformation!$B$13</definedName>
    <definedName name="NextYearTotalRevenue" localSheetId="2">IndexInformation!$B$12</definedName>
    <definedName name="NextYearTotalRevenueActual" localSheetId="2">IndexInformation!$B$33</definedName>
    <definedName name="ObjectType">IndexInformation!$B$37</definedName>
    <definedName name="PANA" localSheetId="3">ModPubIndex!$A$11</definedName>
    <definedName name="PathName" localSheetId="2">IndexInformation!$B$25</definedName>
    <definedName name="_xlnm.Print_Area" localSheetId="1">Model!$B$8:$L$39,Model!$AB$8:$AM$39,Model!$B$42:$L$202,Model!$AB$42:$AM$202,Model!$B$242:$L$268,Model!$AB$242:$AM$268,Model!$B$282:$L$331,Model!$AB$282:$AM$331</definedName>
    <definedName name="PRODUCT" localSheetId="3">ModPubIndex!$A$6</definedName>
    <definedName name="PSYM" localSheetId="3">ModPubIndex!$A$4</definedName>
    <definedName name="PublishDate" localSheetId="2">IndexInformation!$B$2</definedName>
    <definedName name="Rating" localSheetId="2">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searchTopic" localSheetId="2">IndexInformation!$B$4</definedName>
    <definedName name="RIC" localSheetId="2">IndexInformation!$B$21</definedName>
    <definedName name="SECSettlement" localSheetId="0">ImportantDisclosures!#REF!</definedName>
    <definedName name="SEDOL" localSheetId="2">IndexInformation!$B$22</definedName>
    <definedName name="SourceDefined" localSheetId="0">ImportantDisclosures!$A$19</definedName>
    <definedName name="StockRating" localSheetId="0">ImportantDisclosures!$A$11</definedName>
    <definedName name="SubjectCode" localSheetId="2">IndexInformation!$B$6</definedName>
    <definedName name="SubmitterUserId">IndexInformation!$B$39</definedName>
    <definedName name="SUPPRESSED" localSheetId="3">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2">IndexInformation!$B$19</definedName>
    <definedName name="UpdateReason" localSheetId="2">IndexInformation!$B$17</definedName>
    <definedName name="USRegDisclosures" localSheetId="0">ImportantDisclosures!#REF!</definedName>
  </definedNames>
  <calcPr calcId="145621"/>
</workbook>
</file>

<file path=xl/calcChain.xml><?xml version="1.0" encoding="utf-8"?>
<calcChain xmlns="http://schemas.openxmlformats.org/spreadsheetml/2006/main">
  <c r="S473" i="2" l="1"/>
  <c r="R473" i="2"/>
  <c r="Q473" i="2"/>
  <c r="P473" i="2"/>
  <c r="S472" i="2"/>
  <c r="R472" i="2"/>
  <c r="Q472" i="2"/>
  <c r="P472" i="2"/>
  <c r="E472" i="2"/>
  <c r="D472" i="2"/>
  <c r="C472" i="2"/>
  <c r="G465" i="2"/>
  <c r="T465" i="2" s="1"/>
  <c r="F465" i="2"/>
  <c r="E465" i="2" s="1"/>
  <c r="D465" i="2" s="1"/>
  <c r="C465" i="2" s="1"/>
  <c r="AO456" i="2"/>
  <c r="AO452" i="2"/>
  <c r="AJ448" i="2"/>
  <c r="AJ449" i="2" s="1"/>
  <c r="AF448" i="2"/>
  <c r="AF449" i="2" s="1"/>
  <c r="AB448" i="2"/>
  <c r="AB449" i="2" s="1"/>
  <c r="AA448" i="2"/>
  <c r="AA449" i="2" s="1"/>
  <c r="Z448" i="2"/>
  <c r="Z449" i="2" s="1"/>
  <c r="Y448" i="2"/>
  <c r="Y449" i="2" s="1"/>
  <c r="X448" i="2"/>
  <c r="X449" i="2" s="1"/>
  <c r="G448" i="2"/>
  <c r="G449" i="2" s="1"/>
  <c r="F448" i="2"/>
  <c r="AJ444" i="2"/>
  <c r="AB444" i="2"/>
  <c r="G441" i="2"/>
  <c r="F441" i="2"/>
  <c r="E441" i="2"/>
  <c r="D441" i="2"/>
  <c r="C441" i="2"/>
  <c r="E436" i="2"/>
  <c r="D436" i="2"/>
  <c r="C436" i="2"/>
  <c r="AP441" i="2"/>
  <c r="AJ441" i="2"/>
  <c r="AF441" i="2"/>
  <c r="AB441" i="2"/>
  <c r="X441" i="2"/>
  <c r="AM436" i="2"/>
  <c r="AL436" i="2"/>
  <c r="AK436" i="2"/>
  <c r="AJ436" i="2"/>
  <c r="AJ437" i="2" s="1"/>
  <c r="AI436" i="2"/>
  <c r="AH436" i="2"/>
  <c r="AG436" i="2"/>
  <c r="AF436" i="2"/>
  <c r="AF437" i="2" s="1"/>
  <c r="AE436" i="2"/>
  <c r="AD436" i="2"/>
  <c r="AC436" i="2"/>
  <c r="AB436" i="2"/>
  <c r="AB437" i="2" s="1"/>
  <c r="AB445" i="2" s="1"/>
  <c r="AA436" i="2"/>
  <c r="AA437" i="2" s="1"/>
  <c r="Z436" i="2"/>
  <c r="Z437" i="2" s="1"/>
  <c r="Y436" i="2"/>
  <c r="Y437" i="2" s="1"/>
  <c r="X436" i="2"/>
  <c r="X437" i="2" s="1"/>
  <c r="X444" i="2" s="1"/>
  <c r="AM435" i="2"/>
  <c r="AL435" i="2"/>
  <c r="AK435" i="2"/>
  <c r="AJ435" i="2"/>
  <c r="AJ446" i="2" s="1"/>
  <c r="AI435" i="2"/>
  <c r="AH435" i="2"/>
  <c r="AG435" i="2"/>
  <c r="AF435" i="2"/>
  <c r="AF446" i="2" s="1"/>
  <c r="AE435" i="2"/>
  <c r="AD435" i="2"/>
  <c r="AC435" i="2"/>
  <c r="AB435" i="2"/>
  <c r="AB446" i="2" s="1"/>
  <c r="AA435" i="2"/>
  <c r="Z435" i="2"/>
  <c r="Z446" i="2" s="1"/>
  <c r="Y435" i="2"/>
  <c r="X435" i="2"/>
  <c r="X446" i="2" s="1"/>
  <c r="W435" i="2"/>
  <c r="F437" i="2"/>
  <c r="G436" i="2"/>
  <c r="G437" i="2" s="1"/>
  <c r="F436" i="2"/>
  <c r="D430" i="2"/>
  <c r="AC421" i="2"/>
  <c r="AB421" i="2"/>
  <c r="AA421" i="2"/>
  <c r="Z421" i="2"/>
  <c r="Y421" i="2"/>
  <c r="G421" i="2"/>
  <c r="F421" i="2"/>
  <c r="D415" i="2"/>
  <c r="D466" i="2" s="1"/>
  <c r="C415" i="2"/>
  <c r="C466" i="2" s="1"/>
  <c r="AN410" i="2"/>
  <c r="AM410" i="2"/>
  <c r="AL410" i="2"/>
  <c r="AK410" i="2"/>
  <c r="AJ410" i="2"/>
  <c r="AI410" i="2"/>
  <c r="AH410" i="2"/>
  <c r="AG410" i="2"/>
  <c r="AF410" i="2"/>
  <c r="AE410" i="2"/>
  <c r="AD410" i="2"/>
  <c r="AC410" i="2"/>
  <c r="AB410" i="2"/>
  <c r="AM409" i="2"/>
  <c r="AL409" i="2"/>
  <c r="AK409" i="2"/>
  <c r="AJ409" i="2"/>
  <c r="AI409" i="2"/>
  <c r="AH409" i="2"/>
  <c r="AG409" i="2"/>
  <c r="AF409" i="2"/>
  <c r="AE409" i="2"/>
  <c r="AD409" i="2"/>
  <c r="AC409" i="2"/>
  <c r="AB409" i="2"/>
  <c r="AA409" i="2"/>
  <c r="Z409" i="2"/>
  <c r="Y409" i="2"/>
  <c r="X409" i="2"/>
  <c r="H409" i="2"/>
  <c r="G409" i="2"/>
  <c r="F409" i="2"/>
  <c r="AI408" i="2"/>
  <c r="Y408" i="2"/>
  <c r="Z408" i="2" s="1"/>
  <c r="H408" i="2"/>
  <c r="G408" i="2"/>
  <c r="F408" i="2"/>
  <c r="U407" i="2"/>
  <c r="U409" i="2" s="1"/>
  <c r="AE392" i="2"/>
  <c r="AD392" i="2"/>
  <c r="AC392" i="2"/>
  <c r="AB392" i="2"/>
  <c r="AA392" i="2"/>
  <c r="Z392" i="2"/>
  <c r="AM390" i="2"/>
  <c r="AL390" i="2"/>
  <c r="AK390" i="2"/>
  <c r="AJ390" i="2"/>
  <c r="AI390" i="2"/>
  <c r="AH390" i="2"/>
  <c r="AG390" i="2"/>
  <c r="AF390" i="2"/>
  <c r="AE390" i="2"/>
  <c r="AD390" i="2"/>
  <c r="AC390" i="2"/>
  <c r="AB390" i="2"/>
  <c r="AA390" i="2"/>
  <c r="Z390" i="2"/>
  <c r="AM389" i="2"/>
  <c r="AL389" i="2"/>
  <c r="AK389" i="2"/>
  <c r="AJ389" i="2"/>
  <c r="AI389" i="2"/>
  <c r="AH389" i="2"/>
  <c r="AG389" i="2"/>
  <c r="AF389" i="2"/>
  <c r="AE389" i="2"/>
  <c r="AD389" i="2"/>
  <c r="AC389" i="2"/>
  <c r="AB389" i="2"/>
  <c r="AA389" i="2"/>
  <c r="Z389" i="2"/>
  <c r="AM388" i="2"/>
  <c r="AL388" i="2"/>
  <c r="AK388" i="2"/>
  <c r="AH388" i="2"/>
  <c r="AG388" i="2"/>
  <c r="AF388" i="2"/>
  <c r="AE388" i="2"/>
  <c r="AD388" i="2"/>
  <c r="AC388" i="2"/>
  <c r="AB388" i="2"/>
  <c r="AA388" i="2"/>
  <c r="Z388" i="2"/>
  <c r="AO387" i="2"/>
  <c r="AN387" i="2"/>
  <c r="AM387" i="2"/>
  <c r="AL387" i="2"/>
  <c r="AK387" i="2"/>
  <c r="AJ387" i="2"/>
  <c r="AI387" i="2"/>
  <c r="AH387" i="2"/>
  <c r="AG387" i="2"/>
  <c r="AF387" i="2"/>
  <c r="AE387" i="2"/>
  <c r="AD387" i="2"/>
  <c r="AC387" i="2"/>
  <c r="AB387" i="2"/>
  <c r="AA387" i="2"/>
  <c r="Z387" i="2"/>
  <c r="AY386" i="2"/>
  <c r="AX386" i="2"/>
  <c r="AW386" i="2"/>
  <c r="AV386" i="2"/>
  <c r="AU386" i="2"/>
  <c r="AT386" i="2"/>
  <c r="AS386" i="2"/>
  <c r="AR386" i="2"/>
  <c r="AQ386" i="2"/>
  <c r="AP386" i="2"/>
  <c r="AM386" i="2"/>
  <c r="AL386" i="2"/>
  <c r="AK386" i="2"/>
  <c r="AJ386" i="2"/>
  <c r="AI386" i="2"/>
  <c r="AH386" i="2"/>
  <c r="AG386" i="2"/>
  <c r="AF386" i="2"/>
  <c r="AE386" i="2"/>
  <c r="AD386" i="2"/>
  <c r="AC386" i="2"/>
  <c r="AB386" i="2"/>
  <c r="AA386" i="2"/>
  <c r="Z386" i="2"/>
  <c r="N386" i="2"/>
  <c r="AY382" i="2"/>
  <c r="AM382" i="2"/>
  <c r="AL382" i="2"/>
  <c r="AK382" i="2"/>
  <c r="AJ382" i="2"/>
  <c r="AI382" i="2"/>
  <c r="AH382" i="2"/>
  <c r="AG382" i="2"/>
  <c r="AF382" i="2"/>
  <c r="AE382" i="2"/>
  <c r="AD382" i="2"/>
  <c r="AC382" i="2"/>
  <c r="AB382" i="2"/>
  <c r="AA382" i="2"/>
  <c r="Z382" i="2"/>
  <c r="AA380" i="2"/>
  <c r="AB379" i="2"/>
  <c r="AL378" i="2"/>
  <c r="AC378" i="2"/>
  <c r="AC379" i="2" s="1"/>
  <c r="AB378" i="2"/>
  <c r="AA378" i="2"/>
  <c r="AA379" i="2" s="1"/>
  <c r="AA396" i="2" s="1"/>
  <c r="AX377" i="2"/>
  <c r="AY377" i="2" s="1"/>
  <c r="AP377" i="2"/>
  <c r="AQ377" i="2" s="1"/>
  <c r="AR377" i="2" s="1"/>
  <c r="AS377" i="2" s="1"/>
  <c r="AT377" i="2" s="1"/>
  <c r="AU377" i="2" s="1"/>
  <c r="AV377" i="2" s="1"/>
  <c r="AW377" i="2" s="1"/>
  <c r="AO377" i="2"/>
  <c r="AN377" i="2"/>
  <c r="AM374" i="2"/>
  <c r="AM376" i="2" s="1"/>
  <c r="AB369" i="2"/>
  <c r="AM367" i="2"/>
  <c r="AL367" i="2"/>
  <c r="AL391" i="2" s="1"/>
  <c r="AK367" i="2"/>
  <c r="AJ367" i="2"/>
  <c r="AI367" i="2"/>
  <c r="AH367" i="2"/>
  <c r="AG367" i="2"/>
  <c r="AF367" i="2"/>
  <c r="AE367" i="2"/>
  <c r="AD367" i="2"/>
  <c r="AC367" i="2"/>
  <c r="AB367" i="2"/>
  <c r="AA367" i="2"/>
  <c r="Z367" i="2"/>
  <c r="Y367" i="2"/>
  <c r="Y369" i="2" s="1"/>
  <c r="Y371" i="2" s="1"/>
  <c r="AN370" i="2"/>
  <c r="AO370" i="2" s="1"/>
  <c r="AP370" i="2" s="1"/>
  <c r="AQ370" i="2" s="1"/>
  <c r="AR370" i="2" s="1"/>
  <c r="AS370" i="2" s="1"/>
  <c r="AT370" i="2" s="1"/>
  <c r="AU370" i="2" s="1"/>
  <c r="AV370" i="2" s="1"/>
  <c r="AW370" i="2" s="1"/>
  <c r="AX370" i="2" s="1"/>
  <c r="AY370" i="2" s="1"/>
  <c r="AN366" i="2"/>
  <c r="AN390" i="2" s="1"/>
  <c r="AO365" i="2"/>
  <c r="AO389" i="2" s="1"/>
  <c r="AN365" i="2"/>
  <c r="AN389" i="2" s="1"/>
  <c r="AN364" i="2"/>
  <c r="AI364" i="2"/>
  <c r="AI388" i="2" s="1"/>
  <c r="AQ363" i="2"/>
  <c r="AP363" i="2"/>
  <c r="AP387" i="2" s="1"/>
  <c r="AN362" i="2"/>
  <c r="X356" i="2"/>
  <c r="X353" i="2"/>
  <c r="AM358" i="2"/>
  <c r="AL358" i="2"/>
  <c r="AK358" i="2"/>
  <c r="AJ358" i="2"/>
  <c r="AI358" i="2"/>
  <c r="AG358" i="2"/>
  <c r="AF358" i="2"/>
  <c r="AE358" i="2"/>
  <c r="AC358" i="2"/>
  <c r="AB358" i="2"/>
  <c r="AA358" i="2"/>
  <c r="Y358" i="2"/>
  <c r="AM356" i="2"/>
  <c r="AL356" i="2"/>
  <c r="AK356" i="2"/>
  <c r="AJ356" i="2"/>
  <c r="AI356" i="2"/>
  <c r="AH356" i="2"/>
  <c r="AG356" i="2"/>
  <c r="AF356" i="2"/>
  <c r="AE356" i="2"/>
  <c r="AD356" i="2"/>
  <c r="AC356" i="2"/>
  <c r="AB356" i="2"/>
  <c r="AA356" i="2"/>
  <c r="Z356" i="2"/>
  <c r="Y356" i="2"/>
  <c r="AA355" i="2"/>
  <c r="Z354" i="2"/>
  <c r="AM353" i="2"/>
  <c r="AL353" i="2"/>
  <c r="AK353" i="2"/>
  <c r="AJ353" i="2"/>
  <c r="AH353" i="2"/>
  <c r="AG353" i="2"/>
  <c r="AF353" i="2"/>
  <c r="AE353" i="2"/>
  <c r="AD353" i="2"/>
  <c r="AC353" i="2"/>
  <c r="AC354" i="2" s="1"/>
  <c r="AB353" i="2"/>
  <c r="AA353" i="2"/>
  <c r="Z353" i="2"/>
  <c r="Y353" i="2"/>
  <c r="Y354" i="2" s="1"/>
  <c r="AC352" i="2"/>
  <c r="AB352" i="2"/>
  <c r="AB354" i="2" s="1"/>
  <c r="AA352" i="2"/>
  <c r="AA354" i="2" s="1"/>
  <c r="Z352" i="2"/>
  <c r="Y352" i="2"/>
  <c r="AM348" i="2"/>
  <c r="AN348" i="2" s="1"/>
  <c r="AO348" i="2" s="1"/>
  <c r="AP348" i="2" s="1"/>
  <c r="AL348" i="2"/>
  <c r="AK348" i="2"/>
  <c r="AJ348" i="2"/>
  <c r="AI348" i="2"/>
  <c r="AH348" i="2"/>
  <c r="AG348" i="2"/>
  <c r="AF348" i="2"/>
  <c r="AE348" i="2"/>
  <c r="AD348" i="2"/>
  <c r="AC348" i="2"/>
  <c r="AB348" i="2"/>
  <c r="AA348" i="2"/>
  <c r="Z348" i="2"/>
  <c r="Y348" i="2"/>
  <c r="AH347" i="2"/>
  <c r="AG347" i="2"/>
  <c r="AC347" i="2"/>
  <c r="AB347" i="2"/>
  <c r="AA347" i="2"/>
  <c r="Z347" i="2"/>
  <c r="Y347" i="2"/>
  <c r="X347" i="2"/>
  <c r="G348" i="2"/>
  <c r="F348" i="2"/>
  <c r="G347" i="2"/>
  <c r="F347" i="2"/>
  <c r="AM339" i="2"/>
  <c r="AL339" i="2"/>
  <c r="AK339" i="2"/>
  <c r="AJ339" i="2"/>
  <c r="AI339" i="2"/>
  <c r="AH339" i="2"/>
  <c r="AG339" i="2"/>
  <c r="AF339" i="2"/>
  <c r="AE339" i="2"/>
  <c r="AD339" i="2"/>
  <c r="AC339" i="2"/>
  <c r="AB339" i="2"/>
  <c r="AA339" i="2"/>
  <c r="Z339" i="2"/>
  <c r="Y339" i="2"/>
  <c r="X339" i="2"/>
  <c r="AC335" i="2"/>
  <c r="AB335" i="2"/>
  <c r="AA335" i="2"/>
  <c r="Z335" i="2"/>
  <c r="Y335" i="2"/>
  <c r="X335" i="2"/>
  <c r="G341" i="2"/>
  <c r="F341" i="2"/>
  <c r="G340" i="2"/>
  <c r="G339" i="2"/>
  <c r="F339" i="2"/>
  <c r="F340" i="2" s="1"/>
  <c r="G335" i="2"/>
  <c r="F335" i="2"/>
  <c r="F334" i="2"/>
  <c r="E334" i="2"/>
  <c r="D334" i="2"/>
  <c r="C334" i="2"/>
  <c r="AM320" i="2"/>
  <c r="AK320" i="2"/>
  <c r="AG320" i="2"/>
  <c r="AE320" i="2"/>
  <c r="AC320" i="2"/>
  <c r="AA320" i="2"/>
  <c r="Y320" i="2"/>
  <c r="W320" i="2"/>
  <c r="W322" i="2" s="1"/>
  <c r="AM319" i="2"/>
  <c r="AL319" i="2"/>
  <c r="AL320" i="2" s="1"/>
  <c r="AK319" i="2"/>
  <c r="AJ319" i="2"/>
  <c r="AI319" i="2"/>
  <c r="AH319" i="2"/>
  <c r="AH320" i="2" s="1"/>
  <c r="AG319" i="2"/>
  <c r="AF319" i="2"/>
  <c r="AE319" i="2"/>
  <c r="AD319" i="2"/>
  <c r="AD320" i="2" s="1"/>
  <c r="AC319" i="2"/>
  <c r="AB319" i="2"/>
  <c r="AA319" i="2"/>
  <c r="Z319" i="2"/>
  <c r="Z320" i="2" s="1"/>
  <c r="Y319" i="2"/>
  <c r="X319" i="2"/>
  <c r="W319" i="2"/>
  <c r="W321" i="2" s="1"/>
  <c r="E320" i="2"/>
  <c r="G319" i="2"/>
  <c r="F319" i="2"/>
  <c r="E319" i="2"/>
  <c r="D319" i="2"/>
  <c r="D321" i="2" s="1"/>
  <c r="C319" i="2"/>
  <c r="C321" i="2" s="1"/>
  <c r="D318" i="2"/>
  <c r="C318" i="2"/>
  <c r="AY316" i="2"/>
  <c r="AX316" i="2"/>
  <c r="AW316" i="2"/>
  <c r="AV316" i="2"/>
  <c r="AU316" i="2"/>
  <c r="AT316" i="2"/>
  <c r="AS316" i="2"/>
  <c r="AR316" i="2"/>
  <c r="AQ316" i="2"/>
  <c r="AP316" i="2"/>
  <c r="AO316" i="2"/>
  <c r="AN316" i="2"/>
  <c r="AM316" i="2"/>
  <c r="AL316" i="2"/>
  <c r="AK316" i="2"/>
  <c r="AJ316" i="2"/>
  <c r="AI316" i="2"/>
  <c r="AH316" i="2"/>
  <c r="AG316" i="2"/>
  <c r="AF316" i="2"/>
  <c r="AE316" i="2"/>
  <c r="AD316" i="2"/>
  <c r="AC316" i="2"/>
  <c r="AB316" i="2"/>
  <c r="AA316" i="2"/>
  <c r="Z316" i="2"/>
  <c r="Y316" i="2"/>
  <c r="X316" i="2"/>
  <c r="W316" i="2"/>
  <c r="V316" i="2"/>
  <c r="U316" i="2"/>
  <c r="T316" i="2"/>
  <c r="S316" i="2"/>
  <c r="R316" i="2"/>
  <c r="Q316" i="2"/>
  <c r="P316" i="2"/>
  <c r="N316" i="2"/>
  <c r="M316" i="2"/>
  <c r="L316" i="2"/>
  <c r="K316" i="2"/>
  <c r="J316" i="2"/>
  <c r="I316" i="2"/>
  <c r="H316" i="2"/>
  <c r="G316" i="2"/>
  <c r="F316" i="2"/>
  <c r="E316" i="2"/>
  <c r="D316" i="2"/>
  <c r="C316" i="2"/>
  <c r="D313" i="2"/>
  <c r="D314" i="2" s="1"/>
  <c r="C313" i="2"/>
  <c r="C314" i="2" s="1"/>
  <c r="AM311" i="2"/>
  <c r="AL311" i="2"/>
  <c r="AK311" i="2"/>
  <c r="AJ311" i="2"/>
  <c r="AI311" i="2"/>
  <c r="AH311" i="2"/>
  <c r="AG311" i="2"/>
  <c r="AG318" i="2" s="1"/>
  <c r="AF311" i="2"/>
  <c r="AE311" i="2"/>
  <c r="AD311" i="2"/>
  <c r="AC311" i="2"/>
  <c r="AB311" i="2"/>
  <c r="AA311" i="2"/>
  <c r="Y311" i="2"/>
  <c r="X311" i="2"/>
  <c r="X355" i="2" s="1"/>
  <c r="W311" i="2"/>
  <c r="W318" i="2" s="1"/>
  <c r="V311" i="2"/>
  <c r="U311" i="2"/>
  <c r="T311" i="2"/>
  <c r="S311" i="2"/>
  <c r="R311" i="2"/>
  <c r="Q311" i="2"/>
  <c r="Q313" i="2" s="1"/>
  <c r="P311" i="2"/>
  <c r="G311" i="2"/>
  <c r="G318" i="2" s="1"/>
  <c r="F311" i="2"/>
  <c r="E311" i="2"/>
  <c r="AN310" i="2"/>
  <c r="AO310" i="2" s="1"/>
  <c r="AP310" i="2" s="1"/>
  <c r="AQ310" i="2" s="1"/>
  <c r="AR310" i="2" s="1"/>
  <c r="AS310" i="2" s="1"/>
  <c r="AT310" i="2" s="1"/>
  <c r="AU310" i="2" s="1"/>
  <c r="AV310" i="2" s="1"/>
  <c r="AW310" i="2" s="1"/>
  <c r="AX310" i="2" s="1"/>
  <c r="AY310" i="2" s="1"/>
  <c r="AQ308" i="2"/>
  <c r="AR308" i="2" s="1"/>
  <c r="AS308" i="2" s="1"/>
  <c r="AT308" i="2" s="1"/>
  <c r="AU308" i="2" s="1"/>
  <c r="AV308" i="2" s="1"/>
  <c r="AW308" i="2" s="1"/>
  <c r="AX308" i="2" s="1"/>
  <c r="AY308" i="2" s="1"/>
  <c r="AN308" i="2"/>
  <c r="AO308" i="2" s="1"/>
  <c r="AP308" i="2" s="1"/>
  <c r="AO306" i="2"/>
  <c r="AN306" i="2"/>
  <c r="AN304" i="2"/>
  <c r="AO304" i="2" s="1"/>
  <c r="AN300" i="2"/>
  <c r="AO300" i="2" s="1"/>
  <c r="AY298" i="2"/>
  <c r="AN298" i="2"/>
  <c r="Z306" i="2"/>
  <c r="Z311" i="2" s="1"/>
  <c r="AM305" i="2"/>
  <c r="AL305" i="2"/>
  <c r="AK305" i="2"/>
  <c r="AG305" i="2"/>
  <c r="AC305" i="2"/>
  <c r="AA305" i="2"/>
  <c r="Y305" i="2"/>
  <c r="U305" i="2"/>
  <c r="T305" i="2"/>
  <c r="Q305" i="2"/>
  <c r="F305" i="2"/>
  <c r="AM301" i="2"/>
  <c r="AL301" i="2"/>
  <c r="AK301" i="2"/>
  <c r="AJ301" i="2"/>
  <c r="AJ305" i="2" s="1"/>
  <c r="AI301" i="2"/>
  <c r="AI305" i="2" s="1"/>
  <c r="AH301" i="2"/>
  <c r="AH305" i="2" s="1"/>
  <c r="AG301" i="2"/>
  <c r="AC301" i="2"/>
  <c r="AB301" i="2"/>
  <c r="AB305" i="2" s="1"/>
  <c r="AA301" i="2"/>
  <c r="Z301" i="2"/>
  <c r="Z305" i="2" s="1"/>
  <c r="Y301" i="2"/>
  <c r="X301" i="2"/>
  <c r="X305" i="2" s="1"/>
  <c r="W301" i="2"/>
  <c r="W305" i="2" s="1"/>
  <c r="V301" i="2"/>
  <c r="V305" i="2" s="1"/>
  <c r="U301" i="2"/>
  <c r="T301" i="2"/>
  <c r="S301" i="2"/>
  <c r="S305" i="2" s="1"/>
  <c r="R301" i="2"/>
  <c r="R305" i="2" s="1"/>
  <c r="Q301" i="2"/>
  <c r="P301" i="2"/>
  <c r="P305" i="2" s="1"/>
  <c r="G301" i="2"/>
  <c r="G305" i="2" s="1"/>
  <c r="G313" i="2" s="1"/>
  <c r="F301" i="2"/>
  <c r="AM300" i="2"/>
  <c r="AF300" i="2"/>
  <c r="AF347" i="2" s="1"/>
  <c r="AE300" i="2"/>
  <c r="AE347" i="2" s="1"/>
  <c r="AD300" i="2"/>
  <c r="AD347" i="2" s="1"/>
  <c r="AC295" i="2"/>
  <c r="Y295" i="2"/>
  <c r="T295" i="2"/>
  <c r="S295" i="2"/>
  <c r="P295" i="2"/>
  <c r="G295" i="2"/>
  <c r="G314" i="2" s="1"/>
  <c r="AM294" i="2"/>
  <c r="AL294" i="2"/>
  <c r="AK294" i="2"/>
  <c r="AJ294" i="2"/>
  <c r="AI294" i="2"/>
  <c r="AH294" i="2"/>
  <c r="AG294" i="2"/>
  <c r="AF294" i="2"/>
  <c r="AE294" i="2"/>
  <c r="X291" i="2"/>
  <c r="W291" i="2"/>
  <c r="AM290" i="2"/>
  <c r="AL290" i="2"/>
  <c r="AH290" i="2"/>
  <c r="AH336" i="2" s="1"/>
  <c r="AC290" i="2"/>
  <c r="AC336" i="2" s="1"/>
  <c r="AB290" i="2"/>
  <c r="AA290" i="2"/>
  <c r="Z290" i="2"/>
  <c r="Z336" i="2" s="1"/>
  <c r="Y290" i="2"/>
  <c r="Y336" i="2" s="1"/>
  <c r="X290" i="2"/>
  <c r="W290" i="2"/>
  <c r="W295" i="2" s="1"/>
  <c r="T290" i="2"/>
  <c r="S290" i="2"/>
  <c r="R290" i="2"/>
  <c r="R295" i="2" s="1"/>
  <c r="Q290" i="2"/>
  <c r="Q295" i="2" s="1"/>
  <c r="P290" i="2"/>
  <c r="G290" i="2"/>
  <c r="F290" i="2"/>
  <c r="AM289" i="2"/>
  <c r="AL289" i="2"/>
  <c r="AL335" i="2" s="1"/>
  <c r="AK289" i="2"/>
  <c r="AJ289" i="2"/>
  <c r="AI289" i="2"/>
  <c r="AH289" i="2"/>
  <c r="AH335" i="2" s="1"/>
  <c r="AG289" i="2"/>
  <c r="AG335" i="2" s="1"/>
  <c r="AF289" i="2"/>
  <c r="AE289" i="2"/>
  <c r="AD289" i="2"/>
  <c r="AK288" i="2"/>
  <c r="AK335" i="2" s="1"/>
  <c r="AN292" i="2"/>
  <c r="AN289" i="2"/>
  <c r="AY283" i="2"/>
  <c r="AX283" i="2"/>
  <c r="AW283" i="2"/>
  <c r="AV283" i="2"/>
  <c r="AU283" i="2"/>
  <c r="AT283" i="2"/>
  <c r="AS283" i="2"/>
  <c r="AR283" i="2"/>
  <c r="AQ283" i="2"/>
  <c r="AP283" i="2"/>
  <c r="AO283" i="2"/>
  <c r="AN283" i="2"/>
  <c r="AM283" i="2"/>
  <c r="AL283" i="2"/>
  <c r="AK283" i="2"/>
  <c r="AJ283" i="2"/>
  <c r="AI283" i="2"/>
  <c r="AH283" i="2"/>
  <c r="AG283" i="2"/>
  <c r="AF283" i="2"/>
  <c r="AE283" i="2"/>
  <c r="AD283" i="2"/>
  <c r="AC283" i="2"/>
  <c r="AB283" i="2"/>
  <c r="AA283" i="2"/>
  <c r="Z283" i="2"/>
  <c r="Y283" i="2"/>
  <c r="X283" i="2"/>
  <c r="W283" i="2"/>
  <c r="V283" i="2"/>
  <c r="U283" i="2"/>
  <c r="T283" i="2"/>
  <c r="S283" i="2"/>
  <c r="R283" i="2"/>
  <c r="Q283" i="2"/>
  <c r="P283" i="2"/>
  <c r="N283" i="2"/>
  <c r="M283" i="2"/>
  <c r="L283" i="2"/>
  <c r="K283" i="2"/>
  <c r="J283" i="2"/>
  <c r="I283" i="2"/>
  <c r="H283" i="2"/>
  <c r="G283" i="2"/>
  <c r="F283" i="2"/>
  <c r="E283" i="2"/>
  <c r="D283" i="2"/>
  <c r="C283" i="2"/>
  <c r="AJ280" i="2"/>
  <c r="AF280" i="2"/>
  <c r="AB280" i="2"/>
  <c r="X280" i="2"/>
  <c r="T280" i="2"/>
  <c r="G280" i="2"/>
  <c r="F280" i="2"/>
  <c r="AM279" i="2"/>
  <c r="AM448" i="2" s="1"/>
  <c r="AL279" i="2"/>
  <c r="AL448" i="2" s="1"/>
  <c r="AL449" i="2" s="1"/>
  <c r="AK279" i="2"/>
  <c r="AK448" i="2" s="1"/>
  <c r="AK449" i="2" s="1"/>
  <c r="AL278" i="2"/>
  <c r="AK278" i="2"/>
  <c r="AK280" i="2" s="1"/>
  <c r="AG279" i="2"/>
  <c r="AG278" i="2"/>
  <c r="AG280" i="2" s="1"/>
  <c r="AG246" i="2" s="1"/>
  <c r="AE279" i="2"/>
  <c r="AE448" i="2" s="1"/>
  <c r="AE449" i="2" s="1"/>
  <c r="AD279" i="2"/>
  <c r="AD448" i="2" s="1"/>
  <c r="AD449" i="2" s="1"/>
  <c r="AC279" i="2"/>
  <c r="AC448" i="2" s="1"/>
  <c r="AC449" i="2" s="1"/>
  <c r="AD278" i="2"/>
  <c r="AC278" i="2"/>
  <c r="AC280" i="2" s="1"/>
  <c r="Y278" i="2"/>
  <c r="W279" i="2"/>
  <c r="V279" i="2"/>
  <c r="V278" i="2"/>
  <c r="U278" i="2"/>
  <c r="U280" i="2" s="1"/>
  <c r="AY274" i="2"/>
  <c r="AX274" i="2"/>
  <c r="AW274" i="2"/>
  <c r="AV274" i="2"/>
  <c r="AU274" i="2"/>
  <c r="AT274" i="2"/>
  <c r="AS274" i="2"/>
  <c r="AR274" i="2"/>
  <c r="AQ274" i="2"/>
  <c r="AP274" i="2"/>
  <c r="AO274" i="2"/>
  <c r="AN274" i="2"/>
  <c r="AJ274" i="2"/>
  <c r="AB274" i="2"/>
  <c r="X274" i="2"/>
  <c r="T274" i="2"/>
  <c r="AJ273" i="2"/>
  <c r="AP272" i="2"/>
  <c r="AJ272" i="2"/>
  <c r="AF272" i="2"/>
  <c r="AB272" i="2"/>
  <c r="X272" i="2"/>
  <c r="T272" i="2"/>
  <c r="AJ271" i="2"/>
  <c r="AJ275" i="2" s="1"/>
  <c r="AF271" i="2"/>
  <c r="G274" i="2"/>
  <c r="F274" i="2"/>
  <c r="G272" i="2"/>
  <c r="F272" i="2"/>
  <c r="E273" i="2"/>
  <c r="D273" i="2"/>
  <c r="C273" i="2"/>
  <c r="E272" i="2"/>
  <c r="E271" i="2"/>
  <c r="D271" i="2"/>
  <c r="C271" i="2"/>
  <c r="E268" i="2"/>
  <c r="AF267" i="2"/>
  <c r="AF274" i="2" s="1"/>
  <c r="AD267" i="2"/>
  <c r="AC267" i="2"/>
  <c r="AC274" i="2" s="1"/>
  <c r="U267" i="2"/>
  <c r="AK267" i="2"/>
  <c r="AK274" i="2" s="1"/>
  <c r="AM266" i="2"/>
  <c r="AK266" i="2"/>
  <c r="AL266" i="2" s="1"/>
  <c r="AD266" i="2"/>
  <c r="AE266" i="2" s="1"/>
  <c r="AC266" i="2"/>
  <c r="Y267" i="2"/>
  <c r="X266" i="2"/>
  <c r="T266" i="2"/>
  <c r="G266" i="2"/>
  <c r="F266" i="2"/>
  <c r="Z265" i="2"/>
  <c r="AA265" i="2" s="1"/>
  <c r="AK264" i="2"/>
  <c r="AK273" i="2" s="1"/>
  <c r="AG266" i="2"/>
  <c r="AH266" i="2" s="1"/>
  <c r="AI266" i="2" s="1"/>
  <c r="AH265" i="2"/>
  <c r="AI265" i="2" s="1"/>
  <c r="AG265" i="2"/>
  <c r="AG264" i="2"/>
  <c r="AF264" i="2"/>
  <c r="AF273" i="2" s="1"/>
  <c r="AC264" i="2"/>
  <c r="AB264" i="2"/>
  <c r="AB273" i="2" s="1"/>
  <c r="Y264" i="2"/>
  <c r="U265" i="2"/>
  <c r="V265" i="2" s="1"/>
  <c r="U264" i="2"/>
  <c r="G264" i="2"/>
  <c r="F264" i="2"/>
  <c r="F273" i="2" s="1"/>
  <c r="AM263" i="2"/>
  <c r="G263" i="2"/>
  <c r="G273" i="2" s="1"/>
  <c r="W262" i="2"/>
  <c r="W261" i="2"/>
  <c r="W256" i="2"/>
  <c r="E262" i="2"/>
  <c r="D262" i="2"/>
  <c r="D272" i="2" s="1"/>
  <c r="C262" i="2"/>
  <c r="C272" i="2" s="1"/>
  <c r="AK262" i="2"/>
  <c r="AL262" i="2" s="1"/>
  <c r="AM262" i="2" s="1"/>
  <c r="AK261" i="2"/>
  <c r="AL261" i="2" s="1"/>
  <c r="AM261" i="2" s="1"/>
  <c r="AI262" i="2"/>
  <c r="AH262" i="2"/>
  <c r="AG262" i="2"/>
  <c r="AH261" i="2"/>
  <c r="AI261" i="2" s="1"/>
  <c r="AG261" i="2"/>
  <c r="Y261" i="2"/>
  <c r="Z261" i="2" s="1"/>
  <c r="AA261" i="2" s="1"/>
  <c r="AM260" i="2"/>
  <c r="AE260" i="2"/>
  <c r="V260" i="2"/>
  <c r="W260" i="2" s="1"/>
  <c r="AJ259" i="2"/>
  <c r="AJ268" i="2" s="1"/>
  <c r="AF259" i="2"/>
  <c r="AF268" i="2" s="1"/>
  <c r="AF269" i="2" s="1"/>
  <c r="E259" i="2"/>
  <c r="D259" i="2"/>
  <c r="C259" i="2"/>
  <c r="C268" i="2" s="1"/>
  <c r="AO258" i="2"/>
  <c r="AN258" i="2"/>
  <c r="AA258" i="2"/>
  <c r="Z258" i="2"/>
  <c r="Y258" i="2"/>
  <c r="U258" i="2"/>
  <c r="U272" i="2" s="1"/>
  <c r="AL258" i="2"/>
  <c r="AK258" i="2"/>
  <c r="AK257" i="2"/>
  <c r="AG258" i="2"/>
  <c r="AI257" i="2"/>
  <c r="AI271" i="2" s="1"/>
  <c r="AH257" i="2"/>
  <c r="AH271" i="2" s="1"/>
  <c r="AG257" i="2"/>
  <c r="AG271" i="2" s="1"/>
  <c r="AC258" i="2"/>
  <c r="Z255" i="2"/>
  <c r="AA255" i="2" s="1"/>
  <c r="Y255" i="2"/>
  <c r="Y254" i="2"/>
  <c r="Z254" i="2" s="1"/>
  <c r="AA254" i="2" s="1"/>
  <c r="Y253" i="2"/>
  <c r="Z253" i="2" s="1"/>
  <c r="AA253" i="2" s="1"/>
  <c r="AA252" i="2"/>
  <c r="Z252" i="2"/>
  <c r="Y252" i="2"/>
  <c r="AO255" i="2"/>
  <c r="AN255" i="2"/>
  <c r="AN253" i="2"/>
  <c r="AK255" i="2"/>
  <c r="AL255" i="2" s="1"/>
  <c r="AM255" i="2" s="1"/>
  <c r="AL254" i="2"/>
  <c r="AM254" i="2" s="1"/>
  <c r="AK254" i="2"/>
  <c r="AK253" i="2"/>
  <c r="AL253" i="2" s="1"/>
  <c r="AM253" i="2" s="1"/>
  <c r="AK252" i="2"/>
  <c r="AL252" i="2" s="1"/>
  <c r="AM252" i="2" s="1"/>
  <c r="AM251" i="2"/>
  <c r="AK251" i="2"/>
  <c r="AL251" i="2" s="1"/>
  <c r="AH255" i="2"/>
  <c r="AI255" i="2" s="1"/>
  <c r="AG255" i="2"/>
  <c r="AG254" i="2"/>
  <c r="AH254" i="2" s="1"/>
  <c r="AI254" i="2" s="1"/>
  <c r="AG253" i="2"/>
  <c r="AH253" i="2" s="1"/>
  <c r="AI253" i="2" s="1"/>
  <c r="AI252" i="2"/>
  <c r="AG252" i="2"/>
  <c r="AH252" i="2" s="1"/>
  <c r="AH251" i="2"/>
  <c r="AI251" i="2" s="1"/>
  <c r="AG251" i="2"/>
  <c r="AC255" i="2"/>
  <c r="AD255" i="2" s="1"/>
  <c r="AE255" i="2" s="1"/>
  <c r="AC254" i="2"/>
  <c r="AD254" i="2" s="1"/>
  <c r="AE254" i="2" s="1"/>
  <c r="AE253" i="2"/>
  <c r="AC253" i="2"/>
  <c r="AD253" i="2" s="1"/>
  <c r="AD252" i="2"/>
  <c r="AE252" i="2" s="1"/>
  <c r="AC252" i="2"/>
  <c r="AC251" i="2"/>
  <c r="AD251" i="2" s="1"/>
  <c r="AE251" i="2" s="1"/>
  <c r="AB251" i="2"/>
  <c r="Z251" i="2"/>
  <c r="AA251" i="2" s="1"/>
  <c r="Y251" i="2"/>
  <c r="V255" i="2"/>
  <c r="U255" i="2"/>
  <c r="W255" i="2" s="1"/>
  <c r="V254" i="2"/>
  <c r="U254" i="2"/>
  <c r="V253" i="2"/>
  <c r="W253" i="2" s="1"/>
  <c r="U253" i="2"/>
  <c r="V252" i="2"/>
  <c r="U252" i="2"/>
  <c r="V251" i="2"/>
  <c r="U251" i="2"/>
  <c r="W251" i="2" s="1"/>
  <c r="AB249" i="2"/>
  <c r="Y249" i="2"/>
  <c r="Z249" i="2" s="1"/>
  <c r="AA249" i="2" s="1"/>
  <c r="U249" i="2"/>
  <c r="V249" i="2" s="1"/>
  <c r="W249" i="2" s="1"/>
  <c r="AY248" i="2"/>
  <c r="AY473" i="2" s="1"/>
  <c r="AX248" i="2"/>
  <c r="AX473" i="2" s="1"/>
  <c r="AW248" i="2"/>
  <c r="AW473" i="2" s="1"/>
  <c r="AV248" i="2"/>
  <c r="AV473" i="2" s="1"/>
  <c r="AU248" i="2"/>
  <c r="AU473" i="2" s="1"/>
  <c r="AT248" i="2"/>
  <c r="AT473" i="2" s="1"/>
  <c r="AS248" i="2"/>
  <c r="AS473" i="2" s="1"/>
  <c r="AR248" i="2"/>
  <c r="AR473" i="2" s="1"/>
  <c r="AQ248" i="2"/>
  <c r="AQ473" i="2" s="1"/>
  <c r="AP248" i="2"/>
  <c r="AP473" i="2" s="1"/>
  <c r="AO248" i="2"/>
  <c r="AO473" i="2" s="1"/>
  <c r="AN248" i="2"/>
  <c r="AM248" i="2"/>
  <c r="AL248" i="2"/>
  <c r="AK248" i="2"/>
  <c r="AK473" i="2" s="1"/>
  <c r="AJ248" i="2"/>
  <c r="AJ473" i="2" s="1"/>
  <c r="AH248" i="2"/>
  <c r="AG248" i="2"/>
  <c r="AG473" i="2" s="1"/>
  <c r="AF248" i="2"/>
  <c r="AF473" i="2" s="1"/>
  <c r="AE248" i="2"/>
  <c r="AD248" i="2"/>
  <c r="AB248" i="2"/>
  <c r="AB473" i="2" s="1"/>
  <c r="AA248" i="2"/>
  <c r="Z248" i="2"/>
  <c r="Y248" i="2"/>
  <c r="Y473" i="2" s="1"/>
  <c r="X248" i="2"/>
  <c r="X473" i="2" s="1"/>
  <c r="V248" i="2"/>
  <c r="T248" i="2"/>
  <c r="T473" i="2" s="1"/>
  <c r="G249" i="2"/>
  <c r="F249" i="2"/>
  <c r="G248" i="2"/>
  <c r="G473" i="2" s="1"/>
  <c r="F248" i="2"/>
  <c r="E248" i="2"/>
  <c r="E473" i="2" s="1"/>
  <c r="D248" i="2"/>
  <c r="D473" i="2" s="1"/>
  <c r="C248" i="2"/>
  <c r="C473" i="2" s="1"/>
  <c r="AG247" i="2"/>
  <c r="AH247" i="2" s="1"/>
  <c r="AI247" i="2" s="1"/>
  <c r="AE247" i="2"/>
  <c r="AD247" i="2"/>
  <c r="AC247" i="2"/>
  <c r="AA247" i="2"/>
  <c r="W247" i="2"/>
  <c r="AK247" i="2"/>
  <c r="AL247" i="2" s="1"/>
  <c r="AM247" i="2" s="1"/>
  <c r="AK246" i="2"/>
  <c r="AJ246" i="2"/>
  <c r="AF246" i="2"/>
  <c r="AC246" i="2"/>
  <c r="AB246" i="2"/>
  <c r="X246" i="2"/>
  <c r="U246" i="2"/>
  <c r="T246" i="2"/>
  <c r="G246" i="2"/>
  <c r="F246" i="2"/>
  <c r="E245" i="2"/>
  <c r="D245" i="2"/>
  <c r="C245" i="2"/>
  <c r="AY243" i="2"/>
  <c r="AX243" i="2"/>
  <c r="AW243" i="2"/>
  <c r="AV243" i="2"/>
  <c r="AU243" i="2"/>
  <c r="AT243" i="2"/>
  <c r="AS243" i="2"/>
  <c r="AR243" i="2"/>
  <c r="AQ243" i="2"/>
  <c r="AP243" i="2"/>
  <c r="AO243" i="2"/>
  <c r="AN243" i="2"/>
  <c r="AM243" i="2"/>
  <c r="AL243" i="2"/>
  <c r="AK243" i="2"/>
  <c r="AJ243" i="2"/>
  <c r="AI243" i="2"/>
  <c r="AH243" i="2"/>
  <c r="AG243" i="2"/>
  <c r="AF243" i="2"/>
  <c r="AE243" i="2"/>
  <c r="AD243" i="2"/>
  <c r="AC243" i="2"/>
  <c r="AB243" i="2"/>
  <c r="AA243" i="2"/>
  <c r="Z243" i="2"/>
  <c r="Y243" i="2"/>
  <c r="X243" i="2"/>
  <c r="W243" i="2"/>
  <c r="V243" i="2"/>
  <c r="U243" i="2"/>
  <c r="T243" i="2"/>
  <c r="S243" i="2"/>
  <c r="R243" i="2"/>
  <c r="Q243" i="2"/>
  <c r="P243" i="2"/>
  <c r="N243" i="2"/>
  <c r="M243" i="2"/>
  <c r="L243" i="2"/>
  <c r="K243" i="2"/>
  <c r="J243" i="2"/>
  <c r="I243" i="2"/>
  <c r="H243" i="2"/>
  <c r="G243" i="2"/>
  <c r="F243" i="2"/>
  <c r="E243" i="2"/>
  <c r="D243" i="2"/>
  <c r="C243" i="2"/>
  <c r="AG239" i="2"/>
  <c r="AF239" i="2"/>
  <c r="AE239" i="2"/>
  <c r="AD239" i="2"/>
  <c r="AC239" i="2"/>
  <c r="AB239" i="2"/>
  <c r="AM238" i="2"/>
  <c r="AM239" i="2" s="1"/>
  <c r="AL238" i="2"/>
  <c r="AL237" i="2" s="1"/>
  <c r="AK238" i="2"/>
  <c r="AK239" i="2" s="1"/>
  <c r="AJ238" i="2"/>
  <c r="AJ239" i="2" s="1"/>
  <c r="AI238" i="2"/>
  <c r="AI239" i="2" s="1"/>
  <c r="AH238" i="2"/>
  <c r="AH237" i="2" s="1"/>
  <c r="AK237" i="2"/>
  <c r="AJ237" i="2"/>
  <c r="AM234" i="2"/>
  <c r="AL234" i="2"/>
  <c r="AK234" i="2"/>
  <c r="AJ234" i="2"/>
  <c r="AI234" i="2"/>
  <c r="AH234" i="2"/>
  <c r="AE237" i="2"/>
  <c r="AD237" i="2"/>
  <c r="AG234" i="2"/>
  <c r="AG237" i="2" s="1"/>
  <c r="AF234" i="2"/>
  <c r="AF237" i="2" s="1"/>
  <c r="AE234" i="2"/>
  <c r="AD234" i="2"/>
  <c r="AC234" i="2"/>
  <c r="AC237" i="2" s="1"/>
  <c r="AB234" i="2"/>
  <c r="AB237" i="2" s="1"/>
  <c r="AA234" i="2"/>
  <c r="Z234" i="2"/>
  <c r="Y234" i="2"/>
  <c r="X234" i="2"/>
  <c r="W234" i="2"/>
  <c r="V234" i="2"/>
  <c r="T234" i="2"/>
  <c r="AM229" i="2"/>
  <c r="AL229" i="2"/>
  <c r="AK229" i="2"/>
  <c r="AJ229" i="2"/>
  <c r="AI229" i="2"/>
  <c r="AH229" i="2"/>
  <c r="AG229" i="2"/>
  <c r="AM228" i="2"/>
  <c r="AJ228" i="2"/>
  <c r="AI228" i="2"/>
  <c r="AM225" i="2"/>
  <c r="AL225" i="2"/>
  <c r="AK225" i="2"/>
  <c r="AJ225" i="2"/>
  <c r="AI225" i="2"/>
  <c r="AH225" i="2"/>
  <c r="AG225" i="2"/>
  <c r="AD228" i="2"/>
  <c r="AC228" i="2"/>
  <c r="AF225" i="2"/>
  <c r="AF228" i="2" s="1"/>
  <c r="AE225" i="2"/>
  <c r="AE228" i="2" s="1"/>
  <c r="AD225" i="2"/>
  <c r="AC225" i="2"/>
  <c r="AB225" i="2"/>
  <c r="AB228" i="2" s="1"/>
  <c r="AA225" i="2"/>
  <c r="Z225" i="2"/>
  <c r="Y225" i="2"/>
  <c r="X225" i="2"/>
  <c r="W225" i="2"/>
  <c r="V225" i="2"/>
  <c r="T225" i="2"/>
  <c r="AF221" i="2"/>
  <c r="AE221" i="2"/>
  <c r="AD221" i="2"/>
  <c r="AC221" i="2"/>
  <c r="AB221" i="2"/>
  <c r="Z221" i="2"/>
  <c r="X221" i="2"/>
  <c r="V221" i="2"/>
  <c r="T221" i="2"/>
  <c r="AY221" i="2"/>
  <c r="AX221" i="2"/>
  <c r="AW221" i="2"/>
  <c r="AV221" i="2"/>
  <c r="AU221" i="2"/>
  <c r="AT221" i="2"/>
  <c r="AS221" i="2"/>
  <c r="AR221" i="2"/>
  <c r="AQ221" i="2"/>
  <c r="AP221" i="2"/>
  <c r="AO221" i="2"/>
  <c r="AN221" i="2"/>
  <c r="AM221" i="2"/>
  <c r="AL221" i="2"/>
  <c r="AK221" i="2"/>
  <c r="AJ221" i="2"/>
  <c r="AI221" i="2"/>
  <c r="AH221" i="2"/>
  <c r="AH219" i="2"/>
  <c r="AE220" i="2"/>
  <c r="AG219" i="2"/>
  <c r="AF219" i="2"/>
  <c r="AE219" i="2"/>
  <c r="AE222" i="2" s="1"/>
  <c r="AD219" i="2"/>
  <c r="AC219" i="2"/>
  <c r="AB219" i="2"/>
  <c r="AA219" i="2"/>
  <c r="Z219" i="2"/>
  <c r="Y219" i="2"/>
  <c r="X219" i="2"/>
  <c r="W219" i="2"/>
  <c r="V219" i="2"/>
  <c r="T219" i="2"/>
  <c r="AI212" i="2"/>
  <c r="AI209" i="2"/>
  <c r="AI207" i="2"/>
  <c r="U212" i="2"/>
  <c r="T211" i="2"/>
  <c r="T209" i="2"/>
  <c r="T207" i="2"/>
  <c r="AY211" i="2"/>
  <c r="AX211" i="2"/>
  <c r="AW211" i="2"/>
  <c r="AV211" i="2"/>
  <c r="AU211" i="2"/>
  <c r="AT211" i="2"/>
  <c r="AS211" i="2"/>
  <c r="AR211" i="2"/>
  <c r="AQ211" i="2"/>
  <c r="AP211" i="2"/>
  <c r="AO211" i="2"/>
  <c r="AN211" i="2"/>
  <c r="AM211" i="2"/>
  <c r="AL211" i="2"/>
  <c r="AK211" i="2"/>
  <c r="AJ211" i="2"/>
  <c r="AM209" i="2"/>
  <c r="AL209" i="2"/>
  <c r="AK209" i="2"/>
  <c r="AJ209" i="2"/>
  <c r="AL207" i="2"/>
  <c r="AK207" i="2"/>
  <c r="AJ207" i="2"/>
  <c r="AH211" i="2"/>
  <c r="AG211" i="2"/>
  <c r="AF211" i="2"/>
  <c r="AE211" i="2"/>
  <c r="AD211" i="2"/>
  <c r="AB211" i="2"/>
  <c r="AA211" i="2"/>
  <c r="Z211" i="2"/>
  <c r="Y211" i="2"/>
  <c r="X211" i="2"/>
  <c r="W211" i="2"/>
  <c r="V211" i="2"/>
  <c r="AH209" i="2"/>
  <c r="AG209" i="2"/>
  <c r="AF209" i="2"/>
  <c r="AE209" i="2"/>
  <c r="AD209" i="2"/>
  <c r="AC209" i="2"/>
  <c r="AB209" i="2"/>
  <c r="AA209" i="2"/>
  <c r="Z209" i="2"/>
  <c r="Y209" i="2"/>
  <c r="X209" i="2"/>
  <c r="W209" i="2"/>
  <c r="V209" i="2"/>
  <c r="AH207" i="2"/>
  <c r="AG207" i="2"/>
  <c r="AF207" i="2"/>
  <c r="AE207" i="2"/>
  <c r="AD207" i="2"/>
  <c r="AC207" i="2"/>
  <c r="AB207" i="2"/>
  <c r="AA207" i="2"/>
  <c r="Z207" i="2"/>
  <c r="Y207" i="2"/>
  <c r="X207" i="2"/>
  <c r="W207" i="2"/>
  <c r="V207" i="2"/>
  <c r="G211" i="2"/>
  <c r="F211" i="2"/>
  <c r="E211" i="2"/>
  <c r="D211" i="2"/>
  <c r="C211" i="2"/>
  <c r="G209" i="2"/>
  <c r="F209" i="2"/>
  <c r="E209" i="2"/>
  <c r="D209" i="2"/>
  <c r="C209" i="2"/>
  <c r="G207" i="2"/>
  <c r="F207" i="2"/>
  <c r="E207" i="2"/>
  <c r="D207" i="2"/>
  <c r="C207" i="2"/>
  <c r="E206" i="2"/>
  <c r="D206" i="2"/>
  <c r="C206" i="2"/>
  <c r="C199" i="2"/>
  <c r="T199" i="2"/>
  <c r="G199" i="2"/>
  <c r="F199" i="2"/>
  <c r="E199" i="2"/>
  <c r="D199" i="2"/>
  <c r="D193" i="2"/>
  <c r="D192" i="2"/>
  <c r="AK194" i="2"/>
  <c r="AG194" i="2"/>
  <c r="AC194" i="2"/>
  <c r="AQ193" i="2"/>
  <c r="AP193" i="2"/>
  <c r="AM193" i="2"/>
  <c r="AL193" i="2"/>
  <c r="AK193" i="2"/>
  <c r="AJ193" i="2"/>
  <c r="AI193" i="2"/>
  <c r="AH193" i="2"/>
  <c r="AG193" i="2"/>
  <c r="AF193" i="2"/>
  <c r="AE193" i="2"/>
  <c r="AD193" i="2"/>
  <c r="AC193" i="2"/>
  <c r="AB193" i="2"/>
  <c r="AA193" i="2"/>
  <c r="Z193" i="2"/>
  <c r="X193" i="2"/>
  <c r="AS192" i="2"/>
  <c r="AR192" i="2"/>
  <c r="AQ192" i="2"/>
  <c r="AP192" i="2"/>
  <c r="AM192" i="2"/>
  <c r="AL192" i="2"/>
  <c r="AK192" i="2"/>
  <c r="AJ192" i="2"/>
  <c r="AI192" i="2"/>
  <c r="AH192" i="2"/>
  <c r="AG192" i="2"/>
  <c r="AF192" i="2"/>
  <c r="AE192" i="2"/>
  <c r="AD192" i="2"/>
  <c r="AC192" i="2"/>
  <c r="AB192" i="2"/>
  <c r="AA192" i="2"/>
  <c r="Z192" i="2"/>
  <c r="Y192" i="2"/>
  <c r="X192" i="2"/>
  <c r="W192" i="2"/>
  <c r="F193" i="2"/>
  <c r="E193" i="2"/>
  <c r="G192" i="2"/>
  <c r="G193" i="2" s="1"/>
  <c r="F192" i="2"/>
  <c r="E192" i="2"/>
  <c r="AO190" i="2"/>
  <c r="AM190" i="2"/>
  <c r="AL190" i="2"/>
  <c r="AK190" i="2"/>
  <c r="AJ190" i="2"/>
  <c r="AI190" i="2"/>
  <c r="AH190" i="2"/>
  <c r="AG190" i="2"/>
  <c r="AF190" i="2"/>
  <c r="AE190" i="2"/>
  <c r="AD190" i="2"/>
  <c r="AC190" i="2"/>
  <c r="AB190" i="2"/>
  <c r="AA190" i="2"/>
  <c r="Z190" i="2"/>
  <c r="Y190" i="2"/>
  <c r="X190" i="2"/>
  <c r="W190" i="2"/>
  <c r="V190" i="2"/>
  <c r="T190" i="2"/>
  <c r="G190" i="2"/>
  <c r="F190" i="2"/>
  <c r="E190" i="2"/>
  <c r="D190" i="2"/>
  <c r="C190" i="2"/>
  <c r="AQ189" i="2"/>
  <c r="AR189" i="2" s="1"/>
  <c r="AP189" i="2"/>
  <c r="AP190" i="2" s="1"/>
  <c r="AS187" i="2"/>
  <c r="AR187" i="2"/>
  <c r="AQ187" i="2"/>
  <c r="AQ196" i="2" s="1"/>
  <c r="AP187" i="2"/>
  <c r="AP196" i="2" s="1"/>
  <c r="AM187" i="2"/>
  <c r="AM196" i="2" s="1"/>
  <c r="AL187" i="2"/>
  <c r="AL196" i="2" s="1"/>
  <c r="AK187" i="2"/>
  <c r="AJ187" i="2"/>
  <c r="AJ196" i="2" s="1"/>
  <c r="AI187" i="2"/>
  <c r="AI196" i="2" s="1"/>
  <c r="AH187" i="2"/>
  <c r="AH196" i="2" s="1"/>
  <c r="AF187" i="2"/>
  <c r="AF196" i="2" s="1"/>
  <c r="AE187" i="2"/>
  <c r="AE196" i="2" s="1"/>
  <c r="AD187" i="2"/>
  <c r="AD196" i="2" s="1"/>
  <c r="AC187" i="2"/>
  <c r="AC196" i="2" s="1"/>
  <c r="AB187" i="2"/>
  <c r="AB196" i="2" s="1"/>
  <c r="AA187" i="2"/>
  <c r="AA196" i="2" s="1"/>
  <c r="Z187" i="2"/>
  <c r="W187" i="2"/>
  <c r="T187" i="2"/>
  <c r="X196" i="2" s="1"/>
  <c r="AL186" i="2"/>
  <c r="AP195" i="2" s="1"/>
  <c r="AK186" i="2"/>
  <c r="AH186" i="2"/>
  <c r="AH195" i="2" s="1"/>
  <c r="AD186" i="2"/>
  <c r="AD195" i="2" s="1"/>
  <c r="AC186" i="2"/>
  <c r="AC195" i="2" s="1"/>
  <c r="Z186" i="2"/>
  <c r="Z195" i="2" s="1"/>
  <c r="Y186" i="2"/>
  <c r="X186" i="2"/>
  <c r="X195" i="2" s="1"/>
  <c r="W186" i="2"/>
  <c r="V186" i="2"/>
  <c r="T186" i="2"/>
  <c r="AM185" i="2"/>
  <c r="AQ194" i="2" s="1"/>
  <c r="AL185" i="2"/>
  <c r="AP194" i="2" s="1"/>
  <c r="AK185" i="2"/>
  <c r="AO185" i="2" s="1"/>
  <c r="AJ185" i="2"/>
  <c r="AN185" i="2" s="1"/>
  <c r="AI185" i="2"/>
  <c r="AI194" i="2" s="1"/>
  <c r="AH185" i="2"/>
  <c r="AH194" i="2" s="1"/>
  <c r="AG185" i="2"/>
  <c r="AF185" i="2"/>
  <c r="AF194" i="2" s="1"/>
  <c r="AE185" i="2"/>
  <c r="AE194" i="2" s="1"/>
  <c r="AD185" i="2"/>
  <c r="AD194" i="2" s="1"/>
  <c r="AC185" i="2"/>
  <c r="AB185" i="2"/>
  <c r="AB194" i="2" s="1"/>
  <c r="AA185" i="2"/>
  <c r="AA194" i="2" s="1"/>
  <c r="Z185" i="2"/>
  <c r="Z194" i="2" s="1"/>
  <c r="W185" i="2"/>
  <c r="V185" i="2"/>
  <c r="V187" i="2" s="1"/>
  <c r="T185" i="2"/>
  <c r="X194" i="2" s="1"/>
  <c r="E187" i="2"/>
  <c r="G186" i="2"/>
  <c r="G195" i="2" s="1"/>
  <c r="F186" i="2"/>
  <c r="F195" i="2" s="1"/>
  <c r="E186" i="2"/>
  <c r="D186" i="2"/>
  <c r="E195" i="2" s="1"/>
  <c r="G185" i="2"/>
  <c r="G194" i="2" s="1"/>
  <c r="F185" i="2"/>
  <c r="F187" i="2" s="1"/>
  <c r="F196" i="2" s="1"/>
  <c r="E185" i="2"/>
  <c r="E194" i="2" s="1"/>
  <c r="D185" i="2"/>
  <c r="D194" i="2" s="1"/>
  <c r="C185" i="2"/>
  <c r="AW185" i="2"/>
  <c r="AV185" i="2"/>
  <c r="AV194" i="2" s="1"/>
  <c r="AU185" i="2"/>
  <c r="AU194" i="2" s="1"/>
  <c r="AT185" i="2"/>
  <c r="AT194" i="2" s="1"/>
  <c r="AW184" i="2"/>
  <c r="AW193" i="2" s="1"/>
  <c r="AV184" i="2"/>
  <c r="AU184" i="2"/>
  <c r="AU193" i="2" s="1"/>
  <c r="AT184" i="2"/>
  <c r="AT193" i="2" s="1"/>
  <c r="AO184" i="2"/>
  <c r="AS193" i="2" s="1"/>
  <c r="AN184" i="2"/>
  <c r="U184" i="2"/>
  <c r="V192" i="2" s="1"/>
  <c r="D177" i="2"/>
  <c r="D178" i="2"/>
  <c r="T181" i="2"/>
  <c r="AY177" i="2"/>
  <c r="AX177" i="2"/>
  <c r="AW177" i="2"/>
  <c r="AV177" i="2"/>
  <c r="AU177" i="2"/>
  <c r="AT177" i="2"/>
  <c r="AS177" i="2"/>
  <c r="AR177" i="2"/>
  <c r="AQ177" i="2"/>
  <c r="AP177" i="2"/>
  <c r="AO177" i="2"/>
  <c r="AN177" i="2"/>
  <c r="AM177" i="2"/>
  <c r="AL177" i="2"/>
  <c r="AK177" i="2"/>
  <c r="AJ177" i="2"/>
  <c r="AI177" i="2"/>
  <c r="AH177" i="2"/>
  <c r="AG177" i="2"/>
  <c r="AF177" i="2"/>
  <c r="AE177" i="2"/>
  <c r="AD177" i="2"/>
  <c r="AC177" i="2"/>
  <c r="AB177" i="2"/>
  <c r="AA177" i="2"/>
  <c r="Z177" i="2"/>
  <c r="Y177" i="2"/>
  <c r="X177" i="2"/>
  <c r="W177" i="2"/>
  <c r="V177" i="2"/>
  <c r="U177" i="2"/>
  <c r="T179" i="2"/>
  <c r="AY175" i="2"/>
  <c r="AX175" i="2"/>
  <c r="AW175" i="2"/>
  <c r="AV175" i="2"/>
  <c r="AU175" i="2"/>
  <c r="AT175" i="2"/>
  <c r="AS175" i="2"/>
  <c r="AR175" i="2"/>
  <c r="AQ175" i="2"/>
  <c r="AP175" i="2"/>
  <c r="AO175" i="2"/>
  <c r="AN175" i="2"/>
  <c r="AM175" i="2"/>
  <c r="AL175" i="2"/>
  <c r="AK175" i="2"/>
  <c r="AJ175" i="2"/>
  <c r="AI175" i="2"/>
  <c r="AH175" i="2"/>
  <c r="AG175" i="2"/>
  <c r="AF175" i="2"/>
  <c r="AE175" i="2"/>
  <c r="AD175" i="2"/>
  <c r="AC175" i="2"/>
  <c r="AB175" i="2"/>
  <c r="AA175" i="2"/>
  <c r="Z175" i="2"/>
  <c r="Y175" i="2"/>
  <c r="X175" i="2"/>
  <c r="W175" i="2"/>
  <c r="V175" i="2"/>
  <c r="U175" i="2"/>
  <c r="T178" i="2"/>
  <c r="S177" i="2"/>
  <c r="R177" i="2"/>
  <c r="Q177" i="2"/>
  <c r="S175" i="2"/>
  <c r="R175" i="2"/>
  <c r="G181" i="2"/>
  <c r="F181" i="2"/>
  <c r="E181" i="2"/>
  <c r="G179" i="2"/>
  <c r="L177" i="2"/>
  <c r="H177" i="2"/>
  <c r="N177" i="2"/>
  <c r="M177" i="2"/>
  <c r="K177" i="2"/>
  <c r="I177" i="2"/>
  <c r="G177" i="2"/>
  <c r="E179" i="2"/>
  <c r="L175" i="2"/>
  <c r="H175" i="2"/>
  <c r="N175" i="2"/>
  <c r="M175" i="2"/>
  <c r="K175" i="2"/>
  <c r="I175" i="2"/>
  <c r="G178" i="2"/>
  <c r="F178" i="2"/>
  <c r="E175" i="2"/>
  <c r="D175" i="2"/>
  <c r="Y170" i="2"/>
  <c r="Y168" i="2"/>
  <c r="AN167" i="2"/>
  <c r="AO167" i="2" s="1"/>
  <c r="AP167" i="2" s="1"/>
  <c r="AQ167" i="2" s="1"/>
  <c r="AR167" i="2" s="1"/>
  <c r="AS167" i="2" s="1"/>
  <c r="AT167" i="2" s="1"/>
  <c r="AU167" i="2" s="1"/>
  <c r="AV167" i="2" s="1"/>
  <c r="AW167" i="2" s="1"/>
  <c r="AX167" i="2" s="1"/>
  <c r="AY167" i="2" s="1"/>
  <c r="AJ167" i="2"/>
  <c r="AK167" i="2" s="1"/>
  <c r="AL167" i="2" s="1"/>
  <c r="AM167" i="2" s="1"/>
  <c r="AF167" i="2"/>
  <c r="AG167" i="2" s="1"/>
  <c r="AH167" i="2" s="1"/>
  <c r="AI167" i="2" s="1"/>
  <c r="AE167" i="2"/>
  <c r="AD167" i="2"/>
  <c r="AC167" i="2"/>
  <c r="AA167" i="2"/>
  <c r="Z167" i="2"/>
  <c r="AK163" i="2"/>
  <c r="AL163" i="2" s="1"/>
  <c r="AM163" i="2" s="1"/>
  <c r="AG163" i="2"/>
  <c r="AH163" i="2" s="1"/>
  <c r="AI163" i="2" s="1"/>
  <c r="AJ163" i="2" s="1"/>
  <c r="AF163" i="2"/>
  <c r="AE163" i="2"/>
  <c r="AB163" i="2"/>
  <c r="AC163" i="2" s="1"/>
  <c r="AA163" i="2"/>
  <c r="Z163" i="2"/>
  <c r="AR163" i="2"/>
  <c r="AS163" i="2" s="1"/>
  <c r="AT163" i="2" s="1"/>
  <c r="AU163" i="2" s="1"/>
  <c r="AV163" i="2" s="1"/>
  <c r="AW163" i="2" s="1"/>
  <c r="AX163" i="2" s="1"/>
  <c r="AY163" i="2" s="1"/>
  <c r="AQ163" i="2"/>
  <c r="AP163" i="2"/>
  <c r="AO163" i="2"/>
  <c r="AY162" i="2"/>
  <c r="AT162" i="2"/>
  <c r="AU162" i="2" s="1"/>
  <c r="AV162" i="2" s="1"/>
  <c r="AW162" i="2" s="1"/>
  <c r="AX162" i="2" s="1"/>
  <c r="AO162" i="2"/>
  <c r="AP162" i="2" s="1"/>
  <c r="AQ162" i="2" s="1"/>
  <c r="AR162" i="2" s="1"/>
  <c r="AS162" i="2" s="1"/>
  <c r="AO161" i="2"/>
  <c r="AP161" i="2" s="1"/>
  <c r="Z160" i="2"/>
  <c r="AA160" i="2" s="1"/>
  <c r="AB160" i="2" s="1"/>
  <c r="AC160" i="2" s="1"/>
  <c r="AD160" i="2" s="1"/>
  <c r="AE160" i="2" s="1"/>
  <c r="AF160" i="2" s="1"/>
  <c r="AG160" i="2" s="1"/>
  <c r="AH160" i="2" s="1"/>
  <c r="AI160" i="2" s="1"/>
  <c r="AJ160" i="2" s="1"/>
  <c r="AK160" i="2" s="1"/>
  <c r="AL160" i="2" s="1"/>
  <c r="AM160" i="2" s="1"/>
  <c r="AN160" i="2" s="1"/>
  <c r="AF159" i="2"/>
  <c r="AD159" i="2"/>
  <c r="AE159" i="2" s="1"/>
  <c r="AC159" i="2"/>
  <c r="AA159" i="2"/>
  <c r="Z159" i="2"/>
  <c r="Z158" i="2"/>
  <c r="AA158" i="2" s="1"/>
  <c r="AB158" i="2" s="1"/>
  <c r="AC158" i="2" s="1"/>
  <c r="AD158" i="2" s="1"/>
  <c r="AE158" i="2" s="1"/>
  <c r="AF158" i="2" s="1"/>
  <c r="AG158" i="2" s="1"/>
  <c r="AH158" i="2" s="1"/>
  <c r="AI158" i="2" s="1"/>
  <c r="AJ158" i="2" s="1"/>
  <c r="AK158" i="2" s="1"/>
  <c r="AB157" i="2"/>
  <c r="AC157" i="2" s="1"/>
  <c r="AA157" i="2"/>
  <c r="Z157" i="2"/>
  <c r="AC156" i="2"/>
  <c r="AD156" i="2" s="1"/>
  <c r="AE156" i="2" s="1"/>
  <c r="AF156" i="2" s="1"/>
  <c r="AG156" i="2" s="1"/>
  <c r="AH156" i="2" s="1"/>
  <c r="AI156" i="2" s="1"/>
  <c r="AJ156" i="2" s="1"/>
  <c r="AK156" i="2" s="1"/>
  <c r="AL156" i="2" s="1"/>
  <c r="AM156" i="2" s="1"/>
  <c r="AN156" i="2" s="1"/>
  <c r="AO156" i="2" s="1"/>
  <c r="AP156" i="2" s="1"/>
  <c r="AQ156" i="2" s="1"/>
  <c r="AR156" i="2" s="1"/>
  <c r="AS156" i="2" s="1"/>
  <c r="AT156" i="2" s="1"/>
  <c r="AU156" i="2" s="1"/>
  <c r="AV156" i="2" s="1"/>
  <c r="AW156" i="2" s="1"/>
  <c r="AX156" i="2" s="1"/>
  <c r="AY156" i="2" s="1"/>
  <c r="AB155" i="2"/>
  <c r="AC155" i="2" s="1"/>
  <c r="AD155" i="2" s="1"/>
  <c r="AE155" i="2" s="1"/>
  <c r="AF155" i="2" s="1"/>
  <c r="AG155" i="2" s="1"/>
  <c r="AH155" i="2" s="1"/>
  <c r="AI155" i="2" s="1"/>
  <c r="AJ155" i="2" s="1"/>
  <c r="AK155" i="2" s="1"/>
  <c r="AL155" i="2" s="1"/>
  <c r="AM155" i="2" s="1"/>
  <c r="AN155" i="2" s="1"/>
  <c r="AO155" i="2" s="1"/>
  <c r="AP155" i="2" s="1"/>
  <c r="AQ155" i="2" s="1"/>
  <c r="AR155" i="2" s="1"/>
  <c r="AS155" i="2" s="1"/>
  <c r="AT155" i="2" s="1"/>
  <c r="AU155" i="2" s="1"/>
  <c r="AV155" i="2" s="1"/>
  <c r="AW155" i="2" s="1"/>
  <c r="AX155" i="2" s="1"/>
  <c r="AY155" i="2" s="1"/>
  <c r="AA155" i="2"/>
  <c r="Z155" i="2"/>
  <c r="AA154" i="2"/>
  <c r="AB154" i="2" s="1"/>
  <c r="AC154" i="2" s="1"/>
  <c r="AD154" i="2" s="1"/>
  <c r="AE154" i="2" s="1"/>
  <c r="AF154" i="2" s="1"/>
  <c r="AG154" i="2" s="1"/>
  <c r="Z154" i="2"/>
  <c r="AR160" i="2"/>
  <c r="AS160" i="2" s="1"/>
  <c r="AT160" i="2" s="1"/>
  <c r="AU160" i="2" s="1"/>
  <c r="AV160" i="2" s="1"/>
  <c r="AW160" i="2" s="1"/>
  <c r="AX160" i="2" s="1"/>
  <c r="AY160" i="2" s="1"/>
  <c r="AQ160" i="2"/>
  <c r="AQ159" i="2"/>
  <c r="AR159" i="2" s="1"/>
  <c r="AS159" i="2" s="1"/>
  <c r="AO159" i="2"/>
  <c r="AP159" i="2" s="1"/>
  <c r="AN159" i="2"/>
  <c r="AH153" i="2"/>
  <c r="Z153" i="2"/>
  <c r="AJ143" i="2"/>
  <c r="AF143" i="2"/>
  <c r="AB143" i="2"/>
  <c r="X143" i="2"/>
  <c r="V143" i="2"/>
  <c r="U143" i="2"/>
  <c r="T143" i="2"/>
  <c r="W142" i="2"/>
  <c r="V142" i="2"/>
  <c r="U142" i="2"/>
  <c r="T142" i="2"/>
  <c r="AT141" i="2"/>
  <c r="AP141" i="2"/>
  <c r="AL141" i="2"/>
  <c r="AH141" i="2"/>
  <c r="AD141" i="2"/>
  <c r="Z141" i="2"/>
  <c r="AU137" i="2"/>
  <c r="AU141" i="2" s="1"/>
  <c r="AT137" i="2"/>
  <c r="AS137" i="2"/>
  <c r="AS141" i="2" s="1"/>
  <c r="AR137" i="2"/>
  <c r="AR141" i="2" s="1"/>
  <c r="AQ137" i="2"/>
  <c r="AQ141" i="2" s="1"/>
  <c r="AP137" i="2"/>
  <c r="AO137" i="2"/>
  <c r="AO141" i="2" s="1"/>
  <c r="AN137" i="2"/>
  <c r="AN141" i="2" s="1"/>
  <c r="AM137" i="2"/>
  <c r="AM141" i="2" s="1"/>
  <c r="AL137" i="2"/>
  <c r="AK137" i="2"/>
  <c r="AK141" i="2" s="1"/>
  <c r="AJ137" i="2"/>
  <c r="AJ141" i="2" s="1"/>
  <c r="AI137" i="2"/>
  <c r="AI141" i="2" s="1"/>
  <c r="AH137" i="2"/>
  <c r="AG137" i="2"/>
  <c r="AG141" i="2" s="1"/>
  <c r="AF137" i="2"/>
  <c r="AF141" i="2" s="1"/>
  <c r="AE137" i="2"/>
  <c r="AE141" i="2" s="1"/>
  <c r="AD137" i="2"/>
  <c r="AC137" i="2"/>
  <c r="AC141" i="2" s="1"/>
  <c r="AB137" i="2"/>
  <c r="AB141" i="2" s="1"/>
  <c r="AA137" i="2"/>
  <c r="AA141" i="2" s="1"/>
  <c r="Z137" i="2"/>
  <c r="Y137" i="2"/>
  <c r="Y141" i="2" s="1"/>
  <c r="X137" i="2"/>
  <c r="X141" i="2" s="1"/>
  <c r="AQ134" i="2"/>
  <c r="AN131" i="2"/>
  <c r="AM130" i="2"/>
  <c r="AI130" i="2"/>
  <c r="AE130" i="2"/>
  <c r="AA130" i="2"/>
  <c r="AN129" i="2"/>
  <c r="AM129" i="2"/>
  <c r="AL129" i="2"/>
  <c r="AK129" i="2"/>
  <c r="AJ129" i="2"/>
  <c r="AI129" i="2"/>
  <c r="AH129" i="2"/>
  <c r="AG129" i="2"/>
  <c r="AF129" i="2"/>
  <c r="AE129" i="2"/>
  <c r="AD129" i="2"/>
  <c r="AC129" i="2"/>
  <c r="AB129" i="2"/>
  <c r="AA129" i="2"/>
  <c r="Z129" i="2"/>
  <c r="Y129" i="2"/>
  <c r="AN122" i="2"/>
  <c r="AB122" i="2"/>
  <c r="X122" i="2"/>
  <c r="AM120" i="2"/>
  <c r="AL120" i="2"/>
  <c r="AJ120" i="2"/>
  <c r="AI120" i="2"/>
  <c r="AB120" i="2"/>
  <c r="AA120" i="2"/>
  <c r="AN119" i="2"/>
  <c r="AN130" i="2" s="1"/>
  <c r="AM119" i="2"/>
  <c r="AL119" i="2"/>
  <c r="AL130" i="2" s="1"/>
  <c r="AK119" i="2"/>
  <c r="AK130" i="2" s="1"/>
  <c r="AJ119" i="2"/>
  <c r="AJ130" i="2" s="1"/>
  <c r="AI119" i="2"/>
  <c r="AH119" i="2"/>
  <c r="AH130" i="2" s="1"/>
  <c r="AG119" i="2"/>
  <c r="AG130" i="2" s="1"/>
  <c r="AF119" i="2"/>
  <c r="AF130" i="2" s="1"/>
  <c r="AE119" i="2"/>
  <c r="AD119" i="2"/>
  <c r="AD130" i="2" s="1"/>
  <c r="AC119" i="2"/>
  <c r="AC130" i="2" s="1"/>
  <c r="AB119" i="2"/>
  <c r="AB130" i="2" s="1"/>
  <c r="AA119" i="2"/>
  <c r="Z119" i="2"/>
  <c r="Z130" i="2" s="1"/>
  <c r="Y119" i="2"/>
  <c r="Y130" i="2" s="1"/>
  <c r="X119" i="2"/>
  <c r="AO118" i="2"/>
  <c r="AP118" i="2" s="1"/>
  <c r="Z114" i="2"/>
  <c r="Z142" i="2" s="1"/>
  <c r="AN113" i="2"/>
  <c r="AO113" i="2" s="1"/>
  <c r="AO111" i="2"/>
  <c r="AO122" i="2" s="1"/>
  <c r="AN111" i="2"/>
  <c r="AM111" i="2"/>
  <c r="AM122" i="2" s="1"/>
  <c r="AL111" i="2"/>
  <c r="AL122" i="2" s="1"/>
  <c r="AE111" i="2"/>
  <c r="AE122" i="2" s="1"/>
  <c r="AD111" i="2"/>
  <c r="AD122" i="2" s="1"/>
  <c r="AC111" i="2"/>
  <c r="AC122" i="2" s="1"/>
  <c r="AB111" i="2"/>
  <c r="AA111" i="2"/>
  <c r="AA122" i="2" s="1"/>
  <c r="Z111" i="2"/>
  <c r="Z122" i="2" s="1"/>
  <c r="Y111" i="2"/>
  <c r="Y122" i="2" s="1"/>
  <c r="X111" i="2"/>
  <c r="AC109" i="2"/>
  <c r="AC112" i="2" s="1"/>
  <c r="AU108" i="2"/>
  <c r="AT108" i="2"/>
  <c r="AS108" i="2"/>
  <c r="AR108" i="2"/>
  <c r="AQ108" i="2"/>
  <c r="AP108" i="2"/>
  <c r="AO108" i="2"/>
  <c r="AN108" i="2"/>
  <c r="AM108" i="2"/>
  <c r="AL108" i="2"/>
  <c r="AK108" i="2"/>
  <c r="AJ108" i="2"/>
  <c r="AI108" i="2"/>
  <c r="AH108" i="2"/>
  <c r="AG108" i="2"/>
  <c r="AF108" i="2"/>
  <c r="AE108" i="2"/>
  <c r="AD108" i="2"/>
  <c r="AC108" i="2"/>
  <c r="AB108" i="2"/>
  <c r="AA108" i="2"/>
  <c r="Z108" i="2"/>
  <c r="Y108" i="2"/>
  <c r="X108" i="2"/>
  <c r="AP107" i="2"/>
  <c r="AP109" i="2" s="1"/>
  <c r="AC107" i="2"/>
  <c r="AB107" i="2"/>
  <c r="AB109" i="2" s="1"/>
  <c r="AB112" i="2" s="1"/>
  <c r="AB114" i="2" s="1"/>
  <c r="AB142" i="2" s="1"/>
  <c r="AA107" i="2"/>
  <c r="AA109" i="2" s="1"/>
  <c r="AA112" i="2" s="1"/>
  <c r="Z107" i="2"/>
  <c r="Z109" i="2" s="1"/>
  <c r="Z112" i="2" s="1"/>
  <c r="Z124" i="2" s="1"/>
  <c r="Y107" i="2"/>
  <c r="Y109" i="2" s="1"/>
  <c r="Y112" i="2" s="1"/>
  <c r="X107" i="2"/>
  <c r="X109" i="2" s="1"/>
  <c r="X112" i="2" s="1"/>
  <c r="X114" i="2" s="1"/>
  <c r="X142" i="2" s="1"/>
  <c r="AQ106" i="2"/>
  <c r="AQ107" i="2" s="1"/>
  <c r="AQ109" i="2" s="1"/>
  <c r="AH103" i="2"/>
  <c r="AG103" i="2"/>
  <c r="AG143" i="2" s="1"/>
  <c r="AC103" i="2"/>
  <c r="Y103" i="2"/>
  <c r="Z103" i="2" s="1"/>
  <c r="W103" i="2"/>
  <c r="W143" i="2" s="1"/>
  <c r="V103" i="2"/>
  <c r="AK103" i="2"/>
  <c r="AM101" i="2"/>
  <c r="AL101" i="2"/>
  <c r="AK101" i="2"/>
  <c r="AJ102" i="2"/>
  <c r="AB102" i="2"/>
  <c r="AJ101" i="2"/>
  <c r="AI101" i="2"/>
  <c r="AH101" i="2"/>
  <c r="AE101" i="2"/>
  <c r="AD101" i="2"/>
  <c r="AC101" i="2"/>
  <c r="AB101" i="2"/>
  <c r="AA101" i="2"/>
  <c r="Z101" i="2"/>
  <c r="AN99" i="2"/>
  <c r="AF99" i="2"/>
  <c r="AF101" i="2" s="1"/>
  <c r="AF102" i="2" s="1"/>
  <c r="AP98" i="2"/>
  <c r="AK92" i="2"/>
  <c r="AK120" i="2" s="1"/>
  <c r="AB92" i="2"/>
  <c r="Z92" i="2"/>
  <c r="Z120" i="2" s="1"/>
  <c r="Y92" i="2"/>
  <c r="AV90" i="2"/>
  <c r="AU90" i="2"/>
  <c r="AT90" i="2"/>
  <c r="AS90" i="2"/>
  <c r="AR90" i="2"/>
  <c r="AQ90" i="2"/>
  <c r="AP90" i="2"/>
  <c r="AO90" i="2"/>
  <c r="AN90" i="2"/>
  <c r="AM90" i="2"/>
  <c r="AL90" i="2"/>
  <c r="AK90" i="2"/>
  <c r="AJ90" i="2"/>
  <c r="AI90" i="2"/>
  <c r="AH90" i="2"/>
  <c r="AG90" i="2"/>
  <c r="AG109" i="2" s="1"/>
  <c r="AF90" i="2"/>
  <c r="AE90" i="2"/>
  <c r="AD90" i="2"/>
  <c r="AC90" i="2"/>
  <c r="AB90" i="2"/>
  <c r="AA90" i="2"/>
  <c r="Z90" i="2"/>
  <c r="Y90" i="2"/>
  <c r="X90" i="2"/>
  <c r="X135" i="2" s="1"/>
  <c r="X140" i="2" s="1"/>
  <c r="W90" i="2"/>
  <c r="V90" i="2"/>
  <c r="T90" i="2"/>
  <c r="G90" i="2"/>
  <c r="F90" i="2"/>
  <c r="AW89" i="2"/>
  <c r="AW137" i="2" s="1"/>
  <c r="AW141" i="2" s="1"/>
  <c r="AV89" i="2"/>
  <c r="AH85" i="2"/>
  <c r="Z85" i="2"/>
  <c r="AF84" i="2"/>
  <c r="AF85" i="2" s="1"/>
  <c r="AF27" i="2" s="1"/>
  <c r="AE84" i="2"/>
  <c r="AD84" i="2"/>
  <c r="AC84" i="2"/>
  <c r="X84" i="2"/>
  <c r="T84" i="2"/>
  <c r="T85" i="2" s="1"/>
  <c r="T27" i="2" s="1"/>
  <c r="AY84" i="2"/>
  <c r="AY85" i="2" s="1"/>
  <c r="AX84" i="2"/>
  <c r="AX85" i="2" s="1"/>
  <c r="AW84" i="2"/>
  <c r="AW85" i="2" s="1"/>
  <c r="AV84" i="2"/>
  <c r="AV85" i="2" s="1"/>
  <c r="AU84" i="2"/>
  <c r="AU85" i="2" s="1"/>
  <c r="AT84" i="2"/>
  <c r="AT85" i="2" s="1"/>
  <c r="AS84" i="2"/>
  <c r="AS85" i="2" s="1"/>
  <c r="AR84" i="2"/>
  <c r="AR85" i="2" s="1"/>
  <c r="AQ84" i="2"/>
  <c r="AQ85" i="2" s="1"/>
  <c r="AP84" i="2"/>
  <c r="AP85" i="2" s="1"/>
  <c r="AO84" i="2"/>
  <c r="AO85" i="2" s="1"/>
  <c r="AN84" i="2"/>
  <c r="AN85" i="2" s="1"/>
  <c r="AM84" i="2"/>
  <c r="AL84" i="2"/>
  <c r="AL85" i="2" s="1"/>
  <c r="AL208" i="2" s="1"/>
  <c r="AK84" i="2"/>
  <c r="AK85" i="2" s="1"/>
  <c r="AK208" i="2" s="1"/>
  <c r="AJ84" i="2"/>
  <c r="AJ85" i="2" s="1"/>
  <c r="AJ208" i="2" s="1"/>
  <c r="AI84" i="2"/>
  <c r="AY83" i="2"/>
  <c r="AY213" i="2" s="1"/>
  <c r="AX83" i="2"/>
  <c r="AX213" i="2" s="1"/>
  <c r="AW83" i="2"/>
  <c r="AW213" i="2" s="1"/>
  <c r="AV83" i="2"/>
  <c r="AV213" i="2" s="1"/>
  <c r="AU83" i="2"/>
  <c r="AU213" i="2" s="1"/>
  <c r="AT83" i="2"/>
  <c r="AT213" i="2" s="1"/>
  <c r="AS83" i="2"/>
  <c r="AS213" i="2" s="1"/>
  <c r="AR83" i="2"/>
  <c r="AR213" i="2" s="1"/>
  <c r="AQ83" i="2"/>
  <c r="AQ213" i="2" s="1"/>
  <c r="AP83" i="2"/>
  <c r="AP213" i="2" s="1"/>
  <c r="AO83" i="2"/>
  <c r="AO213" i="2" s="1"/>
  <c r="AN83" i="2"/>
  <c r="AN213" i="2" s="1"/>
  <c r="AL83" i="2"/>
  <c r="AK83" i="2"/>
  <c r="AJ83" i="2"/>
  <c r="AJ213" i="2" s="1"/>
  <c r="AH83" i="2"/>
  <c r="AH213" i="2" s="1"/>
  <c r="AF83" i="2"/>
  <c r="AF213" i="2" s="1"/>
  <c r="AB83" i="2"/>
  <c r="AB213" i="2" s="1"/>
  <c r="Z83" i="2"/>
  <c r="Z213" i="2" s="1"/>
  <c r="X83" i="2"/>
  <c r="X213" i="2" s="1"/>
  <c r="T83" i="2"/>
  <c r="T213" i="2" s="1"/>
  <c r="E84" i="2"/>
  <c r="E85" i="2" s="1"/>
  <c r="E27" i="2" s="1"/>
  <c r="E208" i="2" s="1"/>
  <c r="D84" i="2"/>
  <c r="D85" i="2" s="1"/>
  <c r="D27" i="2" s="1"/>
  <c r="D208" i="2" s="1"/>
  <c r="C84" i="2"/>
  <c r="C85" i="2" s="1"/>
  <c r="C27" i="2" s="1"/>
  <c r="C208" i="2" s="1"/>
  <c r="E83" i="2"/>
  <c r="E213" i="2" s="1"/>
  <c r="D83" i="2"/>
  <c r="D213" i="2" s="1"/>
  <c r="C83" i="2"/>
  <c r="C213" i="2" s="1"/>
  <c r="AM82" i="2"/>
  <c r="AM83" i="2" s="1"/>
  <c r="AM213" i="2" s="1"/>
  <c r="AI82" i="2"/>
  <c r="AI83" i="2" s="1"/>
  <c r="AI213" i="2" s="1"/>
  <c r="AG82" i="2"/>
  <c r="AG80" i="2"/>
  <c r="AG83" i="2" s="1"/>
  <c r="AE82" i="2"/>
  <c r="AE83" i="2" s="1"/>
  <c r="AD82" i="2"/>
  <c r="AD83" i="2" s="1"/>
  <c r="AC82" i="2"/>
  <c r="AC83" i="2" s="1"/>
  <c r="AC213" i="2" s="1"/>
  <c r="W82" i="2"/>
  <c r="V82" i="2"/>
  <c r="V83" i="2" s="1"/>
  <c r="AA80" i="2"/>
  <c r="AA221" i="2" s="1"/>
  <c r="AA78" i="2"/>
  <c r="AA235" i="2" s="1"/>
  <c r="AA77" i="2"/>
  <c r="AA226" i="2" s="1"/>
  <c r="Y80" i="2"/>
  <c r="Y221" i="2" s="1"/>
  <c r="Y78" i="2"/>
  <c r="Y235" i="2" s="1"/>
  <c r="Y77" i="2"/>
  <c r="Y226" i="2" s="1"/>
  <c r="W80" i="2"/>
  <c r="W221" i="2" s="1"/>
  <c r="W78" i="2"/>
  <c r="W235" i="2" s="1"/>
  <c r="W77" i="2"/>
  <c r="W226" i="2" s="1"/>
  <c r="U80" i="2"/>
  <c r="U221" i="2" s="1"/>
  <c r="U76" i="2"/>
  <c r="U219" i="2" s="1"/>
  <c r="U75" i="2"/>
  <c r="D80" i="2"/>
  <c r="C80" i="2"/>
  <c r="Z79" i="2"/>
  <c r="Z81" i="2" s="1"/>
  <c r="Z78" i="2"/>
  <c r="Z235" i="2" s="1"/>
  <c r="Z77" i="2"/>
  <c r="Z226" i="2" s="1"/>
  <c r="X78" i="2"/>
  <c r="X235" i="2" s="1"/>
  <c r="X77" i="2"/>
  <c r="X226" i="2" s="1"/>
  <c r="V78" i="2"/>
  <c r="V235" i="2" s="1"/>
  <c r="V77" i="2"/>
  <c r="V226" i="2" s="1"/>
  <c r="T78" i="2"/>
  <c r="T235" i="2" s="1"/>
  <c r="T77" i="2"/>
  <c r="T226" i="2" s="1"/>
  <c r="AM78" i="2"/>
  <c r="AM235" i="2" s="1"/>
  <c r="AL78" i="2"/>
  <c r="AL235" i="2" s="1"/>
  <c r="AL236" i="2" s="1"/>
  <c r="AL240" i="2" s="1"/>
  <c r="AK78" i="2"/>
  <c r="AK235" i="2" s="1"/>
  <c r="AK236" i="2" s="1"/>
  <c r="AK240" i="2" s="1"/>
  <c r="AJ78" i="2"/>
  <c r="AJ235" i="2" s="1"/>
  <c r="AJ236" i="2" s="1"/>
  <c r="AJ240" i="2" s="1"/>
  <c r="AI78" i="2"/>
  <c r="AI235" i="2" s="1"/>
  <c r="AH78" i="2"/>
  <c r="AH235" i="2" s="1"/>
  <c r="AH236" i="2" s="1"/>
  <c r="AH240" i="2" s="1"/>
  <c r="AM77" i="2"/>
  <c r="AM226" i="2" s="1"/>
  <c r="AM227" i="2" s="1"/>
  <c r="AL77" i="2"/>
  <c r="AL226" i="2" s="1"/>
  <c r="AK77" i="2"/>
  <c r="AK226" i="2" s="1"/>
  <c r="AJ77" i="2"/>
  <c r="AJ226" i="2" s="1"/>
  <c r="AJ227" i="2" s="1"/>
  <c r="AI77" i="2"/>
  <c r="AI226" i="2" s="1"/>
  <c r="AI227" i="2" s="1"/>
  <c r="AH77" i="2"/>
  <c r="AH226" i="2" s="1"/>
  <c r="AD79" i="2"/>
  <c r="AD81" i="2" s="1"/>
  <c r="AF78" i="2"/>
  <c r="AF235" i="2" s="1"/>
  <c r="AF236" i="2" s="1"/>
  <c r="AF240" i="2" s="1"/>
  <c r="AE78" i="2"/>
  <c r="AE235" i="2" s="1"/>
  <c r="AE236" i="2" s="1"/>
  <c r="AE240" i="2" s="1"/>
  <c r="AD78" i="2"/>
  <c r="AD235" i="2" s="1"/>
  <c r="AD236" i="2" s="1"/>
  <c r="AD240" i="2" s="1"/>
  <c r="AC78" i="2"/>
  <c r="AC235" i="2" s="1"/>
  <c r="AC236" i="2" s="1"/>
  <c r="AC240" i="2" s="1"/>
  <c r="AB78" i="2"/>
  <c r="AB235" i="2" s="1"/>
  <c r="AB236" i="2" s="1"/>
  <c r="AE77" i="2"/>
  <c r="AE226" i="2" s="1"/>
  <c r="AE227" i="2" s="1"/>
  <c r="AD77" i="2"/>
  <c r="AD226" i="2" s="1"/>
  <c r="AD227" i="2" s="1"/>
  <c r="AD144" i="2" s="1"/>
  <c r="AC77" i="2"/>
  <c r="AC226" i="2" s="1"/>
  <c r="AC227" i="2" s="1"/>
  <c r="AB77" i="2"/>
  <c r="AB226" i="2" s="1"/>
  <c r="AB227" i="2" s="1"/>
  <c r="G80" i="2"/>
  <c r="G84" i="2" s="1"/>
  <c r="F80" i="2"/>
  <c r="F84" i="2" s="1"/>
  <c r="G78" i="2"/>
  <c r="F78" i="2"/>
  <c r="G77" i="2"/>
  <c r="G79" i="2" s="1"/>
  <c r="G81" i="2" s="1"/>
  <c r="G19" i="2" s="1"/>
  <c r="F77" i="2"/>
  <c r="F79" i="2" s="1"/>
  <c r="F81" i="2" s="1"/>
  <c r="F19" i="2" s="1"/>
  <c r="F23" i="2" s="1"/>
  <c r="E78" i="2"/>
  <c r="D78" i="2"/>
  <c r="E77" i="2"/>
  <c r="D77" i="2"/>
  <c r="AP76" i="2"/>
  <c r="AP219" i="2" s="1"/>
  <c r="AO76" i="2"/>
  <c r="AO219" i="2" s="1"/>
  <c r="AN76" i="2"/>
  <c r="AN219" i="2" s="1"/>
  <c r="AM76" i="2"/>
  <c r="AM219" i="2" s="1"/>
  <c r="AL76" i="2"/>
  <c r="AL79" i="2" s="1"/>
  <c r="AL81" i="2" s="1"/>
  <c r="AK76" i="2"/>
  <c r="AJ76" i="2"/>
  <c r="E74" i="2"/>
  <c r="D74" i="2"/>
  <c r="C74" i="2"/>
  <c r="AO71" i="2"/>
  <c r="AL71" i="2"/>
  <c r="AK71" i="2"/>
  <c r="AJ71" i="2"/>
  <c r="AI71" i="2"/>
  <c r="AH71" i="2"/>
  <c r="AG71" i="2"/>
  <c r="AF71" i="2"/>
  <c r="AE71" i="2"/>
  <c r="AD71" i="2"/>
  <c r="AC71" i="2"/>
  <c r="AB71" i="2"/>
  <c r="AA71" i="2"/>
  <c r="Z71" i="2"/>
  <c r="Y71" i="2"/>
  <c r="X71" i="2"/>
  <c r="E71" i="2"/>
  <c r="D71" i="2"/>
  <c r="G71" i="2"/>
  <c r="F71" i="2"/>
  <c r="AR71" i="2"/>
  <c r="AS71" i="2" s="1"/>
  <c r="AQ71" i="2"/>
  <c r="AQ69" i="2"/>
  <c r="AR69" i="2" s="1"/>
  <c r="AN69" i="2"/>
  <c r="AO69" i="2" s="1"/>
  <c r="AM69" i="2"/>
  <c r="AL69" i="2"/>
  <c r="AK69" i="2"/>
  <c r="AJ69" i="2"/>
  <c r="AI69" i="2"/>
  <c r="AH69" i="2"/>
  <c r="AG69" i="2"/>
  <c r="AF69" i="2"/>
  <c r="AE69" i="2"/>
  <c r="AD69" i="2"/>
  <c r="AC69" i="2"/>
  <c r="AB69" i="2"/>
  <c r="AA69" i="2"/>
  <c r="Z69" i="2"/>
  <c r="Y69" i="2"/>
  <c r="X69" i="2"/>
  <c r="G69" i="2"/>
  <c r="AM63" i="2"/>
  <c r="AL63" i="2"/>
  <c r="AK63" i="2"/>
  <c r="AJ63" i="2"/>
  <c r="AI63" i="2"/>
  <c r="AH63" i="2"/>
  <c r="AF63" i="2"/>
  <c r="AE63" i="2"/>
  <c r="AD63" i="2"/>
  <c r="AC63" i="2"/>
  <c r="AB63" i="2"/>
  <c r="AA63" i="2"/>
  <c r="Z63" i="2"/>
  <c r="Y63" i="2"/>
  <c r="X63" i="2"/>
  <c r="W63" i="2"/>
  <c r="V63" i="2"/>
  <c r="T63" i="2"/>
  <c r="AM62" i="2"/>
  <c r="AL62" i="2"/>
  <c r="AK62" i="2"/>
  <c r="AJ62" i="2"/>
  <c r="AI62" i="2"/>
  <c r="AH62" i="2"/>
  <c r="AE62" i="2"/>
  <c r="AD62" i="2"/>
  <c r="AC62" i="2"/>
  <c r="AB62" i="2"/>
  <c r="AA62" i="2"/>
  <c r="Z62" i="2"/>
  <c r="Y62" i="2"/>
  <c r="X62" i="2"/>
  <c r="W62" i="2"/>
  <c r="V62" i="2"/>
  <c r="T62" i="2"/>
  <c r="G63" i="2"/>
  <c r="F63" i="2"/>
  <c r="E63" i="2"/>
  <c r="D63" i="2"/>
  <c r="G62" i="2"/>
  <c r="F62" i="2"/>
  <c r="E62" i="2"/>
  <c r="D62" i="2"/>
  <c r="AM59" i="2"/>
  <c r="AL59" i="2"/>
  <c r="AK59" i="2"/>
  <c r="AJ59" i="2"/>
  <c r="AI59" i="2"/>
  <c r="AH59" i="2"/>
  <c r="AG59" i="2"/>
  <c r="AF59" i="2"/>
  <c r="AE59" i="2"/>
  <c r="AD59" i="2"/>
  <c r="AC59" i="2"/>
  <c r="AB59" i="2"/>
  <c r="AA59" i="2"/>
  <c r="Z59" i="2"/>
  <c r="Y59" i="2"/>
  <c r="X59" i="2"/>
  <c r="W59" i="2"/>
  <c r="AM58" i="2"/>
  <c r="AL58" i="2"/>
  <c r="AK58" i="2"/>
  <c r="AJ58" i="2"/>
  <c r="AI58" i="2"/>
  <c r="AH58" i="2"/>
  <c r="AG58" i="2"/>
  <c r="AF58" i="2"/>
  <c r="AE58" i="2"/>
  <c r="AD58" i="2"/>
  <c r="AC58" i="2"/>
  <c r="AB58" i="2"/>
  <c r="AA58" i="2"/>
  <c r="Z58" i="2"/>
  <c r="Y58" i="2"/>
  <c r="X58" i="2"/>
  <c r="W58" i="2"/>
  <c r="AY56" i="2"/>
  <c r="AX56" i="2"/>
  <c r="AW56" i="2"/>
  <c r="AV56" i="2"/>
  <c r="AU56" i="2"/>
  <c r="AT56" i="2"/>
  <c r="AS56" i="2"/>
  <c r="AR56" i="2"/>
  <c r="AQ56" i="2"/>
  <c r="AP56" i="2"/>
  <c r="AO56" i="2"/>
  <c r="AN56" i="2"/>
  <c r="AM56" i="2"/>
  <c r="AL56" i="2"/>
  <c r="AK56" i="2"/>
  <c r="AJ56" i="2"/>
  <c r="AI56" i="2"/>
  <c r="AH56" i="2"/>
  <c r="AG56" i="2"/>
  <c r="AF56" i="2"/>
  <c r="AE56" i="2"/>
  <c r="AD56" i="2"/>
  <c r="AC56" i="2"/>
  <c r="AB56" i="2"/>
  <c r="AA56" i="2"/>
  <c r="Z56" i="2"/>
  <c r="Y56" i="2"/>
  <c r="X56" i="2"/>
  <c r="W56" i="2"/>
  <c r="V56" i="2"/>
  <c r="U56" i="2"/>
  <c r="T56" i="2"/>
  <c r="S56" i="2"/>
  <c r="R56" i="2"/>
  <c r="Q56" i="2"/>
  <c r="P56" i="2"/>
  <c r="G59" i="2"/>
  <c r="F59" i="2"/>
  <c r="E59" i="2"/>
  <c r="D59" i="2"/>
  <c r="G58" i="2"/>
  <c r="F58" i="2"/>
  <c r="E58" i="2"/>
  <c r="D58" i="2"/>
  <c r="N56" i="2"/>
  <c r="M56" i="2"/>
  <c r="L56" i="2"/>
  <c r="K56" i="2"/>
  <c r="J56" i="2"/>
  <c r="I56" i="2"/>
  <c r="H56" i="2"/>
  <c r="G56" i="2"/>
  <c r="F56" i="2"/>
  <c r="E56" i="2"/>
  <c r="D56" i="2"/>
  <c r="C56" i="2"/>
  <c r="E53" i="2"/>
  <c r="E50" i="2"/>
  <c r="E49" i="2"/>
  <c r="D50" i="2"/>
  <c r="D49" i="2"/>
  <c r="Y54" i="2"/>
  <c r="AT49" i="2"/>
  <c r="AP49" i="2"/>
  <c r="AL49" i="2"/>
  <c r="AH49" i="2"/>
  <c r="AD49" i="2"/>
  <c r="Z49" i="2"/>
  <c r="V49" i="2"/>
  <c r="U49" i="2"/>
  <c r="G51" i="2"/>
  <c r="G50" i="2"/>
  <c r="F50" i="2"/>
  <c r="G49" i="2"/>
  <c r="F49" i="2"/>
  <c r="X47" i="2"/>
  <c r="T47" i="2"/>
  <c r="Y46" i="2"/>
  <c r="Y146" i="2" s="1"/>
  <c r="T45" i="2"/>
  <c r="T94" i="2" s="1"/>
  <c r="T148" i="2" s="1"/>
  <c r="G47" i="2"/>
  <c r="G53" i="2" s="1"/>
  <c r="F47" i="2"/>
  <c r="F54" i="2" s="1"/>
  <c r="E47" i="2"/>
  <c r="D47" i="2"/>
  <c r="G46" i="2"/>
  <c r="F46" i="2"/>
  <c r="G52" i="2" s="1"/>
  <c r="E46" i="2"/>
  <c r="F52" i="2" s="1"/>
  <c r="D46" i="2"/>
  <c r="G45" i="2"/>
  <c r="F45" i="2"/>
  <c r="E45" i="2"/>
  <c r="E51" i="2" s="1"/>
  <c r="D45" i="2"/>
  <c r="D51" i="2" s="1"/>
  <c r="C45" i="2"/>
  <c r="AL47" i="2"/>
  <c r="AL53" i="2" s="1"/>
  <c r="AK47" i="2"/>
  <c r="AK54" i="2" s="1"/>
  <c r="AH47" i="2"/>
  <c r="AD47" i="2"/>
  <c r="AD53" i="2" s="1"/>
  <c r="AC47" i="2"/>
  <c r="AC54" i="2" s="1"/>
  <c r="Z47" i="2"/>
  <c r="Z53" i="2" s="1"/>
  <c r="AL45" i="2"/>
  <c r="AL51" i="2" s="1"/>
  <c r="AK45" i="2"/>
  <c r="AK46" i="2" s="1"/>
  <c r="AH45" i="2"/>
  <c r="AH51" i="2" s="1"/>
  <c r="AG45" i="2"/>
  <c r="AD45" i="2"/>
  <c r="AD51" i="2" s="1"/>
  <c r="AC45" i="2"/>
  <c r="AC46" i="2" s="1"/>
  <c r="Z45" i="2"/>
  <c r="Z51" i="2" s="1"/>
  <c r="AV44" i="2"/>
  <c r="AU44" i="2"/>
  <c r="AT44" i="2"/>
  <c r="AS44" i="2"/>
  <c r="AR44" i="2"/>
  <c r="AS49" i="2" s="1"/>
  <c r="AQ44" i="2"/>
  <c r="AP44" i="2"/>
  <c r="AO44" i="2"/>
  <c r="AN44" i="2"/>
  <c r="AO49" i="2" s="1"/>
  <c r="AM44" i="2"/>
  <c r="AL44" i="2"/>
  <c r="AK44" i="2"/>
  <c r="AJ44" i="2"/>
  <c r="AK49" i="2" s="1"/>
  <c r="AI44" i="2"/>
  <c r="AH44" i="2"/>
  <c r="AG44" i="2"/>
  <c r="AF44" i="2"/>
  <c r="AG49" i="2" s="1"/>
  <c r="AE44" i="2"/>
  <c r="AD44" i="2"/>
  <c r="AC44" i="2"/>
  <c r="AB44" i="2"/>
  <c r="AC49" i="2" s="1"/>
  <c r="AA44" i="2"/>
  <c r="Z44" i="2"/>
  <c r="Y44" i="2"/>
  <c r="X44" i="2"/>
  <c r="Y49" i="2" s="1"/>
  <c r="W44" i="2"/>
  <c r="W47" i="2" s="1"/>
  <c r="V44" i="2"/>
  <c r="U44" i="2"/>
  <c r="U90" i="2" s="1"/>
  <c r="AY42" i="2"/>
  <c r="AX42" i="2"/>
  <c r="AW42" i="2"/>
  <c r="AV42" i="2"/>
  <c r="AU42" i="2"/>
  <c r="AT42" i="2"/>
  <c r="AS42" i="2"/>
  <c r="AR42" i="2"/>
  <c r="AQ42" i="2"/>
  <c r="AP42" i="2"/>
  <c r="AO42" i="2"/>
  <c r="AN42" i="2"/>
  <c r="AM42" i="2"/>
  <c r="AL42" i="2"/>
  <c r="AK42" i="2"/>
  <c r="AJ42" i="2"/>
  <c r="AI42" i="2"/>
  <c r="AH42" i="2"/>
  <c r="AG42" i="2"/>
  <c r="AF42" i="2"/>
  <c r="AE42" i="2"/>
  <c r="AD42" i="2"/>
  <c r="AC42" i="2"/>
  <c r="AB42" i="2"/>
  <c r="AA42" i="2"/>
  <c r="Z42" i="2"/>
  <c r="Y42" i="2"/>
  <c r="X42" i="2"/>
  <c r="W42" i="2"/>
  <c r="V42" i="2"/>
  <c r="U42" i="2"/>
  <c r="T42" i="2"/>
  <c r="S42" i="2"/>
  <c r="R42" i="2"/>
  <c r="Q42" i="2"/>
  <c r="P42" i="2"/>
  <c r="N42" i="2"/>
  <c r="M42" i="2"/>
  <c r="L42" i="2"/>
  <c r="K42" i="2"/>
  <c r="J42" i="2"/>
  <c r="I42" i="2"/>
  <c r="H42" i="2"/>
  <c r="G42" i="2"/>
  <c r="F42" i="2"/>
  <c r="E42" i="2"/>
  <c r="D42" i="2"/>
  <c r="C42" i="2"/>
  <c r="T37" i="2"/>
  <c r="T407" i="2" s="1"/>
  <c r="H37" i="2"/>
  <c r="G37" i="2"/>
  <c r="G427" i="2" s="1"/>
  <c r="F37" i="2"/>
  <c r="E37" i="2"/>
  <c r="E407" i="2" s="1"/>
  <c r="AM37" i="2"/>
  <c r="AL37" i="2"/>
  <c r="AK37" i="2"/>
  <c r="AJ37" i="2"/>
  <c r="AI37" i="2"/>
  <c r="AH37" i="2"/>
  <c r="AG37" i="2"/>
  <c r="AF37" i="2"/>
  <c r="AE37" i="2"/>
  <c r="AD37" i="2"/>
  <c r="AC37" i="2"/>
  <c r="AC427" i="2" s="1"/>
  <c r="AB37" i="2"/>
  <c r="AB427" i="2" s="1"/>
  <c r="AA37" i="2"/>
  <c r="AA427" i="2" s="1"/>
  <c r="Z37" i="2"/>
  <c r="Z427" i="2" s="1"/>
  <c r="Y37" i="2"/>
  <c r="X37" i="2"/>
  <c r="V37" i="2"/>
  <c r="W37" i="2" s="1"/>
  <c r="AY31" i="2"/>
  <c r="AX31" i="2"/>
  <c r="AW31" i="2"/>
  <c r="AV31" i="2"/>
  <c r="AU31" i="2"/>
  <c r="AT31" i="2"/>
  <c r="AS31" i="2"/>
  <c r="AR31" i="2"/>
  <c r="AQ31" i="2"/>
  <c r="AP31" i="2"/>
  <c r="AO31" i="2"/>
  <c r="AN31" i="2"/>
  <c r="AM31" i="2"/>
  <c r="AL31" i="2"/>
  <c r="AK31" i="2"/>
  <c r="AJ31" i="2"/>
  <c r="AI31" i="2"/>
  <c r="AH31" i="2"/>
  <c r="AG31" i="2"/>
  <c r="AF31" i="2"/>
  <c r="AE31" i="2"/>
  <c r="AD31" i="2"/>
  <c r="AC31" i="2"/>
  <c r="AB31" i="2"/>
  <c r="AA31" i="2"/>
  <c r="Z31" i="2"/>
  <c r="X31" i="2"/>
  <c r="W31" i="2"/>
  <c r="V31" i="2"/>
  <c r="T31" i="2"/>
  <c r="E31" i="2"/>
  <c r="E30" i="2" s="1"/>
  <c r="D31" i="2"/>
  <c r="C31" i="2"/>
  <c r="D30" i="2"/>
  <c r="C30" i="2"/>
  <c r="C467" i="2" s="1"/>
  <c r="U29" i="2"/>
  <c r="U25" i="2"/>
  <c r="U24" i="2"/>
  <c r="U207" i="2" s="1"/>
  <c r="U22" i="2"/>
  <c r="U21" i="2"/>
  <c r="U209" i="2" s="1"/>
  <c r="U20" i="2"/>
  <c r="U17" i="2"/>
  <c r="U63" i="2" s="1"/>
  <c r="U16" i="2"/>
  <c r="U62" i="2" s="1"/>
  <c r="AM27" i="2"/>
  <c r="AH27" i="2"/>
  <c r="AH208" i="2" s="1"/>
  <c r="Z27" i="2"/>
  <c r="Z208" i="2" s="1"/>
  <c r="AN29" i="2"/>
  <c r="AN312" i="2" s="1"/>
  <c r="AI25" i="2"/>
  <c r="AE25" i="2"/>
  <c r="Z25" i="2"/>
  <c r="W25" i="2"/>
  <c r="AN24" i="2"/>
  <c r="AN207" i="2" s="1"/>
  <c r="AM24" i="2"/>
  <c r="AM207" i="2" s="1"/>
  <c r="AE23" i="2"/>
  <c r="AI22" i="2"/>
  <c r="AH22" i="2"/>
  <c r="AG22" i="2"/>
  <c r="AF22" i="2"/>
  <c r="AD22" i="2"/>
  <c r="AC22" i="2"/>
  <c r="AN21" i="2"/>
  <c r="AI20" i="2"/>
  <c r="AI76" i="2" s="1"/>
  <c r="AI18" i="2"/>
  <c r="AI61" i="2" s="1"/>
  <c r="AC20" i="2"/>
  <c r="AC18" i="2"/>
  <c r="T18" i="2"/>
  <c r="AM18" i="2"/>
  <c r="AM61" i="2" s="1"/>
  <c r="AL18" i="2"/>
  <c r="AL61" i="2" s="1"/>
  <c r="AK18" i="2"/>
  <c r="AJ18" i="2"/>
  <c r="AJ61" i="2" s="1"/>
  <c r="AE19" i="2"/>
  <c r="AH18" i="2"/>
  <c r="AH61" i="2" s="1"/>
  <c r="AE18" i="2"/>
  <c r="AE61" i="2" s="1"/>
  <c r="AD18" i="2"/>
  <c r="AD61" i="2" s="1"/>
  <c r="AB18" i="2"/>
  <c r="AA18" i="2"/>
  <c r="Z18" i="2"/>
  <c r="Z61" i="2" s="1"/>
  <c r="Y18" i="2"/>
  <c r="X18" i="2"/>
  <c r="W18" i="2"/>
  <c r="V18" i="2"/>
  <c r="V61" i="2" s="1"/>
  <c r="G18" i="2"/>
  <c r="G61" i="2" s="1"/>
  <c r="F18" i="2"/>
  <c r="F61" i="2" s="1"/>
  <c r="E18" i="2"/>
  <c r="E61" i="2" s="1"/>
  <c r="D18" i="2"/>
  <c r="D61" i="2" s="1"/>
  <c r="AG17" i="2"/>
  <c r="AG187" i="2" s="1"/>
  <c r="AG16" i="2"/>
  <c r="AG77" i="2" s="1"/>
  <c r="AS19" i="2"/>
  <c r="AT19" i="2" s="1"/>
  <c r="AR19" i="2"/>
  <c r="AR76" i="2" s="1"/>
  <c r="AQ19" i="2"/>
  <c r="AQ76" i="2" s="1"/>
  <c r="AS17" i="2"/>
  <c r="AS238" i="2" s="1"/>
  <c r="AR17" i="2"/>
  <c r="AR238" i="2" s="1"/>
  <c r="AQ17" i="2"/>
  <c r="AQ238" i="2" s="1"/>
  <c r="AP17" i="2"/>
  <c r="AP238" i="2" s="1"/>
  <c r="AF16" i="2"/>
  <c r="AF77" i="2" s="1"/>
  <c r="AM13" i="2"/>
  <c r="AM67" i="2" s="1"/>
  <c r="AL13" i="2"/>
  <c r="AL67" i="2" s="1"/>
  <c r="AK13" i="2"/>
  <c r="AJ13" i="2"/>
  <c r="AJ57" i="2" s="1"/>
  <c r="AI13" i="2"/>
  <c r="AI57" i="2" s="1"/>
  <c r="AH13" i="2"/>
  <c r="AG13" i="2"/>
  <c r="AF13" i="2"/>
  <c r="AF57" i="2" s="1"/>
  <c r="AE13" i="2"/>
  <c r="AE67" i="2" s="1"/>
  <c r="AD13" i="2"/>
  <c r="AD67" i="2" s="1"/>
  <c r="AC13" i="2"/>
  <c r="AB13" i="2"/>
  <c r="AB57" i="2" s="1"/>
  <c r="AA13" i="2"/>
  <c r="AA57" i="2" s="1"/>
  <c r="Z13" i="2"/>
  <c r="Z57" i="2" s="1"/>
  <c r="Y13" i="2"/>
  <c r="X13" i="2"/>
  <c r="X57" i="2" s="1"/>
  <c r="W13" i="2"/>
  <c r="W57" i="2" s="1"/>
  <c r="V13" i="2"/>
  <c r="T13" i="2"/>
  <c r="T67" i="2" s="1"/>
  <c r="G13" i="2"/>
  <c r="G67" i="2" s="1"/>
  <c r="F13" i="2"/>
  <c r="F65" i="2" s="1"/>
  <c r="F66" i="2" s="1"/>
  <c r="E13" i="2"/>
  <c r="D13" i="2"/>
  <c r="C13" i="2"/>
  <c r="C200" i="2" s="1"/>
  <c r="U12" i="2"/>
  <c r="V59" i="2" s="1"/>
  <c r="U11" i="2"/>
  <c r="U225" i="2" s="1"/>
  <c r="AW12" i="2"/>
  <c r="AW234" i="2" s="1"/>
  <c r="AV12" i="2"/>
  <c r="AV234" i="2" s="1"/>
  <c r="AU12" i="2"/>
  <c r="AU234" i="2" s="1"/>
  <c r="AT12" i="2"/>
  <c r="AT234" i="2" s="1"/>
  <c r="AS12" i="2"/>
  <c r="AS234" i="2" s="1"/>
  <c r="AR12" i="2"/>
  <c r="AR234" i="2" s="1"/>
  <c r="AQ12" i="2"/>
  <c r="AQ234" i="2" s="1"/>
  <c r="AP12" i="2"/>
  <c r="AP234" i="2" s="1"/>
  <c r="AO12" i="2"/>
  <c r="AO234" i="2" s="1"/>
  <c r="AN12" i="2"/>
  <c r="AN234" i="2" s="1"/>
  <c r="AY9" i="2"/>
  <c r="AX9" i="2"/>
  <c r="AW9" i="2"/>
  <c r="AV9" i="2"/>
  <c r="AU9" i="2"/>
  <c r="AT9" i="2"/>
  <c r="AS9" i="2"/>
  <c r="AR9" i="2"/>
  <c r="AQ9" i="2"/>
  <c r="AP9" i="2"/>
  <c r="AO9" i="2"/>
  <c r="AN9" i="2"/>
  <c r="AM9" i="2"/>
  <c r="AL9" i="2"/>
  <c r="AK9" i="2"/>
  <c r="AJ9" i="2"/>
  <c r="AI9" i="2"/>
  <c r="AH9" i="2"/>
  <c r="AG9" i="2"/>
  <c r="AF9" i="2"/>
  <c r="AE9" i="2"/>
  <c r="AD9" i="2"/>
  <c r="AC9" i="2"/>
  <c r="AB9" i="2"/>
  <c r="AA9" i="2"/>
  <c r="Z9" i="2"/>
  <c r="Y9" i="2"/>
  <c r="X9" i="2"/>
  <c r="W9" i="2"/>
  <c r="V9" i="2"/>
  <c r="U9" i="2"/>
  <c r="T9" i="2"/>
  <c r="S9" i="2"/>
  <c r="R9" i="2"/>
  <c r="Q9" i="2"/>
  <c r="P9" i="2"/>
  <c r="N9" i="2"/>
  <c r="M9" i="2"/>
  <c r="L9" i="2"/>
  <c r="K9" i="2"/>
  <c r="J9" i="2"/>
  <c r="I9" i="2"/>
  <c r="H9" i="2"/>
  <c r="G9" i="2"/>
  <c r="F9" i="2"/>
  <c r="E9" i="2"/>
  <c r="D9" i="2"/>
  <c r="C9" i="2"/>
  <c r="R5" i="2"/>
  <c r="S5" i="2" s="1"/>
  <c r="T5" i="2" s="1"/>
  <c r="Q5" i="2"/>
  <c r="H5" i="2"/>
  <c r="G5" i="2"/>
  <c r="W4" i="2"/>
  <c r="AA4" i="2" s="1"/>
  <c r="AE4" i="2" s="1"/>
  <c r="AI4" i="2" s="1"/>
  <c r="AM4" i="2" s="1"/>
  <c r="AQ4" i="2" s="1"/>
  <c r="AU4" i="2" s="1"/>
  <c r="AY4" i="2" s="1"/>
  <c r="V4" i="2"/>
  <c r="Z4" i="2" s="1"/>
  <c r="AD4" i="2" s="1"/>
  <c r="AH4" i="2" s="1"/>
  <c r="AL4" i="2" s="1"/>
  <c r="AP4" i="2" s="1"/>
  <c r="AT4" i="2" s="1"/>
  <c r="AX4" i="2" s="1"/>
  <c r="U4" i="2"/>
  <c r="T4" i="2"/>
  <c r="M4" i="2"/>
  <c r="G2" i="2"/>
  <c r="E2" i="2"/>
  <c r="AM2" i="2"/>
  <c r="AL2" i="2"/>
  <c r="AK2" i="2"/>
  <c r="AJ2" i="2"/>
  <c r="AH2" i="2"/>
  <c r="AG2" i="2"/>
  <c r="AF2" i="2"/>
  <c r="AE2" i="2"/>
  <c r="AD2" i="2"/>
  <c r="AC2" i="2"/>
  <c r="AB2" i="2"/>
  <c r="AA2" i="2"/>
  <c r="Z2" i="2"/>
  <c r="Y2" i="2"/>
  <c r="X2" i="2"/>
  <c r="W2" i="2"/>
  <c r="V2" i="2"/>
  <c r="U2" i="2"/>
  <c r="T2" i="2"/>
  <c r="T334" i="2" l="1"/>
  <c r="U5" i="2"/>
  <c r="AU19" i="2"/>
  <c r="AT76" i="2"/>
  <c r="AT71" i="2"/>
  <c r="G31" i="2"/>
  <c r="AF208" i="2"/>
  <c r="AH154" i="2"/>
  <c r="AI154" i="2" s="1"/>
  <c r="AJ154" i="2" s="1"/>
  <c r="AK154" i="2" s="1"/>
  <c r="AL154" i="2" s="1"/>
  <c r="AM154" i="2" s="1"/>
  <c r="AN154" i="2" s="1"/>
  <c r="AO154" i="2" s="1"/>
  <c r="AP154" i="2" s="1"/>
  <c r="AQ154" i="2" s="1"/>
  <c r="AR154" i="2" s="1"/>
  <c r="AS154" i="2" s="1"/>
  <c r="AT154" i="2" s="1"/>
  <c r="AU154" i="2" s="1"/>
  <c r="AV154" i="2" s="1"/>
  <c r="AW154" i="2" s="1"/>
  <c r="AX154" i="2" s="1"/>
  <c r="AY154" i="2" s="1"/>
  <c r="AL158" i="2"/>
  <c r="AF226" i="2"/>
  <c r="AF227" i="2" s="1"/>
  <c r="AF79" i="2"/>
  <c r="AF81" i="2" s="1"/>
  <c r="AG226" i="2"/>
  <c r="E467" i="2"/>
  <c r="E429" i="2"/>
  <c r="E34" i="2"/>
  <c r="E1" i="2" s="1"/>
  <c r="E36" i="2"/>
  <c r="AD213" i="2"/>
  <c r="AD85" i="2"/>
  <c r="AD27" i="2" s="1"/>
  <c r="AC85" i="2"/>
  <c r="AC27" i="2" s="1"/>
  <c r="Y124" i="2"/>
  <c r="Y114" i="2"/>
  <c r="Y142" i="2" s="1"/>
  <c r="AQ219" i="2"/>
  <c r="AQ81" i="2"/>
  <c r="AI347" i="2"/>
  <c r="AI219" i="2"/>
  <c r="AI67" i="2"/>
  <c r="AI79" i="2"/>
  <c r="AI81" i="2" s="1"/>
  <c r="AS69" i="2"/>
  <c r="AL220" i="2"/>
  <c r="AL19" i="2"/>
  <c r="AD220" i="2"/>
  <c r="AD19" i="2"/>
  <c r="V213" i="2"/>
  <c r="V85" i="2"/>
  <c r="V27" i="2" s="1"/>
  <c r="AE213" i="2"/>
  <c r="AE85" i="2"/>
  <c r="AE27" i="2" s="1"/>
  <c r="AI85" i="2"/>
  <c r="AI27" i="2" s="1"/>
  <c r="AM85" i="2"/>
  <c r="AR219" i="2"/>
  <c r="AR81" i="2"/>
  <c r="AC146" i="2"/>
  <c r="AK146" i="2"/>
  <c r="X53" i="2"/>
  <c r="F423" i="2"/>
  <c r="F424" i="2" s="1"/>
  <c r="F425" i="2" s="1"/>
  <c r="F330" i="2"/>
  <c r="F39" i="2"/>
  <c r="F26" i="2"/>
  <c r="F70" i="2"/>
  <c r="F31" i="2"/>
  <c r="Z220" i="2"/>
  <c r="Z19" i="2"/>
  <c r="AG213" i="2"/>
  <c r="AG85" i="2"/>
  <c r="AG27" i="2" s="1"/>
  <c r="T208" i="2"/>
  <c r="AG107" i="2"/>
  <c r="AG106" i="2" s="1"/>
  <c r="AC124" i="2"/>
  <c r="AC114" i="2"/>
  <c r="AC142" i="2" s="1"/>
  <c r="Y4" i="2"/>
  <c r="AC4" i="2" s="1"/>
  <c r="AG4" i="2" s="1"/>
  <c r="AK4" i="2" s="1"/>
  <c r="AO4" i="2" s="1"/>
  <c r="AS4" i="2" s="1"/>
  <c r="AW4" i="2" s="1"/>
  <c r="AH349" i="2"/>
  <c r="AH337" i="2"/>
  <c r="I100" i="2"/>
  <c r="L167" i="2"/>
  <c r="J160" i="2"/>
  <c r="I155" i="2"/>
  <c r="I108" i="2"/>
  <c r="K100" i="2"/>
  <c r="I98" i="2"/>
  <c r="X4" i="2"/>
  <c r="AB4" i="2" s="1"/>
  <c r="AF4" i="2" s="1"/>
  <c r="AJ4" i="2" s="1"/>
  <c r="AN4" i="2" s="1"/>
  <c r="AR4" i="2" s="1"/>
  <c r="AV4" i="2" s="1"/>
  <c r="G334" i="2"/>
  <c r="F434" i="2"/>
  <c r="F433" i="2"/>
  <c r="F435" i="2"/>
  <c r="F371" i="2"/>
  <c r="F356" i="2"/>
  <c r="F352" i="2"/>
  <c r="F370" i="2"/>
  <c r="F358" i="2"/>
  <c r="F354" i="2"/>
  <c r="F357" i="2"/>
  <c r="F353" i="2"/>
  <c r="F355" i="2"/>
  <c r="F359" i="2"/>
  <c r="I11" i="2"/>
  <c r="J12" i="2"/>
  <c r="D200" i="2"/>
  <c r="D201" i="2"/>
  <c r="U13" i="2"/>
  <c r="Y337" i="2"/>
  <c r="Y349" i="2"/>
  <c r="Y346" i="2"/>
  <c r="Y345" i="2"/>
  <c r="AC337" i="2"/>
  <c r="AC349" i="2"/>
  <c r="AC346" i="2"/>
  <c r="AC345" i="2"/>
  <c r="AG337" i="2"/>
  <c r="AG349" i="2"/>
  <c r="AK337" i="2"/>
  <c r="AK349" i="2"/>
  <c r="I16" i="2"/>
  <c r="J17" i="2"/>
  <c r="J63" i="2" s="1"/>
  <c r="L19" i="2"/>
  <c r="I20" i="2"/>
  <c r="M20" i="2"/>
  <c r="J21" i="2"/>
  <c r="K22" i="2"/>
  <c r="I24" i="2"/>
  <c r="J25" i="2"/>
  <c r="J29" i="2"/>
  <c r="AF18" i="2"/>
  <c r="Z23" i="2"/>
  <c r="AD23" i="2"/>
  <c r="AL23" i="2"/>
  <c r="AM208" i="2"/>
  <c r="U18" i="2"/>
  <c r="K31" i="2"/>
  <c r="H44" i="2"/>
  <c r="L44" i="2"/>
  <c r="V199" i="2"/>
  <c r="V201" i="2" s="1"/>
  <c r="V181" i="2"/>
  <c r="V179" i="2"/>
  <c r="V178" i="2"/>
  <c r="Z199" i="2"/>
  <c r="Z181" i="2"/>
  <c r="Z179" i="2"/>
  <c r="Z178" i="2"/>
  <c r="AD230" i="2"/>
  <c r="AD199" i="2"/>
  <c r="AD181" i="2"/>
  <c r="AD179" i="2"/>
  <c r="AD178" i="2"/>
  <c r="AH199" i="2"/>
  <c r="AH200" i="2" s="1"/>
  <c r="AH181" i="2"/>
  <c r="AH179" i="2"/>
  <c r="AH178" i="2"/>
  <c r="AL199" i="2"/>
  <c r="AL181" i="2"/>
  <c r="AL179" i="2"/>
  <c r="AL178" i="2"/>
  <c r="AP199" i="2"/>
  <c r="AP181" i="2"/>
  <c r="AP179" i="2"/>
  <c r="AP178" i="2"/>
  <c r="AT181" i="2"/>
  <c r="AT179" i="2"/>
  <c r="AT178" i="2"/>
  <c r="AB45" i="2"/>
  <c r="AF45" i="2"/>
  <c r="AJ45" i="2"/>
  <c r="Z46" i="2"/>
  <c r="AD46" i="2"/>
  <c r="AH46" i="2"/>
  <c r="AL46" i="2"/>
  <c r="AB47" i="2"/>
  <c r="AF47" i="2"/>
  <c r="AJ47" i="2"/>
  <c r="V45" i="2"/>
  <c r="Y149" i="2"/>
  <c r="F51" i="2"/>
  <c r="G54" i="2"/>
  <c r="V50" i="2"/>
  <c r="Y53" i="2"/>
  <c r="AC53" i="2"/>
  <c r="AK53" i="2"/>
  <c r="Z54" i="2"/>
  <c r="AD54" i="2"/>
  <c r="AH54" i="2"/>
  <c r="AL54" i="2"/>
  <c r="E52" i="2"/>
  <c r="F57" i="2"/>
  <c r="V57" i="2"/>
  <c r="AD57" i="2"/>
  <c r="AH57" i="2"/>
  <c r="AL57" i="2"/>
  <c r="AN59" i="2"/>
  <c r="AR59" i="2"/>
  <c r="AV59" i="2"/>
  <c r="W61" i="2"/>
  <c r="AA61" i="2"/>
  <c r="AQ63" i="2"/>
  <c r="W65" i="2"/>
  <c r="W66" i="2" s="1"/>
  <c r="W67" i="2"/>
  <c r="AA65" i="2"/>
  <c r="AA66" i="2" s="1"/>
  <c r="AE65" i="2"/>
  <c r="AE66" i="2" s="1"/>
  <c r="AI65" i="2"/>
  <c r="AI66" i="2" s="1"/>
  <c r="AM65" i="2"/>
  <c r="AM66" i="2" s="1"/>
  <c r="Y67" i="2"/>
  <c r="AC67" i="2"/>
  <c r="AG67" i="2"/>
  <c r="AK67" i="2"/>
  <c r="J75" i="2"/>
  <c r="K76" i="2"/>
  <c r="H77" i="2"/>
  <c r="I78" i="2"/>
  <c r="K80" i="2"/>
  <c r="I82" i="2"/>
  <c r="M82" i="2"/>
  <c r="AK347" i="2"/>
  <c r="AK219" i="2"/>
  <c r="AS76" i="2"/>
  <c r="AE231" i="2"/>
  <c r="AE144" i="2"/>
  <c r="AC79" i="2"/>
  <c r="AC81" i="2" s="1"/>
  <c r="AR78" i="2"/>
  <c r="AR235" i="2" s="1"/>
  <c r="AH79" i="2"/>
  <c r="AH81" i="2" s="1"/>
  <c r="T79" i="2"/>
  <c r="T81" i="2" s="1"/>
  <c r="W79" i="2"/>
  <c r="W81" i="2" s="1"/>
  <c r="Y79" i="2"/>
  <c r="Y81" i="2" s="1"/>
  <c r="AA79" i="2"/>
  <c r="AA81" i="2" s="1"/>
  <c r="AP81" i="2"/>
  <c r="AG78" i="2"/>
  <c r="AG235" i="2" s="1"/>
  <c r="AG236" i="2" s="1"/>
  <c r="AG240" i="2" s="1"/>
  <c r="F83" i="2"/>
  <c r="F213" i="2" s="1"/>
  <c r="J83" i="2"/>
  <c r="J84" i="2"/>
  <c r="J85" i="2"/>
  <c r="W83" i="2"/>
  <c r="AA83" i="2"/>
  <c r="J88" i="2"/>
  <c r="K89" i="2"/>
  <c r="AV137" i="2"/>
  <c r="AV141" i="2" s="1"/>
  <c r="AV108" i="2"/>
  <c r="AE109" i="2"/>
  <c r="AI109" i="2"/>
  <c r="AM109" i="2"/>
  <c r="Z93" i="2"/>
  <c r="J98" i="2"/>
  <c r="L100" i="2"/>
  <c r="AL103" i="2"/>
  <c r="AK102" i="2"/>
  <c r="AK143" i="2"/>
  <c r="Z125" i="2"/>
  <c r="Z117" i="2" s="1"/>
  <c r="Z128" i="2" s="1"/>
  <c r="Z123" i="2"/>
  <c r="AM135" i="2"/>
  <c r="AM140" i="2" s="1"/>
  <c r="K144" i="2"/>
  <c r="I154" i="2"/>
  <c r="AG159" i="2"/>
  <c r="AF111" i="2"/>
  <c r="AF122" i="2" s="1"/>
  <c r="I164" i="2"/>
  <c r="J11" i="2"/>
  <c r="E200" i="2"/>
  <c r="E202" i="2" s="1"/>
  <c r="E201" i="2"/>
  <c r="Z349" i="2"/>
  <c r="Z346" i="2"/>
  <c r="Z345" i="2"/>
  <c r="Z337" i="2"/>
  <c r="Z201" i="2"/>
  <c r="Z200" i="2"/>
  <c r="Z202" i="2" s="1"/>
  <c r="J16" i="2"/>
  <c r="M19" i="2"/>
  <c r="H22" i="2"/>
  <c r="L22" i="2"/>
  <c r="J24" i="2"/>
  <c r="K25" i="2"/>
  <c r="K29" i="2"/>
  <c r="AQ237" i="2"/>
  <c r="AQ239" i="2"/>
  <c r="AG196" i="2"/>
  <c r="AG186" i="2"/>
  <c r="AG195" i="2" s="1"/>
  <c r="AG18" i="2"/>
  <c r="AE423" i="2"/>
  <c r="AE424" i="2" s="1"/>
  <c r="AE330" i="2"/>
  <c r="D467" i="2"/>
  <c r="D468" i="2" s="1"/>
  <c r="D429" i="2"/>
  <c r="L31" i="2"/>
  <c r="I44" i="2"/>
  <c r="M44" i="2"/>
  <c r="W199" i="2"/>
  <c r="W181" i="2"/>
  <c r="W179" i="2"/>
  <c r="W178" i="2"/>
  <c r="AA199" i="2"/>
  <c r="AA181" i="2"/>
  <c r="AA179" i="2"/>
  <c r="AA178" i="2"/>
  <c r="AE230" i="2"/>
  <c r="AE199" i="2"/>
  <c r="AE181" i="2"/>
  <c r="AE179" i="2"/>
  <c r="AE178" i="2"/>
  <c r="AI199" i="2"/>
  <c r="AI181" i="2"/>
  <c r="AI179" i="2"/>
  <c r="AI178" i="2"/>
  <c r="AM199" i="2"/>
  <c r="AM181" i="2"/>
  <c r="AM179" i="2"/>
  <c r="AM178" i="2"/>
  <c r="AQ199" i="2"/>
  <c r="AQ181" i="2"/>
  <c r="AQ179" i="2"/>
  <c r="AQ178" i="2"/>
  <c r="AU181" i="2"/>
  <c r="AU179" i="2"/>
  <c r="AU178" i="2"/>
  <c r="AG47" i="2"/>
  <c r="AG46" i="2" s="1"/>
  <c r="W45" i="2"/>
  <c r="W50" i="2"/>
  <c r="G57" i="2"/>
  <c r="AE57" i="2"/>
  <c r="AM57" i="2"/>
  <c r="U59" i="2"/>
  <c r="AO59" i="2"/>
  <c r="AS59" i="2"/>
  <c r="AW59" i="2"/>
  <c r="T61" i="2"/>
  <c r="X61" i="2"/>
  <c r="AB61" i="2"/>
  <c r="AF62" i="2"/>
  <c r="AR63" i="2"/>
  <c r="G65" i="2"/>
  <c r="G66" i="2" s="1"/>
  <c r="T65" i="2"/>
  <c r="T66" i="2" s="1"/>
  <c r="X65" i="2"/>
  <c r="X66" i="2" s="1"/>
  <c r="AB65" i="2"/>
  <c r="AB66" i="2" s="1"/>
  <c r="AF65" i="2"/>
  <c r="AF66" i="2" s="1"/>
  <c r="AJ65" i="2"/>
  <c r="AJ66" i="2" s="1"/>
  <c r="Z67" i="2"/>
  <c r="AH67" i="2"/>
  <c r="K75" i="2"/>
  <c r="H76" i="2"/>
  <c r="L76" i="2"/>
  <c r="I77" i="2"/>
  <c r="J78" i="2"/>
  <c r="H80" i="2"/>
  <c r="L80" i="2"/>
  <c r="J82" i="2"/>
  <c r="AL347" i="2"/>
  <c r="AL219" i="2"/>
  <c r="AL222" i="2" s="1"/>
  <c r="AB231" i="2"/>
  <c r="AB144" i="2"/>
  <c r="AI231" i="2"/>
  <c r="AM231" i="2"/>
  <c r="AS78" i="2"/>
  <c r="AS235" i="2" s="1"/>
  <c r="AM79" i="2"/>
  <c r="AM81" i="2" s="1"/>
  <c r="G83" i="2"/>
  <c r="G213" i="2" s="1"/>
  <c r="K83" i="2"/>
  <c r="K84" i="2"/>
  <c r="K85" i="2"/>
  <c r="Y84" i="2"/>
  <c r="K88" i="2"/>
  <c r="H89" i="2"/>
  <c r="L89" i="2"/>
  <c r="AB135" i="2"/>
  <c r="AB140" i="2" s="1"/>
  <c r="AF135" i="2"/>
  <c r="AF140" i="2" s="1"/>
  <c r="AF109" i="2"/>
  <c r="AJ135" i="2"/>
  <c r="AJ140" i="2" s="1"/>
  <c r="K140" i="2" s="1"/>
  <c r="AJ109" i="2"/>
  <c r="AN135" i="2"/>
  <c r="AN140" i="2" s="1"/>
  <c r="L140" i="2" s="1"/>
  <c r="I101" i="2"/>
  <c r="AI103" i="2"/>
  <c r="AH102" i="2"/>
  <c r="AA114" i="2"/>
  <c r="AA142" i="2" s="1"/>
  <c r="H142" i="2" s="1"/>
  <c r="AA124" i="2"/>
  <c r="AA123" i="2" s="1"/>
  <c r="AA125" i="2" s="1"/>
  <c r="AA117" i="2" s="1"/>
  <c r="AA128" i="2" s="1"/>
  <c r="H122" i="2"/>
  <c r="K137" i="2"/>
  <c r="K136" i="2" s="1"/>
  <c r="AA135" i="2"/>
  <c r="AA140" i="2" s="1"/>
  <c r="AQ135" i="2"/>
  <c r="AQ140" i="2" s="1"/>
  <c r="J155" i="2"/>
  <c r="L160" i="2"/>
  <c r="AI153" i="2"/>
  <c r="AQ161" i="2"/>
  <c r="AP111" i="2"/>
  <c r="AP122" i="2" s="1"/>
  <c r="I165" i="2"/>
  <c r="AN199" i="2"/>
  <c r="AV199" i="2"/>
  <c r="AK196" i="2"/>
  <c r="AR190" i="2"/>
  <c r="AS189" i="2"/>
  <c r="C210" i="2"/>
  <c r="C214" i="2" s="1"/>
  <c r="H334" i="2"/>
  <c r="AL349" i="2"/>
  <c r="AL337" i="2"/>
  <c r="AL201" i="2"/>
  <c r="AL200" i="2"/>
  <c r="J20" i="2"/>
  <c r="I5" i="2"/>
  <c r="K11" i="2"/>
  <c r="L12" i="2"/>
  <c r="F439" i="2"/>
  <c r="F346" i="2"/>
  <c r="F349" i="2"/>
  <c r="F345" i="2"/>
  <c r="F337" i="2"/>
  <c r="F338" i="2" s="1"/>
  <c r="F342" i="2" s="1"/>
  <c r="F201" i="2"/>
  <c r="F200" i="2"/>
  <c r="AA346" i="2"/>
  <c r="AA337" i="2"/>
  <c r="AA345" i="2"/>
  <c r="AA349" i="2"/>
  <c r="AA201" i="2"/>
  <c r="AA200" i="2"/>
  <c r="AI337" i="2"/>
  <c r="AI349" i="2"/>
  <c r="AI201" i="2"/>
  <c r="AI200" i="2"/>
  <c r="H17" i="2"/>
  <c r="K20" i="2"/>
  <c r="H25" i="2"/>
  <c r="J27" i="2"/>
  <c r="L29" i="2"/>
  <c r="AR239" i="2"/>
  <c r="AR237" i="2"/>
  <c r="G23" i="2"/>
  <c r="AE26" i="2"/>
  <c r="AE28" i="2" s="1"/>
  <c r="AE30" i="2" s="1"/>
  <c r="AN356" i="2"/>
  <c r="U248" i="2"/>
  <c r="U473" i="2" s="1"/>
  <c r="U211" i="2"/>
  <c r="I31" i="2"/>
  <c r="M31" i="2"/>
  <c r="E409" i="2"/>
  <c r="E406" i="2"/>
  <c r="E412" i="2" s="1"/>
  <c r="J44" i="2"/>
  <c r="X199" i="2"/>
  <c r="X201" i="2" s="1"/>
  <c r="X181" i="2"/>
  <c r="X179" i="2"/>
  <c r="X178" i="2"/>
  <c r="AB230" i="2"/>
  <c r="AB199" i="2"/>
  <c r="AB181" i="2"/>
  <c r="AB179" i="2"/>
  <c r="AB178" i="2"/>
  <c r="AB93" i="2"/>
  <c r="AB131" i="2" s="1"/>
  <c r="AF230" i="2"/>
  <c r="AF199" i="2"/>
  <c r="AF181" i="2"/>
  <c r="AF179" i="2"/>
  <c r="AF178" i="2"/>
  <c r="AJ199" i="2"/>
  <c r="AJ181" i="2"/>
  <c r="AJ179" i="2"/>
  <c r="AJ178" i="2"/>
  <c r="AJ93" i="2"/>
  <c r="AN181" i="2"/>
  <c r="AN179" i="2"/>
  <c r="AN178" i="2"/>
  <c r="AR199" i="2"/>
  <c r="AR181" i="2"/>
  <c r="AR179" i="2"/>
  <c r="AR178" i="2"/>
  <c r="AV181" i="2"/>
  <c r="AV179" i="2"/>
  <c r="AV178" i="2"/>
  <c r="X45" i="2"/>
  <c r="U47" i="2"/>
  <c r="F53" i="2"/>
  <c r="W49" i="2"/>
  <c r="AA49" i="2"/>
  <c r="AE49" i="2"/>
  <c r="AI49" i="2"/>
  <c r="AM49" i="2"/>
  <c r="AQ49" i="2"/>
  <c r="AU49" i="2"/>
  <c r="X50" i="2"/>
  <c r="AC51" i="2"/>
  <c r="AG51" i="2"/>
  <c r="AK51" i="2"/>
  <c r="X54" i="2"/>
  <c r="D57" i="2"/>
  <c r="U58" i="2"/>
  <c r="AP59" i="2"/>
  <c r="AT59" i="2"/>
  <c r="Y61" i="2"/>
  <c r="AC61" i="2"/>
  <c r="AK61" i="2"/>
  <c r="AG62" i="2"/>
  <c r="AG63" i="2"/>
  <c r="AS63" i="2"/>
  <c r="Y65" i="2"/>
  <c r="Y66" i="2" s="1"/>
  <c r="AC65" i="2"/>
  <c r="AC66" i="2" s="1"/>
  <c r="AG65" i="2"/>
  <c r="AG66" i="2" s="1"/>
  <c r="AK65" i="2"/>
  <c r="AK66" i="2" s="1"/>
  <c r="AA67" i="2"/>
  <c r="H75" i="2"/>
  <c r="I76" i="2"/>
  <c r="J77" i="2"/>
  <c r="K78" i="2"/>
  <c r="H79" i="2"/>
  <c r="I80" i="2"/>
  <c r="M80" i="2"/>
  <c r="K82" i="2"/>
  <c r="AC231" i="2"/>
  <c r="AC144" i="2"/>
  <c r="AB240" i="2"/>
  <c r="AA236" i="2"/>
  <c r="AE79" i="2"/>
  <c r="AJ231" i="2"/>
  <c r="AP78" i="2"/>
  <c r="AP235" i="2" s="1"/>
  <c r="AJ79" i="2"/>
  <c r="AJ81" i="2" s="1"/>
  <c r="K81" i="2" s="1"/>
  <c r="X79" i="2"/>
  <c r="X81" i="2" s="1"/>
  <c r="U77" i="2"/>
  <c r="U226" i="2" s="1"/>
  <c r="G226" i="2" s="1"/>
  <c r="AN81" i="2"/>
  <c r="L81" i="2" s="1"/>
  <c r="L83" i="2"/>
  <c r="H84" i="2"/>
  <c r="L84" i="2"/>
  <c r="L85" i="2"/>
  <c r="U83" i="2"/>
  <c r="U213" i="2" s="1"/>
  <c r="Y83" i="2"/>
  <c r="Y213" i="2" s="1"/>
  <c r="X85" i="2"/>
  <c r="X27" i="2" s="1"/>
  <c r="AB85" i="2"/>
  <c r="AB27" i="2" s="1"/>
  <c r="H88" i="2"/>
  <c r="L88" i="2"/>
  <c r="I89" i="2"/>
  <c r="M89" i="2"/>
  <c r="AX89" i="2"/>
  <c r="Y171" i="2"/>
  <c r="Y135" i="2"/>
  <c r="Y140" i="2" s="1"/>
  <c r="AC135" i="2"/>
  <c r="AC140" i="2" s="1"/>
  <c r="AG135" i="2"/>
  <c r="AG140" i="2" s="1"/>
  <c r="AK135" i="2"/>
  <c r="AK140" i="2" s="1"/>
  <c r="AO135" i="2"/>
  <c r="AO140" i="2" s="1"/>
  <c r="AW90" i="2"/>
  <c r="K99" i="2"/>
  <c r="AQ98" i="2"/>
  <c r="AN101" i="2"/>
  <c r="AO99" i="2"/>
  <c r="AA103" i="2"/>
  <c r="Z102" i="2"/>
  <c r="J108" i="2"/>
  <c r="AW108" i="2"/>
  <c r="AK109" i="2"/>
  <c r="AO131" i="2"/>
  <c r="AP113" i="2"/>
  <c r="AP119" i="2" s="1"/>
  <c r="AP130" i="2" s="1"/>
  <c r="X124" i="2"/>
  <c r="X123" i="2" s="1"/>
  <c r="X125" i="2" s="1"/>
  <c r="AR134" i="2"/>
  <c r="AE135" i="2"/>
  <c r="AE140" i="2" s="1"/>
  <c r="H141" i="2"/>
  <c r="L145" i="2"/>
  <c r="Z143" i="2"/>
  <c r="AH143" i="2"/>
  <c r="H157" i="2"/>
  <c r="AD157" i="2"/>
  <c r="AC169" i="2"/>
  <c r="J166" i="2"/>
  <c r="K12" i="2"/>
  <c r="AD349" i="2"/>
  <c r="AD346" i="2"/>
  <c r="AD337" i="2"/>
  <c r="AD201" i="2"/>
  <c r="AD200" i="2"/>
  <c r="K17" i="2"/>
  <c r="K63" i="2" s="1"/>
  <c r="U234" i="2"/>
  <c r="U186" i="2"/>
  <c r="U185" i="2"/>
  <c r="W201" i="2"/>
  <c r="W200" i="2"/>
  <c r="AE349" i="2"/>
  <c r="AE337" i="2"/>
  <c r="AE201" i="2"/>
  <c r="AE200" i="2"/>
  <c r="AM349" i="2"/>
  <c r="AM337" i="2"/>
  <c r="AM201" i="2"/>
  <c r="AM200" i="2"/>
  <c r="K16" i="2"/>
  <c r="H21" i="2"/>
  <c r="I22" i="2"/>
  <c r="M22" i="2"/>
  <c r="K24" i="2"/>
  <c r="L25" i="2"/>
  <c r="H29" i="2"/>
  <c r="AI248" i="2"/>
  <c r="AI211" i="2"/>
  <c r="N4" i="2"/>
  <c r="H11" i="2"/>
  <c r="I12" i="2"/>
  <c r="M12" i="2"/>
  <c r="G439" i="2"/>
  <c r="G349" i="2"/>
  <c r="G345" i="2"/>
  <c r="G346" i="2"/>
  <c r="G337" i="2"/>
  <c r="G338" i="2" s="1"/>
  <c r="G342" i="2" s="1"/>
  <c r="G200" i="2"/>
  <c r="G202" i="2" s="1"/>
  <c r="G201" i="2"/>
  <c r="T201" i="2"/>
  <c r="T200" i="2"/>
  <c r="T202" i="2" s="1"/>
  <c r="X439" i="2"/>
  <c r="X349" i="2"/>
  <c r="X346" i="2"/>
  <c r="X345" i="2"/>
  <c r="X337" i="2"/>
  <c r="X200" i="2"/>
  <c r="AB439" i="2"/>
  <c r="AB349" i="2"/>
  <c r="AB346" i="2"/>
  <c r="AB345" i="2"/>
  <c r="AB337" i="2"/>
  <c r="AB201" i="2"/>
  <c r="AB200" i="2"/>
  <c r="AB202" i="2" s="1"/>
  <c r="AF439" i="2"/>
  <c r="AF349" i="2"/>
  <c r="AF337" i="2"/>
  <c r="AF201" i="2"/>
  <c r="AF200" i="2"/>
  <c r="AJ439" i="2"/>
  <c r="AJ349" i="2"/>
  <c r="AJ337" i="2"/>
  <c r="AJ201" i="2"/>
  <c r="AJ200" i="2"/>
  <c r="AJ202" i="2" s="1"/>
  <c r="H16" i="2"/>
  <c r="I17" i="2"/>
  <c r="H20" i="2"/>
  <c r="L20" i="2"/>
  <c r="I21" i="2"/>
  <c r="J22" i="2"/>
  <c r="H24" i="2"/>
  <c r="H71" i="2" s="1"/>
  <c r="I25" i="2"/>
  <c r="M25" i="2"/>
  <c r="K27" i="2"/>
  <c r="I29" i="2"/>
  <c r="M29" i="2"/>
  <c r="AP237" i="2"/>
  <c r="AP239" i="2"/>
  <c r="AS239" i="2"/>
  <c r="AS237" i="2"/>
  <c r="AC248" i="2"/>
  <c r="AC473" i="2" s="1"/>
  <c r="AC211" i="2"/>
  <c r="AN436" i="2"/>
  <c r="AN209" i="2"/>
  <c r="AO29" i="2"/>
  <c r="AP29" i="2" s="1"/>
  <c r="AQ29" i="2" s="1"/>
  <c r="AR29" i="2" s="1"/>
  <c r="AS29" i="2" s="1"/>
  <c r="AT29" i="2" s="1"/>
  <c r="AU29" i="2" s="1"/>
  <c r="AV29" i="2" s="1"/>
  <c r="AW29" i="2" s="1"/>
  <c r="AX29" i="2" s="1"/>
  <c r="AY29" i="2" s="1"/>
  <c r="J31" i="2"/>
  <c r="AE39" i="2"/>
  <c r="K44" i="2"/>
  <c r="U181" i="2"/>
  <c r="U179" i="2"/>
  <c r="U178" i="2"/>
  <c r="Y181" i="2"/>
  <c r="Y179" i="2"/>
  <c r="Y178" i="2"/>
  <c r="Y199" i="2"/>
  <c r="Y201" i="2" s="1"/>
  <c r="Y93" i="2"/>
  <c r="Y131" i="2" s="1"/>
  <c r="AC230" i="2"/>
  <c r="AC181" i="2"/>
  <c r="AC179" i="2"/>
  <c r="AC178" i="2"/>
  <c r="AC199" i="2"/>
  <c r="AC200" i="2" s="1"/>
  <c r="AG181" i="2"/>
  <c r="AG179" i="2"/>
  <c r="AG178" i="2"/>
  <c r="AG230" i="2"/>
  <c r="AG199" i="2"/>
  <c r="AG200" i="2" s="1"/>
  <c r="AK181" i="2"/>
  <c r="AK179" i="2"/>
  <c r="AK178" i="2"/>
  <c r="AK199" i="2"/>
  <c r="AK201" i="2" s="1"/>
  <c r="AK93" i="2"/>
  <c r="AK131" i="2" s="1"/>
  <c r="AO181" i="2"/>
  <c r="AO179" i="2"/>
  <c r="AO178" i="2"/>
  <c r="AS181" i="2"/>
  <c r="AS179" i="2"/>
  <c r="AS178" i="2"/>
  <c r="AS199" i="2"/>
  <c r="AA45" i="2"/>
  <c r="AA93" i="2" s="1"/>
  <c r="AE45" i="2"/>
  <c r="AI45" i="2"/>
  <c r="AM45" i="2"/>
  <c r="AA47" i="2"/>
  <c r="AE47" i="2"/>
  <c r="AI47" i="2"/>
  <c r="AM47" i="2"/>
  <c r="U45" i="2"/>
  <c r="T46" i="2"/>
  <c r="T146" i="2" s="1"/>
  <c r="T149" i="2" s="1"/>
  <c r="T150" i="2" s="1"/>
  <c r="V47" i="2"/>
  <c r="X49" i="2"/>
  <c r="AB49" i="2"/>
  <c r="AF49" i="2"/>
  <c r="AJ49" i="2"/>
  <c r="AN49" i="2"/>
  <c r="AR49" i="2"/>
  <c r="AV49" i="2"/>
  <c r="U50" i="2"/>
  <c r="Y50" i="2"/>
  <c r="E57" i="2"/>
  <c r="Y57" i="2"/>
  <c r="AC57" i="2"/>
  <c r="AG57" i="2"/>
  <c r="AK57" i="2"/>
  <c r="V58" i="2"/>
  <c r="AQ59" i="2"/>
  <c r="AU59" i="2"/>
  <c r="AP63" i="2"/>
  <c r="V65" i="2"/>
  <c r="V66" i="2" s="1"/>
  <c r="V67" i="2"/>
  <c r="Z65" i="2"/>
  <c r="Z66" i="2" s="1"/>
  <c r="AD65" i="2"/>
  <c r="AD66" i="2" s="1"/>
  <c r="AH65" i="2"/>
  <c r="AH66" i="2" s="1"/>
  <c r="AL65" i="2"/>
  <c r="AL66" i="2" s="1"/>
  <c r="X67" i="2"/>
  <c r="AB67" i="2"/>
  <c r="AF67" i="2"/>
  <c r="AJ67" i="2"/>
  <c r="F67" i="2"/>
  <c r="AE70" i="2"/>
  <c r="AM71" i="2"/>
  <c r="I75" i="2"/>
  <c r="J76" i="2"/>
  <c r="K77" i="2"/>
  <c r="H78" i="2"/>
  <c r="J80" i="2"/>
  <c r="H82" i="2"/>
  <c r="L82" i="2"/>
  <c r="AJ347" i="2"/>
  <c r="AJ219" i="2"/>
  <c r="AD231" i="2"/>
  <c r="AB79" i="2"/>
  <c r="AB81" i="2" s="1"/>
  <c r="AI236" i="2"/>
  <c r="AI240" i="2" s="1"/>
  <c r="AQ78" i="2"/>
  <c r="AQ235" i="2" s="1"/>
  <c r="AQ236" i="2" s="1"/>
  <c r="AQ240" i="2" s="1"/>
  <c r="AK79" i="2"/>
  <c r="AK81" i="2" s="1"/>
  <c r="V79" i="2"/>
  <c r="V81" i="2" s="1"/>
  <c r="U78" i="2"/>
  <c r="U235" i="2" s="1"/>
  <c r="G235" i="2" s="1"/>
  <c r="AA237" i="2"/>
  <c r="AA238" i="2" s="1"/>
  <c r="AA239" i="2" s="1"/>
  <c r="AO81" i="2"/>
  <c r="I83" i="2"/>
  <c r="M83" i="2"/>
  <c r="I84" i="2"/>
  <c r="M84" i="2"/>
  <c r="I85" i="2"/>
  <c r="M85" i="2"/>
  <c r="I88" i="2"/>
  <c r="M88" i="2"/>
  <c r="M90" i="2" s="1"/>
  <c r="J89" i="2"/>
  <c r="Z135" i="2"/>
  <c r="Z140" i="2" s="1"/>
  <c r="AD109" i="2"/>
  <c r="AD135" i="2"/>
  <c r="AD140" i="2" s="1"/>
  <c r="AH109" i="2"/>
  <c r="AH135" i="2"/>
  <c r="AH140" i="2" s="1"/>
  <c r="AL135" i="2"/>
  <c r="AL140" i="2" s="1"/>
  <c r="AP135" i="2"/>
  <c r="AP140" i="2" s="1"/>
  <c r="Y120" i="2"/>
  <c r="X92" i="2"/>
  <c r="AL93" i="2"/>
  <c r="H100" i="2"/>
  <c r="AC102" i="2"/>
  <c r="AD103" i="2"/>
  <c r="AC143" i="2"/>
  <c r="I111" i="2"/>
  <c r="AP112" i="2"/>
  <c r="Y125" i="2"/>
  <c r="Y123" i="2"/>
  <c r="AC125" i="2"/>
  <c r="AC123" i="2"/>
  <c r="AB124" i="2"/>
  <c r="AB123" i="2" s="1"/>
  <c r="AP129" i="2"/>
  <c r="AI135" i="2"/>
  <c r="AI140" i="2" s="1"/>
  <c r="L141" i="2"/>
  <c r="I158" i="2"/>
  <c r="M156" i="2"/>
  <c r="AT159" i="2"/>
  <c r="K163" i="2"/>
  <c r="AC92" i="2"/>
  <c r="AC93" i="2" s="1"/>
  <c r="AC131" i="2" s="1"/>
  <c r="AG99" i="2"/>
  <c r="AG101" i="2" s="1"/>
  <c r="AG102" i="2" s="1"/>
  <c r="AR106" i="2"/>
  <c r="AO129" i="2"/>
  <c r="Y143" i="2"/>
  <c r="AA153" i="2"/>
  <c r="Z168" i="2"/>
  <c r="Z170" i="2" s="1"/>
  <c r="Z50" i="2" s="1"/>
  <c r="E196" i="2"/>
  <c r="AO119" i="2"/>
  <c r="AO130" i="2" s="1"/>
  <c r="AR194" i="2"/>
  <c r="AN194" i="2"/>
  <c r="Y195" i="2"/>
  <c r="D210" i="2"/>
  <c r="D214" i="2" s="1"/>
  <c r="AS194" i="2"/>
  <c r="AO194" i="2"/>
  <c r="AO186" i="2"/>
  <c r="AK195" i="2"/>
  <c r="Z196" i="2"/>
  <c r="E210" i="2"/>
  <c r="E214" i="2" s="1"/>
  <c r="F175" i="2"/>
  <c r="J175" i="2"/>
  <c r="F177" i="2"/>
  <c r="J177" i="2"/>
  <c r="F179" i="2"/>
  <c r="AX184" i="2"/>
  <c r="G187" i="2"/>
  <c r="G196" i="2" s="1"/>
  <c r="AB186" i="2"/>
  <c r="AB195" i="2" s="1"/>
  <c r="AF186" i="2"/>
  <c r="AJ186" i="2"/>
  <c r="AN187" i="2"/>
  <c r="AV187" i="2"/>
  <c r="U190" i="2"/>
  <c r="F194" i="2"/>
  <c r="AN192" i="2"/>
  <c r="AV192" i="2"/>
  <c r="AN193" i="2"/>
  <c r="AR193" i="2"/>
  <c r="AV193" i="2"/>
  <c r="AJ194" i="2"/>
  <c r="U199" i="2"/>
  <c r="AO199" i="2"/>
  <c r="Z222" i="2"/>
  <c r="AD222" i="2"/>
  <c r="AJ230" i="2"/>
  <c r="W248" i="2"/>
  <c r="G175" i="2"/>
  <c r="E178" i="2"/>
  <c r="Q175" i="2"/>
  <c r="D179" i="2"/>
  <c r="AY184" i="2"/>
  <c r="D187" i="2"/>
  <c r="AO187" i="2"/>
  <c r="AW187" i="2"/>
  <c r="AW186" i="2" s="1"/>
  <c r="AW195" i="2" s="1"/>
  <c r="U192" i="2"/>
  <c r="AO192" i="2"/>
  <c r="AW192" i="2"/>
  <c r="Y193" i="2"/>
  <c r="AO193" i="2"/>
  <c r="AW194" i="2"/>
  <c r="AT199" i="2"/>
  <c r="AG228" i="2"/>
  <c r="AK228" i="2"/>
  <c r="AK227" i="2" s="1"/>
  <c r="AK231" i="2" s="1"/>
  <c r="AK230" i="2"/>
  <c r="AE278" i="2"/>
  <c r="AE280" i="2" s="1"/>
  <c r="AE246" i="2" s="1"/>
  <c r="AD280" i="2"/>
  <c r="AD246" i="2" s="1"/>
  <c r="T175" i="2"/>
  <c r="T177" i="2"/>
  <c r="AX185" i="2"/>
  <c r="AT187" i="2"/>
  <c r="AT186" i="2" s="1"/>
  <c r="AT195" i="2" s="1"/>
  <c r="AQ190" i="2"/>
  <c r="AT192" i="2"/>
  <c r="AL194" i="2"/>
  <c r="AL195" i="2"/>
  <c r="AU199" i="2"/>
  <c r="AH230" i="2"/>
  <c r="AL230" i="2"/>
  <c r="Y274" i="2"/>
  <c r="Z267" i="2"/>
  <c r="AE267" i="2"/>
  <c r="AE274" i="2" s="1"/>
  <c r="AD274" i="2"/>
  <c r="E177" i="2"/>
  <c r="AY185" i="2"/>
  <c r="AA186" i="2"/>
  <c r="AA195" i="2" s="1"/>
  <c r="AE186" i="2"/>
  <c r="AI186" i="2"/>
  <c r="AM186" i="2"/>
  <c r="AU187" i="2"/>
  <c r="AN190" i="2"/>
  <c r="AU192" i="2"/>
  <c r="AM194" i="2"/>
  <c r="AI230" i="2"/>
  <c r="AM230" i="2"/>
  <c r="AI237" i="2"/>
  <c r="AM237" i="2"/>
  <c r="AM236" i="2" s="1"/>
  <c r="AM240" i="2" s="1"/>
  <c r="AF275" i="2"/>
  <c r="AF421" i="2"/>
  <c r="AF352" i="2" s="1"/>
  <c r="AF354" i="2" s="1"/>
  <c r="AF345" i="2"/>
  <c r="AF335" i="2"/>
  <c r="AF290" i="2"/>
  <c r="AJ421" i="2"/>
  <c r="AJ352" i="2" s="1"/>
  <c r="AJ354" i="2" s="1"/>
  <c r="AJ345" i="2"/>
  <c r="AJ335" i="2"/>
  <c r="AJ290" i="2"/>
  <c r="F336" i="2"/>
  <c r="F295" i="2"/>
  <c r="X336" i="2"/>
  <c r="X295" i="2"/>
  <c r="AB336" i="2"/>
  <c r="AB295" i="2"/>
  <c r="AB314" i="2" s="1"/>
  <c r="AH228" i="2"/>
  <c r="AH227" i="2" s="1"/>
  <c r="AH231" i="2" s="1"/>
  <c r="AL228" i="2"/>
  <c r="AL227" i="2" s="1"/>
  <c r="AL231" i="2" s="1"/>
  <c r="W252" i="2"/>
  <c r="W254" i="2"/>
  <c r="AC441" i="2"/>
  <c r="AC439" i="2"/>
  <c r="AC272" i="2"/>
  <c r="AD258" i="2"/>
  <c r="AA441" i="2"/>
  <c r="AA440" i="2"/>
  <c r="AA331" i="2" s="1"/>
  <c r="AA439" i="2"/>
  <c r="D268" i="2"/>
  <c r="T273" i="2"/>
  <c r="U266" i="2"/>
  <c r="V266" i="2" s="1"/>
  <c r="U274" i="2"/>
  <c r="W267" i="2"/>
  <c r="W274" i="2" s="1"/>
  <c r="V267" i="2"/>
  <c r="V274" i="2" s="1"/>
  <c r="AA272" i="2"/>
  <c r="Y280" i="2"/>
  <c r="Y246" i="2" s="1"/>
  <c r="Z278" i="2"/>
  <c r="AH239" i="2"/>
  <c r="AL239" i="2"/>
  <c r="F473" i="2"/>
  <c r="AK271" i="2"/>
  <c r="AK259" i="2"/>
  <c r="AK268" i="2" s="1"/>
  <c r="AK269" i="2" s="1"/>
  <c r="AL257" i="2"/>
  <c r="AC273" i="2"/>
  <c r="AD264" i="2"/>
  <c r="AD473" i="2" s="1"/>
  <c r="X273" i="2"/>
  <c r="Y266" i="2"/>
  <c r="Z266" i="2" s="1"/>
  <c r="AA266" i="2" s="1"/>
  <c r="W278" i="2"/>
  <c r="V280" i="2"/>
  <c r="V246" i="2" s="1"/>
  <c r="W246" i="2" s="1"/>
  <c r="AM278" i="2"/>
  <c r="AM280" i="2" s="1"/>
  <c r="AM246" i="2" s="1"/>
  <c r="AL280" i="2"/>
  <c r="AL246" i="2" s="1"/>
  <c r="AL336" i="2"/>
  <c r="AL295" i="2"/>
  <c r="AE346" i="2"/>
  <c r="AI346" i="2"/>
  <c r="AM346" i="2"/>
  <c r="AN294" i="2"/>
  <c r="AP304" i="2"/>
  <c r="AN473" i="2"/>
  <c r="AN307" i="2"/>
  <c r="AO307" i="2" s="1"/>
  <c r="AP307" i="2" s="1"/>
  <c r="AQ307" i="2" s="1"/>
  <c r="AR307" i="2" s="1"/>
  <c r="AS307" i="2" s="1"/>
  <c r="AT307" i="2" s="1"/>
  <c r="AU307" i="2" s="1"/>
  <c r="AV307" i="2" s="1"/>
  <c r="AW307" i="2" s="1"/>
  <c r="AX307" i="2" s="1"/>
  <c r="AY307" i="2" s="1"/>
  <c r="Y273" i="2"/>
  <c r="Z264" i="2"/>
  <c r="AG273" i="2"/>
  <c r="AH264" i="2"/>
  <c r="AG448" i="2"/>
  <c r="AG449" i="2" s="1"/>
  <c r="AH279" i="2"/>
  <c r="AN448" i="2"/>
  <c r="AM449" i="2"/>
  <c r="AM347" i="2"/>
  <c r="AL441" i="2"/>
  <c r="AL439" i="2"/>
  <c r="Z441" i="2"/>
  <c r="Z440" i="2"/>
  <c r="Z331" i="2" s="1"/>
  <c r="Z439" i="2"/>
  <c r="V264" i="2"/>
  <c r="W265" i="2"/>
  <c r="AG267" i="2"/>
  <c r="Z272" i="2"/>
  <c r="AL272" i="2"/>
  <c r="U313" i="2"/>
  <c r="Y313" i="2"/>
  <c r="AG441" i="2"/>
  <c r="AG439" i="2"/>
  <c r="AN441" i="2"/>
  <c r="AN433" i="2" s="1"/>
  <c r="V258" i="2"/>
  <c r="V272" i="2" s="1"/>
  <c r="AM258" i="2"/>
  <c r="W258" i="2"/>
  <c r="W272" i="2" s="1"/>
  <c r="AN272" i="2"/>
  <c r="AO289" i="2"/>
  <c r="AM336" i="2"/>
  <c r="AM295" i="2"/>
  <c r="AF346" i="2"/>
  <c r="AJ346" i="2"/>
  <c r="AF301" i="2"/>
  <c r="AF305" i="2" s="1"/>
  <c r="AF313" i="2" s="1"/>
  <c r="AO347" i="2"/>
  <c r="AP300" i="2"/>
  <c r="AH258" i="2"/>
  <c r="AH259" i="2" s="1"/>
  <c r="AK441" i="2"/>
  <c r="AK439" i="2"/>
  <c r="Y441" i="2"/>
  <c r="Y440" i="2"/>
  <c r="Y331" i="2" s="1"/>
  <c r="Y439" i="2"/>
  <c r="AO441" i="2"/>
  <c r="AG259" i="2"/>
  <c r="AL264" i="2"/>
  <c r="AL267" i="2"/>
  <c r="Y272" i="2"/>
  <c r="AG272" i="2"/>
  <c r="AK272" i="2"/>
  <c r="AO272" i="2"/>
  <c r="AH278" i="2"/>
  <c r="AH295" i="2"/>
  <c r="AH314" i="2" s="1"/>
  <c r="AP306" i="2"/>
  <c r="AG321" i="2"/>
  <c r="AG322" i="2"/>
  <c r="AK313" i="2"/>
  <c r="AE421" i="2"/>
  <c r="AE352" i="2" s="1"/>
  <c r="AE354" i="2" s="1"/>
  <c r="AE335" i="2"/>
  <c r="AE345" i="2"/>
  <c r="AI421" i="2"/>
  <c r="AI352" i="2" s="1"/>
  <c r="AI335" i="2"/>
  <c r="AM421" i="2"/>
  <c r="AM352" i="2" s="1"/>
  <c r="AM354" i="2" s="1"/>
  <c r="AM357" i="2" s="1"/>
  <c r="AM359" i="2" s="1"/>
  <c r="AM368" i="2" s="1"/>
  <c r="AM345" i="2"/>
  <c r="AM335" i="2"/>
  <c r="Q314" i="2"/>
  <c r="AA336" i="2"/>
  <c r="AA295" i="2"/>
  <c r="AE290" i="2"/>
  <c r="Z295" i="2"/>
  <c r="AE301" i="2"/>
  <c r="AE305" i="2" s="1"/>
  <c r="Z418" i="2"/>
  <c r="Z417" i="2"/>
  <c r="Z416" i="2"/>
  <c r="Z415" i="2"/>
  <c r="Z466" i="2" s="1"/>
  <c r="Z422" i="2"/>
  <c r="Z355" i="2"/>
  <c r="Z318" i="2"/>
  <c r="Z321" i="2" s="1"/>
  <c r="Z313" i="2"/>
  <c r="E430" i="2"/>
  <c r="E417" i="2"/>
  <c r="E415" i="2"/>
  <c r="E466" i="2" s="1"/>
  <c r="E313" i="2"/>
  <c r="E314" i="2" s="1"/>
  <c r="S313" i="2"/>
  <c r="S314" i="2" s="1"/>
  <c r="Z322" i="2"/>
  <c r="AH322" i="2"/>
  <c r="AQ348" i="2"/>
  <c r="AR363" i="2"/>
  <c r="AQ387" i="2"/>
  <c r="Z391" i="2"/>
  <c r="Z369" i="2"/>
  <c r="Z358" i="2"/>
  <c r="AD391" i="2"/>
  <c r="AD369" i="2"/>
  <c r="AD358" i="2"/>
  <c r="AH391" i="2"/>
  <c r="AH358" i="2"/>
  <c r="F422" i="2"/>
  <c r="F417" i="2"/>
  <c r="F415" i="2"/>
  <c r="F466" i="2" s="1"/>
  <c r="F418" i="2"/>
  <c r="F318" i="2"/>
  <c r="F416" i="2"/>
  <c r="F313" i="2"/>
  <c r="P313" i="2"/>
  <c r="P314" i="2" s="1"/>
  <c r="T313" i="2"/>
  <c r="T314" i="2" s="1"/>
  <c r="AC422" i="2"/>
  <c r="AC418" i="2"/>
  <c r="AC416" i="2"/>
  <c r="AC417" i="2"/>
  <c r="AC415" i="2"/>
  <c r="AC466" i="2" s="1"/>
  <c r="AC355" i="2"/>
  <c r="AG422" i="2"/>
  <c r="AG415" i="2"/>
  <c r="AG466" i="2" s="1"/>
  <c r="AG417" i="2"/>
  <c r="AG418" i="2"/>
  <c r="AG355" i="2"/>
  <c r="AG416" i="2"/>
  <c r="AK422" i="2"/>
  <c r="AK416" i="2"/>
  <c r="AK418" i="2"/>
  <c r="AK415" i="2"/>
  <c r="AK466" i="2" s="1"/>
  <c r="AK417" i="2"/>
  <c r="AK355" i="2"/>
  <c r="F321" i="2"/>
  <c r="AK318" i="2"/>
  <c r="AE322" i="2"/>
  <c r="Y422" i="2"/>
  <c r="Y417" i="2"/>
  <c r="Y415" i="2"/>
  <c r="Y466" i="2" s="1"/>
  <c r="Y416" i="2"/>
  <c r="Y418" i="2"/>
  <c r="Y355" i="2"/>
  <c r="AC313" i="2"/>
  <c r="AC314" i="2" s="1"/>
  <c r="G321" i="2"/>
  <c r="Y318" i="2"/>
  <c r="X320" i="2"/>
  <c r="X321" i="2"/>
  <c r="AB320" i="2"/>
  <c r="AF320" i="2"/>
  <c r="AJ320" i="2"/>
  <c r="G336" i="2"/>
  <c r="AI345" i="2"/>
  <c r="Y357" i="2"/>
  <c r="Y359" i="2" s="1"/>
  <c r="AC357" i="2"/>
  <c r="AC359" i="2" s="1"/>
  <c r="AD421" i="2"/>
  <c r="AD352" i="2" s="1"/>
  <c r="AD354" i="2" s="1"/>
  <c r="AD345" i="2"/>
  <c r="AH421" i="2"/>
  <c r="AH352" i="2" s="1"/>
  <c r="AH354" i="2" s="1"/>
  <c r="AH345" i="2"/>
  <c r="AL421" i="2"/>
  <c r="AL352" i="2" s="1"/>
  <c r="AL354" i="2" s="1"/>
  <c r="AL345" i="2"/>
  <c r="AD290" i="2"/>
  <c r="AG346" i="2"/>
  <c r="AK346" i="2"/>
  <c r="Y314" i="2"/>
  <c r="AD301" i="2"/>
  <c r="AD305" i="2" s="1"/>
  <c r="AN347" i="2"/>
  <c r="R313" i="2"/>
  <c r="R314" i="2" s="1"/>
  <c r="V313" i="2"/>
  <c r="V314" i="2" s="1"/>
  <c r="AG313" i="2"/>
  <c r="E318" i="2"/>
  <c r="E322" i="2" s="1"/>
  <c r="AC318" i="2"/>
  <c r="AA322" i="2"/>
  <c r="AD335" i="2"/>
  <c r="AA418" i="2"/>
  <c r="AA417" i="2"/>
  <c r="AA416" i="2"/>
  <c r="AA415" i="2"/>
  <c r="AA466" i="2" s="1"/>
  <c r="AA422" i="2"/>
  <c r="AE418" i="2"/>
  <c r="AE417" i="2"/>
  <c r="AE416" i="2"/>
  <c r="AE415" i="2"/>
  <c r="AE466" i="2" s="1"/>
  <c r="AE422" i="2"/>
  <c r="AI418" i="2"/>
  <c r="AI417" i="2"/>
  <c r="AI416" i="2"/>
  <c r="AI415" i="2"/>
  <c r="AI466" i="2" s="1"/>
  <c r="AM418" i="2"/>
  <c r="AM417" i="2"/>
  <c r="AM416" i="2"/>
  <c r="AM415" i="2"/>
  <c r="AM466" i="2" s="1"/>
  <c r="AM422" i="2"/>
  <c r="W313" i="2"/>
  <c r="W314" i="2" s="1"/>
  <c r="AA313" i="2"/>
  <c r="AE313" i="2"/>
  <c r="AI313" i="2"/>
  <c r="AM313" i="2"/>
  <c r="C320" i="2"/>
  <c r="C322" i="2" s="1"/>
  <c r="G320" i="2"/>
  <c r="AA318" i="2"/>
  <c r="AA321" i="2" s="1"/>
  <c r="AE318" i="2"/>
  <c r="AE321" i="2" s="1"/>
  <c r="AI318" i="2"/>
  <c r="AI321" i="2" s="1"/>
  <c r="AM318" i="2"/>
  <c r="AM321" i="2" s="1"/>
  <c r="AI355" i="2"/>
  <c r="AB371" i="2"/>
  <c r="AB372" i="2" s="1"/>
  <c r="AB383" i="2"/>
  <c r="X422" i="2"/>
  <c r="X418" i="2"/>
  <c r="X417" i="2"/>
  <c r="X416" i="2"/>
  <c r="X415" i="2"/>
  <c r="X466" i="2" s="1"/>
  <c r="AB422" i="2"/>
  <c r="AB418" i="2"/>
  <c r="AB417" i="2"/>
  <c r="AB416" i="2"/>
  <c r="AB415" i="2"/>
  <c r="AB466" i="2" s="1"/>
  <c r="AB355" i="2"/>
  <c r="AB357" i="2" s="1"/>
  <c r="AB359" i="2" s="1"/>
  <c r="AF422" i="2"/>
  <c r="AF418" i="2"/>
  <c r="AF417" i="2"/>
  <c r="AF416" i="2"/>
  <c r="AF415" i="2"/>
  <c r="AF466" i="2" s="1"/>
  <c r="AF355" i="2"/>
  <c r="AJ422" i="2"/>
  <c r="AJ418" i="2"/>
  <c r="AJ417" i="2"/>
  <c r="AJ416" i="2"/>
  <c r="AJ415" i="2"/>
  <c r="AJ466" i="2" s="1"/>
  <c r="AJ355" i="2"/>
  <c r="X313" i="2"/>
  <c r="AB313" i="2"/>
  <c r="AJ313" i="2"/>
  <c r="D320" i="2"/>
  <c r="D322" i="2" s="1"/>
  <c r="X318" i="2"/>
  <c r="AB318" i="2"/>
  <c r="AB321" i="2" s="1"/>
  <c r="AF318" i="2"/>
  <c r="AF321" i="2" s="1"/>
  <c r="AJ318" i="2"/>
  <c r="AJ321" i="2" s="1"/>
  <c r="AA357" i="2"/>
  <c r="AA359" i="2" s="1"/>
  <c r="AM355" i="2"/>
  <c r="AN388" i="2"/>
  <c r="AO364" i="2"/>
  <c r="AK421" i="2"/>
  <c r="AK352" i="2" s="1"/>
  <c r="AK354" i="2" s="1"/>
  <c r="AK357" i="2" s="1"/>
  <c r="AK359" i="2" s="1"/>
  <c r="AG421" i="2"/>
  <c r="AG352" i="2" s="1"/>
  <c r="AG354" i="2" s="1"/>
  <c r="AG345" i="2"/>
  <c r="AK345" i="2"/>
  <c r="AG290" i="2"/>
  <c r="AK290" i="2"/>
  <c r="X421" i="2"/>
  <c r="X352" i="2" s="1"/>
  <c r="X354" i="2" s="1"/>
  <c r="X357" i="2" s="1"/>
  <c r="X348" i="2"/>
  <c r="AH346" i="2"/>
  <c r="AL346" i="2"/>
  <c r="G416" i="2"/>
  <c r="G418" i="2"/>
  <c r="G422" i="2"/>
  <c r="G417" i="2"/>
  <c r="G415" i="2"/>
  <c r="G466" i="2" s="1"/>
  <c r="AD418" i="2"/>
  <c r="AD417" i="2"/>
  <c r="AD416" i="2"/>
  <c r="AD415" i="2"/>
  <c r="AD466" i="2" s="1"/>
  <c r="AD422" i="2"/>
  <c r="AD355" i="2"/>
  <c r="AH418" i="2"/>
  <c r="AH417" i="2"/>
  <c r="AH416" i="2"/>
  <c r="AH415" i="2"/>
  <c r="AH466" i="2" s="1"/>
  <c r="AH422" i="2"/>
  <c r="AH355" i="2"/>
  <c r="AL418" i="2"/>
  <c r="AL417" i="2"/>
  <c r="AL416" i="2"/>
  <c r="AL415" i="2"/>
  <c r="AL466" i="2" s="1"/>
  <c r="AL422" i="2"/>
  <c r="AL355" i="2"/>
  <c r="AD313" i="2"/>
  <c r="AH313" i="2"/>
  <c r="AL313" i="2"/>
  <c r="F320" i="2"/>
  <c r="AD318" i="2"/>
  <c r="AD321" i="2" s="1"/>
  <c r="AH318" i="2"/>
  <c r="AH321" i="2" s="1"/>
  <c r="AL318" i="2"/>
  <c r="AL321" i="2" s="1"/>
  <c r="Z357" i="2"/>
  <c r="AE355" i="2"/>
  <c r="AO386" i="2"/>
  <c r="AN386" i="2"/>
  <c r="AB396" i="2"/>
  <c r="AB380" i="2"/>
  <c r="AP365" i="2"/>
  <c r="AO366" i="2"/>
  <c r="AN367" i="2"/>
  <c r="Y372" i="2"/>
  <c r="AC396" i="2"/>
  <c r="AC380" i="2"/>
  <c r="AA369" i="2"/>
  <c r="AB393" i="2" s="1"/>
  <c r="AA391" i="2"/>
  <c r="AE391" i="2"/>
  <c r="AE369" i="2"/>
  <c r="AM391" i="2"/>
  <c r="AM369" i="2"/>
  <c r="AM378" i="2"/>
  <c r="AI391" i="2"/>
  <c r="AC391" i="2"/>
  <c r="AG391" i="2"/>
  <c r="AK391" i="2"/>
  <c r="AJ388" i="2"/>
  <c r="AN408" i="2"/>
  <c r="AN406" i="2"/>
  <c r="AA445" i="2"/>
  <c r="AA444" i="2"/>
  <c r="AA438" i="2"/>
  <c r="AB391" i="2"/>
  <c r="AF391" i="2"/>
  <c r="AJ391" i="2"/>
  <c r="AC369" i="2"/>
  <c r="AE437" i="2"/>
  <c r="AM437" i="2"/>
  <c r="G438" i="2"/>
  <c r="G440" i="2"/>
  <c r="G331" i="2" s="1"/>
  <c r="AA446" i="2"/>
  <c r="F438" i="2"/>
  <c r="F440" i="2"/>
  <c r="F331" i="2" s="1"/>
  <c r="Y445" i="2"/>
  <c r="Y444" i="2"/>
  <c r="Y438" i="2"/>
  <c r="AC437" i="2"/>
  <c r="AG437" i="2"/>
  <c r="AK437" i="2"/>
  <c r="Z438" i="2"/>
  <c r="Z445" i="2"/>
  <c r="Z444" i="2"/>
  <c r="AD437" i="2"/>
  <c r="AL437" i="2"/>
  <c r="AL446" i="2" s="1"/>
  <c r="AE446" i="2"/>
  <c r="X445" i="2"/>
  <c r="X440" i="2"/>
  <c r="X331" i="2" s="1"/>
  <c r="X438" i="2"/>
  <c r="AB440" i="2"/>
  <c r="AB331" i="2" s="1"/>
  <c r="AB438" i="2"/>
  <c r="AF440" i="2"/>
  <c r="AF331" i="2" s="1"/>
  <c r="AF438" i="2"/>
  <c r="AF445" i="2"/>
  <c r="AJ440" i="2"/>
  <c r="AJ331" i="2" s="1"/>
  <c r="AJ438" i="2"/>
  <c r="AJ445" i="2"/>
  <c r="AF444" i="2"/>
  <c r="Y446" i="2"/>
  <c r="AC446" i="2"/>
  <c r="AG446" i="2"/>
  <c r="AK446" i="2"/>
  <c r="AD446" i="2"/>
  <c r="U465" i="2"/>
  <c r="U84" i="2" s="1"/>
  <c r="AA94" i="2" l="1"/>
  <c r="AA148" i="2" s="1"/>
  <c r="AA131" i="2"/>
  <c r="AG146" i="2"/>
  <c r="U85" i="2"/>
  <c r="U27" i="2" s="1"/>
  <c r="U31" i="2"/>
  <c r="AB125" i="2"/>
  <c r="AB117" i="2" s="1"/>
  <c r="AB128" i="2" s="1"/>
  <c r="AM444" i="2"/>
  <c r="AM438" i="2"/>
  <c r="AM445" i="2"/>
  <c r="AM446" i="2"/>
  <c r="AK445" i="2"/>
  <c r="AK444" i="2"/>
  <c r="AK438" i="2"/>
  <c r="AM383" i="2"/>
  <c r="AM371" i="2"/>
  <c r="AM372" i="2" s="1"/>
  <c r="AF322" i="2"/>
  <c r="AL273" i="2"/>
  <c r="AM264" i="2"/>
  <c r="AP289" i="2"/>
  <c r="AO253" i="2"/>
  <c r="E321" i="2"/>
  <c r="V273" i="2"/>
  <c r="W264" i="2"/>
  <c r="AH448" i="2"/>
  <c r="AI279" i="2"/>
  <c r="AI448" i="2" s="1"/>
  <c r="AL314" i="2"/>
  <c r="AK275" i="2"/>
  <c r="AY194" i="2"/>
  <c r="AK220" i="2"/>
  <c r="AK19" i="2"/>
  <c r="AK23" i="2" s="1"/>
  <c r="AM53" i="2"/>
  <c r="AM54" i="2"/>
  <c r="AG445" i="2"/>
  <c r="AG444" i="2"/>
  <c r="AG438" i="2"/>
  <c r="AE444" i="2"/>
  <c r="AE445" i="2"/>
  <c r="AE438" i="2"/>
  <c r="Y321" i="2"/>
  <c r="Y322" i="2"/>
  <c r="Z393" i="2"/>
  <c r="Z371" i="2"/>
  <c r="Z372" i="2" s="1"/>
  <c r="Z383" i="2"/>
  <c r="AS363" i="2"/>
  <c r="AR387" i="2"/>
  <c r="AR348" i="2"/>
  <c r="AD322" i="2"/>
  <c r="Z314" i="2"/>
  <c r="AE357" i="2"/>
  <c r="AE359" i="2" s="1"/>
  <c r="AG268" i="2"/>
  <c r="AG269" i="2" s="1"/>
  <c r="AK440" i="2"/>
  <c r="AK331" i="2" s="1"/>
  <c r="AP347" i="2"/>
  <c r="AQ300" i="2"/>
  <c r="AP255" i="2"/>
  <c r="AA264" i="2"/>
  <c r="Z273" i="2"/>
  <c r="AQ304" i="2"/>
  <c r="Z473" i="2"/>
  <c r="F314" i="2"/>
  <c r="AI195" i="2"/>
  <c r="AO196" i="2"/>
  <c r="AO17" i="2"/>
  <c r="AJ195" i="2"/>
  <c r="AS196" i="2"/>
  <c r="AA168" i="2"/>
  <c r="AA170" i="2" s="1"/>
  <c r="AB153" i="2"/>
  <c r="H153" i="2"/>
  <c r="AL131" i="2"/>
  <c r="AL94" i="2"/>
  <c r="AL148" i="2" s="1"/>
  <c r="Z171" i="2"/>
  <c r="I79" i="2"/>
  <c r="V53" i="2"/>
  <c r="V54" i="2"/>
  <c r="AI53" i="2"/>
  <c r="AI54" i="2"/>
  <c r="AI46" i="2"/>
  <c r="AI51" i="2"/>
  <c r="AE328" i="2"/>
  <c r="AE68" i="2"/>
  <c r="I63" i="2"/>
  <c r="M59" i="2"/>
  <c r="N267" i="2"/>
  <c r="N274" i="2" s="1"/>
  <c r="N265" i="2"/>
  <c r="N261" i="2"/>
  <c r="N248" i="2"/>
  <c r="N266" i="2"/>
  <c r="N262" i="2"/>
  <c r="N260" i="2"/>
  <c r="N221" i="2"/>
  <c r="N213" i="2"/>
  <c r="N212" i="2"/>
  <c r="N164" i="2"/>
  <c r="N160" i="2"/>
  <c r="N156" i="2"/>
  <c r="N264" i="2"/>
  <c r="N249" i="2"/>
  <c r="N166" i="2"/>
  <c r="N211" i="2"/>
  <c r="N184" i="2"/>
  <c r="N167" i="2"/>
  <c r="N163" i="2"/>
  <c r="N162" i="2"/>
  <c r="N155" i="2"/>
  <c r="N145" i="2"/>
  <c r="N100" i="2"/>
  <c r="N165" i="2"/>
  <c r="N144" i="2"/>
  <c r="N80" i="2"/>
  <c r="N31" i="2"/>
  <c r="N22" i="2"/>
  <c r="N20" i="2"/>
  <c r="N154" i="2"/>
  <c r="N82" i="2"/>
  <c r="N88" i="2"/>
  <c r="N85" i="2"/>
  <c r="N84" i="2"/>
  <c r="N83" i="2"/>
  <c r="N29" i="2"/>
  <c r="N25" i="2"/>
  <c r="H436" i="2"/>
  <c r="H69" i="2"/>
  <c r="AM202" i="2"/>
  <c r="U187" i="2"/>
  <c r="Y196" i="2" s="1"/>
  <c r="Y194" i="2"/>
  <c r="AD202" i="2"/>
  <c r="AL109" i="2"/>
  <c r="AK107" i="2"/>
  <c r="AK106" i="2" s="1"/>
  <c r="AA143" i="2"/>
  <c r="AA102" i="2"/>
  <c r="AR98" i="2"/>
  <c r="AW44" i="2"/>
  <c r="AX108" i="2"/>
  <c r="AX137" i="2"/>
  <c r="AX141" i="2" s="1"/>
  <c r="AX90" i="2"/>
  <c r="AY89" i="2"/>
  <c r="N89" i="2" s="1"/>
  <c r="H90" i="2"/>
  <c r="X220" i="2"/>
  <c r="X222" i="2" s="1"/>
  <c r="X19" i="2"/>
  <c r="Z236" i="2"/>
  <c r="AA240" i="2"/>
  <c r="U54" i="2"/>
  <c r="U53" i="2"/>
  <c r="AD427" i="2"/>
  <c r="G423" i="2"/>
  <c r="G424" i="2" s="1"/>
  <c r="G330" i="2"/>
  <c r="G70" i="2"/>
  <c r="G39" i="2"/>
  <c r="G26" i="2"/>
  <c r="L59" i="2"/>
  <c r="AL202" i="2"/>
  <c r="C215" i="2"/>
  <c r="C40" i="2"/>
  <c r="AR161" i="2"/>
  <c r="AQ111" i="2"/>
  <c r="I135" i="2"/>
  <c r="I134" i="2" s="1"/>
  <c r="AI143" i="2"/>
  <c r="J143" i="2" s="1"/>
  <c r="AI102" i="2"/>
  <c r="AB94" i="2"/>
  <c r="AB148" i="2" s="1"/>
  <c r="AF112" i="2"/>
  <c r="AF107" i="2"/>
  <c r="Y85" i="2"/>
  <c r="Y27" i="2" s="1"/>
  <c r="Y31" i="2"/>
  <c r="H31" i="2" s="1"/>
  <c r="AM220" i="2"/>
  <c r="AM222" i="2" s="1"/>
  <c r="AM19" i="2"/>
  <c r="AM23" i="2" s="1"/>
  <c r="K79" i="2"/>
  <c r="W94" i="2"/>
  <c r="W148" i="2" s="1"/>
  <c r="W46" i="2"/>
  <c r="W51" i="2"/>
  <c r="Z131" i="2"/>
  <c r="Z94" i="2"/>
  <c r="Z148" i="2" s="1"/>
  <c r="W220" i="2"/>
  <c r="W222" i="2" s="1"/>
  <c r="W19" i="2"/>
  <c r="W23" i="2" s="1"/>
  <c r="AH220" i="2"/>
  <c r="AH222" i="2" s="1"/>
  <c r="AH19" i="2"/>
  <c r="AH23" i="2" s="1"/>
  <c r="AF53" i="2"/>
  <c r="AF54" i="2"/>
  <c r="AD146" i="2"/>
  <c r="AD52" i="2"/>
  <c r="AB46" i="2"/>
  <c r="AB51" i="2"/>
  <c r="AF427" i="2"/>
  <c r="AL423" i="2"/>
  <c r="AL424" i="2" s="1"/>
  <c r="AL330" i="2"/>
  <c r="AL70" i="2"/>
  <c r="AL39" i="2"/>
  <c r="AL26" i="2"/>
  <c r="I18" i="2"/>
  <c r="I62" i="2"/>
  <c r="I47" i="2"/>
  <c r="AC201" i="2"/>
  <c r="AC202" i="2" s="1"/>
  <c r="J59" i="2"/>
  <c r="H107" i="2"/>
  <c r="H111" i="2"/>
  <c r="J140" i="2"/>
  <c r="H158" i="2"/>
  <c r="J163" i="2"/>
  <c r="H99" i="2"/>
  <c r="H103" i="2"/>
  <c r="H109" i="2"/>
  <c r="H125" i="2"/>
  <c r="L137" i="2"/>
  <c r="L136" i="2" s="1"/>
  <c r="H156" i="2"/>
  <c r="L155" i="2"/>
  <c r="J165" i="2"/>
  <c r="I99" i="2"/>
  <c r="J141" i="2"/>
  <c r="I144" i="2"/>
  <c r="H155" i="2"/>
  <c r="I160" i="2"/>
  <c r="L164" i="2"/>
  <c r="I166" i="2"/>
  <c r="J207" i="2"/>
  <c r="J219" i="2"/>
  <c r="H266" i="2"/>
  <c r="K207" i="2"/>
  <c r="J213" i="2"/>
  <c r="F221" i="2"/>
  <c r="C228" i="2"/>
  <c r="I255" i="2"/>
  <c r="H184" i="2"/>
  <c r="H211" i="2"/>
  <c r="J221" i="2"/>
  <c r="K229" i="2"/>
  <c r="K230" i="2" s="1"/>
  <c r="H258" i="2"/>
  <c r="H279" i="2"/>
  <c r="H448" i="2" s="1"/>
  <c r="H449" i="2" s="1"/>
  <c r="K156" i="2"/>
  <c r="K160" i="2"/>
  <c r="I163" i="2"/>
  <c r="L166" i="2"/>
  <c r="I211" i="2"/>
  <c r="E220" i="2"/>
  <c r="L234" i="2"/>
  <c r="H254" i="2"/>
  <c r="K265" i="2"/>
  <c r="D220" i="2"/>
  <c r="H221" i="2"/>
  <c r="I226" i="2"/>
  <c r="I228" i="2"/>
  <c r="J234" i="2"/>
  <c r="J236" i="2"/>
  <c r="J238" i="2"/>
  <c r="K251" i="2"/>
  <c r="J254" i="2"/>
  <c r="J262" i="2"/>
  <c r="I265" i="2"/>
  <c r="I221" i="2"/>
  <c r="J225" i="2"/>
  <c r="J229" i="2"/>
  <c r="J230" i="2" s="1"/>
  <c r="C235" i="2"/>
  <c r="K237" i="2"/>
  <c r="J248" i="2"/>
  <c r="I252" i="2"/>
  <c r="J261" i="2"/>
  <c r="L267" i="2"/>
  <c r="L274" i="2" s="1"/>
  <c r="L213" i="2"/>
  <c r="G219" i="2"/>
  <c r="C222" i="2"/>
  <c r="H225" i="2"/>
  <c r="D228" i="2"/>
  <c r="E235" i="2"/>
  <c r="E237" i="2"/>
  <c r="L248" i="2"/>
  <c r="H253" i="2"/>
  <c r="K256" i="2"/>
  <c r="L261" i="2"/>
  <c r="H265" i="2"/>
  <c r="I278" i="2"/>
  <c r="J407" i="2"/>
  <c r="K406" i="2"/>
  <c r="M164" i="2"/>
  <c r="M141" i="2"/>
  <c r="M162" i="2"/>
  <c r="M144" i="2"/>
  <c r="M213" i="2"/>
  <c r="M261" i="2"/>
  <c r="M260" i="2"/>
  <c r="M266" i="2"/>
  <c r="AH201" i="2"/>
  <c r="AH202" i="2" s="1"/>
  <c r="V200" i="2"/>
  <c r="V202" i="2" s="1"/>
  <c r="AK149" i="2"/>
  <c r="AE208" i="2"/>
  <c r="AE72" i="2"/>
  <c r="U79" i="2"/>
  <c r="U81" i="2" s="1"/>
  <c r="AC208" i="2"/>
  <c r="AG79" i="2"/>
  <c r="AL169" i="2"/>
  <c r="AM158" i="2"/>
  <c r="G85" i="2"/>
  <c r="G27" i="2" s="1"/>
  <c r="W54" i="2"/>
  <c r="AT219" i="2"/>
  <c r="AT81" i="2"/>
  <c r="AC393" i="2"/>
  <c r="AC383" i="2"/>
  <c r="AC371" i="2"/>
  <c r="AC372" i="2" s="1"/>
  <c r="AE393" i="2"/>
  <c r="AE383" i="2"/>
  <c r="AE371" i="2"/>
  <c r="AE372" i="2" s="1"/>
  <c r="AQ365" i="2"/>
  <c r="AP389" i="2"/>
  <c r="AD357" i="2"/>
  <c r="X322" i="2"/>
  <c r="Z359" i="2"/>
  <c r="AO433" i="2"/>
  <c r="AQ195" i="2"/>
  <c r="AM195" i="2"/>
  <c r="AW196" i="2"/>
  <c r="AW17" i="2"/>
  <c r="AN196" i="2"/>
  <c r="AN17" i="2"/>
  <c r="E215" i="2"/>
  <c r="E40" i="2"/>
  <c r="AS195" i="2"/>
  <c r="AO195" i="2"/>
  <c r="AR196" i="2"/>
  <c r="AR107" i="2"/>
  <c r="AS106" i="2"/>
  <c r="I90" i="2"/>
  <c r="AO220" i="2"/>
  <c r="AO222" i="2" s="1"/>
  <c r="AO79" i="2"/>
  <c r="AM46" i="2"/>
  <c r="AM51" i="2"/>
  <c r="AL445" i="2"/>
  <c r="AL438" i="2"/>
  <c r="AL444" i="2"/>
  <c r="AC445" i="2"/>
  <c r="AC444" i="2"/>
  <c r="AC438" i="2"/>
  <c r="AO410" i="2"/>
  <c r="AO408" i="2" s="1"/>
  <c r="AO406" i="2"/>
  <c r="AM379" i="2"/>
  <c r="AN391" i="2"/>
  <c r="AN358" i="2"/>
  <c r="AK336" i="2"/>
  <c r="AK295" i="2"/>
  <c r="AK314" i="2" s="1"/>
  <c r="AG357" i="2"/>
  <c r="AG359" i="2" s="1"/>
  <c r="AD295" i="2"/>
  <c r="AD314" i="2" s="1"/>
  <c r="AD336" i="2"/>
  <c r="AH357" i="2"/>
  <c r="AH359" i="2" s="1"/>
  <c r="AJ322" i="2"/>
  <c r="AB322" i="2"/>
  <c r="AD393" i="2"/>
  <c r="AD371" i="2"/>
  <c r="AD372" i="2" s="1"/>
  <c r="AD383" i="2"/>
  <c r="AE336" i="2"/>
  <c r="AE295" i="2"/>
  <c r="AE314" i="2" s="1"/>
  <c r="AH280" i="2"/>
  <c r="AH246" i="2" s="1"/>
  <c r="AI278" i="2"/>
  <c r="AI280" i="2" s="1"/>
  <c r="AI246" i="2" s="1"/>
  <c r="AM314" i="2"/>
  <c r="AG440" i="2"/>
  <c r="AG331" i="2" s="1"/>
  <c r="AG274" i="2"/>
  <c r="AG275" i="2" s="1"/>
  <c r="AH267" i="2"/>
  <c r="AL440" i="2"/>
  <c r="AL331" i="2" s="1"/>
  <c r="W266" i="2"/>
  <c r="AL271" i="2"/>
  <c r="AL259" i="2"/>
  <c r="AL268" i="2" s="1"/>
  <c r="AL269" i="2" s="1"/>
  <c r="AM257" i="2"/>
  <c r="AL473" i="2"/>
  <c r="V473" i="2"/>
  <c r="AA278" i="2"/>
  <c r="AA280" i="2" s="1"/>
  <c r="AA246" i="2" s="1"/>
  <c r="Z280" i="2"/>
  <c r="Z246" i="2" s="1"/>
  <c r="U273" i="2"/>
  <c r="AC440" i="2"/>
  <c r="AC331" i="2" s="1"/>
  <c r="X314" i="2"/>
  <c r="AJ357" i="2"/>
  <c r="AJ359" i="2" s="1"/>
  <c r="AF357" i="2"/>
  <c r="AF359" i="2" s="1"/>
  <c r="AE195" i="2"/>
  <c r="AT196" i="2"/>
  <c r="AX187" i="2"/>
  <c r="AX196" i="2" s="1"/>
  <c r="AT17" i="2"/>
  <c r="W473" i="2"/>
  <c r="Z227" i="2"/>
  <c r="AF195" i="2"/>
  <c r="AX193" i="2"/>
  <c r="AX192" i="2"/>
  <c r="AX12" i="2"/>
  <c r="AN186" i="2"/>
  <c r="AK94" i="2"/>
  <c r="AK148" i="2" s="1"/>
  <c r="AK150" i="2" s="1"/>
  <c r="AU159" i="2"/>
  <c r="Y117" i="2"/>
  <c r="Y128" i="2" s="1"/>
  <c r="AE103" i="2"/>
  <c r="AD102" i="2"/>
  <c r="AD143" i="2"/>
  <c r="X120" i="2"/>
  <c r="X117" i="2" s="1"/>
  <c r="AD112" i="2"/>
  <c r="AD107" i="2"/>
  <c r="V220" i="2"/>
  <c r="V222" i="2" s="1"/>
  <c r="V19" i="2"/>
  <c r="V23" i="2" s="1"/>
  <c r="AB220" i="2"/>
  <c r="AB222" i="2" s="1"/>
  <c r="AB19" i="2"/>
  <c r="AE53" i="2"/>
  <c r="AE54" i="2"/>
  <c r="AE46" i="2"/>
  <c r="AE51" i="2"/>
  <c r="AM427" i="2"/>
  <c r="AF202" i="2"/>
  <c r="AE202" i="2"/>
  <c r="AE157" i="2"/>
  <c r="I157" i="2" s="1"/>
  <c r="AD169" i="2"/>
  <c r="AO101" i="2"/>
  <c r="AP99" i="2"/>
  <c r="AB208" i="2"/>
  <c r="I208" i="2" s="1"/>
  <c r="AP236" i="2"/>
  <c r="AP240" i="2" s="1"/>
  <c r="X46" i="2"/>
  <c r="Y51" i="2"/>
  <c r="X51" i="2"/>
  <c r="AJ94" i="2"/>
  <c r="AJ148" i="2" s="1"/>
  <c r="AJ131" i="2"/>
  <c r="AO312" i="2"/>
  <c r="AI202" i="2"/>
  <c r="F202" i="2"/>
  <c r="K46" i="2"/>
  <c r="K13" i="2"/>
  <c r="K58" i="2"/>
  <c r="K45" i="2"/>
  <c r="AT189" i="2"/>
  <c r="AS190" i="2"/>
  <c r="AJ153" i="2"/>
  <c r="AJ107" i="2"/>
  <c r="AJ106" i="2" s="1"/>
  <c r="I81" i="2"/>
  <c r="AG54" i="2"/>
  <c r="AG53" i="2"/>
  <c r="AM93" i="2"/>
  <c r="AK427" i="2"/>
  <c r="J18" i="2"/>
  <c r="J62" i="2"/>
  <c r="J47" i="2"/>
  <c r="K109" i="2"/>
  <c r="AM103" i="2"/>
  <c r="AL102" i="2"/>
  <c r="AL143" i="2"/>
  <c r="AI107" i="2"/>
  <c r="AI106" i="2" s="1"/>
  <c r="J90" i="2"/>
  <c r="AP220" i="2"/>
  <c r="AP222" i="2" s="1"/>
  <c r="AP79" i="2"/>
  <c r="AS219" i="2"/>
  <c r="AS81" i="2"/>
  <c r="H81" i="2"/>
  <c r="AB53" i="2"/>
  <c r="AB54" i="2"/>
  <c r="Z146" i="2"/>
  <c r="Z52" i="2"/>
  <c r="L181" i="2"/>
  <c r="L179" i="2"/>
  <c r="L178" i="2"/>
  <c r="L49" i="2"/>
  <c r="AF61" i="2"/>
  <c r="J436" i="2"/>
  <c r="AK200" i="2"/>
  <c r="AK202" i="2" s="1"/>
  <c r="U201" i="2"/>
  <c r="U200" i="2"/>
  <c r="U57" i="2"/>
  <c r="U67" i="2"/>
  <c r="U65" i="2"/>
  <c r="U66" i="2" s="1"/>
  <c r="H101" i="2"/>
  <c r="L111" i="2"/>
  <c r="H123" i="2"/>
  <c r="H135" i="2"/>
  <c r="H134" i="2" s="1"/>
  <c r="K141" i="2"/>
  <c r="H154" i="2"/>
  <c r="I159" i="2"/>
  <c r="I110" i="2" s="1"/>
  <c r="H164" i="2"/>
  <c r="I122" i="2"/>
  <c r="H140" i="2"/>
  <c r="K166" i="2"/>
  <c r="J100" i="2"/>
  <c r="H108" i="2"/>
  <c r="H112" i="2"/>
  <c r="K135" i="2"/>
  <c r="K134" i="2" s="1"/>
  <c r="I156" i="2"/>
  <c r="L159" i="2"/>
  <c r="H167" i="2"/>
  <c r="J167" i="2"/>
  <c r="K208" i="2"/>
  <c r="J211" i="2"/>
  <c r="F220" i="2"/>
  <c r="K227" i="2"/>
  <c r="K231" i="2" s="1"/>
  <c r="J252" i="2"/>
  <c r="K167" i="2"/>
  <c r="K211" i="2"/>
  <c r="D238" i="2"/>
  <c r="D239" i="2" s="1"/>
  <c r="H262" i="2"/>
  <c r="L184" i="2"/>
  <c r="L211" i="2"/>
  <c r="K225" i="2"/>
  <c r="H234" i="2"/>
  <c r="I246" i="2"/>
  <c r="J260" i="2"/>
  <c r="L154" i="2"/>
  <c r="J164" i="2"/>
  <c r="I167" i="2"/>
  <c r="K209" i="2"/>
  <c r="J212" i="2"/>
  <c r="C226" i="2"/>
  <c r="D236" i="2"/>
  <c r="D240" i="2" s="1"/>
  <c r="J256" i="2"/>
  <c r="I213" i="2"/>
  <c r="D219" i="2"/>
  <c r="L221" i="2"/>
  <c r="E225" i="2"/>
  <c r="E227" i="2"/>
  <c r="E231" i="2" s="1"/>
  <c r="E229" i="2"/>
  <c r="E230" i="2" s="1"/>
  <c r="F235" i="2"/>
  <c r="F237" i="2"/>
  <c r="I248" i="2"/>
  <c r="H252" i="2"/>
  <c r="K255" i="2"/>
  <c r="H260" i="2"/>
  <c r="K263" i="2"/>
  <c r="J266" i="2"/>
  <c r="E222" i="2"/>
  <c r="F226" i="2"/>
  <c r="F228" i="2"/>
  <c r="C234" i="2"/>
  <c r="K236" i="2"/>
  <c r="C238" i="2"/>
  <c r="C239" i="2" s="1"/>
  <c r="H246" i="2"/>
  <c r="J253" i="2"/>
  <c r="I256" i="2"/>
  <c r="K262" i="2"/>
  <c r="J265" i="2"/>
  <c r="K278" i="2"/>
  <c r="K219" i="2"/>
  <c r="C221" i="2"/>
  <c r="D227" i="2"/>
  <c r="D231" i="2" s="1"/>
  <c r="I235" i="2"/>
  <c r="I237" i="2"/>
  <c r="J246" i="2"/>
  <c r="I262" i="2"/>
  <c r="L265" i="2"/>
  <c r="J278" i="2"/>
  <c r="J279" i="2"/>
  <c r="J448" i="2" s="1"/>
  <c r="I407" i="2"/>
  <c r="M100" i="2"/>
  <c r="M145" i="2"/>
  <c r="M212" i="2"/>
  <c r="M163" i="2"/>
  <c r="M265" i="2"/>
  <c r="M249" i="2"/>
  <c r="M264" i="2"/>
  <c r="AT69" i="2"/>
  <c r="H12" i="2"/>
  <c r="AD208" i="2"/>
  <c r="E468" i="2"/>
  <c r="AG227" i="2"/>
  <c r="W53" i="2"/>
  <c r="AU76" i="2"/>
  <c r="AV19" i="2"/>
  <c r="F326" i="2"/>
  <c r="F322" i="2"/>
  <c r="AG336" i="2"/>
  <c r="AG295" i="2"/>
  <c r="AG314" i="2" s="1"/>
  <c r="G326" i="2"/>
  <c r="G322" i="2"/>
  <c r="AC321" i="2"/>
  <c r="AC322" i="2"/>
  <c r="AM322" i="2"/>
  <c r="AK321" i="2"/>
  <c r="AK322" i="2"/>
  <c r="AL322" i="2"/>
  <c r="AA314" i="2"/>
  <c r="AQ306" i="2"/>
  <c r="AL274" i="2"/>
  <c r="AM267" i="2"/>
  <c r="AM274" i="2" s="1"/>
  <c r="AH441" i="2"/>
  <c r="AH439" i="2"/>
  <c r="AH272" i="2"/>
  <c r="AI258" i="2"/>
  <c r="AN449" i="2"/>
  <c r="AO448" i="2"/>
  <c r="AN293" i="2"/>
  <c r="AO293" i="2" s="1"/>
  <c r="AN279" i="2"/>
  <c r="AI264" i="2"/>
  <c r="AI273" i="2" s="1"/>
  <c r="AH273" i="2"/>
  <c r="AH473" i="2"/>
  <c r="AD441" i="2"/>
  <c r="AD440" i="2"/>
  <c r="AD331" i="2" s="1"/>
  <c r="AD439" i="2"/>
  <c r="AE258" i="2"/>
  <c r="AD272" i="2"/>
  <c r="AJ336" i="2"/>
  <c r="AJ295" i="2"/>
  <c r="AJ314" i="2" s="1"/>
  <c r="AF336" i="2"/>
  <c r="AF295" i="2"/>
  <c r="AF314" i="2" s="1"/>
  <c r="W280" i="2"/>
  <c r="AU196" i="2"/>
  <c r="AY187" i="2"/>
  <c r="AY196" i="2" s="1"/>
  <c r="AU186" i="2"/>
  <c r="AU195" i="2" s="1"/>
  <c r="AU17" i="2"/>
  <c r="AX194" i="2"/>
  <c r="AX186" i="2"/>
  <c r="AX195" i="2" s="1"/>
  <c r="AY193" i="2"/>
  <c r="AY192" i="2"/>
  <c r="AY17" i="2"/>
  <c r="AY12" i="2"/>
  <c r="AV186" i="2"/>
  <c r="AV195" i="2" s="1"/>
  <c r="AV196" i="2"/>
  <c r="AV17" i="2"/>
  <c r="D215" i="2"/>
  <c r="D40" i="2"/>
  <c r="AC120" i="2"/>
  <c r="AC117" i="2" s="1"/>
  <c r="AC128" i="2" s="1"/>
  <c r="AC94" i="2"/>
  <c r="AC148" i="2" s="1"/>
  <c r="AD92" i="2"/>
  <c r="AP124" i="2"/>
  <c r="AP114" i="2"/>
  <c r="AP142" i="2" s="1"/>
  <c r="Y94" i="2"/>
  <c r="Y148" i="2" s="1"/>
  <c r="Y150" i="2" s="1"/>
  <c r="AH107" i="2"/>
  <c r="AH106" i="2" s="1"/>
  <c r="U94" i="2"/>
  <c r="U148" i="2" s="1"/>
  <c r="U51" i="2"/>
  <c r="U46" i="2"/>
  <c r="AA53" i="2"/>
  <c r="AA54" i="2"/>
  <c r="AA46" i="2"/>
  <c r="AA51" i="2"/>
  <c r="AI427" i="2"/>
  <c r="H62" i="2"/>
  <c r="H47" i="2"/>
  <c r="H18" i="2"/>
  <c r="W202" i="2"/>
  <c r="K185" i="2"/>
  <c r="K59" i="2"/>
  <c r="AS134" i="2"/>
  <c r="AR135" i="2"/>
  <c r="AP131" i="2"/>
  <c r="AQ113" i="2"/>
  <c r="X208" i="2"/>
  <c r="H85" i="2"/>
  <c r="H83" i="2"/>
  <c r="X93" i="2"/>
  <c r="X94" i="2" s="1"/>
  <c r="X148" i="2" s="1"/>
  <c r="AL427" i="2"/>
  <c r="AA202" i="2"/>
  <c r="I334" i="2"/>
  <c r="J5" i="2"/>
  <c r="AS236" i="2"/>
  <c r="AS240" i="2" s="1"/>
  <c r="AI93" i="2"/>
  <c r="M181" i="2"/>
  <c r="M179" i="2"/>
  <c r="M178" i="2"/>
  <c r="M49" i="2"/>
  <c r="AG427" i="2"/>
  <c r="AE428" i="2"/>
  <c r="AE425" i="2"/>
  <c r="I27" i="2"/>
  <c r="AH159" i="2"/>
  <c r="AG111" i="2"/>
  <c r="AA213" i="2"/>
  <c r="AA85" i="2"/>
  <c r="AA27" i="2" s="1"/>
  <c r="AA220" i="2"/>
  <c r="AA222" i="2" s="1"/>
  <c r="AA227" i="2" s="1"/>
  <c r="AA19" i="2"/>
  <c r="AA23" i="2" s="1"/>
  <c r="AR236" i="2"/>
  <c r="AR240" i="2" s="1"/>
  <c r="AC220" i="2"/>
  <c r="AC222" i="2" s="1"/>
  <c r="AC19" i="2"/>
  <c r="AC23" i="2" s="1"/>
  <c r="V51" i="2"/>
  <c r="V46" i="2"/>
  <c r="V94" i="2"/>
  <c r="V148" i="2" s="1"/>
  <c r="AL146" i="2"/>
  <c r="AL52" i="2"/>
  <c r="AJ46" i="2"/>
  <c r="AJ51" i="2"/>
  <c r="H199" i="2"/>
  <c r="H181" i="2"/>
  <c r="H179" i="2"/>
  <c r="H178" i="2"/>
  <c r="H49" i="2"/>
  <c r="U61" i="2"/>
  <c r="AD423" i="2"/>
  <c r="AD424" i="2" s="1"/>
  <c r="AD330" i="2"/>
  <c r="AD70" i="2"/>
  <c r="AD39" i="2"/>
  <c r="AD26" i="2"/>
  <c r="AD28" i="2" s="1"/>
  <c r="AD30" i="2" s="1"/>
  <c r="Y200" i="2"/>
  <c r="Y202" i="2" s="1"/>
  <c r="I13" i="2"/>
  <c r="I58" i="2"/>
  <c r="I45" i="2"/>
  <c r="I46" i="2"/>
  <c r="L135" i="2"/>
  <c r="L134" i="2" s="1"/>
  <c r="J135" i="2"/>
  <c r="J134" i="2" s="1"/>
  <c r="J158" i="2"/>
  <c r="L163" i="2"/>
  <c r="H98" i="2"/>
  <c r="K101" i="2"/>
  <c r="L108" i="2"/>
  <c r="H124" i="2"/>
  <c r="I137" i="2"/>
  <c r="I136" i="2" s="1"/>
  <c r="H143" i="2"/>
  <c r="L161" i="2"/>
  <c r="H165" i="2"/>
  <c r="J184" i="2"/>
  <c r="H209" i="2"/>
  <c r="K212" i="2"/>
  <c r="F222" i="2"/>
  <c r="C229" i="2"/>
  <c r="C230" i="2" s="1"/>
  <c r="K184" i="2"/>
  <c r="H212" i="2"/>
  <c r="E219" i="2"/>
  <c r="G225" i="2"/>
  <c r="D234" i="2"/>
  <c r="J264" i="2"/>
  <c r="L189" i="2"/>
  <c r="J209" i="2"/>
  <c r="I212" i="2"/>
  <c r="F219" i="2"/>
  <c r="C227" i="2"/>
  <c r="C231" i="2" s="1"/>
  <c r="I251" i="2"/>
  <c r="L262" i="2"/>
  <c r="K154" i="2"/>
  <c r="K158" i="2"/>
  <c r="K165" i="2"/>
  <c r="I184" i="2"/>
  <c r="H219" i="2"/>
  <c r="D222" i="2"/>
  <c r="I225" i="2"/>
  <c r="I227" i="2"/>
  <c r="I231" i="2" s="1"/>
  <c r="I229" i="2"/>
  <c r="I230" i="2" s="1"/>
  <c r="J235" i="2"/>
  <c r="J237" i="2"/>
  <c r="K246" i="2"/>
  <c r="H249" i="2"/>
  <c r="H256" i="2"/>
  <c r="L260" i="2"/>
  <c r="H264" i="2"/>
  <c r="K267" i="2"/>
  <c r="K274" i="2" s="1"/>
  <c r="I222" i="2"/>
  <c r="J226" i="2"/>
  <c r="J228" i="2"/>
  <c r="G234" i="2"/>
  <c r="K235" i="2"/>
  <c r="C237" i="2"/>
  <c r="H251" i="2"/>
  <c r="K254" i="2"/>
  <c r="K258" i="2"/>
  <c r="H263" i="2"/>
  <c r="H273" i="2" s="1"/>
  <c r="K266" i="2"/>
  <c r="I280" i="2"/>
  <c r="C220" i="2"/>
  <c r="G221" i="2"/>
  <c r="D226" i="2"/>
  <c r="E234" i="2"/>
  <c r="E236" i="2"/>
  <c r="E240" i="2" s="1"/>
  <c r="E238" i="2"/>
  <c r="E239" i="2" s="1"/>
  <c r="K247" i="2"/>
  <c r="J251" i="2"/>
  <c r="I254" i="2"/>
  <c r="K260" i="2"/>
  <c r="J263" i="2"/>
  <c r="I266" i="2"/>
  <c r="K279" i="2"/>
  <c r="K448" i="2" s="1"/>
  <c r="I279" i="2"/>
  <c r="I448" i="2" s="1"/>
  <c r="J406" i="2"/>
  <c r="I406" i="2"/>
  <c r="M108" i="2"/>
  <c r="M154" i="2"/>
  <c r="M137" i="2"/>
  <c r="M136" i="2" s="1"/>
  <c r="M165" i="2"/>
  <c r="M167" i="2"/>
  <c r="M211" i="2"/>
  <c r="M248" i="2"/>
  <c r="M473" i="2" s="1"/>
  <c r="M221" i="2"/>
  <c r="K21" i="2"/>
  <c r="AC149" i="2"/>
  <c r="AC145" i="2"/>
  <c r="V208" i="2"/>
  <c r="AF220" i="2"/>
  <c r="AF222" i="2" s="1"/>
  <c r="AF19" i="2"/>
  <c r="AF23" i="2" s="1"/>
  <c r="AU71" i="2"/>
  <c r="U334" i="2"/>
  <c r="V5" i="2"/>
  <c r="AO390" i="2"/>
  <c r="AP366" i="2"/>
  <c r="AD445" i="2"/>
  <c r="AD438" i="2"/>
  <c r="AD444" i="2"/>
  <c r="AA383" i="2"/>
  <c r="AA393" i="2"/>
  <c r="AA371" i="2"/>
  <c r="AA372" i="2" s="1"/>
  <c r="AO388" i="2"/>
  <c r="AP364" i="2"/>
  <c r="AO367" i="2"/>
  <c r="AL357" i="2"/>
  <c r="AL359" i="2" s="1"/>
  <c r="AL368" i="2" s="1"/>
  <c r="AM392" i="2" s="1"/>
  <c r="AD359" i="2"/>
  <c r="AM439" i="2"/>
  <c r="AM441" i="2"/>
  <c r="AM440" i="2"/>
  <c r="AM331" i="2" s="1"/>
  <c r="AM272" i="2"/>
  <c r="AO294" i="2"/>
  <c r="AN256" i="2"/>
  <c r="AE264" i="2"/>
  <c r="I264" i="2" s="1"/>
  <c r="AD273" i="2"/>
  <c r="AA267" i="2"/>
  <c r="AA274" i="2" s="1"/>
  <c r="Z274" i="2"/>
  <c r="K178" i="2"/>
  <c r="K199" i="2"/>
  <c r="K181" i="2"/>
  <c r="K179" i="2"/>
  <c r="K49" i="2"/>
  <c r="AE427" i="2"/>
  <c r="AN437" i="2"/>
  <c r="I436" i="2"/>
  <c r="X202" i="2"/>
  <c r="H58" i="2"/>
  <c r="H45" i="2"/>
  <c r="H46" i="2"/>
  <c r="H52" i="2" s="1"/>
  <c r="H13" i="2"/>
  <c r="H67" i="2" s="1"/>
  <c r="K62" i="2"/>
  <c r="K47" i="2"/>
  <c r="K18" i="2"/>
  <c r="L90" i="2"/>
  <c r="AN220" i="2"/>
  <c r="AN222" i="2" s="1"/>
  <c r="AN79" i="2"/>
  <c r="AJ220" i="2"/>
  <c r="AJ222" i="2" s="1"/>
  <c r="K222" i="2" s="1"/>
  <c r="AJ19" i="2"/>
  <c r="J178" i="2"/>
  <c r="J199" i="2"/>
  <c r="J181" i="2"/>
  <c r="J179" i="2"/>
  <c r="J49" i="2"/>
  <c r="AH427" i="2"/>
  <c r="AE467" i="2"/>
  <c r="AE468" i="2" s="1"/>
  <c r="AE429" i="2"/>
  <c r="AE413" i="2"/>
  <c r="AE36" i="2"/>
  <c r="AE34" i="2"/>
  <c r="AE1" i="2" s="1"/>
  <c r="AE32" i="2"/>
  <c r="AP123" i="2"/>
  <c r="AP125" i="2" s="1"/>
  <c r="K90" i="2"/>
  <c r="I181" i="2"/>
  <c r="I179" i="2"/>
  <c r="I178" i="2"/>
  <c r="I199" i="2"/>
  <c r="I49" i="2"/>
  <c r="Y427" i="2"/>
  <c r="AG61" i="2"/>
  <c r="J58" i="2"/>
  <c r="J45" i="2"/>
  <c r="J13" i="2"/>
  <c r="J67" i="2" s="1"/>
  <c r="J46" i="2"/>
  <c r="J52" i="2" s="1"/>
  <c r="H114" i="2"/>
  <c r="H113" i="2" s="1"/>
  <c r="AM112" i="2"/>
  <c r="AM107" i="2"/>
  <c r="AM106" i="2" s="1"/>
  <c r="AN106" i="2" s="1"/>
  <c r="AE112" i="2"/>
  <c r="AE107" i="2"/>
  <c r="AE106" i="2" s="1"/>
  <c r="W213" i="2"/>
  <c r="W85" i="2"/>
  <c r="W27" i="2" s="1"/>
  <c r="Y220" i="2"/>
  <c r="Y222" i="2" s="1"/>
  <c r="Y19" i="2"/>
  <c r="Y23" i="2" s="1"/>
  <c r="T220" i="2"/>
  <c r="T19" i="2"/>
  <c r="T23" i="2" s="1"/>
  <c r="AK222" i="2"/>
  <c r="AJ53" i="2"/>
  <c r="AJ54" i="2"/>
  <c r="AH146" i="2"/>
  <c r="AH52" i="2"/>
  <c r="AF46" i="2"/>
  <c r="AF51" i="2"/>
  <c r="AJ427" i="2"/>
  <c r="Z423" i="2"/>
  <c r="Z424" i="2" s="1"/>
  <c r="Z330" i="2"/>
  <c r="Z70" i="2"/>
  <c r="Z39" i="2"/>
  <c r="Z26" i="2"/>
  <c r="AG201" i="2"/>
  <c r="AG202" i="2" s="1"/>
  <c r="D202" i="2"/>
  <c r="J99" i="2"/>
  <c r="J103" i="2"/>
  <c r="J109" i="2"/>
  <c r="J137" i="2"/>
  <c r="J136" i="2" s="1"/>
  <c r="J156" i="2"/>
  <c r="L156" i="2"/>
  <c r="K98" i="2"/>
  <c r="J101" i="2"/>
  <c r="K108" i="2"/>
  <c r="H137" i="2"/>
  <c r="H136" i="2" s="1"/>
  <c r="I141" i="2"/>
  <c r="L144" i="2"/>
  <c r="J154" i="2"/>
  <c r="H160" i="2"/>
  <c r="K164" i="2"/>
  <c r="L98" i="2"/>
  <c r="I103" i="2"/>
  <c r="I102" i="2" s="1"/>
  <c r="I109" i="2"/>
  <c r="I140" i="2"/>
  <c r="H159" i="2"/>
  <c r="H163" i="2"/>
  <c r="L165" i="2"/>
  <c r="J189" i="2"/>
  <c r="C225" i="2"/>
  <c r="D235" i="2"/>
  <c r="J247" i="2"/>
  <c r="K261" i="2"/>
  <c r="K189" i="2"/>
  <c r="I209" i="2"/>
  <c r="L212" i="2"/>
  <c r="I220" i="2"/>
  <c r="K226" i="2"/>
  <c r="H235" i="2"/>
  <c r="K248" i="2"/>
  <c r="L266" i="2"/>
  <c r="H207" i="2"/>
  <c r="K213" i="2"/>
  <c r="D237" i="2"/>
  <c r="K253" i="2"/>
  <c r="I267" i="2"/>
  <c r="I274" i="2" s="1"/>
  <c r="K155" i="2"/>
  <c r="L162" i="2"/>
  <c r="H166" i="2"/>
  <c r="I207" i="2"/>
  <c r="I219" i="2"/>
  <c r="K228" i="2"/>
  <c r="I263" i="2"/>
  <c r="L219" i="2"/>
  <c r="D221" i="2"/>
  <c r="H222" i="2"/>
  <c r="E226" i="2"/>
  <c r="E228" i="2"/>
  <c r="F234" i="2"/>
  <c r="F236" i="2"/>
  <c r="F240" i="2" s="1"/>
  <c r="F238" i="2"/>
  <c r="F239" i="2" s="1"/>
  <c r="H247" i="2"/>
  <c r="L249" i="2"/>
  <c r="I253" i="2"/>
  <c r="I261" i="2"/>
  <c r="L264" i="2"/>
  <c r="E221" i="2"/>
  <c r="F225" i="2"/>
  <c r="F227" i="2"/>
  <c r="F231" i="2" s="1"/>
  <c r="F229" i="2"/>
  <c r="F230" i="2" s="1"/>
  <c r="K234" i="2"/>
  <c r="C236" i="2"/>
  <c r="C240" i="2" s="1"/>
  <c r="K238" i="2"/>
  <c r="K239" i="2" s="1"/>
  <c r="I247" i="2"/>
  <c r="H255" i="2"/>
  <c r="I260" i="2"/>
  <c r="H267" i="2"/>
  <c r="H274" i="2" s="1"/>
  <c r="H213" i="2"/>
  <c r="C219" i="2"/>
  <c r="K221" i="2"/>
  <c r="D225" i="2"/>
  <c r="H226" i="2"/>
  <c r="D229" i="2"/>
  <c r="D230" i="2" s="1"/>
  <c r="I234" i="2"/>
  <c r="I236" i="2"/>
  <c r="I240" i="2" s="1"/>
  <c r="I238" i="2"/>
  <c r="I239" i="2" s="1"/>
  <c r="H248" i="2"/>
  <c r="H473" i="2" s="1"/>
  <c r="K252" i="2"/>
  <c r="J255" i="2"/>
  <c r="H261" i="2"/>
  <c r="K264" i="2"/>
  <c r="H280" i="2"/>
  <c r="J280" i="2"/>
  <c r="K280" i="2"/>
  <c r="K407" i="2"/>
  <c r="M160" i="2"/>
  <c r="M166" i="2"/>
  <c r="M155" i="2"/>
  <c r="M184" i="2"/>
  <c r="M199" i="2" s="1"/>
  <c r="M267" i="2"/>
  <c r="M274" i="2" s="1"/>
  <c r="M234" i="2"/>
  <c r="M262" i="2"/>
  <c r="AG208" i="2"/>
  <c r="J208" i="2" s="1"/>
  <c r="F85" i="2"/>
  <c r="F27" i="2" s="1"/>
  <c r="F28" i="2" s="1"/>
  <c r="F30" i="2" s="1"/>
  <c r="F329" i="2"/>
  <c r="F328" i="2"/>
  <c r="F68" i="2"/>
  <c r="AR220" i="2"/>
  <c r="AR79" i="2"/>
  <c r="AI208" i="2"/>
  <c r="AI220" i="2"/>
  <c r="AI222" i="2" s="1"/>
  <c r="AI19" i="2"/>
  <c r="AI23" i="2" s="1"/>
  <c r="AQ220" i="2"/>
  <c r="L220" i="2" s="1"/>
  <c r="AQ79" i="2"/>
  <c r="E413" i="2"/>
  <c r="AF231" i="2"/>
  <c r="AF144" i="2"/>
  <c r="AH53" i="2"/>
  <c r="AP408" i="2" l="1"/>
  <c r="AP406" i="2" s="1"/>
  <c r="AP410" i="2"/>
  <c r="F467" i="2"/>
  <c r="F468" i="2" s="1"/>
  <c r="F429" i="2"/>
  <c r="F413" i="2"/>
  <c r="F34" i="2"/>
  <c r="F1" i="2" s="1"/>
  <c r="F36" i="2"/>
  <c r="F32" i="2"/>
  <c r="AF423" i="2"/>
  <c r="AF424" i="2" s="1"/>
  <c r="AF330" i="2"/>
  <c r="AF26" i="2"/>
  <c r="AF70" i="2"/>
  <c r="AF39" i="2"/>
  <c r="K473" i="2"/>
  <c r="J102" i="2"/>
  <c r="AF146" i="2"/>
  <c r="AF52" i="2"/>
  <c r="Y423" i="2"/>
  <c r="Y424" i="2" s="1"/>
  <c r="Y330" i="2"/>
  <c r="Y70" i="2"/>
  <c r="Y39" i="2"/>
  <c r="Y26" i="2"/>
  <c r="Y28" i="2" s="1"/>
  <c r="Y30" i="2" s="1"/>
  <c r="AE472" i="2"/>
  <c r="AE412" i="2"/>
  <c r="AE430" i="2"/>
  <c r="AE245" i="2"/>
  <c r="AE206" i="2"/>
  <c r="AE210" i="2" s="1"/>
  <c r="AE214" i="2" s="1"/>
  <c r="AE35" i="2"/>
  <c r="L79" i="2"/>
  <c r="K61" i="2"/>
  <c r="AP294" i="2"/>
  <c r="AO256" i="2"/>
  <c r="AO391" i="2"/>
  <c r="AO358" i="2"/>
  <c r="J190" i="2"/>
  <c r="J192" i="2"/>
  <c r="J193" i="2" s="1"/>
  <c r="I200" i="2"/>
  <c r="I202" i="2" s="1"/>
  <c r="I201" i="2"/>
  <c r="I65" i="2"/>
  <c r="I66" i="2" s="1"/>
  <c r="I57" i="2"/>
  <c r="AJ146" i="2"/>
  <c r="AJ52" i="2"/>
  <c r="AK52" i="2"/>
  <c r="V146" i="2"/>
  <c r="V149" i="2" s="1"/>
  <c r="V52" i="2"/>
  <c r="I67" i="2"/>
  <c r="AE441" i="2"/>
  <c r="AE439" i="2"/>
  <c r="AE440" i="2"/>
  <c r="AE331" i="2" s="1"/>
  <c r="AE272" i="2"/>
  <c r="AG231" i="2"/>
  <c r="AG144" i="2"/>
  <c r="J144" i="2" s="1"/>
  <c r="H185" i="2"/>
  <c r="H186" i="2"/>
  <c r="H195" i="2" s="1"/>
  <c r="H59" i="2"/>
  <c r="I409" i="2"/>
  <c r="I37" i="2"/>
  <c r="K240" i="2"/>
  <c r="K94" i="2"/>
  <c r="K148" i="2" s="1"/>
  <c r="K51" i="2"/>
  <c r="V70" i="2"/>
  <c r="V39" i="2"/>
  <c r="V68" i="2" s="1"/>
  <c r="V26" i="2"/>
  <c r="AD124" i="2"/>
  <c r="AD114" i="2"/>
  <c r="I112" i="2"/>
  <c r="AV159" i="2"/>
  <c r="AX17" i="2"/>
  <c r="N17" i="2" s="1"/>
  <c r="N63" i="2" s="1"/>
  <c r="AI267" i="2"/>
  <c r="AH274" i="2"/>
  <c r="AH275" i="2" s="1"/>
  <c r="AM146" i="2"/>
  <c r="AM52" i="2"/>
  <c r="AP433" i="2"/>
  <c r="AM169" i="2"/>
  <c r="AN158" i="2"/>
  <c r="J409" i="2"/>
  <c r="J37" i="2"/>
  <c r="L473" i="2"/>
  <c r="J240" i="2"/>
  <c r="H102" i="2"/>
  <c r="J186" i="2"/>
  <c r="AH423" i="2"/>
  <c r="AH424" i="2" s="1"/>
  <c r="AH330" i="2"/>
  <c r="AH70" i="2"/>
  <c r="AH39" i="2"/>
  <c r="AH26" i="2"/>
  <c r="Y208" i="2"/>
  <c r="H208" i="2" s="1"/>
  <c r="Y72" i="2"/>
  <c r="AS161" i="2"/>
  <c r="AR111" i="2"/>
  <c r="Z240" i="2"/>
  <c r="Y236" i="2"/>
  <c r="Z237" i="2"/>
  <c r="Z238" i="2" s="1"/>
  <c r="Z239" i="2" s="1"/>
  <c r="AS98" i="2"/>
  <c r="N192" i="2"/>
  <c r="N193" i="2" s="1"/>
  <c r="AA50" i="2"/>
  <c r="AA171" i="2"/>
  <c r="AR304" i="2"/>
  <c r="AS387" i="2"/>
  <c r="AT363" i="2"/>
  <c r="AI423" i="2"/>
  <c r="AI424" i="2" s="1"/>
  <c r="AI330" i="2"/>
  <c r="AI70" i="2"/>
  <c r="AI39" i="2"/>
  <c r="AI26" i="2"/>
  <c r="K409" i="2"/>
  <c r="K37" i="2"/>
  <c r="Z28" i="2"/>
  <c r="Z30" i="2" s="1"/>
  <c r="Z72" i="2"/>
  <c r="Z428" i="2"/>
  <c r="Z425" i="2"/>
  <c r="Y227" i="2"/>
  <c r="AE114" i="2"/>
  <c r="AE142" i="2" s="1"/>
  <c r="AE124" i="2"/>
  <c r="AE123" i="2" s="1"/>
  <c r="AE125" i="2" s="1"/>
  <c r="AJ23" i="2"/>
  <c r="K19" i="2"/>
  <c r="K23" i="2" s="1"/>
  <c r="K53" i="2"/>
  <c r="K54" i="2"/>
  <c r="H51" i="2"/>
  <c r="H94" i="2"/>
  <c r="H148" i="2" s="1"/>
  <c r="I437" i="2"/>
  <c r="I438" i="2" s="1"/>
  <c r="AQ364" i="2"/>
  <c r="AP388" i="2"/>
  <c r="AP367" i="2"/>
  <c r="AP390" i="2"/>
  <c r="AQ366" i="2"/>
  <c r="AV71" i="2"/>
  <c r="J273" i="2"/>
  <c r="I192" i="2"/>
  <c r="I193" i="2" s="1"/>
  <c r="I190" i="2"/>
  <c r="K190" i="2"/>
  <c r="K192" i="2"/>
  <c r="K193" i="2" s="1"/>
  <c r="I52" i="2"/>
  <c r="AA423" i="2"/>
  <c r="AA424" i="2" s="1"/>
  <c r="AA330" i="2"/>
  <c r="AA70" i="2"/>
  <c r="AA39" i="2"/>
  <c r="AA26" i="2"/>
  <c r="AA28" i="2" s="1"/>
  <c r="AA30" i="2" s="1"/>
  <c r="AG122" i="2"/>
  <c r="AG112" i="2"/>
  <c r="AI94" i="2"/>
  <c r="AI148" i="2" s="1"/>
  <c r="AI131" i="2"/>
  <c r="K186" i="2"/>
  <c r="K195" i="2" s="1"/>
  <c r="AI473" i="2"/>
  <c r="AP448" i="2"/>
  <c r="AP293" i="2" s="1"/>
  <c r="AO449" i="2"/>
  <c r="AO279" i="2"/>
  <c r="AV76" i="2"/>
  <c r="AW19" i="2"/>
  <c r="L110" i="2"/>
  <c r="Z149" i="2"/>
  <c r="AS220" i="2"/>
  <c r="AS79" i="2"/>
  <c r="J61" i="2"/>
  <c r="AK153" i="2"/>
  <c r="I59" i="2"/>
  <c r="AX234" i="2"/>
  <c r="AX78" i="2"/>
  <c r="AX235" i="2" s="1"/>
  <c r="AX59" i="2"/>
  <c r="AT238" i="2"/>
  <c r="AT63" i="2"/>
  <c r="M17" i="2"/>
  <c r="AT78" i="2"/>
  <c r="AL275" i="2"/>
  <c r="AN238" i="2"/>
  <c r="AN63" i="2"/>
  <c r="AN78" i="2"/>
  <c r="L17" i="2"/>
  <c r="AQ222" i="2"/>
  <c r="L222" i="2" s="1"/>
  <c r="AR222" i="2"/>
  <c r="M159" i="2"/>
  <c r="K220" i="2"/>
  <c r="J473" i="2"/>
  <c r="K107" i="2"/>
  <c r="H110" i="2"/>
  <c r="J185" i="2"/>
  <c r="I61" i="2"/>
  <c r="AB146" i="2"/>
  <c r="AB52" i="2"/>
  <c r="AC52" i="2"/>
  <c r="Z150" i="2"/>
  <c r="W146" i="2"/>
  <c r="W149" i="2" s="1"/>
  <c r="W52" i="2"/>
  <c r="AM423" i="2"/>
  <c r="AM424" i="2" s="1"/>
  <c r="AM330" i="2"/>
  <c r="AM70" i="2"/>
  <c r="AM39" i="2"/>
  <c r="AM26" i="2"/>
  <c r="AF106" i="2"/>
  <c r="J107" i="2"/>
  <c r="G28" i="2"/>
  <c r="G30" i="2" s="1"/>
  <c r="G428" i="2"/>
  <c r="G425" i="2"/>
  <c r="X23" i="2"/>
  <c r="H19" i="2"/>
  <c r="AY108" i="2"/>
  <c r="N108" i="2" s="1"/>
  <c r="AY137" i="2"/>
  <c r="AY141" i="2" s="1"/>
  <c r="N141" i="2" s="1"/>
  <c r="AY90" i="2"/>
  <c r="AW181" i="2"/>
  <c r="AW179" i="2"/>
  <c r="AW178" i="2"/>
  <c r="AW49" i="2"/>
  <c r="AW199" i="2"/>
  <c r="AL112" i="2"/>
  <c r="AL107" i="2"/>
  <c r="AL106" i="2" s="1"/>
  <c r="N12" i="2"/>
  <c r="N473" i="2"/>
  <c r="AE329" i="2"/>
  <c r="AQ347" i="2"/>
  <c r="AQ255" i="2"/>
  <c r="L255" i="2" s="1"/>
  <c r="AR300" i="2"/>
  <c r="AS348" i="2"/>
  <c r="AY186" i="2"/>
  <c r="AY195" i="2" s="1"/>
  <c r="AI449" i="2"/>
  <c r="AI437" i="2"/>
  <c r="AM273" i="2"/>
  <c r="AM473" i="2"/>
  <c r="U208" i="2"/>
  <c r="I273" i="2"/>
  <c r="Z329" i="2"/>
  <c r="Z328" i="2"/>
  <c r="Z68" i="2"/>
  <c r="AH149" i="2"/>
  <c r="T26" i="2"/>
  <c r="T70" i="2"/>
  <c r="T39" i="2"/>
  <c r="T68" i="2" s="1"/>
  <c r="W208" i="2"/>
  <c r="AO106" i="2"/>
  <c r="AO107" i="2" s="1"/>
  <c r="AO109" i="2" s="1"/>
  <c r="AO112" i="2" s="1"/>
  <c r="AN107" i="2"/>
  <c r="J201" i="2"/>
  <c r="J200" i="2"/>
  <c r="J65" i="2"/>
  <c r="J66" i="2" s="1"/>
  <c r="J57" i="2"/>
  <c r="AN434" i="2"/>
  <c r="AN278" i="2"/>
  <c r="AN440" i="2"/>
  <c r="AN331" i="2" s="1"/>
  <c r="AE273" i="2"/>
  <c r="AE473" i="2"/>
  <c r="K436" i="2"/>
  <c r="K437" i="2" s="1"/>
  <c r="K438" i="2" s="1"/>
  <c r="I94" i="2"/>
  <c r="I148" i="2" s="1"/>
  <c r="I51" i="2"/>
  <c r="AD467" i="2"/>
  <c r="AD468" i="2" s="1"/>
  <c r="AD429" i="2"/>
  <c r="AD413" i="2"/>
  <c r="AD32" i="2"/>
  <c r="AD36" i="2"/>
  <c r="AD34" i="2"/>
  <c r="AD1" i="2" s="1"/>
  <c r="AD428" i="2"/>
  <c r="AD425" i="2"/>
  <c r="AL149" i="2"/>
  <c r="AL150" i="2" s="1"/>
  <c r="AC423" i="2"/>
  <c r="AC424" i="2" s="1"/>
  <c r="AC330" i="2"/>
  <c r="AC70" i="2"/>
  <c r="AC39" i="2"/>
  <c r="AC26" i="2"/>
  <c r="AA231" i="2"/>
  <c r="AA144" i="2"/>
  <c r="AA228" i="2"/>
  <c r="AA229" i="2" s="1"/>
  <c r="AA230" i="2" s="1"/>
  <c r="AI159" i="2"/>
  <c r="AH111" i="2"/>
  <c r="J334" i="2"/>
  <c r="K5" i="2"/>
  <c r="AR140" i="2"/>
  <c r="K194" i="2"/>
  <c r="K187" i="2"/>
  <c r="H61" i="2"/>
  <c r="H23" i="2"/>
  <c r="U146" i="2"/>
  <c r="U149" i="2" s="1"/>
  <c r="U150" i="2" s="1"/>
  <c r="U52" i="2"/>
  <c r="AD120" i="2"/>
  <c r="AE92" i="2"/>
  <c r="AD94" i="2"/>
  <c r="AD148" i="2" s="1"/>
  <c r="AD93" i="2"/>
  <c r="AD131" i="2" s="1"/>
  <c r="AY234" i="2"/>
  <c r="AY78" i="2"/>
  <c r="AY235" i="2" s="1"/>
  <c r="AY59" i="2"/>
  <c r="AU238" i="2"/>
  <c r="AU63" i="2"/>
  <c r="AU78" i="2"/>
  <c r="AU235" i="2" s="1"/>
  <c r="AR306" i="2"/>
  <c r="AU219" i="2"/>
  <c r="AU81" i="2"/>
  <c r="M81" i="2" s="1"/>
  <c r="M76" i="2"/>
  <c r="AD72" i="2"/>
  <c r="K273" i="2"/>
  <c r="I473" i="2"/>
  <c r="H220" i="2"/>
  <c r="L192" i="2"/>
  <c r="L193" i="2" s="1"/>
  <c r="L190" i="2"/>
  <c r="AS222" i="2"/>
  <c r="K200" i="2"/>
  <c r="K202" i="2" s="1"/>
  <c r="K201" i="2"/>
  <c r="K65" i="2"/>
  <c r="K66" i="2" s="1"/>
  <c r="K57" i="2"/>
  <c r="AO356" i="2"/>
  <c r="AP312" i="2"/>
  <c r="AE169" i="2"/>
  <c r="AF157" i="2"/>
  <c r="I185" i="2"/>
  <c r="AB23" i="2"/>
  <c r="I19" i="2"/>
  <c r="I23" i="2" s="1"/>
  <c r="AE143" i="2"/>
  <c r="I143" i="2" s="1"/>
  <c r="AE102" i="2"/>
  <c r="AM380" i="2"/>
  <c r="AM396" i="2"/>
  <c r="AT106" i="2"/>
  <c r="AS107" i="2"/>
  <c r="AS109" i="2" s="1"/>
  <c r="AQ389" i="2"/>
  <c r="AR365" i="2"/>
  <c r="AG81" i="2"/>
  <c r="J79" i="2"/>
  <c r="U220" i="2"/>
  <c r="U222" i="2" s="1"/>
  <c r="U19" i="2"/>
  <c r="U23" i="2" s="1"/>
  <c r="H278" i="2"/>
  <c r="J227" i="2"/>
  <c r="J231" i="2" s="1"/>
  <c r="H192" i="2"/>
  <c r="H193" i="2" s="1"/>
  <c r="H190" i="2"/>
  <c r="AL72" i="2"/>
  <c r="AL28" i="2"/>
  <c r="AL30" i="2" s="1"/>
  <c r="AL428" i="2"/>
  <c r="AL425" i="2"/>
  <c r="K67" i="2"/>
  <c r="W70" i="2"/>
  <c r="W39" i="2"/>
  <c r="W68" i="2" s="1"/>
  <c r="W26" i="2"/>
  <c r="W28" i="2" s="1"/>
  <c r="W30" i="2" s="1"/>
  <c r="Z326" i="2"/>
  <c r="W150" i="2"/>
  <c r="AF114" i="2"/>
  <c r="AF124" i="2"/>
  <c r="L185" i="2"/>
  <c r="G328" i="2"/>
  <c r="G329" i="2"/>
  <c r="G68" i="2"/>
  <c r="AX44" i="2"/>
  <c r="H168" i="2"/>
  <c r="H170" i="2" s="1"/>
  <c r="H50" i="2" s="1"/>
  <c r="AK423" i="2"/>
  <c r="AK424" i="2" s="1"/>
  <c r="AK330" i="2"/>
  <c r="AK70" i="2"/>
  <c r="AK39" i="2"/>
  <c r="AK26" i="2"/>
  <c r="AH449" i="2"/>
  <c r="AH437" i="2"/>
  <c r="AF326" i="2"/>
  <c r="AG52" i="2"/>
  <c r="J159" i="2"/>
  <c r="F208" i="2"/>
  <c r="F72" i="2"/>
  <c r="M192" i="2"/>
  <c r="M193" i="2" s="1"/>
  <c r="T222" i="2"/>
  <c r="AM114" i="2"/>
  <c r="AM142" i="2" s="1"/>
  <c r="AM124" i="2"/>
  <c r="AM123" i="2" s="1"/>
  <c r="AM125" i="2" s="1"/>
  <c r="AM117" i="2" s="1"/>
  <c r="J94" i="2"/>
  <c r="J148" i="2" s="1"/>
  <c r="J51" i="2"/>
  <c r="H200" i="2"/>
  <c r="H201" i="2"/>
  <c r="H65" i="2"/>
  <c r="H66" i="2" s="1"/>
  <c r="H57" i="2"/>
  <c r="AL379" i="2"/>
  <c r="AL369" i="2"/>
  <c r="V334" i="2"/>
  <c r="W5" i="2"/>
  <c r="G433" i="2"/>
  <c r="G444" i="2" s="1"/>
  <c r="G355" i="2"/>
  <c r="G362" i="2"/>
  <c r="G434" i="2"/>
  <c r="G445" i="2" s="1"/>
  <c r="G365" i="2"/>
  <c r="G357" i="2"/>
  <c r="G383" i="2"/>
  <c r="G378" i="2"/>
  <c r="G353" i="2"/>
  <c r="G352" i="2"/>
  <c r="G435" i="2"/>
  <c r="G446" i="2" s="1"/>
  <c r="G382" i="2"/>
  <c r="G363" i="2"/>
  <c r="G368" i="2"/>
  <c r="K439" i="2"/>
  <c r="K440" i="2"/>
  <c r="K331" i="2" s="1"/>
  <c r="K441" i="2"/>
  <c r="K272" i="2"/>
  <c r="AD328" i="2"/>
  <c r="AD329" i="2"/>
  <c r="AD68" i="2"/>
  <c r="V150" i="2"/>
  <c r="AA208" i="2"/>
  <c r="AA72" i="2"/>
  <c r="AR113" i="2"/>
  <c r="AQ131" i="2"/>
  <c r="AS135" i="2"/>
  <c r="AS140" i="2" s="1"/>
  <c r="AT134" i="2"/>
  <c r="H54" i="2"/>
  <c r="H53" i="2"/>
  <c r="AA146" i="2"/>
  <c r="AA52" i="2"/>
  <c r="AC150" i="2"/>
  <c r="AV238" i="2"/>
  <c r="AV63" i="2"/>
  <c r="AV78" i="2"/>
  <c r="AY238" i="2"/>
  <c r="AY63" i="2"/>
  <c r="AI441" i="2"/>
  <c r="AI440" i="2"/>
  <c r="AI331" i="2" s="1"/>
  <c r="AI439" i="2"/>
  <c r="AI272" i="2"/>
  <c r="AI259" i="2"/>
  <c r="AI268" i="2" s="1"/>
  <c r="AI285" i="2" s="1"/>
  <c r="AU69" i="2"/>
  <c r="I258" i="2"/>
  <c r="U202" i="2"/>
  <c r="J437" i="2"/>
  <c r="J438" i="2" s="1"/>
  <c r="L199" i="2"/>
  <c r="AM143" i="2"/>
  <c r="K143" i="2" s="1"/>
  <c r="AM102" i="2"/>
  <c r="AN102" i="2" s="1"/>
  <c r="K103" i="2"/>
  <c r="K102" i="2" s="1"/>
  <c r="J54" i="2"/>
  <c r="J53" i="2"/>
  <c r="AM94" i="2"/>
  <c r="AM148" i="2" s="1"/>
  <c r="AM131" i="2"/>
  <c r="AU189" i="2"/>
  <c r="AT190" i="2"/>
  <c r="K52" i="2"/>
  <c r="Y52" i="2"/>
  <c r="X146" i="2"/>
  <c r="X52" i="2"/>
  <c r="AQ99" i="2"/>
  <c r="L99" i="2" s="1"/>
  <c r="AP101" i="2"/>
  <c r="I186" i="2"/>
  <c r="I195" i="2" s="1"/>
  <c r="AE146" i="2"/>
  <c r="AE52" i="2"/>
  <c r="AD106" i="2"/>
  <c r="I107" i="2"/>
  <c r="AR195" i="2"/>
  <c r="AN195" i="2"/>
  <c r="Z231" i="2"/>
  <c r="Z144" i="2"/>
  <c r="Z145" i="2" s="1"/>
  <c r="Z228" i="2"/>
  <c r="Z229" i="2" s="1"/>
  <c r="Z230" i="2" s="1"/>
  <c r="AM259" i="2"/>
  <c r="AM268" i="2" s="1"/>
  <c r="AM269" i="2" s="1"/>
  <c r="AM271" i="2"/>
  <c r="AM275" i="2" s="1"/>
  <c r="AB326" i="2"/>
  <c r="AR109" i="2"/>
  <c r="AW238" i="2"/>
  <c r="AW63" i="2"/>
  <c r="AW78" i="2"/>
  <c r="AW235" i="2" s="1"/>
  <c r="AN444" i="2"/>
  <c r="AT220" i="2"/>
  <c r="AT222" i="2" s="1"/>
  <c r="AT79" i="2"/>
  <c r="G208" i="2"/>
  <c r="G72" i="2"/>
  <c r="J258" i="2"/>
  <c r="J239" i="2"/>
  <c r="H441" i="2"/>
  <c r="H439" i="2"/>
  <c r="H272" i="2"/>
  <c r="I54" i="2"/>
  <c r="I53" i="2"/>
  <c r="AL328" i="2"/>
  <c r="AL329" i="2"/>
  <c r="AL68" i="2"/>
  <c r="AD149" i="2"/>
  <c r="AQ122" i="2"/>
  <c r="AQ112" i="2"/>
  <c r="H63" i="2"/>
  <c r="H437" i="2"/>
  <c r="H438" i="2" s="1"/>
  <c r="N90" i="2"/>
  <c r="M185" i="2"/>
  <c r="AI146" i="2"/>
  <c r="AI52" i="2"/>
  <c r="AB168" i="2"/>
  <c r="AB170" i="2" s="1"/>
  <c r="AC153" i="2"/>
  <c r="AO238" i="2"/>
  <c r="AO63" i="2"/>
  <c r="AO78" i="2"/>
  <c r="AO235" i="2" s="1"/>
  <c r="AA273" i="2"/>
  <c r="AA473" i="2"/>
  <c r="W273" i="2"/>
  <c r="AQ289" i="2"/>
  <c r="AP253" i="2"/>
  <c r="H27" i="2"/>
  <c r="AH268" i="2"/>
  <c r="AH269" i="2" s="1"/>
  <c r="AG149" i="2"/>
  <c r="K423" i="2" l="1"/>
  <c r="K424" i="2" s="1"/>
  <c r="K330" i="2"/>
  <c r="K70" i="2"/>
  <c r="K39" i="2"/>
  <c r="K26" i="2"/>
  <c r="I423" i="2"/>
  <c r="I424" i="2" s="1"/>
  <c r="I330" i="2"/>
  <c r="I26" i="2"/>
  <c r="I39" i="2"/>
  <c r="I70" i="2"/>
  <c r="AQ410" i="2"/>
  <c r="AD153" i="2"/>
  <c r="AC168" i="2"/>
  <c r="AC170" i="2" s="1"/>
  <c r="M194" i="2"/>
  <c r="AY237" i="2"/>
  <c r="AY239" i="2"/>
  <c r="G369" i="2"/>
  <c r="G359" i="2"/>
  <c r="G364" i="2"/>
  <c r="G370" i="2"/>
  <c r="G354" i="2"/>
  <c r="G376" i="2"/>
  <c r="AK28" i="2"/>
  <c r="AK30" i="2" s="1"/>
  <c r="AK72" i="2"/>
  <c r="AK425" i="2"/>
  <c r="AK428" i="2"/>
  <c r="AX181" i="2"/>
  <c r="AX179" i="2"/>
  <c r="AX178" i="2"/>
  <c r="AX49" i="2"/>
  <c r="AX199" i="2"/>
  <c r="AF123" i="2"/>
  <c r="W36" i="2"/>
  <c r="W34" i="2"/>
  <c r="W1" i="2" s="1"/>
  <c r="W32" i="2"/>
  <c r="AG220" i="2"/>
  <c r="AG19" i="2"/>
  <c r="J81" i="2"/>
  <c r="AU106" i="2"/>
  <c r="AT107" i="2"/>
  <c r="AB423" i="2"/>
  <c r="AB424" i="2" s="1"/>
  <c r="AB330" i="2"/>
  <c r="AB26" i="2"/>
  <c r="AB70" i="2"/>
  <c r="AB39" i="2"/>
  <c r="AE326" i="2"/>
  <c r="AP356" i="2"/>
  <c r="AQ312" i="2"/>
  <c r="M219" i="2"/>
  <c r="W72" i="2"/>
  <c r="T28" i="2"/>
  <c r="T30" i="2" s="1"/>
  <c r="T72" i="2"/>
  <c r="AI445" i="2"/>
  <c r="AI444" i="2"/>
  <c r="AI438" i="2"/>
  <c r="AI446" i="2"/>
  <c r="AT348" i="2"/>
  <c r="AL124" i="2"/>
  <c r="AL123" i="2" s="1"/>
  <c r="AL125" i="2" s="1"/>
  <c r="AL117" i="2" s="1"/>
  <c r="AL128" i="2" s="1"/>
  <c r="AL114" i="2"/>
  <c r="AL142" i="2" s="1"/>
  <c r="AL145" i="2" s="1"/>
  <c r="G467" i="2"/>
  <c r="G468" i="2" s="1"/>
  <c r="G429" i="2"/>
  <c r="G413" i="2"/>
  <c r="G34" i="2"/>
  <c r="G1" i="2" s="1"/>
  <c r="G36" i="2"/>
  <c r="G32" i="2"/>
  <c r="AM329" i="2"/>
  <c r="AM328" i="2"/>
  <c r="AM68" i="2"/>
  <c r="J187" i="2"/>
  <c r="J194" i="2"/>
  <c r="AN239" i="2"/>
  <c r="AN237" i="2"/>
  <c r="L238" i="2"/>
  <c r="L239" i="2" s="1"/>
  <c r="M63" i="2"/>
  <c r="M186" i="2"/>
  <c r="M195" i="2" s="1"/>
  <c r="AL153" i="2"/>
  <c r="AV219" i="2"/>
  <c r="AV81" i="2"/>
  <c r="AG124" i="2"/>
  <c r="AG114" i="2"/>
  <c r="AG142" i="2" s="1"/>
  <c r="AG145" i="2" s="1"/>
  <c r="AA329" i="2"/>
  <c r="AA328" i="2"/>
  <c r="AA68" i="2"/>
  <c r="AA428" i="2"/>
  <c r="AA425" i="2"/>
  <c r="AJ423" i="2"/>
  <c r="AJ424" i="2" s="1"/>
  <c r="AJ330" i="2"/>
  <c r="AJ26" i="2"/>
  <c r="AJ70" i="2"/>
  <c r="AJ39" i="2"/>
  <c r="AM326" i="2"/>
  <c r="AI28" i="2"/>
  <c r="AI30" i="2" s="1"/>
  <c r="AI72" i="2"/>
  <c r="AI428" i="2"/>
  <c r="AI425" i="2"/>
  <c r="N137" i="2"/>
  <c r="N136" i="2" s="1"/>
  <c r="AT161" i="2"/>
  <c r="AS111" i="2"/>
  <c r="AS122" i="2" s="1"/>
  <c r="AK326" i="2"/>
  <c r="AO158" i="2"/>
  <c r="AN169" i="2"/>
  <c r="AD123" i="2"/>
  <c r="I124" i="2"/>
  <c r="AJ149" i="2"/>
  <c r="AJ150" i="2" s="1"/>
  <c r="K146" i="2"/>
  <c r="K149" i="2" s="1"/>
  <c r="AQ294" i="2"/>
  <c r="AP256" i="2"/>
  <c r="Y467" i="2"/>
  <c r="Y468" i="2" s="1"/>
  <c r="Y429" i="2"/>
  <c r="Y413" i="2"/>
  <c r="Y36" i="2"/>
  <c r="Y34" i="2"/>
  <c r="Y1" i="2" s="1"/>
  <c r="Y32" i="2"/>
  <c r="Y425" i="2"/>
  <c r="Y428" i="2"/>
  <c r="AB50" i="2"/>
  <c r="AB171" i="2"/>
  <c r="AQ114" i="2"/>
  <c r="AQ142" i="2" s="1"/>
  <c r="AQ124" i="2"/>
  <c r="J441" i="2"/>
  <c r="J440" i="2"/>
  <c r="J331" i="2" s="1"/>
  <c r="J439" i="2"/>
  <c r="J272" i="2"/>
  <c r="AW239" i="2"/>
  <c r="AW237" i="2"/>
  <c r="AR99" i="2"/>
  <c r="AQ101" i="2"/>
  <c r="AO102" i="2"/>
  <c r="AN103" i="2"/>
  <c r="AV69" i="2"/>
  <c r="AV235" i="2"/>
  <c r="N78" i="2"/>
  <c r="AT135" i="2"/>
  <c r="AT140" i="2" s="1"/>
  <c r="AU134" i="2"/>
  <c r="AS113" i="2"/>
  <c r="AR131" i="2"/>
  <c r="G367" i="2"/>
  <c r="G377" i="2"/>
  <c r="G358" i="2"/>
  <c r="G371" i="2"/>
  <c r="G356" i="2"/>
  <c r="G379" i="2"/>
  <c r="G366" i="2"/>
  <c r="G380" i="2"/>
  <c r="AL371" i="2"/>
  <c r="AL372" i="2" s="1"/>
  <c r="AL383" i="2"/>
  <c r="AM393" i="2"/>
  <c r="G220" i="2"/>
  <c r="AK329" i="2"/>
  <c r="AK328" i="2"/>
  <c r="AK68" i="2"/>
  <c r="AF142" i="2"/>
  <c r="U70" i="2"/>
  <c r="U39" i="2"/>
  <c r="U68" i="2" s="1"/>
  <c r="U26" i="2"/>
  <c r="X326" i="2"/>
  <c r="AS365" i="2"/>
  <c r="AR389" i="2"/>
  <c r="I194" i="2"/>
  <c r="I187" i="2"/>
  <c r="AS306" i="2"/>
  <c r="AU237" i="2"/>
  <c r="AU239" i="2"/>
  <c r="K196" i="2"/>
  <c r="AH122" i="2"/>
  <c r="AH112" i="2"/>
  <c r="AD472" i="2"/>
  <c r="AD430" i="2"/>
  <c r="AD412" i="2"/>
  <c r="AD245" i="2"/>
  <c r="AD206" i="2"/>
  <c r="AD210" i="2" s="1"/>
  <c r="AD214" i="2" s="1"/>
  <c r="AD35" i="2"/>
  <c r="AN280" i="2"/>
  <c r="AR347" i="2"/>
  <c r="AS300" i="2"/>
  <c r="AR255" i="2"/>
  <c r="AY44" i="2"/>
  <c r="X423" i="2"/>
  <c r="X424" i="2" s="1"/>
  <c r="X425" i="2" s="1"/>
  <c r="X330" i="2"/>
  <c r="X26" i="2"/>
  <c r="X70" i="2"/>
  <c r="X39" i="2"/>
  <c r="AA326" i="2"/>
  <c r="AB149" i="2"/>
  <c r="AB150" i="2" s="1"/>
  <c r="AB145" i="2"/>
  <c r="I146" i="2"/>
  <c r="I149" i="2" s="1"/>
  <c r="L63" i="2"/>
  <c r="L186" i="2"/>
  <c r="L195" i="2" s="1"/>
  <c r="N234" i="2"/>
  <c r="AG123" i="2"/>
  <c r="AG125" i="2" s="1"/>
  <c r="AQ390" i="2"/>
  <c r="AR366" i="2"/>
  <c r="AQ388" i="2"/>
  <c r="AR364" i="2"/>
  <c r="AQ367" i="2"/>
  <c r="AI329" i="2"/>
  <c r="AI328" i="2"/>
  <c r="AI68" i="2"/>
  <c r="AS304" i="2"/>
  <c r="AT98" i="2"/>
  <c r="X236" i="2"/>
  <c r="Y240" i="2"/>
  <c r="Y237" i="2"/>
  <c r="Y238" i="2" s="1"/>
  <c r="Y239" i="2" s="1"/>
  <c r="AH28" i="2"/>
  <c r="AH30" i="2" s="1"/>
  <c r="AH72" i="2"/>
  <c r="AH428" i="2"/>
  <c r="AH425" i="2"/>
  <c r="AW159" i="2"/>
  <c r="Y326" i="2"/>
  <c r="Y329" i="2"/>
  <c r="Y328" i="2"/>
  <c r="Y68" i="2"/>
  <c r="AF28" i="2"/>
  <c r="AF30" i="2" s="1"/>
  <c r="AF72" i="2"/>
  <c r="F472" i="2"/>
  <c r="F430" i="2"/>
  <c r="F412" i="2"/>
  <c r="F245" i="2"/>
  <c r="F257" i="2" s="1"/>
  <c r="F206" i="2"/>
  <c r="F210" i="2" s="1"/>
  <c r="F214" i="2" s="1"/>
  <c r="F35" i="2"/>
  <c r="AO239" i="2"/>
  <c r="AO237" i="2"/>
  <c r="AO236" i="2" s="1"/>
  <c r="AO240" i="2" s="1"/>
  <c r="AQ125" i="2"/>
  <c r="AQ123" i="2"/>
  <c r="L122" i="2"/>
  <c r="H440" i="2"/>
  <c r="H331" i="2" s="1"/>
  <c r="AE145" i="2"/>
  <c r="AE149" i="2"/>
  <c r="I439" i="2"/>
  <c r="I441" i="2"/>
  <c r="I440" i="2"/>
  <c r="I331" i="2" s="1"/>
  <c r="I272" i="2"/>
  <c r="AI422" i="2"/>
  <c r="AI353" i="2"/>
  <c r="AI354" i="2" s="1"/>
  <c r="AI357" i="2" s="1"/>
  <c r="AI359" i="2" s="1"/>
  <c r="AI320" i="2"/>
  <c r="AI290" i="2"/>
  <c r="AI269" i="2"/>
  <c r="AJ269" i="2"/>
  <c r="AI2" i="2"/>
  <c r="AA145" i="2"/>
  <c r="AA149" i="2"/>
  <c r="AA150" i="2" s="1"/>
  <c r="AL380" i="2"/>
  <c r="AL396" i="2"/>
  <c r="G222" i="2"/>
  <c r="AH438" i="2"/>
  <c r="AH444" i="2"/>
  <c r="AH445" i="2"/>
  <c r="AH446" i="2"/>
  <c r="AH440" i="2"/>
  <c r="AH331" i="2" s="1"/>
  <c r="L194" i="2"/>
  <c r="L187" i="2"/>
  <c r="L196" i="2" s="1"/>
  <c r="AL467" i="2"/>
  <c r="AL468" i="2" s="1"/>
  <c r="AL429" i="2"/>
  <c r="AL413" i="2"/>
  <c r="AL32" i="2"/>
  <c r="AL36" i="2"/>
  <c r="AL34" i="2"/>
  <c r="AL1" i="2" s="1"/>
  <c r="AF169" i="2"/>
  <c r="AG157" i="2"/>
  <c r="AD150" i="2"/>
  <c r="K334" i="2"/>
  <c r="L5" i="2"/>
  <c r="AI111" i="2"/>
  <c r="J111" i="2" s="1"/>
  <c r="J110" i="2" s="1"/>
  <c r="AJ159" i="2"/>
  <c r="AC28" i="2"/>
  <c r="AC30" i="2" s="1"/>
  <c r="AC72" i="2"/>
  <c r="AC425" i="2"/>
  <c r="AC428" i="2"/>
  <c r="I150" i="2"/>
  <c r="AN445" i="2"/>
  <c r="AN435" i="2"/>
  <c r="AN109" i="2"/>
  <c r="L107" i="2"/>
  <c r="N185" i="2"/>
  <c r="N186" i="2"/>
  <c r="N195" i="2" s="1"/>
  <c r="N59" i="2"/>
  <c r="AN235" i="2"/>
  <c r="L78" i="2"/>
  <c r="AT237" i="2"/>
  <c r="M237" i="2" s="1"/>
  <c r="AT239" i="2"/>
  <c r="M238" i="2"/>
  <c r="M239" i="2" s="1"/>
  <c r="AC326" i="2"/>
  <c r="AD326" i="2"/>
  <c r="AT387" i="2"/>
  <c r="AU363" i="2"/>
  <c r="AH328" i="2"/>
  <c r="AH329" i="2"/>
  <c r="AH68" i="2"/>
  <c r="J195" i="2"/>
  <c r="AI274" i="2"/>
  <c r="J267" i="2"/>
  <c r="J274" i="2" s="1"/>
  <c r="V28" i="2"/>
  <c r="V30" i="2" s="1"/>
  <c r="V72" i="2"/>
  <c r="H194" i="2"/>
  <c r="H187" i="2"/>
  <c r="H196" i="2" s="1"/>
  <c r="AE216" i="2"/>
  <c r="AE215" i="2"/>
  <c r="AE40" i="2"/>
  <c r="AE325" i="2" s="1"/>
  <c r="AF149" i="2"/>
  <c r="AF145" i="2"/>
  <c r="J146" i="2"/>
  <c r="J149" i="2" s="1"/>
  <c r="J150" i="2" s="1"/>
  <c r="AR289" i="2"/>
  <c r="AQ253" i="2"/>
  <c r="L253" i="2" s="1"/>
  <c r="AI149" i="2"/>
  <c r="AI150" i="2" s="1"/>
  <c r="AW236" i="2"/>
  <c r="AW240" i="2" s="1"/>
  <c r="AR112" i="2"/>
  <c r="X149" i="2"/>
  <c r="X150" i="2" s="1"/>
  <c r="H146" i="2"/>
  <c r="H149" i="2" s="1"/>
  <c r="AV189" i="2"/>
  <c r="AU190" i="2"/>
  <c r="AI275" i="2"/>
  <c r="AV239" i="2"/>
  <c r="AV237" i="2"/>
  <c r="W334" i="2"/>
  <c r="X5" i="2"/>
  <c r="H202" i="2"/>
  <c r="AM128" i="2"/>
  <c r="AN117" i="2"/>
  <c r="AS112" i="2"/>
  <c r="AU220" i="2"/>
  <c r="AU222" i="2" s="1"/>
  <c r="M222" i="2" s="1"/>
  <c r="AU79" i="2"/>
  <c r="AU236" i="2"/>
  <c r="AU240" i="2" s="1"/>
  <c r="AY236" i="2"/>
  <c r="AY240" i="2" s="1"/>
  <c r="AF92" i="2"/>
  <c r="AE120" i="2"/>
  <c r="AE117" i="2" s="1"/>
  <c r="AE128" i="2" s="1"/>
  <c r="AE93" i="2"/>
  <c r="H423" i="2"/>
  <c r="H424" i="2" s="1"/>
  <c r="H330" i="2"/>
  <c r="H70" i="2"/>
  <c r="H39" i="2"/>
  <c r="H26" i="2"/>
  <c r="H28" i="2" s="1"/>
  <c r="H30" i="2" s="1"/>
  <c r="AC329" i="2"/>
  <c r="AC328" i="2"/>
  <c r="AC68" i="2"/>
  <c r="J202" i="2"/>
  <c r="AO124" i="2"/>
  <c r="AO123" i="2" s="1"/>
  <c r="AO125" i="2" s="1"/>
  <c r="AO114" i="2"/>
  <c r="AO142" i="2" s="1"/>
  <c r="AM28" i="2"/>
  <c r="AM30" i="2" s="1"/>
  <c r="AM72" i="2"/>
  <c r="AM428" i="2"/>
  <c r="AM425" i="2"/>
  <c r="AT235" i="2"/>
  <c r="M78" i="2"/>
  <c r="AX19" i="2"/>
  <c r="AW76" i="2"/>
  <c r="AQ448" i="2"/>
  <c r="AP449" i="2"/>
  <c r="AP279" i="2"/>
  <c r="AA467" i="2"/>
  <c r="AA468" i="2" s="1"/>
  <c r="AA429" i="2"/>
  <c r="AA413" i="2"/>
  <c r="AA36" i="2"/>
  <c r="AA34" i="2"/>
  <c r="AA1" i="2" s="1"/>
  <c r="AA32" i="2"/>
  <c r="AW71" i="2"/>
  <c r="AP391" i="2"/>
  <c r="AP358" i="2"/>
  <c r="H150" i="2"/>
  <c r="Y231" i="2"/>
  <c r="Y144" i="2"/>
  <c r="Y145" i="2" s="1"/>
  <c r="Y228" i="2"/>
  <c r="Y229" i="2" s="1"/>
  <c r="Y230" i="2" s="1"/>
  <c r="Z467" i="2"/>
  <c r="Z468" i="2" s="1"/>
  <c r="Z429" i="2"/>
  <c r="Z413" i="2"/>
  <c r="Z32" i="2"/>
  <c r="Z36" i="2"/>
  <c r="Z34" i="2"/>
  <c r="Z1" i="2" s="1"/>
  <c r="AL326" i="2"/>
  <c r="H171" i="2"/>
  <c r="AR122" i="2"/>
  <c r="AM145" i="2"/>
  <c r="AM149" i="2"/>
  <c r="AM150" i="2" s="1"/>
  <c r="AX238" i="2"/>
  <c r="AX63" i="2"/>
  <c r="AD142" i="2"/>
  <c r="I114" i="2"/>
  <c r="I113" i="2" s="1"/>
  <c r="K150" i="2"/>
  <c r="M189" i="2"/>
  <c r="M190" i="2" s="1"/>
  <c r="AF329" i="2"/>
  <c r="AF328" i="2"/>
  <c r="AF68" i="2"/>
  <c r="AF425" i="2"/>
  <c r="AF428" i="2"/>
  <c r="AQ406" i="2"/>
  <c r="AR410" i="2" s="1"/>
  <c r="AQ408" i="2"/>
  <c r="AX237" i="2" l="1"/>
  <c r="AX236" i="2" s="1"/>
  <c r="AX240" i="2" s="1"/>
  <c r="AX239" i="2"/>
  <c r="AR448" i="2"/>
  <c r="AQ449" i="2"/>
  <c r="AQ279" i="2"/>
  <c r="AT236" i="2"/>
  <c r="M235" i="2"/>
  <c r="N238" i="2"/>
  <c r="N239" i="2" s="1"/>
  <c r="I142" i="2"/>
  <c r="AD145" i="2"/>
  <c r="Z472" i="2"/>
  <c r="Z430" i="2"/>
  <c r="Z412" i="2"/>
  <c r="Z245" i="2"/>
  <c r="Z257" i="2" s="1"/>
  <c r="Z206" i="2"/>
  <c r="Z210" i="2" s="1"/>
  <c r="Z214" i="2" s="1"/>
  <c r="Z35" i="2"/>
  <c r="AY19" i="2"/>
  <c r="AY76" i="2" s="1"/>
  <c r="AX76" i="2"/>
  <c r="H467" i="2"/>
  <c r="H413" i="2"/>
  <c r="H36" i="2"/>
  <c r="H32" i="2"/>
  <c r="H34" i="2"/>
  <c r="H1" i="2" s="1"/>
  <c r="H425" i="2"/>
  <c r="AO117" i="2"/>
  <c r="AN128" i="2"/>
  <c r="AR114" i="2"/>
  <c r="AR124" i="2"/>
  <c r="AI336" i="2"/>
  <c r="AI295" i="2"/>
  <c r="AI314" i="2" s="1"/>
  <c r="AF467" i="2"/>
  <c r="AF468" i="2" s="1"/>
  <c r="AF429" i="2"/>
  <c r="AF413" i="2"/>
  <c r="AF36" i="2"/>
  <c r="AF34" i="2"/>
  <c r="AF1" i="2" s="1"/>
  <c r="AF32" i="2"/>
  <c r="X240" i="2"/>
  <c r="W236" i="2"/>
  <c r="X237" i="2"/>
  <c r="H236" i="2"/>
  <c r="H240" i="2" s="1"/>
  <c r="X227" i="2"/>
  <c r="AT304" i="2"/>
  <c r="AR388" i="2"/>
  <c r="AS364" i="2"/>
  <c r="AR367" i="2"/>
  <c r="X28" i="2"/>
  <c r="X30" i="2" s="1"/>
  <c r="X72" i="2"/>
  <c r="AH124" i="2"/>
  <c r="AH114" i="2"/>
  <c r="AS389" i="2"/>
  <c r="AT365" i="2"/>
  <c r="AV134" i="2"/>
  <c r="AU135" i="2"/>
  <c r="AV236" i="2"/>
  <c r="N235" i="2"/>
  <c r="AP102" i="2"/>
  <c r="AO103" i="2"/>
  <c r="AO143" i="2" s="1"/>
  <c r="H72" i="2"/>
  <c r="Y472" i="2"/>
  <c r="Y430" i="2"/>
  <c r="Y412" i="2"/>
  <c r="Y206" i="2"/>
  <c r="Y210" i="2" s="1"/>
  <c r="Y214" i="2" s="1"/>
  <c r="Y35" i="2"/>
  <c r="AO169" i="2"/>
  <c r="AP158" i="2"/>
  <c r="AU161" i="2"/>
  <c r="AT111" i="2"/>
  <c r="AJ329" i="2"/>
  <c r="AJ328" i="2"/>
  <c r="AJ68" i="2"/>
  <c r="AJ425" i="2"/>
  <c r="AJ428" i="2"/>
  <c r="L237" i="2"/>
  <c r="AU348" i="2"/>
  <c r="AB28" i="2"/>
  <c r="AB30" i="2" s="1"/>
  <c r="AB72" i="2"/>
  <c r="AU107" i="2"/>
  <c r="AU109" i="2" s="1"/>
  <c r="AV106" i="2"/>
  <c r="W472" i="2"/>
  <c r="W206" i="2"/>
  <c r="W210" i="2" s="1"/>
  <c r="W214" i="2" s="1"/>
  <c r="W35" i="2"/>
  <c r="AK467" i="2"/>
  <c r="AK468" i="2" s="1"/>
  <c r="AK429" i="2"/>
  <c r="AK413" i="2"/>
  <c r="AK36" i="2"/>
  <c r="AK34" i="2"/>
  <c r="AK1" i="2" s="1"/>
  <c r="AK32" i="2"/>
  <c r="AD168" i="2"/>
  <c r="AD170" i="2" s="1"/>
  <c r="AE153" i="2"/>
  <c r="I153" i="2"/>
  <c r="I168" i="2" s="1"/>
  <c r="I170" i="2" s="1"/>
  <c r="AQ293" i="2"/>
  <c r="AR293" i="2" s="1"/>
  <c r="I28" i="2"/>
  <c r="I30" i="2" s="1"/>
  <c r="I72" i="2"/>
  <c r="AM467" i="2"/>
  <c r="AM468" i="2" s="1"/>
  <c r="AM429" i="2"/>
  <c r="AM413" i="2"/>
  <c r="AM36" i="2"/>
  <c r="AM34" i="2"/>
  <c r="AM1" i="2" s="1"/>
  <c r="AM32" i="2"/>
  <c r="AN446" i="2"/>
  <c r="AN291" i="2"/>
  <c r="AJ111" i="2"/>
  <c r="AK159" i="2"/>
  <c r="AK111" i="2" s="1"/>
  <c r="AR408" i="2"/>
  <c r="AR406" i="2"/>
  <c r="AA472" i="2"/>
  <c r="AA430" i="2"/>
  <c r="AA412" i="2"/>
  <c r="AA245" i="2"/>
  <c r="AA257" i="2" s="1"/>
  <c r="AA206" i="2"/>
  <c r="AA210" i="2" s="1"/>
  <c r="AA214" i="2" s="1"/>
  <c r="AA35" i="2"/>
  <c r="H329" i="2"/>
  <c r="H328" i="2"/>
  <c r="H68" i="2"/>
  <c r="AE131" i="2"/>
  <c r="AE94" i="2"/>
  <c r="AE148" i="2" s="1"/>
  <c r="AE150" i="2" s="1"/>
  <c r="AS289" i="2"/>
  <c r="AR253" i="2"/>
  <c r="AN112" i="2"/>
  <c r="L109" i="2"/>
  <c r="AC467" i="2"/>
  <c r="AC468" i="2" s="1"/>
  <c r="AC429" i="2"/>
  <c r="AC413" i="2"/>
  <c r="AC36" i="2"/>
  <c r="AC34" i="2"/>
  <c r="AC1" i="2" s="1"/>
  <c r="AC32" i="2"/>
  <c r="AI322" i="2"/>
  <c r="AX159" i="2"/>
  <c r="AH467" i="2"/>
  <c r="AH468" i="2" s="1"/>
  <c r="AH413" i="2"/>
  <c r="AH429" i="2"/>
  <c r="AH32" i="2"/>
  <c r="AH36" i="2"/>
  <c r="AH34" i="2"/>
  <c r="AH1" i="2" s="1"/>
  <c r="AN246" i="2"/>
  <c r="I196" i="2"/>
  <c r="AD125" i="2"/>
  <c r="I123" i="2"/>
  <c r="AI467" i="2"/>
  <c r="AI468" i="2" s="1"/>
  <c r="AI429" i="2"/>
  <c r="AI413" i="2"/>
  <c r="AI36" i="2"/>
  <c r="AI34" i="2"/>
  <c r="AI1" i="2" s="1"/>
  <c r="AI32" i="2"/>
  <c r="M187" i="2"/>
  <c r="M196" i="2" s="1"/>
  <c r="F215" i="2"/>
  <c r="F216" i="2"/>
  <c r="F40" i="2"/>
  <c r="F325" i="2" s="1"/>
  <c r="F324" i="2"/>
  <c r="AU98" i="2"/>
  <c r="AR390" i="2"/>
  <c r="AS366" i="2"/>
  <c r="X329" i="2"/>
  <c r="X328" i="2"/>
  <c r="X68" i="2"/>
  <c r="AS347" i="2"/>
  <c r="AT300" i="2"/>
  <c r="AS255" i="2"/>
  <c r="AH123" i="2"/>
  <c r="AH125" i="2" s="1"/>
  <c r="U28" i="2"/>
  <c r="U30" i="2" s="1"/>
  <c r="U72" i="2"/>
  <c r="AW69" i="2"/>
  <c r="AJ72" i="2"/>
  <c r="AJ28" i="2"/>
  <c r="AJ30" i="2" s="1"/>
  <c r="AM153" i="2"/>
  <c r="T34" i="2"/>
  <c r="T1" i="2" s="1"/>
  <c r="T36" i="2"/>
  <c r="T32" i="2"/>
  <c r="AB329" i="2"/>
  <c r="AB328" i="2"/>
  <c r="AB68" i="2"/>
  <c r="AB425" i="2"/>
  <c r="AB428" i="2"/>
  <c r="AG23" i="2"/>
  <c r="J19" i="2"/>
  <c r="J23" i="2" s="1"/>
  <c r="L406" i="2"/>
  <c r="I425" i="2"/>
  <c r="K28" i="2"/>
  <c r="K30" i="2" s="1"/>
  <c r="K72" i="2"/>
  <c r="K425" i="2"/>
  <c r="AG92" i="2"/>
  <c r="AF120" i="2"/>
  <c r="AF93" i="2"/>
  <c r="AF94" i="2" s="1"/>
  <c r="AF148" i="2" s="1"/>
  <c r="AF150" i="2" s="1"/>
  <c r="L334" i="2"/>
  <c r="M5" i="2"/>
  <c r="AH157" i="2"/>
  <c r="AG169" i="2"/>
  <c r="AG168" i="2"/>
  <c r="AR123" i="2"/>
  <c r="AX71" i="2"/>
  <c r="AW219" i="2"/>
  <c r="AW81" i="2"/>
  <c r="AO146" i="2"/>
  <c r="AO149" i="2" s="1"/>
  <c r="AS114" i="2"/>
  <c r="AS142" i="2" s="1"/>
  <c r="AS124" i="2"/>
  <c r="X334" i="2"/>
  <c r="Y5" i="2"/>
  <c r="N237" i="2"/>
  <c r="AW189" i="2"/>
  <c r="AV190" i="2"/>
  <c r="V32" i="2"/>
  <c r="V36" i="2"/>
  <c r="V34" i="2"/>
  <c r="V1" i="2" s="1"/>
  <c r="AV363" i="2"/>
  <c r="AU387" i="2"/>
  <c r="AN236" i="2"/>
  <c r="L235" i="2"/>
  <c r="N187" i="2"/>
  <c r="N196" i="2" s="1"/>
  <c r="N194" i="2"/>
  <c r="AI122" i="2"/>
  <c r="AI112" i="2"/>
  <c r="AL472" i="2"/>
  <c r="AL430" i="2"/>
  <c r="AL412" i="2"/>
  <c r="AL245" i="2"/>
  <c r="AL249" i="2" s="1"/>
  <c r="AL206" i="2"/>
  <c r="AL210" i="2" s="1"/>
  <c r="AL214" i="2" s="1"/>
  <c r="AL35" i="2"/>
  <c r="F259" i="2"/>
  <c r="F268" i="2" s="1"/>
  <c r="F271" i="2"/>
  <c r="F275" i="2" s="1"/>
  <c r="AQ391" i="2"/>
  <c r="AQ358" i="2"/>
  <c r="I145" i="2"/>
  <c r="AY181" i="2"/>
  <c r="AY179" i="2"/>
  <c r="AY178" i="2"/>
  <c r="AY49" i="2"/>
  <c r="AY199" i="2"/>
  <c r="N44" i="2"/>
  <c r="AD402" i="2"/>
  <c r="AE402" i="2"/>
  <c r="AD216" i="2"/>
  <c r="AD215" i="2"/>
  <c r="AD40" i="2"/>
  <c r="AD325" i="2" s="1"/>
  <c r="AT306" i="2"/>
  <c r="AT113" i="2"/>
  <c r="AS131" i="2"/>
  <c r="AN143" i="2"/>
  <c r="AS99" i="2"/>
  <c r="AR101" i="2"/>
  <c r="AR294" i="2"/>
  <c r="AQ256" i="2"/>
  <c r="L256" i="2" s="1"/>
  <c r="AS125" i="2"/>
  <c r="AS123" i="2"/>
  <c r="AV220" i="2"/>
  <c r="AV79" i="2"/>
  <c r="J196" i="2"/>
  <c r="G472" i="2"/>
  <c r="G430" i="2"/>
  <c r="G412" i="2"/>
  <c r="G245" i="2"/>
  <c r="G206" i="2"/>
  <c r="G210" i="2" s="1"/>
  <c r="G214" i="2" s="1"/>
  <c r="G35" i="2"/>
  <c r="AQ356" i="2"/>
  <c r="AR312" i="2"/>
  <c r="AT109" i="2"/>
  <c r="M107" i="2"/>
  <c r="AG222" i="2"/>
  <c r="J222" i="2" s="1"/>
  <c r="J220" i="2"/>
  <c r="AF125" i="2"/>
  <c r="AC50" i="2"/>
  <c r="AC171" i="2"/>
  <c r="I328" i="2"/>
  <c r="I329" i="2"/>
  <c r="I68" i="2"/>
  <c r="K328" i="2"/>
  <c r="K329" i="2"/>
  <c r="K68" i="2"/>
  <c r="AS294" i="2" l="1"/>
  <c r="AR256" i="2"/>
  <c r="AT99" i="2"/>
  <c r="AS101" i="2"/>
  <c r="AU113" i="2"/>
  <c r="AT131" i="2"/>
  <c r="AL216" i="2"/>
  <c r="AL215" i="2"/>
  <c r="AL40" i="2"/>
  <c r="AL325" i="2" s="1"/>
  <c r="AN240" i="2"/>
  <c r="L236" i="2"/>
  <c r="L240" i="2" s="1"/>
  <c r="AY71" i="2"/>
  <c r="AG170" i="2"/>
  <c r="AG120" i="2"/>
  <c r="AG117" i="2" s="1"/>
  <c r="AG128" i="2" s="1"/>
  <c r="AH92" i="2"/>
  <c r="AG93" i="2"/>
  <c r="AG131" i="2" s="1"/>
  <c r="J423" i="2"/>
  <c r="J424" i="2" s="1"/>
  <c r="J330" i="2"/>
  <c r="J39" i="2"/>
  <c r="J26" i="2"/>
  <c r="J70" i="2"/>
  <c r="T472" i="2"/>
  <c r="T245" i="2"/>
  <c r="T257" i="2" s="1"/>
  <c r="T206" i="2"/>
  <c r="T210" i="2" s="1"/>
  <c r="T214" i="2" s="1"/>
  <c r="T35" i="2"/>
  <c r="AI472" i="2"/>
  <c r="AI430" i="2"/>
  <c r="AI412" i="2"/>
  <c r="AI206" i="2"/>
  <c r="AI210" i="2" s="1"/>
  <c r="AI214" i="2" s="1"/>
  <c r="AI245" i="2"/>
  <c r="AI249" i="2" s="1"/>
  <c r="AI35" i="2"/>
  <c r="AN114" i="2"/>
  <c r="AN124" i="2"/>
  <c r="L112" i="2"/>
  <c r="AT289" i="2"/>
  <c r="AS253" i="2"/>
  <c r="K159" i="2"/>
  <c r="I467" i="2"/>
  <c r="I413" i="2"/>
  <c r="I32" i="2"/>
  <c r="I34" i="2"/>
  <c r="I1" i="2" s="1"/>
  <c r="I36" i="2"/>
  <c r="AD50" i="2"/>
  <c r="AD171" i="2"/>
  <c r="W216" i="2"/>
  <c r="W215" i="2"/>
  <c r="W40" i="2"/>
  <c r="AQ158" i="2"/>
  <c r="AP169" i="2"/>
  <c r="L158" i="2"/>
  <c r="Y216" i="2"/>
  <c r="Y215" i="2"/>
  <c r="Y40" i="2"/>
  <c r="Y325" i="2" s="1"/>
  <c r="AW134" i="2"/>
  <c r="AV135" i="2"/>
  <c r="AH142" i="2"/>
  <c r="AU304" i="2"/>
  <c r="X238" i="2"/>
  <c r="H237" i="2"/>
  <c r="AF472" i="2"/>
  <c r="AF430" i="2"/>
  <c r="AF412" i="2"/>
  <c r="AF245" i="2"/>
  <c r="AF206" i="2"/>
  <c r="AF210" i="2" s="1"/>
  <c r="AF35" i="2"/>
  <c r="AR142" i="2"/>
  <c r="AX219" i="2"/>
  <c r="AX81" i="2"/>
  <c r="AF117" i="2"/>
  <c r="AF128" i="2" s="1"/>
  <c r="N178" i="2"/>
  <c r="N199" i="2"/>
  <c r="N181" i="2"/>
  <c r="N179" i="2"/>
  <c r="N49" i="2"/>
  <c r="Y334" i="2"/>
  <c r="Z5" i="2"/>
  <c r="AW220" i="2"/>
  <c r="AW79" i="2"/>
  <c r="K467" i="2"/>
  <c r="K413" i="2"/>
  <c r="K34" i="2"/>
  <c r="K1" i="2" s="1"/>
  <c r="K36" i="2"/>
  <c r="K32" i="2"/>
  <c r="AG423" i="2"/>
  <c r="AG424" i="2" s="1"/>
  <c r="AG330" i="2"/>
  <c r="AG70" i="2"/>
  <c r="AG39" i="2"/>
  <c r="AG26" i="2"/>
  <c r="AJ326" i="2"/>
  <c r="AG326" i="2"/>
  <c r="AH326" i="2"/>
  <c r="AS115" i="2"/>
  <c r="U36" i="2"/>
  <c r="U32" i="2"/>
  <c r="U34" i="2"/>
  <c r="U1" i="2" s="1"/>
  <c r="AT347" i="2"/>
  <c r="AU300" i="2"/>
  <c r="AT255" i="2"/>
  <c r="AI326" i="2"/>
  <c r="AC472" i="2"/>
  <c r="AC430" i="2"/>
  <c r="AC412" i="2"/>
  <c r="AC245" i="2"/>
  <c r="AC206" i="2"/>
  <c r="AC210" i="2" s="1"/>
  <c r="AC214" i="2" s="1"/>
  <c r="AC35" i="2"/>
  <c r="AA216" i="2"/>
  <c r="AA215" i="2"/>
  <c r="AA40" i="2"/>
  <c r="AA325" i="2" s="1"/>
  <c r="AK122" i="2"/>
  <c r="AK112" i="2"/>
  <c r="AM472" i="2"/>
  <c r="AM412" i="2"/>
  <c r="AM430" i="2"/>
  <c r="AM245" i="2"/>
  <c r="AM249" i="2" s="1"/>
  <c r="AM206" i="2"/>
  <c r="AM210" i="2" s="1"/>
  <c r="AM214" i="2" s="1"/>
  <c r="AM35" i="2"/>
  <c r="AK472" i="2"/>
  <c r="AK430" i="2"/>
  <c r="AK412" i="2"/>
  <c r="AK245" i="2"/>
  <c r="AK249" i="2" s="1"/>
  <c r="AK206" i="2"/>
  <c r="AK210" i="2" s="1"/>
  <c r="AK214" i="2" s="1"/>
  <c r="AK35" i="2"/>
  <c r="AB467" i="2"/>
  <c r="AB468" i="2" s="1"/>
  <c r="AB429" i="2"/>
  <c r="AB413" i="2"/>
  <c r="AB36" i="2"/>
  <c r="AB34" i="2"/>
  <c r="AB1" i="2" s="1"/>
  <c r="AB32" i="2"/>
  <c r="AV240" i="2"/>
  <c r="N236" i="2"/>
  <c r="N240" i="2" s="1"/>
  <c r="AU365" i="2"/>
  <c r="AT389" i="2"/>
  <c r="AR391" i="2"/>
  <c r="AR358" i="2"/>
  <c r="V236" i="2"/>
  <c r="W240" i="2"/>
  <c r="W237" i="2"/>
  <c r="W238" i="2" s="1"/>
  <c r="W239" i="2" s="1"/>
  <c r="W227" i="2"/>
  <c r="AY219" i="2"/>
  <c r="AY81" i="2"/>
  <c r="Z216" i="2"/>
  <c r="Z215" i="2"/>
  <c r="Z40" i="2"/>
  <c r="Z325" i="2" s="1"/>
  <c r="AT112" i="2"/>
  <c r="M109" i="2"/>
  <c r="G215" i="2"/>
  <c r="G216" i="2"/>
  <c r="G40" i="2"/>
  <c r="G325" i="2" s="1"/>
  <c r="G324" i="2"/>
  <c r="AU306" i="2"/>
  <c r="AX189" i="2"/>
  <c r="AW190" i="2"/>
  <c r="X340" i="2"/>
  <c r="X341" i="2"/>
  <c r="X338" i="2"/>
  <c r="X342" i="2" s="1"/>
  <c r="AH169" i="2"/>
  <c r="AI157" i="2"/>
  <c r="AH168" i="2"/>
  <c r="AH170" i="2" s="1"/>
  <c r="AF131" i="2"/>
  <c r="AJ467" i="2"/>
  <c r="AJ468" i="2" s="1"/>
  <c r="AJ429" i="2"/>
  <c r="AJ413" i="2"/>
  <c r="AJ36" i="2"/>
  <c r="AJ34" i="2"/>
  <c r="AJ1" i="2" s="1"/>
  <c r="AJ32" i="2"/>
  <c r="AX69" i="2"/>
  <c r="AV98" i="2"/>
  <c r="M98" i="2"/>
  <c r="AH472" i="2"/>
  <c r="AH430" i="2"/>
  <c r="AH412" i="2"/>
  <c r="AH245" i="2"/>
  <c r="AH249" i="2" s="1"/>
  <c r="AH206" i="2"/>
  <c r="AH210" i="2" s="1"/>
  <c r="AH214" i="2" s="1"/>
  <c r="AH35" i="2"/>
  <c r="AA259" i="2"/>
  <c r="AA268" i="2" s="1"/>
  <c r="AA269" i="2" s="1"/>
  <c r="AA271" i="2"/>
  <c r="AA275" i="2" s="1"/>
  <c r="AS410" i="2"/>
  <c r="AS408" i="2" s="1"/>
  <c r="AJ122" i="2"/>
  <c r="AJ112" i="2"/>
  <c r="K111" i="2"/>
  <c r="K110" i="2" s="1"/>
  <c r="I50" i="2"/>
  <c r="I171" i="2"/>
  <c r="AV107" i="2"/>
  <c r="AW106" i="2"/>
  <c r="N219" i="2"/>
  <c r="AT122" i="2"/>
  <c r="AU140" i="2"/>
  <c r="M135" i="2"/>
  <c r="M134" i="2" s="1"/>
  <c r="AS388" i="2"/>
  <c r="AT364" i="2"/>
  <c r="AS367" i="2"/>
  <c r="X231" i="2"/>
  <c r="X144" i="2"/>
  <c r="X228" i="2"/>
  <c r="H227" i="2"/>
  <c r="H231" i="2" s="1"/>
  <c r="AO120" i="2"/>
  <c r="AO92" i="2" s="1"/>
  <c r="AO94" i="2" s="1"/>
  <c r="AP117" i="2"/>
  <c r="AO128" i="2"/>
  <c r="H472" i="2"/>
  <c r="H412" i="2"/>
  <c r="H206" i="2"/>
  <c r="H35" i="2"/>
  <c r="Z271" i="2"/>
  <c r="Z275" i="2" s="1"/>
  <c r="Z259" i="2"/>
  <c r="Z268" i="2" s="1"/>
  <c r="Z269" i="2" s="1"/>
  <c r="AR449" i="2"/>
  <c r="AS448" i="2"/>
  <c r="AR279" i="2"/>
  <c r="AR356" i="2"/>
  <c r="AS312" i="2"/>
  <c r="G257" i="2"/>
  <c r="AI114" i="2"/>
  <c r="AI142" i="2" s="1"/>
  <c r="AI145" i="2" s="1"/>
  <c r="AI124" i="2"/>
  <c r="AI123" i="2" s="1"/>
  <c r="AV387" i="2"/>
  <c r="AW363" i="2"/>
  <c r="V472" i="2"/>
  <c r="V245" i="2"/>
  <c r="V257" i="2" s="1"/>
  <c r="V206" i="2"/>
  <c r="V210" i="2" s="1"/>
  <c r="V214" i="2" s="1"/>
  <c r="V35" i="2"/>
  <c r="AR125" i="2"/>
  <c r="M334" i="2"/>
  <c r="N5" i="2"/>
  <c r="AN153" i="2"/>
  <c r="K153" i="2"/>
  <c r="AT366" i="2"/>
  <c r="AS390" i="2"/>
  <c r="AD117" i="2"/>
  <c r="AD128" i="2" s="1"/>
  <c r="I125" i="2"/>
  <c r="AY159" i="2"/>
  <c r="AN303" i="2"/>
  <c r="AO21" i="2"/>
  <c r="AE168" i="2"/>
  <c r="AE170" i="2" s="1"/>
  <c r="AF153" i="2"/>
  <c r="AV348" i="2"/>
  <c r="AV222" i="2"/>
  <c r="AV161" i="2"/>
  <c r="AU111" i="2"/>
  <c r="AU122" i="2" s="1"/>
  <c r="M161" i="2"/>
  <c r="AP103" i="2"/>
  <c r="AQ102" i="2"/>
  <c r="J112" i="2"/>
  <c r="X467" i="2"/>
  <c r="X413" i="2"/>
  <c r="X36" i="2"/>
  <c r="X34" i="2"/>
  <c r="X1" i="2" s="1"/>
  <c r="X32" i="2"/>
  <c r="N19" i="2"/>
  <c r="AT240" i="2"/>
  <c r="M236" i="2"/>
  <c r="M240" i="2" s="1"/>
  <c r="N76" i="2"/>
  <c r="AS406" i="2" l="1"/>
  <c r="J123" i="2"/>
  <c r="AI125" i="2"/>
  <c r="X472" i="2"/>
  <c r="X412" i="2"/>
  <c r="X245" i="2"/>
  <c r="X206" i="2"/>
  <c r="X210" i="2" s="1"/>
  <c r="X35" i="2"/>
  <c r="AQ103" i="2"/>
  <c r="AQ143" i="2" s="1"/>
  <c r="AQ146" i="2" s="1"/>
  <c r="AQ149" i="2" s="1"/>
  <c r="AR102" i="2"/>
  <c r="AW161" i="2"/>
  <c r="AV111" i="2"/>
  <c r="AE50" i="2"/>
  <c r="AE171" i="2"/>
  <c r="N159" i="2"/>
  <c r="AT390" i="2"/>
  <c r="AU366" i="2"/>
  <c r="AO153" i="2"/>
  <c r="V259" i="2"/>
  <c r="V268" i="2" s="1"/>
  <c r="V271" i="2"/>
  <c r="V275" i="2" s="1"/>
  <c r="G271" i="2"/>
  <c r="G275" i="2" s="1"/>
  <c r="G259" i="2"/>
  <c r="AT448" i="2"/>
  <c r="AS449" i="2"/>
  <c r="AS279" i="2"/>
  <c r="AS391" i="2"/>
  <c r="AS358" i="2"/>
  <c r="M111" i="2"/>
  <c r="M110" i="2" s="1"/>
  <c r="K122" i="2"/>
  <c r="AJ472" i="2"/>
  <c r="AJ430" i="2"/>
  <c r="AJ412" i="2"/>
  <c r="AJ245" i="2"/>
  <c r="AJ206" i="2"/>
  <c r="AJ210" i="2" s="1"/>
  <c r="AJ35" i="2"/>
  <c r="AB472" i="2"/>
  <c r="AB430" i="2"/>
  <c r="AB412" i="2"/>
  <c r="AB245" i="2"/>
  <c r="AB206" i="2"/>
  <c r="AB210" i="2" s="1"/>
  <c r="AB35" i="2"/>
  <c r="AK124" i="2"/>
  <c r="AK114" i="2"/>
  <c r="AK142" i="2" s="1"/>
  <c r="AK145" i="2" s="1"/>
  <c r="K472" i="2"/>
  <c r="K412" i="2"/>
  <c r="K206" i="2"/>
  <c r="K35" i="2"/>
  <c r="AF214" i="2"/>
  <c r="AW135" i="2"/>
  <c r="AW140" i="2" s="1"/>
  <c r="AX134" i="2"/>
  <c r="AQ169" i="2"/>
  <c r="AR158" i="2"/>
  <c r="AH120" i="2"/>
  <c r="AH117" i="2" s="1"/>
  <c r="AH128" i="2" s="1"/>
  <c r="AH94" i="2"/>
  <c r="AH148" i="2" s="1"/>
  <c r="AH150" i="2" s="1"/>
  <c r="AH93" i="2"/>
  <c r="AU99" i="2"/>
  <c r="M99" i="2"/>
  <c r="AT101" i="2"/>
  <c r="AP143" i="2"/>
  <c r="L103" i="2"/>
  <c r="AU112" i="2"/>
  <c r="M112" i="2" s="1"/>
  <c r="AO436" i="2"/>
  <c r="AO437" i="2" s="1"/>
  <c r="AO209" i="2"/>
  <c r="AS356" i="2"/>
  <c r="AT312" i="2"/>
  <c r="AP120" i="2"/>
  <c r="AP92" i="2" s="1"/>
  <c r="AP94" i="2" s="1"/>
  <c r="AP128" i="2"/>
  <c r="AQ117" i="2"/>
  <c r="X229" i="2"/>
  <c r="H228" i="2"/>
  <c r="AU364" i="2"/>
  <c r="AT388" i="2"/>
  <c r="AT367" i="2"/>
  <c r="AT123" i="2"/>
  <c r="M122" i="2"/>
  <c r="AX106" i="2"/>
  <c r="AW107" i="2"/>
  <c r="AW109" i="2" s="1"/>
  <c r="AW98" i="2"/>
  <c r="AH171" i="2"/>
  <c r="AH50" i="2"/>
  <c r="AW222" i="2"/>
  <c r="N222" i="2" s="1"/>
  <c r="AT124" i="2"/>
  <c r="AT114" i="2"/>
  <c r="V240" i="2"/>
  <c r="U236" i="2"/>
  <c r="V237" i="2"/>
  <c r="V238" i="2" s="1"/>
  <c r="V239" i="2" s="1"/>
  <c r="V227" i="2"/>
  <c r="AS293" i="2"/>
  <c r="AT293" i="2" s="1"/>
  <c r="AK123" i="2"/>
  <c r="AK125" i="2" s="1"/>
  <c r="AK117" i="2" s="1"/>
  <c r="AK128" i="2" s="1"/>
  <c r="AC216" i="2"/>
  <c r="AC215" i="2"/>
  <c r="AC40" i="2"/>
  <c r="AC325" i="2" s="1"/>
  <c r="AF403" i="2"/>
  <c r="AF324" i="2"/>
  <c r="AU347" i="2"/>
  <c r="AU255" i="2"/>
  <c r="AV300" i="2"/>
  <c r="U472" i="2"/>
  <c r="U245" i="2"/>
  <c r="U206" i="2"/>
  <c r="U210" i="2" s="1"/>
  <c r="U214" i="2" s="1"/>
  <c r="U35" i="2"/>
  <c r="AF249" i="2"/>
  <c r="I472" i="2"/>
  <c r="I412" i="2"/>
  <c r="I206" i="2"/>
  <c r="I35" i="2"/>
  <c r="T216" i="2"/>
  <c r="T215" i="2"/>
  <c r="T40" i="2"/>
  <c r="J425" i="2"/>
  <c r="AG94" i="2"/>
  <c r="AG148" i="2" s="1"/>
  <c r="AG150" i="2" s="1"/>
  <c r="AG171" i="2"/>
  <c r="AG50" i="2"/>
  <c r="N334" i="2"/>
  <c r="AW387" i="2"/>
  <c r="AX363" i="2"/>
  <c r="AO148" i="2"/>
  <c r="AO150" i="2" s="1"/>
  <c r="AO47" i="2" s="1"/>
  <c r="AO45" i="2"/>
  <c r="H144" i="2"/>
  <c r="X145" i="2"/>
  <c r="H145" i="2" s="1"/>
  <c r="M140" i="2"/>
  <c r="AV109" i="2"/>
  <c r="AH216" i="2"/>
  <c r="AH215" i="2"/>
  <c r="AH40" i="2"/>
  <c r="AH325" i="2" s="1"/>
  <c r="AI169" i="2"/>
  <c r="AJ157" i="2"/>
  <c r="AI168" i="2"/>
  <c r="AY189" i="2"/>
  <c r="AY190" i="2" s="1"/>
  <c r="AX190" i="2"/>
  <c r="AY220" i="2"/>
  <c r="M220" i="2" s="1"/>
  <c r="AY79" i="2"/>
  <c r="M79" i="2" s="1"/>
  <c r="W231" i="2"/>
  <c r="W144" i="2"/>
  <c r="W228" i="2"/>
  <c r="W229" i="2" s="1"/>
  <c r="W230" i="2" s="1"/>
  <c r="AG28" i="2"/>
  <c r="AG30" i="2" s="1"/>
  <c r="AG72" i="2"/>
  <c r="AG425" i="2"/>
  <c r="AG428" i="2"/>
  <c r="Z334" i="2"/>
  <c r="AA5" i="2"/>
  <c r="H307" i="2"/>
  <c r="H364" i="2"/>
  <c r="H310" i="2"/>
  <c r="H293" i="2"/>
  <c r="I449" i="2" s="1"/>
  <c r="H359" i="2"/>
  <c r="H300" i="2"/>
  <c r="H347" i="2" s="1"/>
  <c r="H287" i="2"/>
  <c r="H339" i="2" s="1"/>
  <c r="H340" i="2" s="1"/>
  <c r="H294" i="2"/>
  <c r="H346" i="2" s="1"/>
  <c r="H352" i="2"/>
  <c r="H298" i="2"/>
  <c r="H311" i="2"/>
  <c r="H312" i="2"/>
  <c r="H362" i="2"/>
  <c r="H369" i="2"/>
  <c r="X239" i="2"/>
  <c r="H238" i="2"/>
  <c r="H239" i="2" s="1"/>
  <c r="J114" i="2"/>
  <c r="J113" i="2" s="1"/>
  <c r="AN123" i="2"/>
  <c r="L124" i="2"/>
  <c r="T271" i="2"/>
  <c r="T275" i="2" s="1"/>
  <c r="T259" i="2"/>
  <c r="T268" i="2" s="1"/>
  <c r="J28" i="2"/>
  <c r="J30" i="2" s="1"/>
  <c r="J72" i="2"/>
  <c r="H382" i="2"/>
  <c r="H377" i="2"/>
  <c r="AV113" i="2"/>
  <c r="AU131" i="2"/>
  <c r="AT294" i="2"/>
  <c r="AS256" i="2"/>
  <c r="N189" i="2"/>
  <c r="N190" i="2" s="1"/>
  <c r="AW348" i="2"/>
  <c r="AF168" i="2"/>
  <c r="AF170" i="2" s="1"/>
  <c r="J153" i="2"/>
  <c r="V216" i="2"/>
  <c r="V215" i="2"/>
  <c r="V40" i="2"/>
  <c r="AJ114" i="2"/>
  <c r="AJ124" i="2"/>
  <c r="K124" i="2" s="1"/>
  <c r="K112" i="2"/>
  <c r="AY69" i="2"/>
  <c r="AV306" i="2"/>
  <c r="AY222" i="2"/>
  <c r="AU389" i="2"/>
  <c r="AV365" i="2"/>
  <c r="AK216" i="2"/>
  <c r="AK215" i="2"/>
  <c r="AK40" i="2"/>
  <c r="AK325" i="2" s="1"/>
  <c r="AM399" i="2"/>
  <c r="AM216" i="2"/>
  <c r="AM215" i="2"/>
  <c r="AM40" i="2"/>
  <c r="AM325" i="2" s="1"/>
  <c r="AG329" i="2"/>
  <c r="AG328" i="2"/>
  <c r="AG68" i="2"/>
  <c r="Y341" i="2"/>
  <c r="Y340" i="2"/>
  <c r="Y338" i="2"/>
  <c r="AX220" i="2"/>
  <c r="AX222" i="2" s="1"/>
  <c r="AX79" i="2"/>
  <c r="N81" i="2"/>
  <c r="AV304" i="2"/>
  <c r="AH145" i="2"/>
  <c r="J145" i="2" s="1"/>
  <c r="J142" i="2"/>
  <c r="AV140" i="2"/>
  <c r="AT253" i="2"/>
  <c r="AU289" i="2"/>
  <c r="AN142" i="2"/>
  <c r="L114" i="2"/>
  <c r="L113" i="2" s="1"/>
  <c r="AI216" i="2"/>
  <c r="AI215" i="2"/>
  <c r="AI40" i="2"/>
  <c r="AI325" i="2" s="1"/>
  <c r="J329" i="2"/>
  <c r="J328" i="2"/>
  <c r="J68" i="2"/>
  <c r="H353" i="2"/>
  <c r="H299" i="2"/>
  <c r="H341" i="2" s="1"/>
  <c r="Y342" i="2" l="1"/>
  <c r="AF171" i="2"/>
  <c r="AF50" i="2"/>
  <c r="AW113" i="2"/>
  <c r="AV131" i="2"/>
  <c r="H376" i="2"/>
  <c r="H380" i="2"/>
  <c r="H379" i="2"/>
  <c r="H371" i="2"/>
  <c r="Z341" i="2"/>
  <c r="Z340" i="2"/>
  <c r="Z338" i="2"/>
  <c r="AG467" i="2"/>
  <c r="AG468" i="2" s="1"/>
  <c r="AG429" i="2"/>
  <c r="AG413" i="2"/>
  <c r="AG36" i="2"/>
  <c r="AG34" i="2"/>
  <c r="AG1" i="2" s="1"/>
  <c r="AG32" i="2"/>
  <c r="AI170" i="2"/>
  <c r="AO54" i="2"/>
  <c r="AO16" i="2"/>
  <c r="U257" i="2"/>
  <c r="W245" i="2"/>
  <c r="AY106" i="2"/>
  <c r="AY107" i="2" s="1"/>
  <c r="AY109" i="2" s="1"/>
  <c r="AX107" i="2"/>
  <c r="AT391" i="2"/>
  <c r="AT358" i="2"/>
  <c r="X230" i="2"/>
  <c r="H229" i="2"/>
  <c r="H230" i="2" s="1"/>
  <c r="AT356" i="2"/>
  <c r="AU312" i="2"/>
  <c r="AV99" i="2"/>
  <c r="AU101" i="2"/>
  <c r="AH131" i="2"/>
  <c r="M93" i="2"/>
  <c r="H93" i="2"/>
  <c r="L93" i="2"/>
  <c r="N93" i="2"/>
  <c r="K93" i="2"/>
  <c r="I93" i="2"/>
  <c r="J93" i="2"/>
  <c r="AB214" i="2"/>
  <c r="I210" i="2"/>
  <c r="AJ123" i="2"/>
  <c r="AO382" i="2"/>
  <c r="AO298" i="2" s="1"/>
  <c r="AU390" i="2"/>
  <c r="AV366" i="2"/>
  <c r="AX161" i="2"/>
  <c r="AW111" i="2"/>
  <c r="AW122" i="2" s="1"/>
  <c r="X214" i="2"/>
  <c r="H210" i="2"/>
  <c r="N220" i="2"/>
  <c r="AT410" i="2"/>
  <c r="AT408" i="2" s="1"/>
  <c r="AJ142" i="2"/>
  <c r="K114" i="2"/>
  <c r="K113" i="2" s="1"/>
  <c r="AU294" i="2"/>
  <c r="AT256" i="2"/>
  <c r="J467" i="2"/>
  <c r="J413" i="2"/>
  <c r="J34" i="2"/>
  <c r="J1" i="2" s="1"/>
  <c r="J36" i="2"/>
  <c r="J32" i="2"/>
  <c r="H301" i="2"/>
  <c r="AJ169" i="2"/>
  <c r="AK157" i="2"/>
  <c r="AJ168" i="2"/>
  <c r="AJ170" i="2" s="1"/>
  <c r="T236" i="2"/>
  <c r="U240" i="2"/>
  <c r="U237" i="2"/>
  <c r="U238" i="2" s="1"/>
  <c r="U239" i="2" s="1"/>
  <c r="U227" i="2"/>
  <c r="AX98" i="2"/>
  <c r="AQ128" i="2"/>
  <c r="AR117" i="2"/>
  <c r="AQ118" i="2"/>
  <c r="AO278" i="2"/>
  <c r="AO440" i="2"/>
  <c r="AO331" i="2" s="1"/>
  <c r="AO444" i="2"/>
  <c r="AO434" i="2"/>
  <c r="AP146" i="2"/>
  <c r="AP149" i="2" s="1"/>
  <c r="L143" i="2"/>
  <c r="AX135" i="2"/>
  <c r="AY134" i="2"/>
  <c r="AB257" i="2"/>
  <c r="I245" i="2"/>
  <c r="AJ214" i="2"/>
  <c r="K210" i="2"/>
  <c r="G268" i="2"/>
  <c r="AS102" i="2"/>
  <c r="AR103" i="2"/>
  <c r="X257" i="2"/>
  <c r="Y245" i="2"/>
  <c r="Y257" i="2" s="1"/>
  <c r="AI117" i="2"/>
  <c r="AI128" i="2" s="1"/>
  <c r="J125" i="2"/>
  <c r="L142" i="2"/>
  <c r="AN146" i="2"/>
  <c r="AW304" i="2"/>
  <c r="AV389" i="2"/>
  <c r="AW365" i="2"/>
  <c r="AX348" i="2"/>
  <c r="AN125" i="2"/>
  <c r="L123" i="2"/>
  <c r="AV112" i="2"/>
  <c r="AX387" i="2"/>
  <c r="AY363" i="2"/>
  <c r="AV347" i="2"/>
  <c r="AW300" i="2"/>
  <c r="AV255" i="2"/>
  <c r="AU388" i="2"/>
  <c r="AV364" i="2"/>
  <c r="AU367" i="2"/>
  <c r="AU124" i="2"/>
  <c r="AU123" i="2" s="1"/>
  <c r="AU125" i="2" s="1"/>
  <c r="AU114" i="2"/>
  <c r="AU142" i="2" s="1"/>
  <c r="M101" i="2"/>
  <c r="AF216" i="2"/>
  <c r="AF215" i="2"/>
  <c r="AF40" i="2"/>
  <c r="AF325" i="2" s="1"/>
  <c r="AF402" i="2"/>
  <c r="AJ249" i="2"/>
  <c r="K249" i="2" s="1"/>
  <c r="K245" i="2"/>
  <c r="K257" i="2" s="1"/>
  <c r="AP153" i="2"/>
  <c r="AV122" i="2"/>
  <c r="AV289" i="2"/>
  <c r="AU253" i="2"/>
  <c r="AW306" i="2"/>
  <c r="H415" i="2"/>
  <c r="H466" i="2" s="1"/>
  <c r="H417" i="2"/>
  <c r="H429" i="2"/>
  <c r="H430" i="2"/>
  <c r="AA334" i="2"/>
  <c r="AB5" i="2"/>
  <c r="H303" i="2"/>
  <c r="H355" i="2"/>
  <c r="H383" i="2"/>
  <c r="H368" i="2"/>
  <c r="H304" i="2"/>
  <c r="H349" i="2" s="1"/>
  <c r="H289" i="2"/>
  <c r="H345" i="2" s="1"/>
  <c r="AO46" i="2"/>
  <c r="AO11" i="2"/>
  <c r="U216" i="2"/>
  <c r="U215" i="2"/>
  <c r="U40" i="2"/>
  <c r="X324" i="2"/>
  <c r="AF376" i="2"/>
  <c r="V231" i="2"/>
  <c r="V144" i="2"/>
  <c r="V228" i="2"/>
  <c r="V229" i="2" s="1"/>
  <c r="V230" i="2" s="1"/>
  <c r="AT142" i="2"/>
  <c r="M114" i="2"/>
  <c r="M113" i="2" s="1"/>
  <c r="AW112" i="2"/>
  <c r="AT125" i="2"/>
  <c r="M125" i="2" s="1"/>
  <c r="AP148" i="2"/>
  <c r="AP150" i="2" s="1"/>
  <c r="AP47" i="2" s="1"/>
  <c r="AP45" i="2"/>
  <c r="AS158" i="2"/>
  <c r="AR169" i="2"/>
  <c r="AU448" i="2"/>
  <c r="AT449" i="2"/>
  <c r="AT279" i="2"/>
  <c r="N79" i="2"/>
  <c r="AP53" i="2" l="1"/>
  <c r="AP54" i="2"/>
  <c r="AP16" i="2"/>
  <c r="M142" i="2"/>
  <c r="AA341" i="2"/>
  <c r="AA340" i="2"/>
  <c r="AA338" i="2"/>
  <c r="H468" i="2"/>
  <c r="AU391" i="2"/>
  <c r="AU358" i="2"/>
  <c r="AR143" i="2"/>
  <c r="AX140" i="2"/>
  <c r="T240" i="2"/>
  <c r="T237" i="2"/>
  <c r="G236" i="2"/>
  <c r="G240" i="2" s="1"/>
  <c r="T227" i="2"/>
  <c r="AL157" i="2"/>
  <c r="AK169" i="2"/>
  <c r="AK168" i="2"/>
  <c r="AV294" i="2"/>
  <c r="AU256" i="2"/>
  <c r="X216" i="2"/>
  <c r="H216" i="2" s="1"/>
  <c r="X215" i="2"/>
  <c r="X40" i="2"/>
  <c r="X325" i="2" s="1"/>
  <c r="AA403" i="2"/>
  <c r="AA324" i="2"/>
  <c r="H214" i="2"/>
  <c r="Z324" i="2"/>
  <c r="Z403" i="2"/>
  <c r="Y324" i="2"/>
  <c r="AW99" i="2"/>
  <c r="AV101" i="2"/>
  <c r="AO229" i="2"/>
  <c r="AO62" i="2"/>
  <c r="AO18" i="2"/>
  <c r="AV448" i="2"/>
  <c r="AU449" i="2"/>
  <c r="AU279" i="2"/>
  <c r="AS169" i="2"/>
  <c r="AT158" i="2"/>
  <c r="AF378" i="2"/>
  <c r="AV388" i="2"/>
  <c r="AW364" i="2"/>
  <c r="AV367" i="2"/>
  <c r="AW347" i="2"/>
  <c r="AX300" i="2"/>
  <c r="AW255" i="2"/>
  <c r="AN120" i="2"/>
  <c r="AN92" i="2" s="1"/>
  <c r="L125" i="2"/>
  <c r="AW389" i="2"/>
  <c r="AX365" i="2"/>
  <c r="AN149" i="2"/>
  <c r="L146" i="2"/>
  <c r="L149" i="2" s="1"/>
  <c r="H245" i="2"/>
  <c r="H257" i="2" s="1"/>
  <c r="AT102" i="2"/>
  <c r="AS103" i="2"/>
  <c r="AS143" i="2" s="1"/>
  <c r="AS146" i="2" s="1"/>
  <c r="AS149" i="2" s="1"/>
  <c r="AJ216" i="2"/>
  <c r="K216" i="2" s="1"/>
  <c r="AJ215" i="2"/>
  <c r="AJ40" i="2"/>
  <c r="AJ325" i="2" s="1"/>
  <c r="AM324" i="2"/>
  <c r="K214" i="2"/>
  <c r="AK403" i="2"/>
  <c r="AK376" i="2" s="1"/>
  <c r="AL402" i="2"/>
  <c r="AL324" i="2"/>
  <c r="AL403" i="2"/>
  <c r="AK402" i="2"/>
  <c r="AK324" i="2"/>
  <c r="AO280" i="2"/>
  <c r="AS117" i="2"/>
  <c r="AR128" i="2"/>
  <c r="AR118" i="2"/>
  <c r="U231" i="2"/>
  <c r="U144" i="2"/>
  <c r="U228" i="2"/>
  <c r="U229" i="2" s="1"/>
  <c r="U230" i="2" s="1"/>
  <c r="AU293" i="2"/>
  <c r="AV293" i="2" s="1"/>
  <c r="J472" i="2"/>
  <c r="J412" i="2"/>
  <c r="J206" i="2"/>
  <c r="J35" i="2"/>
  <c r="AT406" i="2"/>
  <c r="AB216" i="2"/>
  <c r="I216" i="2" s="1"/>
  <c r="AB215" i="2"/>
  <c r="AB40" i="2"/>
  <c r="AB325" i="2" s="1"/>
  <c r="AE403" i="2"/>
  <c r="AE376" i="2" s="1"/>
  <c r="AE324" i="2"/>
  <c r="I214" i="2"/>
  <c r="AD324" i="2"/>
  <c r="AC324" i="2"/>
  <c r="AB403" i="2"/>
  <c r="AD403" i="2"/>
  <c r="AD376" i="2" s="1"/>
  <c r="AB324" i="2"/>
  <c r="AC403" i="2"/>
  <c r="AP382" i="2"/>
  <c r="AP298" i="2" s="1"/>
  <c r="AQ382" i="2"/>
  <c r="AQ298" i="2" s="1"/>
  <c r="Z342" i="2"/>
  <c r="AW124" i="2"/>
  <c r="AW123" i="2" s="1"/>
  <c r="AW125" i="2" s="1"/>
  <c r="AW114" i="2"/>
  <c r="AW142" i="2" s="1"/>
  <c r="AX306" i="2"/>
  <c r="K271" i="2"/>
  <c r="K275" i="2" s="1"/>
  <c r="K259" i="2"/>
  <c r="K268" i="2" s="1"/>
  <c r="Y271" i="2"/>
  <c r="Y275" i="2" s="1"/>
  <c r="Y259" i="2"/>
  <c r="Y268" i="2" s="1"/>
  <c r="Y269" i="2" s="1"/>
  <c r="AO445" i="2"/>
  <c r="AO435" i="2"/>
  <c r="AJ171" i="2"/>
  <c r="AJ50" i="2"/>
  <c r="AY161" i="2"/>
  <c r="AY111" i="2" s="1"/>
  <c r="AY122" i="2" s="1"/>
  <c r="AX111" i="2"/>
  <c r="AX109" i="2"/>
  <c r="N107" i="2"/>
  <c r="U271" i="2"/>
  <c r="U275" i="2" s="1"/>
  <c r="U259" i="2"/>
  <c r="W257" i="2"/>
  <c r="W271" i="2" s="1"/>
  <c r="W275" i="2" s="1"/>
  <c r="AI171" i="2"/>
  <c r="AI50" i="2"/>
  <c r="AX113" i="2"/>
  <c r="AW131" i="2"/>
  <c r="M279" i="2"/>
  <c r="M448" i="2" s="1"/>
  <c r="AP51" i="2"/>
  <c r="AP11" i="2"/>
  <c r="AP46" i="2"/>
  <c r="AP52" i="2" s="1"/>
  <c r="AO225" i="2"/>
  <c r="AO77" i="2"/>
  <c r="AO13" i="2"/>
  <c r="AB334" i="2"/>
  <c r="AC5" i="2"/>
  <c r="AW289" i="2"/>
  <c r="AV253" i="2"/>
  <c r="AQ153" i="2"/>
  <c r="AY387" i="2"/>
  <c r="AV114" i="2"/>
  <c r="AV124" i="2"/>
  <c r="AY348" i="2"/>
  <c r="AX304" i="2"/>
  <c r="X259" i="2"/>
  <c r="X268" i="2" s="1"/>
  <c r="X269" i="2" s="1"/>
  <c r="X271" i="2"/>
  <c r="X275" i="2" s="1"/>
  <c r="AB259" i="2"/>
  <c r="AB268" i="2" s="1"/>
  <c r="AB269" i="2" s="1"/>
  <c r="AC257" i="2"/>
  <c r="AB271" i="2"/>
  <c r="AB275" i="2" s="1"/>
  <c r="AY135" i="2"/>
  <c r="AY140" i="2" s="1"/>
  <c r="AQ129" i="2"/>
  <c r="AQ119" i="2"/>
  <c r="AY98" i="2"/>
  <c r="N98" i="2"/>
  <c r="K142" i="2"/>
  <c r="AJ145" i="2"/>
  <c r="K145" i="2" s="1"/>
  <c r="AV390" i="2"/>
  <c r="AW366" i="2"/>
  <c r="K123" i="2"/>
  <c r="AJ125" i="2"/>
  <c r="AU356" i="2"/>
  <c r="AV312" i="2"/>
  <c r="AY112" i="2"/>
  <c r="AG472" i="2"/>
  <c r="AG430" i="2"/>
  <c r="AG412" i="2"/>
  <c r="AG245" i="2"/>
  <c r="AG206" i="2"/>
  <c r="AG210" i="2" s="1"/>
  <c r="AG35" i="2"/>
  <c r="AG214" i="2" l="1"/>
  <c r="J210" i="2"/>
  <c r="AV356" i="2"/>
  <c r="AW312" i="2"/>
  <c r="AX289" i="2"/>
  <c r="AW253" i="2"/>
  <c r="AP225" i="2"/>
  <c r="AP58" i="2"/>
  <c r="AP13" i="2"/>
  <c r="AP77" i="2"/>
  <c r="AY113" i="2"/>
  <c r="AY131" i="2" s="1"/>
  <c r="AX131" i="2"/>
  <c r="U268" i="2"/>
  <c r="W259" i="2"/>
  <c r="W268" i="2" s="1"/>
  <c r="AO446" i="2"/>
  <c r="AO291" i="2"/>
  <c r="AY306" i="2"/>
  <c r="AE378" i="2"/>
  <c r="AE379" i="2" s="1"/>
  <c r="AE380" i="2" s="1"/>
  <c r="AO246" i="2"/>
  <c r="AN94" i="2"/>
  <c r="AW388" i="2"/>
  <c r="AX364" i="2"/>
  <c r="AW367" i="2"/>
  <c r="AO23" i="2"/>
  <c r="AO61" i="2"/>
  <c r="AV256" i="2"/>
  <c r="AW294" i="2"/>
  <c r="N140" i="2"/>
  <c r="AA342" i="2"/>
  <c r="AG249" i="2"/>
  <c r="J249" i="2" s="1"/>
  <c r="J245" i="2"/>
  <c r="AW390" i="2"/>
  <c r="AX366" i="2"/>
  <c r="AR153" i="2"/>
  <c r="AC334" i="2"/>
  <c r="AD5" i="2"/>
  <c r="AO226" i="2"/>
  <c r="AO75" i="2"/>
  <c r="N161" i="2"/>
  <c r="AV123" i="2"/>
  <c r="AT103" i="2"/>
  <c r="AT143" i="2" s="1"/>
  <c r="AT146" i="2" s="1"/>
  <c r="AT149" i="2" s="1"/>
  <c r="AU102" i="2"/>
  <c r="AY365" i="2"/>
  <c r="AY389" i="2" s="1"/>
  <c r="AX389" i="2"/>
  <c r="AX347" i="2"/>
  <c r="AY300" i="2"/>
  <c r="AX255" i="2"/>
  <c r="AT169" i="2"/>
  <c r="AU158" i="2"/>
  <c r="M158" i="2"/>
  <c r="AV449" i="2"/>
  <c r="AW448" i="2"/>
  <c r="AV279" i="2"/>
  <c r="AX99" i="2"/>
  <c r="AW101" i="2"/>
  <c r="H215" i="2"/>
  <c r="H40" i="2"/>
  <c r="AM157" i="2"/>
  <c r="AL168" i="2"/>
  <c r="AL170" i="2" s="1"/>
  <c r="G237" i="2"/>
  <c r="T238" i="2"/>
  <c r="AY114" i="2"/>
  <c r="AY142" i="2" s="1"/>
  <c r="AY124" i="2"/>
  <c r="AQ130" i="2"/>
  <c r="AQ120" i="2"/>
  <c r="AQ92" i="2" s="1"/>
  <c r="AQ94" i="2" s="1"/>
  <c r="AV142" i="2"/>
  <c r="AB340" i="2"/>
  <c r="AB341" i="2"/>
  <c r="AB338" i="2"/>
  <c r="AB342" i="2" s="1"/>
  <c r="AX122" i="2"/>
  <c r="N111" i="2"/>
  <c r="N110" i="2" s="1"/>
  <c r="AD378" i="2"/>
  <c r="AD379" i="2" s="1"/>
  <c r="AD380" i="2" s="1"/>
  <c r="AD396" i="2"/>
  <c r="I215" i="2"/>
  <c r="I40" i="2"/>
  <c r="AS118" i="2"/>
  <c r="AT117" i="2"/>
  <c r="AS128" i="2"/>
  <c r="AK378" i="2"/>
  <c r="H271" i="2"/>
  <c r="H275" i="2" s="1"/>
  <c r="H259" i="2"/>
  <c r="H268" i="2" s="1"/>
  <c r="AO228" i="2"/>
  <c r="AO230" i="2"/>
  <c r="AP229" i="2"/>
  <c r="AP62" i="2"/>
  <c r="AP18" i="2"/>
  <c r="AJ117" i="2"/>
  <c r="AJ128" i="2" s="1"/>
  <c r="K125" i="2"/>
  <c r="AC271" i="2"/>
  <c r="AC275" i="2" s="1"/>
  <c r="AC259" i="2"/>
  <c r="AC268" i="2" s="1"/>
  <c r="AC269" i="2" s="1"/>
  <c r="AD257" i="2"/>
  <c r="AC249" i="2"/>
  <c r="AY304" i="2"/>
  <c r="AW115" i="2"/>
  <c r="AO201" i="2"/>
  <c r="AO200" i="2"/>
  <c r="AO202" i="2" s="1"/>
  <c r="AO67" i="2"/>
  <c r="AO65" i="2"/>
  <c r="AO66" i="2" s="1"/>
  <c r="AO349" i="2"/>
  <c r="AO439" i="2"/>
  <c r="AO345" i="2"/>
  <c r="AO346" i="2"/>
  <c r="AO438" i="2"/>
  <c r="AX112" i="2"/>
  <c r="N109" i="2"/>
  <c r="AY123" i="2"/>
  <c r="M123" i="2" s="1"/>
  <c r="J122" i="2"/>
  <c r="AU410" i="2"/>
  <c r="AU408" i="2" s="1"/>
  <c r="AW293" i="2"/>
  <c r="AR129" i="2"/>
  <c r="AR119" i="2"/>
  <c r="AR130" i="2" s="1"/>
  <c r="K215" i="2"/>
  <c r="K40" i="2"/>
  <c r="AV391" i="2"/>
  <c r="AV358" i="2"/>
  <c r="AF368" i="2"/>
  <c r="AK170" i="2"/>
  <c r="T231" i="2"/>
  <c r="T144" i="2"/>
  <c r="G227" i="2"/>
  <c r="G231" i="2" s="1"/>
  <c r="T228" i="2"/>
  <c r="N135" i="2"/>
  <c r="N134" i="2" s="1"/>
  <c r="AR146" i="2"/>
  <c r="AR382" i="2" l="1"/>
  <c r="AR298" i="2" s="1"/>
  <c r="N122" i="2"/>
  <c r="AL50" i="2"/>
  <c r="AL171" i="2"/>
  <c r="AX448" i="2"/>
  <c r="AW449" i="2"/>
  <c r="AW279" i="2"/>
  <c r="AC341" i="2"/>
  <c r="AC340" i="2"/>
  <c r="AC338" i="2"/>
  <c r="AC342" i="2" s="1"/>
  <c r="J257" i="2"/>
  <c r="AY364" i="2"/>
  <c r="AX388" i="2"/>
  <c r="AX367" i="2"/>
  <c r="AE396" i="2"/>
  <c r="AJ402" i="2"/>
  <c r="AG216" i="2"/>
  <c r="J216" i="2" s="1"/>
  <c r="AG215" i="2"/>
  <c r="AG40" i="2"/>
  <c r="AG325" i="2" s="1"/>
  <c r="AJ403" i="2"/>
  <c r="AJ376" i="2" s="1"/>
  <c r="AJ324" i="2"/>
  <c r="AI402" i="2"/>
  <c r="AI403" i="2"/>
  <c r="AI376" i="2" s="1"/>
  <c r="AH324" i="2"/>
  <c r="J214" i="2"/>
  <c r="AI324" i="2"/>
  <c r="AG403" i="2"/>
  <c r="AH402" i="2"/>
  <c r="AG402" i="2"/>
  <c r="AH403" i="2"/>
  <c r="AH376" i="2" s="1"/>
  <c r="AG324" i="2"/>
  <c r="AY125" i="2"/>
  <c r="AP61" i="2"/>
  <c r="J124" i="2"/>
  <c r="M124" i="2"/>
  <c r="T239" i="2"/>
  <c r="G238" i="2"/>
  <c r="G239" i="2" s="1"/>
  <c r="AN157" i="2"/>
  <c r="AM168" i="2"/>
  <c r="AM170" i="2" s="1"/>
  <c r="K157" i="2"/>
  <c r="K168" i="2" s="1"/>
  <c r="K170" i="2" s="1"/>
  <c r="AY99" i="2"/>
  <c r="AY101" i="2" s="1"/>
  <c r="L101" i="2" s="1"/>
  <c r="L102" i="2" s="1"/>
  <c r="N99" i="2"/>
  <c r="AX101" i="2"/>
  <c r="AV125" i="2"/>
  <c r="AS153" i="2"/>
  <c r="AP226" i="2"/>
  <c r="AP75" i="2"/>
  <c r="AW356" i="2"/>
  <c r="AX312" i="2"/>
  <c r="G228" i="2"/>
  <c r="T229" i="2"/>
  <c r="AF392" i="2"/>
  <c r="AF369" i="2"/>
  <c r="AU406" i="2"/>
  <c r="AV410" i="2" s="1"/>
  <c r="AV408" i="2" s="1"/>
  <c r="AT118" i="2"/>
  <c r="AT128" i="2"/>
  <c r="AU117" i="2"/>
  <c r="AY347" i="2"/>
  <c r="AY255" i="2"/>
  <c r="AO227" i="2"/>
  <c r="AO231" i="2" s="1"/>
  <c r="AX390" i="2"/>
  <c r="AY366" i="2"/>
  <c r="AY390" i="2" s="1"/>
  <c r="AX294" i="2"/>
  <c r="AW256" i="2"/>
  <c r="AO457" i="2"/>
  <c r="AP439" i="2"/>
  <c r="AP201" i="2"/>
  <c r="AP200" i="2"/>
  <c r="AP202" i="2" s="1"/>
  <c r="AP65" i="2"/>
  <c r="AP66" i="2" s="1"/>
  <c r="AP57" i="2"/>
  <c r="AP67" i="2"/>
  <c r="AP349" i="2"/>
  <c r="AP345" i="2"/>
  <c r="AP346" i="2"/>
  <c r="AY289" i="2"/>
  <c r="AX253" i="2"/>
  <c r="AR149" i="2"/>
  <c r="AK171" i="2"/>
  <c r="AK50" i="2"/>
  <c r="AF379" i="2"/>
  <c r="AX124" i="2"/>
  <c r="N124" i="2" s="1"/>
  <c r="AX114" i="2"/>
  <c r="N112" i="2"/>
  <c r="AD271" i="2"/>
  <c r="AD275" i="2" s="1"/>
  <c r="AD249" i="2"/>
  <c r="AE257" i="2"/>
  <c r="AD259" i="2"/>
  <c r="AD268" i="2" s="1"/>
  <c r="AD269" i="2" s="1"/>
  <c r="AP230" i="2"/>
  <c r="AP228" i="2"/>
  <c r="AK379" i="2"/>
  <c r="AK368" i="2"/>
  <c r="AS119" i="2"/>
  <c r="AS130" i="2" s="1"/>
  <c r="AS129" i="2"/>
  <c r="AQ45" i="2"/>
  <c r="AQ148" i="2"/>
  <c r="AQ150" i="2" s="1"/>
  <c r="AQ47" i="2" s="1"/>
  <c r="AU169" i="2"/>
  <c r="AV158" i="2"/>
  <c r="AU103" i="2"/>
  <c r="AV102" i="2"/>
  <c r="AD334" i="2"/>
  <c r="AE5" i="2"/>
  <c r="AO423" i="2"/>
  <c r="AO424" i="2" s="1"/>
  <c r="AO70" i="2"/>
  <c r="AO39" i="2"/>
  <c r="AW391" i="2"/>
  <c r="AW358" i="2"/>
  <c r="AN148" i="2"/>
  <c r="AN150" i="2" s="1"/>
  <c r="AN47" i="2" s="1"/>
  <c r="AN45" i="2"/>
  <c r="AO303" i="2"/>
  <c r="AP21" i="2"/>
  <c r="AR120" i="2"/>
  <c r="AR92" i="2" s="1"/>
  <c r="AR94" i="2" s="1"/>
  <c r="AV406" i="2" l="1"/>
  <c r="AP436" i="2"/>
  <c r="AP437" i="2" s="1"/>
  <c r="AP209" i="2"/>
  <c r="AW102" i="2"/>
  <c r="AV103" i="2"/>
  <c r="AF380" i="2"/>
  <c r="AF396" i="2"/>
  <c r="N101" i="2"/>
  <c r="AM50" i="2"/>
  <c r="AM171" i="2"/>
  <c r="AJ378" i="2"/>
  <c r="AY388" i="2"/>
  <c r="AY367" i="2"/>
  <c r="AU143" i="2"/>
  <c r="M103" i="2"/>
  <c r="M102" i="2" s="1"/>
  <c r="AQ53" i="2"/>
  <c r="AQ54" i="2"/>
  <c r="AQ16" i="2"/>
  <c r="AK369" i="2"/>
  <c r="AL392" i="2"/>
  <c r="AX256" i="2"/>
  <c r="AY294" i="2"/>
  <c r="M255" i="2"/>
  <c r="N255" i="2"/>
  <c r="AU128" i="2"/>
  <c r="AV117" i="2"/>
  <c r="AU118" i="2"/>
  <c r="AS382" i="2"/>
  <c r="AS298" i="2" s="1"/>
  <c r="T230" i="2"/>
  <c r="G229" i="2"/>
  <c r="G230" i="2" s="1"/>
  <c r="AT153" i="2"/>
  <c r="AO157" i="2"/>
  <c r="AN168" i="2"/>
  <c r="AN170" i="2" s="1"/>
  <c r="AG376" i="2"/>
  <c r="AI378" i="2"/>
  <c r="AN46" i="2"/>
  <c r="AN11" i="2"/>
  <c r="AN51" i="2"/>
  <c r="AO51" i="2"/>
  <c r="AE334" i="2"/>
  <c r="AF5" i="2"/>
  <c r="AW158" i="2"/>
  <c r="AV169" i="2"/>
  <c r="AQ46" i="2"/>
  <c r="AQ52" i="2" s="1"/>
  <c r="AQ51" i="2"/>
  <c r="AQ11" i="2"/>
  <c r="AK380" i="2"/>
  <c r="AK396" i="2"/>
  <c r="AE259" i="2"/>
  <c r="AE268" i="2" s="1"/>
  <c r="AE269" i="2" s="1"/>
  <c r="AE271" i="2"/>
  <c r="AE275" i="2" s="1"/>
  <c r="AE249" i="2"/>
  <c r="I249" i="2" s="1"/>
  <c r="I257" i="2" s="1"/>
  <c r="AX142" i="2"/>
  <c r="N114" i="2"/>
  <c r="N113" i="2" s="1"/>
  <c r="AY253" i="2"/>
  <c r="M253" i="2" s="1"/>
  <c r="AP227" i="2"/>
  <c r="AP231" i="2" s="1"/>
  <c r="AP23" i="2"/>
  <c r="AH378" i="2"/>
  <c r="AX391" i="2"/>
  <c r="AX358" i="2"/>
  <c r="J259" i="2"/>
  <c r="J268" i="2" s="1"/>
  <c r="J271" i="2"/>
  <c r="J275" i="2" s="1"/>
  <c r="AY448" i="2"/>
  <c r="AX449" i="2"/>
  <c r="AX279" i="2"/>
  <c r="AX123" i="2"/>
  <c r="AX293" i="2"/>
  <c r="AY293" i="2" s="1"/>
  <c r="AR148" i="2"/>
  <c r="AR150" i="2" s="1"/>
  <c r="AR47" i="2" s="1"/>
  <c r="AR45" i="2"/>
  <c r="AN53" i="2"/>
  <c r="AN16" i="2"/>
  <c r="AN54" i="2"/>
  <c r="AO53" i="2"/>
  <c r="AO68" i="2"/>
  <c r="AO425" i="2"/>
  <c r="AD341" i="2"/>
  <c r="AD340" i="2"/>
  <c r="AD338" i="2"/>
  <c r="AT119" i="2"/>
  <c r="AT130" i="2" s="1"/>
  <c r="AT129" i="2"/>
  <c r="AF393" i="2"/>
  <c r="AF371" i="2"/>
  <c r="AF372" i="2" s="1"/>
  <c r="AF383" i="2"/>
  <c r="AX356" i="2"/>
  <c r="AY312" i="2"/>
  <c r="AY356" i="2" s="1"/>
  <c r="K50" i="2"/>
  <c r="K171" i="2"/>
  <c r="J215" i="2"/>
  <c r="J40" i="2"/>
  <c r="AS120" i="2"/>
  <c r="AS92" i="2" s="1"/>
  <c r="AS94" i="2" s="1"/>
  <c r="I271" i="2" l="1"/>
  <c r="I275" i="2" s="1"/>
  <c r="I259" i="2"/>
  <c r="I268" i="2" s="1"/>
  <c r="AR46" i="2"/>
  <c r="AR52" i="2" s="1"/>
  <c r="AR51" i="2"/>
  <c r="AR11" i="2"/>
  <c r="AN52" i="2"/>
  <c r="AO52" i="2"/>
  <c r="AP157" i="2"/>
  <c r="AO168" i="2"/>
  <c r="AO170" i="2" s="1"/>
  <c r="AU153" i="2"/>
  <c r="M153" i="2" s="1"/>
  <c r="AY256" i="2"/>
  <c r="M256" i="2" s="1"/>
  <c r="AP440" i="2"/>
  <c r="AP331" i="2" s="1"/>
  <c r="AP438" i="2"/>
  <c r="AP278" i="2"/>
  <c r="AP444" i="2"/>
  <c r="AP434" i="2"/>
  <c r="AW410" i="2"/>
  <c r="AW408" i="2" s="1"/>
  <c r="AD342" i="2"/>
  <c r="AR53" i="2"/>
  <c r="AR54" i="2"/>
  <c r="AR16" i="2"/>
  <c r="AH368" i="2"/>
  <c r="AQ225" i="2"/>
  <c r="AQ13" i="2"/>
  <c r="AQ77" i="2"/>
  <c r="AQ58" i="2"/>
  <c r="AG378" i="2"/>
  <c r="AU129" i="2"/>
  <c r="AU119" i="2"/>
  <c r="N256" i="2"/>
  <c r="AK383" i="2"/>
  <c r="AK371" i="2"/>
  <c r="AK372" i="2" s="1"/>
  <c r="AL393" i="2"/>
  <c r="AJ379" i="2"/>
  <c r="AJ368" i="2"/>
  <c r="AS148" i="2"/>
  <c r="AS150" i="2" s="1"/>
  <c r="AS47" i="2" s="1"/>
  <c r="AS45" i="2"/>
  <c r="AN229" i="2"/>
  <c r="AN62" i="2"/>
  <c r="AN18" i="2"/>
  <c r="L16" i="2"/>
  <c r="AY449" i="2"/>
  <c r="AY279" i="2"/>
  <c r="L279" i="2" s="1"/>
  <c r="L448" i="2" s="1"/>
  <c r="AP423" i="2"/>
  <c r="AP424" i="2" s="1"/>
  <c r="AP39" i="2"/>
  <c r="AP70" i="2"/>
  <c r="AW169" i="2"/>
  <c r="AX158" i="2"/>
  <c r="AF334" i="2"/>
  <c r="AG5" i="2"/>
  <c r="AN50" i="2"/>
  <c r="AO171" i="2"/>
  <c r="AO50" i="2"/>
  <c r="AN171" i="2"/>
  <c r="AV143" i="2"/>
  <c r="AX125" i="2"/>
  <c r="N125" i="2" s="1"/>
  <c r="N123" i="2"/>
  <c r="N142" i="2"/>
  <c r="AE341" i="2"/>
  <c r="AE340" i="2"/>
  <c r="AE338" i="2"/>
  <c r="AN225" i="2"/>
  <c r="L225" i="2" s="1"/>
  <c r="AN13" i="2"/>
  <c r="AN77" i="2"/>
  <c r="AN58" i="2"/>
  <c r="L11" i="2"/>
  <c r="AO58" i="2"/>
  <c r="AI379" i="2"/>
  <c r="AI368" i="2"/>
  <c r="AW117" i="2"/>
  <c r="AV128" i="2"/>
  <c r="AV118" i="2"/>
  <c r="N253" i="2"/>
  <c r="AQ229" i="2"/>
  <c r="AQ18" i="2"/>
  <c r="AQ62" i="2"/>
  <c r="AU146" i="2"/>
  <c r="M143" i="2"/>
  <c r="AY358" i="2"/>
  <c r="AY391" i="2"/>
  <c r="AV382" i="2" s="1"/>
  <c r="AV298" i="2" s="1"/>
  <c r="AX102" i="2"/>
  <c r="AW103" i="2"/>
  <c r="AW143" i="2" s="1"/>
  <c r="AW146" i="2" s="1"/>
  <c r="AW149" i="2" s="1"/>
  <c r="AT382" i="2"/>
  <c r="AT298" i="2" s="1"/>
  <c r="AT120" i="2"/>
  <c r="AT92" i="2" s="1"/>
  <c r="AT94" i="2" s="1"/>
  <c r="AQ61" i="2" l="1"/>
  <c r="AV129" i="2"/>
  <c r="AV119" i="2"/>
  <c r="AV130" i="2" s="1"/>
  <c r="AI380" i="2"/>
  <c r="AI396" i="2"/>
  <c r="AN226" i="2"/>
  <c r="AN75" i="2"/>
  <c r="L77" i="2"/>
  <c r="L62" i="2"/>
  <c r="L47" i="2"/>
  <c r="L18" i="2"/>
  <c r="AS46" i="2"/>
  <c r="AS52" i="2" s="1"/>
  <c r="AS11" i="2"/>
  <c r="AS51" i="2"/>
  <c r="AH369" i="2"/>
  <c r="AW406" i="2"/>
  <c r="AR225" i="2"/>
  <c r="AR13" i="2"/>
  <c r="AR77" i="2"/>
  <c r="AR58" i="2"/>
  <c r="AT148" i="2"/>
  <c r="AT150" i="2" s="1"/>
  <c r="AT47" i="2" s="1"/>
  <c r="AT45" i="2"/>
  <c r="AX103" i="2"/>
  <c r="AX143" i="2" s="1"/>
  <c r="AX146" i="2" s="1"/>
  <c r="AX149" i="2" s="1"/>
  <c r="AY102" i="2"/>
  <c r="AY103" i="2" s="1"/>
  <c r="AY143" i="2" s="1"/>
  <c r="AY146" i="2" s="1"/>
  <c r="AY149" i="2" s="1"/>
  <c r="AQ228" i="2"/>
  <c r="AQ230" i="2"/>
  <c r="AN201" i="2"/>
  <c r="AN200" i="2"/>
  <c r="AN202" i="2" s="1"/>
  <c r="AN67" i="2"/>
  <c r="AN57" i="2"/>
  <c r="AN65" i="2"/>
  <c r="AN66" i="2" s="1"/>
  <c r="AN439" i="2"/>
  <c r="AN345" i="2"/>
  <c r="AN349" i="2"/>
  <c r="AN346" i="2"/>
  <c r="AN438" i="2"/>
  <c r="AO57" i="2"/>
  <c r="AG334" i="2"/>
  <c r="AH5" i="2"/>
  <c r="AP425" i="2"/>
  <c r="AN23" i="2"/>
  <c r="AN61" i="2"/>
  <c r="AS54" i="2"/>
  <c r="AS16" i="2"/>
  <c r="AS53" i="2"/>
  <c r="AU130" i="2"/>
  <c r="AU120" i="2"/>
  <c r="AU92" i="2" s="1"/>
  <c r="AU94" i="2" s="1"/>
  <c r="AQ226" i="2"/>
  <c r="AQ227" i="2" s="1"/>
  <c r="AQ231" i="2" s="1"/>
  <c r="AQ75" i="2"/>
  <c r="AH379" i="2"/>
  <c r="AP445" i="2"/>
  <c r="AP435" i="2"/>
  <c r="AX382" i="2"/>
  <c r="AX298" i="2" s="1"/>
  <c r="AU382" i="2"/>
  <c r="AU298" i="2" s="1"/>
  <c r="AU149" i="2"/>
  <c r="M146" i="2"/>
  <c r="M149" i="2" s="1"/>
  <c r="AW118" i="2"/>
  <c r="AX117" i="2"/>
  <c r="AW128" i="2"/>
  <c r="L58" i="2"/>
  <c r="L45" i="2"/>
  <c r="L46" i="2"/>
  <c r="L52" i="2" s="1"/>
  <c r="L13" i="2"/>
  <c r="N103" i="2"/>
  <c r="N102" i="2" s="1"/>
  <c r="AF341" i="2"/>
  <c r="AF340" i="2"/>
  <c r="AF338" i="2"/>
  <c r="AF342" i="2" s="1"/>
  <c r="AJ392" i="2"/>
  <c r="AJ369" i="2"/>
  <c r="AK392" i="2"/>
  <c r="AQ201" i="2"/>
  <c r="AQ200" i="2"/>
  <c r="AQ65" i="2"/>
  <c r="AQ66" i="2" s="1"/>
  <c r="AQ57" i="2"/>
  <c r="AQ67" i="2"/>
  <c r="AQ349" i="2"/>
  <c r="AQ345" i="2"/>
  <c r="AQ346" i="2"/>
  <c r="AQ157" i="2"/>
  <c r="AP168" i="2"/>
  <c r="AP170" i="2" s="1"/>
  <c r="AV120" i="2"/>
  <c r="AV92" i="2" s="1"/>
  <c r="AV94" i="2" s="1"/>
  <c r="AI392" i="2"/>
  <c r="AI369" i="2"/>
  <c r="AE342" i="2"/>
  <c r="AW382" i="2"/>
  <c r="AW298" i="2" s="1"/>
  <c r="N143" i="2"/>
  <c r="AV146" i="2"/>
  <c r="AX169" i="2"/>
  <c r="AY158" i="2"/>
  <c r="AY169" i="2" s="1"/>
  <c r="AP68" i="2"/>
  <c r="AN230" i="2"/>
  <c r="AN228" i="2"/>
  <c r="L228" i="2" s="1"/>
  <c r="L229" i="2"/>
  <c r="L230" i="2" s="1"/>
  <c r="AJ380" i="2"/>
  <c r="AJ396" i="2"/>
  <c r="AG368" i="2"/>
  <c r="AH392" i="2" s="1"/>
  <c r="AR229" i="2"/>
  <c r="AR18" i="2"/>
  <c r="AR62" i="2"/>
  <c r="AP280" i="2"/>
  <c r="AV153" i="2"/>
  <c r="N279" i="2"/>
  <c r="N448" i="2" s="1"/>
  <c r="AR61" i="2" l="1"/>
  <c r="AV148" i="2"/>
  <c r="AV45" i="2"/>
  <c r="AR157" i="2"/>
  <c r="AQ168" i="2"/>
  <c r="AQ170" i="2" s="1"/>
  <c r="AU148" i="2"/>
  <c r="AU150" i="2" s="1"/>
  <c r="AU47" i="2" s="1"/>
  <c r="AU45" i="2"/>
  <c r="AH371" i="2"/>
  <c r="AH372" i="2" s="1"/>
  <c r="AH383" i="2"/>
  <c r="AP246" i="2"/>
  <c r="AR230" i="2"/>
  <c r="AR228" i="2"/>
  <c r="L200" i="2"/>
  <c r="L201" i="2"/>
  <c r="L57" i="2"/>
  <c r="L67" i="2"/>
  <c r="AH380" i="2"/>
  <c r="AH396" i="2"/>
  <c r="AH334" i="2"/>
  <c r="AI5" i="2"/>
  <c r="AX410" i="2"/>
  <c r="AX408" i="2" s="1"/>
  <c r="L61" i="2"/>
  <c r="L75" i="2"/>
  <c r="L65" i="2" s="1"/>
  <c r="L66" i="2" s="1"/>
  <c r="AW153" i="2"/>
  <c r="AG392" i="2"/>
  <c r="AG369" i="2"/>
  <c r="AH393" i="2" s="1"/>
  <c r="AV149" i="2"/>
  <c r="N146" i="2"/>
  <c r="N149" i="2" s="1"/>
  <c r="AI383" i="2"/>
  <c r="AI393" i="2"/>
  <c r="AI371" i="2"/>
  <c r="AI372" i="2" s="1"/>
  <c r="L157" i="2"/>
  <c r="AJ393" i="2"/>
  <c r="AJ371" i="2"/>
  <c r="AJ372" i="2" s="1"/>
  <c r="AJ383" i="2"/>
  <c r="AK393" i="2"/>
  <c r="AX118" i="2"/>
  <c r="AX128" i="2"/>
  <c r="AY117" i="2"/>
  <c r="AP446" i="2"/>
  <c r="AP291" i="2"/>
  <c r="AN423" i="2"/>
  <c r="AN424" i="2" s="1"/>
  <c r="AN330" i="2"/>
  <c r="AN26" i="2"/>
  <c r="AN70" i="2"/>
  <c r="AN39" i="2"/>
  <c r="AG341" i="2"/>
  <c r="AG340" i="2"/>
  <c r="AG338" i="2"/>
  <c r="AT51" i="2"/>
  <c r="AT11" i="2"/>
  <c r="AT46" i="2"/>
  <c r="AT52" i="2" s="1"/>
  <c r="AR226" i="2"/>
  <c r="AR75" i="2"/>
  <c r="L54" i="2"/>
  <c r="L53" i="2"/>
  <c r="AN227" i="2"/>
  <c r="L226" i="2"/>
  <c r="N158" i="2"/>
  <c r="AG379" i="2"/>
  <c r="AP171" i="2"/>
  <c r="AP50" i="2"/>
  <c r="AQ202" i="2"/>
  <c r="L94" i="2"/>
  <c r="L148" i="2" s="1"/>
  <c r="L150" i="2" s="1"/>
  <c r="L51" i="2"/>
  <c r="AW119" i="2"/>
  <c r="AW129" i="2"/>
  <c r="AS229" i="2"/>
  <c r="AS62" i="2"/>
  <c r="AS18" i="2"/>
  <c r="AT16" i="2"/>
  <c r="AT53" i="2"/>
  <c r="AT54" i="2"/>
  <c r="AR201" i="2"/>
  <c r="AR200" i="2"/>
  <c r="AR202" i="2" s="1"/>
  <c r="AR65" i="2"/>
  <c r="AR66" i="2" s="1"/>
  <c r="AR57" i="2"/>
  <c r="AR67" i="2"/>
  <c r="AR349" i="2"/>
  <c r="AR345" i="2"/>
  <c r="AR346" i="2"/>
  <c r="AS225" i="2"/>
  <c r="AS77" i="2"/>
  <c r="AS58" i="2"/>
  <c r="AS13" i="2"/>
  <c r="AS226" i="2" l="1"/>
  <c r="AS75" i="2"/>
  <c r="AT229" i="2"/>
  <c r="AT62" i="2"/>
  <c r="AT18" i="2"/>
  <c r="AG380" i="2"/>
  <c r="AG396" i="2"/>
  <c r="AN231" i="2"/>
  <c r="L227" i="2"/>
  <c r="L231" i="2" s="1"/>
  <c r="AN329" i="2"/>
  <c r="AN328" i="2"/>
  <c r="AN68" i="2"/>
  <c r="AN425" i="2"/>
  <c r="AY128" i="2"/>
  <c r="AY118" i="2"/>
  <c r="AX406" i="2"/>
  <c r="AV150" i="2"/>
  <c r="AV47" i="2" s="1"/>
  <c r="AS61" i="2"/>
  <c r="AR227" i="2"/>
  <c r="AG342" i="2"/>
  <c r="AX153" i="2"/>
  <c r="AQ258" i="2"/>
  <c r="AQ171" i="2"/>
  <c r="AQ50" i="2"/>
  <c r="AS201" i="2"/>
  <c r="AS200" i="2"/>
  <c r="AS57" i="2"/>
  <c r="AS65" i="2"/>
  <c r="AS66" i="2" s="1"/>
  <c r="AS67" i="2"/>
  <c r="AS349" i="2"/>
  <c r="AS345" i="2"/>
  <c r="AS346" i="2"/>
  <c r="AW130" i="2"/>
  <c r="AW120" i="2"/>
  <c r="AW92" i="2" s="1"/>
  <c r="AW94" i="2" s="1"/>
  <c r="AN28" i="2"/>
  <c r="AN27" i="2"/>
  <c r="AQ21" i="2"/>
  <c r="AP303" i="2"/>
  <c r="AX119" i="2"/>
  <c r="AX129" i="2"/>
  <c r="AG393" i="2"/>
  <c r="AG383" i="2"/>
  <c r="AG371" i="2"/>
  <c r="AG372" i="2" s="1"/>
  <c r="AI334" i="2"/>
  <c r="AJ5" i="2"/>
  <c r="L202" i="2"/>
  <c r="AU46" i="2"/>
  <c r="AU52" i="2" s="1"/>
  <c r="AU51" i="2"/>
  <c r="AU11" i="2"/>
  <c r="AS157" i="2"/>
  <c r="AR168" i="2"/>
  <c r="AR170" i="2" s="1"/>
  <c r="AS228" i="2"/>
  <c r="AS230" i="2"/>
  <c r="AT225" i="2"/>
  <c r="AT58" i="2"/>
  <c r="AT13" i="2"/>
  <c r="AT77" i="2"/>
  <c r="M11" i="2"/>
  <c r="AH341" i="2"/>
  <c r="AH340" i="2"/>
  <c r="AH338" i="2"/>
  <c r="AU53" i="2"/>
  <c r="AU54" i="2"/>
  <c r="AU16" i="2"/>
  <c r="AV11" i="2"/>
  <c r="AV46" i="2"/>
  <c r="AV51" i="2"/>
  <c r="AV52" i="2" l="1"/>
  <c r="AT201" i="2"/>
  <c r="AT200" i="2"/>
  <c r="AT202" i="2" s="1"/>
  <c r="AT57" i="2"/>
  <c r="AT67" i="2"/>
  <c r="AT349" i="2"/>
  <c r="AT345" i="2"/>
  <c r="AT346" i="2"/>
  <c r="AT157" i="2"/>
  <c r="AS168" i="2"/>
  <c r="AS170" i="2" s="1"/>
  <c r="AW148" i="2"/>
  <c r="AW150" i="2" s="1"/>
  <c r="AW47" i="2" s="1"/>
  <c r="AW45" i="2"/>
  <c r="AS202" i="2"/>
  <c r="AQ441" i="2"/>
  <c r="AQ433" i="2" s="1"/>
  <c r="AQ439" i="2"/>
  <c r="AQ272" i="2"/>
  <c r="L258" i="2"/>
  <c r="AT61" i="2"/>
  <c r="AS227" i="2"/>
  <c r="AS231" i="2" s="1"/>
  <c r="AV225" i="2"/>
  <c r="AV13" i="2"/>
  <c r="AV58" i="2"/>
  <c r="AH342" i="2"/>
  <c r="AU225" i="2"/>
  <c r="AU13" i="2"/>
  <c r="AU77" i="2"/>
  <c r="AU58" i="2"/>
  <c r="AJ334" i="2"/>
  <c r="AK5" i="2"/>
  <c r="AQ436" i="2"/>
  <c r="AQ437" i="2" s="1"/>
  <c r="AQ209" i="2"/>
  <c r="L21" i="2"/>
  <c r="AQ23" i="2"/>
  <c r="AV53" i="2"/>
  <c r="AV54" i="2"/>
  <c r="AV16" i="2"/>
  <c r="AY129" i="2"/>
  <c r="AY119" i="2"/>
  <c r="AU229" i="2"/>
  <c r="AU18" i="2"/>
  <c r="AU62" i="2"/>
  <c r="M58" i="2"/>
  <c r="M45" i="2"/>
  <c r="M13" i="2"/>
  <c r="AR258" i="2"/>
  <c r="AR171" i="2"/>
  <c r="AR50" i="2"/>
  <c r="AI341" i="2"/>
  <c r="AI340" i="2"/>
  <c r="AI338" i="2"/>
  <c r="AN288" i="2"/>
  <c r="AN208" i="2"/>
  <c r="AR231" i="2"/>
  <c r="AY410" i="2"/>
  <c r="AY408" i="2" s="1"/>
  <c r="AY406" i="2" s="1"/>
  <c r="M406" i="2" s="1"/>
  <c r="N406" i="2"/>
  <c r="AT230" i="2"/>
  <c r="AT228" i="2"/>
  <c r="AT226" i="2"/>
  <c r="AT75" i="2"/>
  <c r="AX130" i="2"/>
  <c r="AX120" i="2"/>
  <c r="AX92" i="2" s="1"/>
  <c r="AX94" i="2" s="1"/>
  <c r="AN409" i="2"/>
  <c r="AN407" i="2" s="1"/>
  <c r="AN30" i="2"/>
  <c r="AY153" i="2"/>
  <c r="M16" i="2"/>
  <c r="AN467" i="2" l="1"/>
  <c r="AN413" i="2"/>
  <c r="AN32" i="2"/>
  <c r="AR441" i="2"/>
  <c r="AR439" i="2"/>
  <c r="AR272" i="2"/>
  <c r="AY130" i="2"/>
  <c r="AY120" i="2"/>
  <c r="AY92" i="2" s="1"/>
  <c r="AQ438" i="2"/>
  <c r="AQ278" i="2"/>
  <c r="AQ280" i="2" s="1"/>
  <c r="AQ246" i="2" s="1"/>
  <c r="AQ434" i="2"/>
  <c r="AU226" i="2"/>
  <c r="AU75" i="2"/>
  <c r="M75" i="2" s="1"/>
  <c r="M77" i="2"/>
  <c r="L441" i="2"/>
  <c r="L440" i="2"/>
  <c r="L331" i="2" s="1"/>
  <c r="L439" i="2"/>
  <c r="L272" i="2"/>
  <c r="AQ444" i="2"/>
  <c r="AQ435" i="2"/>
  <c r="AR433" i="2"/>
  <c r="AS258" i="2"/>
  <c r="AS50" i="2"/>
  <c r="AS171" i="2"/>
  <c r="M18" i="2"/>
  <c r="M62" i="2"/>
  <c r="M47" i="2"/>
  <c r="AN37" i="2"/>
  <c r="AN36" i="2" s="1"/>
  <c r="AT227" i="2"/>
  <c r="M226" i="2"/>
  <c r="M46" i="2"/>
  <c r="M52" i="2" s="1"/>
  <c r="AQ423" i="2"/>
  <c r="AQ424" i="2" s="1"/>
  <c r="AQ70" i="2"/>
  <c r="AQ39" i="2"/>
  <c r="AK334" i="2"/>
  <c r="AL5" i="2"/>
  <c r="AU201" i="2"/>
  <c r="AU200" i="2"/>
  <c r="AU57" i="2"/>
  <c r="AU67" i="2"/>
  <c r="AU349" i="2"/>
  <c r="AU345" i="2"/>
  <c r="AU346" i="2"/>
  <c r="AU157" i="2"/>
  <c r="M157" i="2" s="1"/>
  <c r="M168" i="2" s="1"/>
  <c r="M170" i="2" s="1"/>
  <c r="AT168" i="2"/>
  <c r="AT170" i="2" s="1"/>
  <c r="L153" i="2"/>
  <c r="L168" i="2" s="1"/>
  <c r="L170" i="2" s="1"/>
  <c r="AX148" i="2"/>
  <c r="AX150" i="2" s="1"/>
  <c r="AX47" i="2" s="1"/>
  <c r="AX45" i="2"/>
  <c r="AN247" i="2"/>
  <c r="M200" i="2"/>
  <c r="M201" i="2"/>
  <c r="M57" i="2"/>
  <c r="M67" i="2"/>
  <c r="AU61" i="2"/>
  <c r="AV229" i="2"/>
  <c r="AV18" i="2"/>
  <c r="AV62" i="2"/>
  <c r="L436" i="2"/>
  <c r="L437" i="2" s="1"/>
  <c r="L438" i="2" s="1"/>
  <c r="L23" i="2"/>
  <c r="AJ340" i="2"/>
  <c r="AJ341" i="2"/>
  <c r="AJ338" i="2"/>
  <c r="AV77" i="2"/>
  <c r="AW46" i="2"/>
  <c r="AW52" i="2" s="1"/>
  <c r="AW51" i="2"/>
  <c r="AW11" i="2"/>
  <c r="N153" i="2"/>
  <c r="AI342" i="2"/>
  <c r="M94" i="2"/>
  <c r="M148" i="2" s="1"/>
  <c r="M150" i="2" s="1"/>
  <c r="M51" i="2"/>
  <c r="AU228" i="2"/>
  <c r="AU230" i="2"/>
  <c r="AV201" i="2"/>
  <c r="AV200" i="2"/>
  <c r="AV202" i="2" s="1"/>
  <c r="AV57" i="2"/>
  <c r="AV67" i="2"/>
  <c r="AV349" i="2"/>
  <c r="AV345" i="2"/>
  <c r="AV346" i="2"/>
  <c r="AQ440" i="2"/>
  <c r="AQ331" i="2" s="1"/>
  <c r="AW54" i="2"/>
  <c r="AW53" i="2"/>
  <c r="AW16" i="2"/>
  <c r="AT65" i="2"/>
  <c r="AT66" i="2" s="1"/>
  <c r="M171" i="2" l="1"/>
  <c r="M50" i="2"/>
  <c r="M65" i="2"/>
  <c r="M66" i="2" s="1"/>
  <c r="L423" i="2"/>
  <c r="L424" i="2" s="1"/>
  <c r="L70" i="2"/>
  <c r="L39" i="2"/>
  <c r="AL334" i="2"/>
  <c r="AM5" i="2"/>
  <c r="AQ446" i="2"/>
  <c r="AQ291" i="2"/>
  <c r="AW225" i="2"/>
  <c r="AW77" i="2"/>
  <c r="AW58" i="2"/>
  <c r="AW13" i="2"/>
  <c r="AJ342" i="2"/>
  <c r="AV61" i="2"/>
  <c r="M202" i="2"/>
  <c r="AX51" i="2"/>
  <c r="AX46" i="2"/>
  <c r="AX52" i="2" s="1"/>
  <c r="AX11" i="2"/>
  <c r="AU65" i="2"/>
  <c r="AU66" i="2" s="1"/>
  <c r="AK341" i="2"/>
  <c r="AK340" i="2"/>
  <c r="AK338" i="2"/>
  <c r="AK342" i="2" s="1"/>
  <c r="M54" i="2"/>
  <c r="M53" i="2"/>
  <c r="AU227" i="2"/>
  <c r="AU231" i="2" s="1"/>
  <c r="AY94" i="2"/>
  <c r="N92" i="2"/>
  <c r="M92" i="2"/>
  <c r="L92" i="2"/>
  <c r="H92" i="2"/>
  <c r="I92" i="2"/>
  <c r="J92" i="2"/>
  <c r="K92" i="2"/>
  <c r="AV226" i="2"/>
  <c r="AV75" i="2"/>
  <c r="AV230" i="2"/>
  <c r="AV228" i="2"/>
  <c r="AX53" i="2"/>
  <c r="AX54" i="2"/>
  <c r="AX16" i="2"/>
  <c r="AT258" i="2"/>
  <c r="AT50" i="2"/>
  <c r="AT171" i="2"/>
  <c r="AU202" i="2"/>
  <c r="AQ425" i="2"/>
  <c r="AT231" i="2"/>
  <c r="M227" i="2"/>
  <c r="M231" i="2" s="1"/>
  <c r="AS441" i="2"/>
  <c r="AS439" i="2"/>
  <c r="AS272" i="2"/>
  <c r="AQ445" i="2"/>
  <c r="AN472" i="2"/>
  <c r="AN412" i="2"/>
  <c r="AN309" i="2"/>
  <c r="AN245" i="2"/>
  <c r="AN206" i="2"/>
  <c r="AN210" i="2" s="1"/>
  <c r="AN35" i="2"/>
  <c r="AW229" i="2"/>
  <c r="AW62" i="2"/>
  <c r="AW18" i="2"/>
  <c r="L50" i="2"/>
  <c r="L171" i="2"/>
  <c r="AV157" i="2"/>
  <c r="AU168" i="2"/>
  <c r="AU170" i="2" s="1"/>
  <c r="AQ68" i="2"/>
  <c r="M61" i="2"/>
  <c r="AS433" i="2"/>
  <c r="AN34" i="2"/>
  <c r="AN1" i="2" s="1"/>
  <c r="AU258" i="2" l="1"/>
  <c r="AU171" i="2"/>
  <c r="AU50" i="2"/>
  <c r="AW228" i="2"/>
  <c r="AW230" i="2"/>
  <c r="AN311" i="2"/>
  <c r="AV227" i="2"/>
  <c r="AY45" i="2"/>
  <c r="AY148" i="2"/>
  <c r="AY150" i="2" s="1"/>
  <c r="AY47" i="2" s="1"/>
  <c r="AX225" i="2"/>
  <c r="AX58" i="2"/>
  <c r="AX77" i="2"/>
  <c r="AX13" i="2"/>
  <c r="AW201" i="2"/>
  <c r="AW200" i="2"/>
  <c r="AW202" i="2" s="1"/>
  <c r="AW57" i="2"/>
  <c r="AW67" i="2"/>
  <c r="AW349" i="2"/>
  <c r="AW345" i="2"/>
  <c r="AW346" i="2"/>
  <c r="AM334" i="2"/>
  <c r="AN5" i="2"/>
  <c r="AW157" i="2"/>
  <c r="AV168" i="2"/>
  <c r="AV170" i="2" s="1"/>
  <c r="AT441" i="2"/>
  <c r="AT433" i="2" s="1"/>
  <c r="AT439" i="2"/>
  <c r="AT272" i="2"/>
  <c r="AR21" i="2"/>
  <c r="AQ303" i="2"/>
  <c r="AL341" i="2"/>
  <c r="AL340" i="2"/>
  <c r="AL338" i="2"/>
  <c r="AL342" i="2" s="1"/>
  <c r="AW61" i="2"/>
  <c r="AN214" i="2"/>
  <c r="AX229" i="2"/>
  <c r="AX62" i="2"/>
  <c r="AX18" i="2"/>
  <c r="AV65" i="2"/>
  <c r="AV66" i="2" s="1"/>
  <c r="AW226" i="2"/>
  <c r="AW227" i="2" s="1"/>
  <c r="AW231" i="2" s="1"/>
  <c r="AW75" i="2"/>
  <c r="AW65" i="2" s="1"/>
  <c r="AW66" i="2" s="1"/>
  <c r="L425" i="2"/>
  <c r="L68" i="2"/>
  <c r="AX61" i="2" l="1"/>
  <c r="AN399" i="2"/>
  <c r="AN216" i="2"/>
  <c r="AN215" i="2"/>
  <c r="AN40" i="2"/>
  <c r="AM341" i="2"/>
  <c r="AN341" i="2" s="1"/>
  <c r="AM340" i="2"/>
  <c r="AN340" i="2" s="1"/>
  <c r="AM338" i="2"/>
  <c r="AV231" i="2"/>
  <c r="AV258" i="2"/>
  <c r="AV171" i="2"/>
  <c r="AV50" i="2"/>
  <c r="AX201" i="2"/>
  <c r="AX200" i="2"/>
  <c r="AX57" i="2"/>
  <c r="AX67" i="2"/>
  <c r="AX349" i="2"/>
  <c r="AX345" i="2"/>
  <c r="AX346" i="2"/>
  <c r="AY53" i="2"/>
  <c r="AY54" i="2"/>
  <c r="AY16" i="2"/>
  <c r="AN418" i="2"/>
  <c r="AN417" i="2"/>
  <c r="AN416" i="2"/>
  <c r="AN415" i="2"/>
  <c r="AN466" i="2" s="1"/>
  <c r="AN468" i="2" s="1"/>
  <c r="AN355" i="2"/>
  <c r="AN429" i="2"/>
  <c r="AN430" i="2"/>
  <c r="AX230" i="2"/>
  <c r="AX228" i="2"/>
  <c r="AX226" i="2"/>
  <c r="AX75" i="2"/>
  <c r="AY46" i="2"/>
  <c r="AY52" i="2" s="1"/>
  <c r="AY51" i="2"/>
  <c r="AY11" i="2"/>
  <c r="AR436" i="2"/>
  <c r="AR437" i="2" s="1"/>
  <c r="AR209" i="2"/>
  <c r="AR23" i="2"/>
  <c r="AX157" i="2"/>
  <c r="AW168" i="2"/>
  <c r="AW170" i="2" s="1"/>
  <c r="AN334" i="2"/>
  <c r="AO5" i="2"/>
  <c r="AU439" i="2"/>
  <c r="AU441" i="2"/>
  <c r="AU433" i="2" s="1"/>
  <c r="AU272" i="2"/>
  <c r="M258" i="2"/>
  <c r="AO334" i="2" l="1"/>
  <c r="AP5" i="2"/>
  <c r="AR423" i="2"/>
  <c r="AR424" i="2" s="1"/>
  <c r="AR70" i="2"/>
  <c r="AR39" i="2"/>
  <c r="AY225" i="2"/>
  <c r="AY13" i="2"/>
  <c r="AY77" i="2"/>
  <c r="AY58" i="2"/>
  <c r="N11" i="2"/>
  <c r="AO341" i="2"/>
  <c r="AN299" i="2"/>
  <c r="AX227" i="2"/>
  <c r="AY229" i="2"/>
  <c r="AY18" i="2"/>
  <c r="AY62" i="2"/>
  <c r="N16" i="2"/>
  <c r="AX65" i="2"/>
  <c r="AX66" i="2" s="1"/>
  <c r="M439" i="2"/>
  <c r="M441" i="2"/>
  <c r="M272" i="2"/>
  <c r="AW258" i="2"/>
  <c r="AW171" i="2"/>
  <c r="AW50" i="2"/>
  <c r="AX202" i="2"/>
  <c r="AV441" i="2"/>
  <c r="AV433" i="2" s="1"/>
  <c r="AV439" i="2"/>
  <c r="AV272" i="2"/>
  <c r="AM342" i="2"/>
  <c r="AN338" i="2"/>
  <c r="AY157" i="2"/>
  <c r="AX168" i="2"/>
  <c r="AX170" i="2" s="1"/>
  <c r="AR438" i="2"/>
  <c r="AR278" i="2"/>
  <c r="AR440" i="2"/>
  <c r="AR331" i="2" s="1"/>
  <c r="AR434" i="2"/>
  <c r="AR444" i="2"/>
  <c r="AO340" i="2"/>
  <c r="AN287" i="2"/>
  <c r="N157" i="2"/>
  <c r="N168" i="2" s="1"/>
  <c r="N170" i="2" s="1"/>
  <c r="AN252" i="2" l="1"/>
  <c r="AN339" i="2"/>
  <c r="AR445" i="2"/>
  <c r="AR435" i="2"/>
  <c r="AX258" i="2"/>
  <c r="AX171" i="2"/>
  <c r="AX50" i="2"/>
  <c r="N18" i="2"/>
  <c r="N62" i="2"/>
  <c r="N47" i="2"/>
  <c r="AX231" i="2"/>
  <c r="AY201" i="2"/>
  <c r="AY200" i="2"/>
  <c r="AY57" i="2"/>
  <c r="AY67" i="2"/>
  <c r="AY349" i="2"/>
  <c r="AY345" i="2"/>
  <c r="AY346" i="2"/>
  <c r="AO459" i="2"/>
  <c r="AP340" i="2"/>
  <c r="AO287" i="2"/>
  <c r="J157" i="2"/>
  <c r="J168" i="2" s="1"/>
  <c r="J170" i="2" s="1"/>
  <c r="AY168" i="2"/>
  <c r="AY170" i="2" s="1"/>
  <c r="N58" i="2"/>
  <c r="N45" i="2"/>
  <c r="N46" i="2"/>
  <c r="N52" i="2" s="1"/>
  <c r="N13" i="2"/>
  <c r="M225" i="2"/>
  <c r="N225" i="2"/>
  <c r="AR280" i="2"/>
  <c r="AO338" i="2"/>
  <c r="AN337" i="2"/>
  <c r="AN342" i="2"/>
  <c r="AN286" i="2"/>
  <c r="AW441" i="2"/>
  <c r="AW433" i="2" s="1"/>
  <c r="AW439" i="2"/>
  <c r="AW272" i="2"/>
  <c r="AY61" i="2"/>
  <c r="AN254" i="2"/>
  <c r="AN301" i="2"/>
  <c r="AR68" i="2"/>
  <c r="AR425" i="2"/>
  <c r="N171" i="2"/>
  <c r="N50" i="2"/>
  <c r="AY228" i="2"/>
  <c r="AY230" i="2"/>
  <c r="M229" i="2"/>
  <c r="M230" i="2" s="1"/>
  <c r="N229" i="2"/>
  <c r="N230" i="2" s="1"/>
  <c r="AO460" i="2"/>
  <c r="AP341" i="2"/>
  <c r="AO299" i="2"/>
  <c r="AY226" i="2"/>
  <c r="AY75" i="2"/>
  <c r="AY65" i="2" s="1"/>
  <c r="AY66" i="2" s="1"/>
  <c r="N77" i="2"/>
  <c r="AP334" i="2"/>
  <c r="AQ5" i="2"/>
  <c r="AR246" i="2" l="1"/>
  <c r="J50" i="2"/>
  <c r="J171" i="2"/>
  <c r="N61" i="2"/>
  <c r="AR446" i="2"/>
  <c r="AR291" i="2"/>
  <c r="AY227" i="2"/>
  <c r="N226" i="2"/>
  <c r="AO254" i="2"/>
  <c r="AO301" i="2"/>
  <c r="N94" i="2"/>
  <c r="N148" i="2" s="1"/>
  <c r="N150" i="2" s="1"/>
  <c r="N51" i="2"/>
  <c r="AO252" i="2"/>
  <c r="AO339" i="2"/>
  <c r="AQ341" i="2"/>
  <c r="AP299" i="2"/>
  <c r="AO458" i="2"/>
  <c r="AO461" i="2" s="1"/>
  <c r="AO462" i="2" s="1"/>
  <c r="AO292" i="2" s="1"/>
  <c r="AP292" i="2" s="1"/>
  <c r="AQ292" i="2" s="1"/>
  <c r="AR292" i="2" s="1"/>
  <c r="AS292" i="2" s="1"/>
  <c r="AT292" i="2" s="1"/>
  <c r="AU292" i="2" s="1"/>
  <c r="AV292" i="2" s="1"/>
  <c r="AW292" i="2" s="1"/>
  <c r="AX292" i="2" s="1"/>
  <c r="AY292" i="2" s="1"/>
  <c r="AO342" i="2"/>
  <c r="AO337" i="2"/>
  <c r="AP338" i="2"/>
  <c r="AO286" i="2"/>
  <c r="AQ340" i="2"/>
  <c r="AP287" i="2"/>
  <c r="AY202" i="2"/>
  <c r="N54" i="2"/>
  <c r="N53" i="2"/>
  <c r="AQ334" i="2"/>
  <c r="AR5" i="2"/>
  <c r="N75" i="2"/>
  <c r="N65" i="2" s="1"/>
  <c r="N66" i="2" s="1"/>
  <c r="M228" i="2"/>
  <c r="N228" i="2"/>
  <c r="AN421" i="2"/>
  <c r="AN374" i="2"/>
  <c r="AN376" i="2" s="1"/>
  <c r="AN335" i="2"/>
  <c r="AN251" i="2"/>
  <c r="N201" i="2"/>
  <c r="N200" i="2"/>
  <c r="N57" i="2"/>
  <c r="N67" i="2"/>
  <c r="AY258" i="2"/>
  <c r="AY171" i="2"/>
  <c r="AY50" i="2"/>
  <c r="AX441" i="2"/>
  <c r="AX433" i="2" s="1"/>
  <c r="AX439" i="2"/>
  <c r="AX272" i="2"/>
  <c r="N258" i="2"/>
  <c r="AN257" i="2" l="1"/>
  <c r="AO374" i="2"/>
  <c r="AO376" i="2" s="1"/>
  <c r="AO251" i="2"/>
  <c r="AS21" i="2"/>
  <c r="AR303" i="2"/>
  <c r="AY441" i="2"/>
  <c r="AY433" i="2" s="1"/>
  <c r="AY439" i="2"/>
  <c r="AY272" i="2"/>
  <c r="N202" i="2"/>
  <c r="AR334" i="2"/>
  <c r="AS5" i="2"/>
  <c r="AP342" i="2"/>
  <c r="AQ338" i="2"/>
  <c r="AP337" i="2"/>
  <c r="AP286" i="2"/>
  <c r="AP254" i="2"/>
  <c r="AP301" i="2"/>
  <c r="N441" i="2"/>
  <c r="N439" i="2"/>
  <c r="N272" i="2"/>
  <c r="AN378" i="2"/>
  <c r="AP252" i="2"/>
  <c r="AP339" i="2"/>
  <c r="AR341" i="2"/>
  <c r="AQ299" i="2"/>
  <c r="AY231" i="2"/>
  <c r="N227" i="2"/>
  <c r="N231" i="2" s="1"/>
  <c r="AN352" i="2"/>
  <c r="AN354" i="2" s="1"/>
  <c r="AN357" i="2" s="1"/>
  <c r="AN359" i="2" s="1"/>
  <c r="AN368" i="2" s="1"/>
  <c r="AN428" i="2"/>
  <c r="AN427" i="2"/>
  <c r="AR340" i="2"/>
  <c r="AQ287" i="2"/>
  <c r="AO378" i="2" l="1"/>
  <c r="AQ254" i="2"/>
  <c r="AQ301" i="2"/>
  <c r="AN379" i="2"/>
  <c r="AP374" i="2"/>
  <c r="AP376" i="2" s="1"/>
  <c r="AP251" i="2"/>
  <c r="AS334" i="2"/>
  <c r="AT5" i="2"/>
  <c r="AS436" i="2"/>
  <c r="AS437" i="2" s="1"/>
  <c r="AS209" i="2"/>
  <c r="AS23" i="2"/>
  <c r="AN392" i="2"/>
  <c r="AN369" i="2"/>
  <c r="AS341" i="2"/>
  <c r="AR299" i="2"/>
  <c r="AN271" i="2"/>
  <c r="AN259" i="2"/>
  <c r="AS340" i="2"/>
  <c r="AR287" i="2"/>
  <c r="AQ252" i="2"/>
  <c r="AQ339" i="2"/>
  <c r="AQ342" i="2"/>
  <c r="AQ337" i="2"/>
  <c r="AR338" i="2"/>
  <c r="AQ286" i="2"/>
  <c r="AS338" i="2" l="1"/>
  <c r="AR342" i="2"/>
  <c r="AR337" i="2"/>
  <c r="AR286" i="2"/>
  <c r="AN393" i="2"/>
  <c r="AN371" i="2"/>
  <c r="L251" i="2"/>
  <c r="AN396" i="2"/>
  <c r="AS438" i="2"/>
  <c r="AS278" i="2"/>
  <c r="AS440" i="2"/>
  <c r="AS331" i="2" s="1"/>
  <c r="AS444" i="2"/>
  <c r="AS434" i="2"/>
  <c r="AR252" i="2"/>
  <c r="AR339" i="2"/>
  <c r="AR254" i="2"/>
  <c r="AR301" i="2"/>
  <c r="AT334" i="2"/>
  <c r="AU5" i="2"/>
  <c r="AP378" i="2"/>
  <c r="AQ374" i="2"/>
  <c r="AQ376" i="2" s="1"/>
  <c r="AQ251" i="2"/>
  <c r="AT340" i="2"/>
  <c r="AS287" i="2"/>
  <c r="AT341" i="2"/>
  <c r="AS299" i="2"/>
  <c r="AS423" i="2"/>
  <c r="AS424" i="2" s="1"/>
  <c r="AS70" i="2"/>
  <c r="AS39" i="2"/>
  <c r="AS252" i="2" l="1"/>
  <c r="AS339" i="2"/>
  <c r="AQ378" i="2"/>
  <c r="AU334" i="2"/>
  <c r="AV5" i="2"/>
  <c r="AR374" i="2"/>
  <c r="AR376" i="2" s="1"/>
  <c r="AR251" i="2"/>
  <c r="AS68" i="2"/>
  <c r="AS425" i="2"/>
  <c r="AU340" i="2"/>
  <c r="AT287" i="2"/>
  <c r="AN383" i="2"/>
  <c r="AN302" i="2" s="1"/>
  <c r="AS254" i="2"/>
  <c r="AS301" i="2"/>
  <c r="AS280" i="2"/>
  <c r="AU341" i="2"/>
  <c r="AT299" i="2"/>
  <c r="AS445" i="2"/>
  <c r="AS435" i="2"/>
  <c r="AS342" i="2"/>
  <c r="AS337" i="2"/>
  <c r="AS286" i="2"/>
  <c r="AT338" i="2"/>
  <c r="AT342" i="2" l="1"/>
  <c r="AU338" i="2"/>
  <c r="AT337" i="2"/>
  <c r="AT286" i="2"/>
  <c r="AS446" i="2"/>
  <c r="AS291" i="2"/>
  <c r="AT254" i="2"/>
  <c r="AT301" i="2"/>
  <c r="AN318" i="2"/>
  <c r="AN319" i="2"/>
  <c r="AN305" i="2"/>
  <c r="AN313" i="2" s="1"/>
  <c r="AV340" i="2"/>
  <c r="AU287" i="2"/>
  <c r="AR378" i="2"/>
  <c r="AS374" i="2"/>
  <c r="AS376" i="2" s="1"/>
  <c r="AS251" i="2"/>
  <c r="AV341" i="2"/>
  <c r="AU299" i="2"/>
  <c r="AV334" i="2"/>
  <c r="AW5" i="2"/>
  <c r="AS246" i="2"/>
  <c r="AT252" i="2"/>
  <c r="AT339" i="2"/>
  <c r="AW340" i="2" l="1"/>
  <c r="AV287" i="2"/>
  <c r="AT374" i="2"/>
  <c r="AT376" i="2" s="1"/>
  <c r="AT251" i="2"/>
  <c r="M254" i="2"/>
  <c r="AW334" i="2"/>
  <c r="AX5" i="2"/>
  <c r="AU254" i="2"/>
  <c r="AU301" i="2"/>
  <c r="AS378" i="2"/>
  <c r="AN321" i="2"/>
  <c r="AN263" i="2"/>
  <c r="AO24" i="2"/>
  <c r="AN372" i="2"/>
  <c r="AT21" i="2"/>
  <c r="AS303" i="2"/>
  <c r="AU342" i="2"/>
  <c r="AV338" i="2"/>
  <c r="AU337" i="2"/>
  <c r="AU286" i="2"/>
  <c r="M252" i="2"/>
  <c r="AW341" i="2"/>
  <c r="AV299" i="2"/>
  <c r="AU252" i="2"/>
  <c r="AU339" i="2"/>
  <c r="AX334" i="2" l="1"/>
  <c r="AY5" i="2"/>
  <c r="AV254" i="2"/>
  <c r="AV301" i="2"/>
  <c r="AT436" i="2"/>
  <c r="AT437" i="2" s="1"/>
  <c r="AT209" i="2"/>
  <c r="AT23" i="2"/>
  <c r="AO207" i="2"/>
  <c r="AO330" i="2"/>
  <c r="AO26" i="2"/>
  <c r="AO329" i="2"/>
  <c r="AO328" i="2"/>
  <c r="AU374" i="2"/>
  <c r="AU376" i="2" s="1"/>
  <c r="AU251" i="2"/>
  <c r="AN273" i="2"/>
  <c r="AN275" i="2" s="1"/>
  <c r="AN268" i="2"/>
  <c r="AN285" i="2" s="1"/>
  <c r="M251" i="2"/>
  <c r="AV252" i="2"/>
  <c r="AV339" i="2"/>
  <c r="AX341" i="2"/>
  <c r="AW299" i="2"/>
  <c r="AW338" i="2"/>
  <c r="AV337" i="2"/>
  <c r="AV342" i="2"/>
  <c r="AV286" i="2"/>
  <c r="AT378" i="2"/>
  <c r="AX340" i="2"/>
  <c r="AW287" i="2"/>
  <c r="AW252" i="2" l="1"/>
  <c r="AW339" i="2"/>
  <c r="AW254" i="2"/>
  <c r="AW301" i="2"/>
  <c r="AT423" i="2"/>
  <c r="AT424" i="2" s="1"/>
  <c r="AT70" i="2"/>
  <c r="AT39" i="2"/>
  <c r="AV374" i="2"/>
  <c r="AV376" i="2" s="1"/>
  <c r="AV251" i="2"/>
  <c r="AY340" i="2"/>
  <c r="AX287" i="2"/>
  <c r="AY341" i="2"/>
  <c r="AX299" i="2"/>
  <c r="AN422" i="2"/>
  <c r="AN290" i="2"/>
  <c r="AN269" i="2"/>
  <c r="AN2" i="2"/>
  <c r="AN380" i="2"/>
  <c r="AN320" i="2"/>
  <c r="AY334" i="2"/>
  <c r="I408" i="2"/>
  <c r="I289" i="2"/>
  <c r="I345" i="2" s="1"/>
  <c r="I433" i="2"/>
  <c r="I444" i="2" s="1"/>
  <c r="I380" i="2"/>
  <c r="H357" i="2"/>
  <c r="H354" i="2"/>
  <c r="H367" i="2"/>
  <c r="H302" i="2"/>
  <c r="I377" i="2"/>
  <c r="H435" i="2"/>
  <c r="H446" i="2" s="1"/>
  <c r="I309" i="2"/>
  <c r="I311" i="2"/>
  <c r="H363" i="2"/>
  <c r="I376" i="2"/>
  <c r="H291" i="2"/>
  <c r="I306" i="2"/>
  <c r="H286" i="2"/>
  <c r="I366" i="2"/>
  <c r="I390" i="2" s="1"/>
  <c r="I369" i="2"/>
  <c r="I393" i="2" s="1"/>
  <c r="H366" i="2"/>
  <c r="I292" i="2"/>
  <c r="I312" i="2"/>
  <c r="I435" i="2"/>
  <c r="I446" i="2" s="1"/>
  <c r="I287" i="2"/>
  <c r="I339" i="2" s="1"/>
  <c r="I340" i="2" s="1"/>
  <c r="H292" i="2"/>
  <c r="I286" i="2"/>
  <c r="I352" i="2"/>
  <c r="I353" i="2"/>
  <c r="H288" i="2"/>
  <c r="H356" i="2"/>
  <c r="I359" i="2"/>
  <c r="H306" i="2"/>
  <c r="I367" i="2"/>
  <c r="H309" i="2"/>
  <c r="I303" i="2"/>
  <c r="I358" i="2"/>
  <c r="I300" i="2"/>
  <c r="I347" i="2" s="1"/>
  <c r="H370" i="2"/>
  <c r="I293" i="2"/>
  <c r="J449" i="2" s="1"/>
  <c r="I379" i="2"/>
  <c r="I302" i="2"/>
  <c r="I434" i="2"/>
  <c r="I445" i="2" s="1"/>
  <c r="J357" i="2"/>
  <c r="J299" i="2"/>
  <c r="J341" i="2" s="1"/>
  <c r="I378" i="2"/>
  <c r="J292" i="2"/>
  <c r="H285" i="2"/>
  <c r="I400" i="2"/>
  <c r="I294" i="2"/>
  <c r="I346" i="2" s="1"/>
  <c r="I365" i="2"/>
  <c r="J309" i="2"/>
  <c r="I368" i="2"/>
  <c r="I392" i="2" s="1"/>
  <c r="H308" i="2"/>
  <c r="J358" i="2"/>
  <c r="I354" i="2"/>
  <c r="I355" i="2"/>
  <c r="I356" i="2"/>
  <c r="I308" i="2"/>
  <c r="I397" i="2"/>
  <c r="J396" i="2"/>
  <c r="I403" i="2"/>
  <c r="J311" i="2"/>
  <c r="H434" i="2"/>
  <c r="H445" i="2" s="1"/>
  <c r="I402" i="2"/>
  <c r="H433" i="2"/>
  <c r="H444" i="2" s="1"/>
  <c r="H378" i="2"/>
  <c r="I382" i="2"/>
  <c r="I299" i="2"/>
  <c r="I341" i="2" s="1"/>
  <c r="I298" i="2"/>
  <c r="I301" i="2" s="1"/>
  <c r="J287" i="2"/>
  <c r="J339" i="2" s="1"/>
  <c r="J340" i="2" s="1"/>
  <c r="J302" i="2"/>
  <c r="J378" i="2"/>
  <c r="J307" i="2"/>
  <c r="I364" i="2"/>
  <c r="I388" i="2" s="1"/>
  <c r="I307" i="2"/>
  <c r="J300" i="2"/>
  <c r="J347" i="2" s="1"/>
  <c r="J356" i="2"/>
  <c r="I396" i="2"/>
  <c r="H365" i="2"/>
  <c r="I363" i="2"/>
  <c r="I387" i="2" s="1"/>
  <c r="I357" i="2"/>
  <c r="H358" i="2"/>
  <c r="I383" i="2"/>
  <c r="J359" i="2"/>
  <c r="J380" i="2"/>
  <c r="I401" i="2"/>
  <c r="I371" i="2"/>
  <c r="J401" i="2"/>
  <c r="K365" i="2"/>
  <c r="J433" i="2"/>
  <c r="J444" i="2" s="1"/>
  <c r="J366" i="2"/>
  <c r="J390" i="2" s="1"/>
  <c r="J402" i="2"/>
  <c r="J435" i="2"/>
  <c r="J446" i="2" s="1"/>
  <c r="J403" i="2"/>
  <c r="J289" i="2"/>
  <c r="J345" i="2" s="1"/>
  <c r="K363" i="2"/>
  <c r="K382" i="2"/>
  <c r="K289" i="2"/>
  <c r="K345" i="2" s="1"/>
  <c r="J434" i="2"/>
  <c r="J445" i="2" s="1"/>
  <c r="I291" i="2"/>
  <c r="J69" i="2" s="1"/>
  <c r="J312" i="2"/>
  <c r="I285" i="2"/>
  <c r="J369" i="2"/>
  <c r="J393" i="2" s="1"/>
  <c r="J306" i="2"/>
  <c r="K396" i="2"/>
  <c r="J298" i="2"/>
  <c r="J301" i="2" s="1"/>
  <c r="K376" i="2"/>
  <c r="J371" i="2"/>
  <c r="J377" i="2"/>
  <c r="J382" i="2"/>
  <c r="I288" i="2"/>
  <c r="J294" i="2"/>
  <c r="J346" i="2" s="1"/>
  <c r="K397" i="2"/>
  <c r="K352" i="2"/>
  <c r="K366" i="2"/>
  <c r="K390" i="2" s="1"/>
  <c r="J353" i="2"/>
  <c r="J364" i="2"/>
  <c r="J388" i="2" s="1"/>
  <c r="J367" i="2"/>
  <c r="J391" i="2" s="1"/>
  <c r="J310" i="2"/>
  <c r="J285" i="2"/>
  <c r="J286" i="2"/>
  <c r="J308" i="2"/>
  <c r="L312" i="2"/>
  <c r="K401" i="2"/>
  <c r="K359" i="2"/>
  <c r="L310" i="2"/>
  <c r="J397" i="2"/>
  <c r="J291" i="2"/>
  <c r="K69" i="2" s="1"/>
  <c r="J400" i="2"/>
  <c r="J293" i="2"/>
  <c r="K449" i="2" s="1"/>
  <c r="K292" i="2"/>
  <c r="J363" i="2"/>
  <c r="J387" i="2" s="1"/>
  <c r="I370" i="2"/>
  <c r="J288" i="2"/>
  <c r="K308" i="2"/>
  <c r="K369" i="2"/>
  <c r="K286" i="2"/>
  <c r="K380" i="2"/>
  <c r="K364" i="2"/>
  <c r="K388" i="2" s="1"/>
  <c r="K377" i="2"/>
  <c r="I310" i="2"/>
  <c r="K435" i="2"/>
  <c r="K446" i="2" s="1"/>
  <c r="J408" i="2"/>
  <c r="J354" i="2"/>
  <c r="J383" i="2"/>
  <c r="J370" i="2"/>
  <c r="L353" i="2"/>
  <c r="L286" i="2"/>
  <c r="K298" i="2"/>
  <c r="I304" i="2"/>
  <c r="I349" i="2" s="1"/>
  <c r="J355" i="2"/>
  <c r="J365" i="2"/>
  <c r="J389" i="2" s="1"/>
  <c r="J362" i="2"/>
  <c r="J352" i="2"/>
  <c r="K302" i="2"/>
  <c r="J303" i="2"/>
  <c r="J348" i="2" s="1"/>
  <c r="K356" i="2"/>
  <c r="J376" i="2"/>
  <c r="K312" i="2"/>
  <c r="K358" i="2"/>
  <c r="K383" i="2"/>
  <c r="L291" i="2"/>
  <c r="I362" i="2"/>
  <c r="I386" i="2" s="1"/>
  <c r="K307" i="2"/>
  <c r="K354" i="2"/>
  <c r="L293" i="2"/>
  <c r="M449" i="2" s="1"/>
  <c r="L289" i="2"/>
  <c r="L345" i="2" s="1"/>
  <c r="K362" i="2"/>
  <c r="K386" i="2" s="1"/>
  <c r="L362" i="2"/>
  <c r="K299" i="2"/>
  <c r="K341" i="2" s="1"/>
  <c r="J304" i="2"/>
  <c r="J349" i="2" s="1"/>
  <c r="K306" i="2"/>
  <c r="K355" i="2"/>
  <c r="L299" i="2"/>
  <c r="L341" i="2" s="1"/>
  <c r="L307" i="2"/>
  <c r="J368" i="2"/>
  <c r="J392" i="2" s="1"/>
  <c r="K287" i="2"/>
  <c r="K339" i="2" s="1"/>
  <c r="K340" i="2" s="1"/>
  <c r="K367" i="2"/>
  <c r="K391" i="2" s="1"/>
  <c r="L397" i="2"/>
  <c r="K433" i="2"/>
  <c r="K444" i="2" s="1"/>
  <c r="L306" i="2"/>
  <c r="K371" i="2"/>
  <c r="K291" i="2"/>
  <c r="L69" i="2" s="1"/>
  <c r="K309" i="2"/>
  <c r="K400" i="2"/>
  <c r="K368" i="2"/>
  <c r="K392" i="2" s="1"/>
  <c r="K304" i="2"/>
  <c r="K349" i="2" s="1"/>
  <c r="J379" i="2"/>
  <c r="K293" i="2"/>
  <c r="L449" i="2" s="1"/>
  <c r="L363" i="2"/>
  <c r="L387" i="2" s="1"/>
  <c r="K310" i="2"/>
  <c r="L287" i="2"/>
  <c r="L339" i="2" s="1"/>
  <c r="L340" i="2" s="1"/>
  <c r="K353" i="2"/>
  <c r="L308" i="2"/>
  <c r="K408" i="2"/>
  <c r="K311" i="2"/>
  <c r="K379" i="2"/>
  <c r="N308" i="2"/>
  <c r="K402" i="2"/>
  <c r="K357" i="2"/>
  <c r="L400" i="2"/>
  <c r="K403" i="2"/>
  <c r="L356" i="2"/>
  <c r="L435" i="2"/>
  <c r="L446" i="2" s="1"/>
  <c r="L434" i="2"/>
  <c r="L445" i="2" s="1"/>
  <c r="M358" i="2"/>
  <c r="M307" i="2"/>
  <c r="K285" i="2"/>
  <c r="L292" i="2"/>
  <c r="K303" i="2"/>
  <c r="K348" i="2" s="1"/>
  <c r="L370" i="2"/>
  <c r="L402" i="2"/>
  <c r="K378" i="2"/>
  <c r="L403" i="2"/>
  <c r="L408" i="2"/>
  <c r="K300" i="2"/>
  <c r="K347" i="2" s="1"/>
  <c r="K288" i="2"/>
  <c r="K294" i="2"/>
  <c r="K346" i="2" s="1"/>
  <c r="K434" i="2"/>
  <c r="K445" i="2" s="1"/>
  <c r="K370" i="2"/>
  <c r="N366" i="2"/>
  <c r="M370" i="2"/>
  <c r="N289" i="2"/>
  <c r="N345" i="2" s="1"/>
  <c r="L300" i="2"/>
  <c r="L347" i="2" s="1"/>
  <c r="M382" i="2"/>
  <c r="M376" i="2"/>
  <c r="M299" i="2"/>
  <c r="M341" i="2" s="1"/>
  <c r="M408" i="2"/>
  <c r="M397" i="2"/>
  <c r="N400" i="2"/>
  <c r="N310" i="2"/>
  <c r="M304" i="2"/>
  <c r="M349" i="2" s="1"/>
  <c r="M400" i="2"/>
  <c r="L382" i="2"/>
  <c r="M433" i="2"/>
  <c r="M353" i="2"/>
  <c r="L376" i="2"/>
  <c r="N408" i="2"/>
  <c r="M294" i="2"/>
  <c r="M346" i="2" s="1"/>
  <c r="N358" i="2"/>
  <c r="M300" i="2"/>
  <c r="M347" i="2" s="1"/>
  <c r="N304" i="2"/>
  <c r="N349" i="2" s="1"/>
  <c r="L303" i="2"/>
  <c r="L348" i="2" s="1"/>
  <c r="L366" i="2"/>
  <c r="L390" i="2" s="1"/>
  <c r="N382" i="2"/>
  <c r="M289" i="2"/>
  <c r="M345" i="2" s="1"/>
  <c r="L298" i="2"/>
  <c r="L358" i="2"/>
  <c r="N403" i="2"/>
  <c r="L365" i="2"/>
  <c r="L389" i="2" s="1"/>
  <c r="N307" i="2"/>
  <c r="N364" i="2"/>
  <c r="N356" i="2"/>
  <c r="N365" i="2"/>
  <c r="N306" i="2"/>
  <c r="N370" i="2"/>
  <c r="N401" i="2"/>
  <c r="L367" i="2"/>
  <c r="L391" i="2" s="1"/>
  <c r="L433" i="2"/>
  <c r="L444" i="2" s="1"/>
  <c r="N397" i="2"/>
  <c r="L378" i="2"/>
  <c r="N312" i="2"/>
  <c r="M402" i="2"/>
  <c r="N293" i="2"/>
  <c r="M306" i="2"/>
  <c r="M364" i="2"/>
  <c r="M363" i="2"/>
  <c r="M387" i="2" s="1"/>
  <c r="M292" i="2"/>
  <c r="N292" i="2"/>
  <c r="M403" i="2"/>
  <c r="L304" i="2"/>
  <c r="L349" i="2" s="1"/>
  <c r="M377" i="2"/>
  <c r="M365" i="2"/>
  <c r="N362" i="2"/>
  <c r="M310" i="2"/>
  <c r="M366" i="2"/>
  <c r="M390" i="2" s="1"/>
  <c r="M298" i="2"/>
  <c r="M301" i="2" s="1"/>
  <c r="L377" i="2"/>
  <c r="M287" i="2"/>
  <c r="M339" i="2" s="1"/>
  <c r="M340" i="2" s="1"/>
  <c r="N367" i="2"/>
  <c r="M312" i="2"/>
  <c r="N363" i="2"/>
  <c r="M286" i="2"/>
  <c r="L401" i="2"/>
  <c r="N433" i="2"/>
  <c r="M308" i="2"/>
  <c r="M367" i="2"/>
  <c r="M391" i="2" s="1"/>
  <c r="L294" i="2"/>
  <c r="L346" i="2" s="1"/>
  <c r="N353" i="2"/>
  <c r="L364" i="2"/>
  <c r="L388" i="2" s="1"/>
  <c r="M362" i="2"/>
  <c r="M386" i="2" s="1"/>
  <c r="M293" i="2"/>
  <c r="N449" i="2" s="1"/>
  <c r="M401" i="2"/>
  <c r="N298" i="2"/>
  <c r="N402" i="2"/>
  <c r="N300" i="2"/>
  <c r="N347" i="2" s="1"/>
  <c r="M356" i="2"/>
  <c r="N377" i="2"/>
  <c r="N294" i="2"/>
  <c r="N346" i="2" s="1"/>
  <c r="AU378" i="2"/>
  <c r="M378" i="2" s="1"/>
  <c r="AO28" i="2"/>
  <c r="AO27" i="2"/>
  <c r="AT438" i="2"/>
  <c r="AT278" i="2"/>
  <c r="AT440" i="2"/>
  <c r="AT331" i="2" s="1"/>
  <c r="AT444" i="2"/>
  <c r="AT434" i="2"/>
  <c r="AW342" i="2"/>
  <c r="AW337" i="2"/>
  <c r="AX338" i="2"/>
  <c r="AW286" i="2"/>
  <c r="AO409" i="2" l="1"/>
  <c r="AO407" i="2" s="1"/>
  <c r="AO30" i="2"/>
  <c r="AX342" i="2"/>
  <c r="AX337" i="2"/>
  <c r="AY338" i="2"/>
  <c r="AX286" i="2"/>
  <c r="AT445" i="2"/>
  <c r="AT435" i="2"/>
  <c r="M389" i="2"/>
  <c r="K416" i="2"/>
  <c r="K418" i="2"/>
  <c r="K417" i="2"/>
  <c r="K415" i="2"/>
  <c r="K466" i="2" s="1"/>
  <c r="K393" i="2"/>
  <c r="J421" i="2"/>
  <c r="J335" i="2"/>
  <c r="J337" i="2"/>
  <c r="J338" i="2" s="1"/>
  <c r="J342" i="2" s="1"/>
  <c r="K389" i="2"/>
  <c r="I305" i="2"/>
  <c r="I319" i="2"/>
  <c r="I318" i="2"/>
  <c r="I391" i="2"/>
  <c r="H416" i="2"/>
  <c r="H418" i="2"/>
  <c r="H421" i="2"/>
  <c r="H335" i="2"/>
  <c r="H337" i="2"/>
  <c r="H338" i="2" s="1"/>
  <c r="H342" i="2" s="1"/>
  <c r="AX252" i="2"/>
  <c r="AX339" i="2"/>
  <c r="AV378" i="2"/>
  <c r="AT68" i="2"/>
  <c r="AO208" i="2"/>
  <c r="AO288" i="2"/>
  <c r="N391" i="2"/>
  <c r="M388" i="2"/>
  <c r="N389" i="2"/>
  <c r="N388" i="2"/>
  <c r="L301" i="2"/>
  <c r="J386" i="2"/>
  <c r="K301" i="2"/>
  <c r="K305" i="2" s="1"/>
  <c r="K313" i="2" s="1"/>
  <c r="J422" i="2"/>
  <c r="J290" i="2"/>
  <c r="J269" i="2"/>
  <c r="J2" i="2"/>
  <c r="K387" i="2"/>
  <c r="I418" i="2"/>
  <c r="I416" i="2"/>
  <c r="I415" i="2"/>
  <c r="I466" i="2" s="1"/>
  <c r="I417" i="2"/>
  <c r="I313" i="2"/>
  <c r="I430" i="2"/>
  <c r="I429" i="2"/>
  <c r="J429" i="2"/>
  <c r="J430" i="2"/>
  <c r="H319" i="2"/>
  <c r="H318" i="2"/>
  <c r="H305" i="2"/>
  <c r="H313" i="2" s="1"/>
  <c r="AY287" i="2"/>
  <c r="N390" i="2"/>
  <c r="K422" i="2"/>
  <c r="K290" i="2"/>
  <c r="K269" i="2"/>
  <c r="K2" i="2"/>
  <c r="L337" i="2"/>
  <c r="L338" i="2" s="1"/>
  <c r="L342" i="2" s="1"/>
  <c r="K421" i="2"/>
  <c r="K335" i="2"/>
  <c r="K337" i="2"/>
  <c r="K338" i="2" s="1"/>
  <c r="K342" i="2" s="1"/>
  <c r="J319" i="2"/>
  <c r="J318" i="2"/>
  <c r="H422" i="2"/>
  <c r="H290" i="2"/>
  <c r="H269" i="2"/>
  <c r="H2" i="2"/>
  <c r="I348" i="2"/>
  <c r="I69" i="2"/>
  <c r="H348" i="2"/>
  <c r="AX254" i="2"/>
  <c r="AX301" i="2"/>
  <c r="AW374" i="2"/>
  <c r="AW376" i="2" s="1"/>
  <c r="AW251" i="2"/>
  <c r="AT280" i="2"/>
  <c r="M337" i="2"/>
  <c r="M338" i="2" s="1"/>
  <c r="M342" i="2" s="1"/>
  <c r="N387" i="2"/>
  <c r="L386" i="2"/>
  <c r="K319" i="2"/>
  <c r="K318" i="2"/>
  <c r="J305" i="2"/>
  <c r="I422" i="2"/>
  <c r="I290" i="2"/>
  <c r="I269" i="2"/>
  <c r="I2" i="2"/>
  <c r="J417" i="2"/>
  <c r="J415" i="2"/>
  <c r="J466" i="2" s="1"/>
  <c r="K468" i="2" s="1"/>
  <c r="J418" i="2"/>
  <c r="J416" i="2"/>
  <c r="J313" i="2"/>
  <c r="K429" i="2"/>
  <c r="K430" i="2"/>
  <c r="I389" i="2"/>
  <c r="I421" i="2"/>
  <c r="I335" i="2"/>
  <c r="I337" i="2"/>
  <c r="I338" i="2" s="1"/>
  <c r="I342" i="2" s="1"/>
  <c r="AN322" i="2"/>
  <c r="AN326" i="2"/>
  <c r="AN325" i="2"/>
  <c r="AN324" i="2"/>
  <c r="AN336" i="2"/>
  <c r="AN295" i="2"/>
  <c r="AN314" i="2" s="1"/>
  <c r="AY299" i="2"/>
  <c r="AT425" i="2"/>
  <c r="J427" i="2" l="1"/>
  <c r="J428" i="2"/>
  <c r="AT246" i="2"/>
  <c r="H321" i="2"/>
  <c r="H320" i="2"/>
  <c r="I71" i="2"/>
  <c r="AO247" i="2"/>
  <c r="AO335" i="2"/>
  <c r="AO421" i="2"/>
  <c r="J321" i="2"/>
  <c r="J320" i="2"/>
  <c r="K71" i="2"/>
  <c r="AY252" i="2"/>
  <c r="L252" i="2" s="1"/>
  <c r="AY339" i="2"/>
  <c r="N287" i="2"/>
  <c r="N339" i="2" s="1"/>
  <c r="N340" i="2" s="1"/>
  <c r="J336" i="2"/>
  <c r="J295" i="2"/>
  <c r="J314" i="2" s="1"/>
  <c r="H427" i="2"/>
  <c r="I427" i="2"/>
  <c r="I428" i="2"/>
  <c r="H428" i="2"/>
  <c r="H336" i="2"/>
  <c r="H295" i="2"/>
  <c r="H314" i="2" s="1"/>
  <c r="K336" i="2"/>
  <c r="K295" i="2"/>
  <c r="K314" i="2" s="1"/>
  <c r="N252" i="2"/>
  <c r="I320" i="2"/>
  <c r="I321" i="2"/>
  <c r="J71" i="2"/>
  <c r="AX374" i="2"/>
  <c r="AX376" i="2" s="1"/>
  <c r="AX251" i="2"/>
  <c r="AO467" i="2"/>
  <c r="AO413" i="2"/>
  <c r="AO36" i="2"/>
  <c r="AO32" i="2"/>
  <c r="AY254" i="2"/>
  <c r="L254" i="2" s="1"/>
  <c r="AY301" i="2"/>
  <c r="N299" i="2"/>
  <c r="I336" i="2"/>
  <c r="I295" i="2"/>
  <c r="I314" i="2" s="1"/>
  <c r="K321" i="2"/>
  <c r="K320" i="2"/>
  <c r="AW378" i="2"/>
  <c r="I468" i="2"/>
  <c r="J468" i="2"/>
  <c r="K427" i="2"/>
  <c r="K428" i="2"/>
  <c r="AT446" i="2"/>
  <c r="AT291" i="2"/>
  <c r="AY342" i="2"/>
  <c r="AY337" i="2"/>
  <c r="AY286" i="2"/>
  <c r="AO37" i="2"/>
  <c r="AO427" i="2" s="1"/>
  <c r="AY374" i="2" l="1"/>
  <c r="AY376" i="2" s="1"/>
  <c r="AY251" i="2"/>
  <c r="N286" i="2"/>
  <c r="K325" i="2"/>
  <c r="K326" i="2"/>
  <c r="K322" i="2"/>
  <c r="K324" i="2"/>
  <c r="N341" i="2"/>
  <c r="N301" i="2"/>
  <c r="AO34" i="2"/>
  <c r="AO1" i="2" s="1"/>
  <c r="H324" i="2"/>
  <c r="H326" i="2"/>
  <c r="H322" i="2"/>
  <c r="H325" i="2"/>
  <c r="N251" i="2"/>
  <c r="J326" i="2"/>
  <c r="J322" i="2"/>
  <c r="J324" i="2"/>
  <c r="J325" i="2"/>
  <c r="AU21" i="2"/>
  <c r="AT303" i="2"/>
  <c r="AO472" i="2"/>
  <c r="AO412" i="2"/>
  <c r="AO245" i="2"/>
  <c r="AO206" i="2"/>
  <c r="AO210" i="2" s="1"/>
  <c r="AO35" i="2"/>
  <c r="AO309" i="2"/>
  <c r="AX378" i="2"/>
  <c r="I325" i="2"/>
  <c r="I324" i="2"/>
  <c r="I326" i="2"/>
  <c r="I322" i="2"/>
  <c r="AO352" i="2"/>
  <c r="AO354" i="2" s="1"/>
  <c r="AO428" i="2"/>
  <c r="N254" i="2"/>
  <c r="AO214" i="2" l="1"/>
  <c r="AO257" i="2"/>
  <c r="AO311" i="2"/>
  <c r="AY378" i="2"/>
  <c r="N376" i="2"/>
  <c r="AU436" i="2"/>
  <c r="AU437" i="2" s="1"/>
  <c r="AU209" i="2"/>
  <c r="AU23" i="2"/>
  <c r="M21" i="2"/>
  <c r="N337" i="2"/>
  <c r="N338" i="2" s="1"/>
  <c r="N342" i="2" s="1"/>
  <c r="M436" i="2" l="1"/>
  <c r="M437" i="2" s="1"/>
  <c r="M69" i="2"/>
  <c r="M23" i="2"/>
  <c r="AO417" i="2"/>
  <c r="AO415" i="2"/>
  <c r="AO466" i="2" s="1"/>
  <c r="AO468" i="2" s="1"/>
  <c r="AO416" i="2"/>
  <c r="AO355" i="2"/>
  <c r="AO357" i="2" s="1"/>
  <c r="AO359" i="2" s="1"/>
  <c r="AO368" i="2" s="1"/>
  <c r="AO418" i="2"/>
  <c r="AO429" i="2"/>
  <c r="AO430" i="2"/>
  <c r="AO271" i="2"/>
  <c r="AO259" i="2"/>
  <c r="AU423" i="2"/>
  <c r="AU424" i="2" s="1"/>
  <c r="AU70" i="2"/>
  <c r="AU39" i="2"/>
  <c r="N378" i="2"/>
  <c r="AU438" i="2"/>
  <c r="AU278" i="2"/>
  <c r="AU280" i="2" s="1"/>
  <c r="AU246" i="2" s="1"/>
  <c r="AU440" i="2"/>
  <c r="AU331" i="2" s="1"/>
  <c r="AU444" i="2"/>
  <c r="AU434" i="2"/>
  <c r="AO399" i="2"/>
  <c r="AO216" i="2"/>
  <c r="AO215" i="2"/>
  <c r="AO40" i="2"/>
  <c r="AO392" i="2" l="1"/>
  <c r="AO369" i="2"/>
  <c r="AO379" i="2"/>
  <c r="M423" i="2"/>
  <c r="M424" i="2" s="1"/>
  <c r="M39" i="2"/>
  <c r="M70" i="2"/>
  <c r="AU425" i="2"/>
  <c r="AU445" i="2"/>
  <c r="AU435" i="2"/>
  <c r="M434" i="2"/>
  <c r="M445" i="2" s="1"/>
  <c r="AU68" i="2"/>
  <c r="M438" i="2"/>
  <c r="M440" i="2"/>
  <c r="M331" i="2" s="1"/>
  <c r="M444" i="2"/>
  <c r="AO393" i="2" l="1"/>
  <c r="AO371" i="2"/>
  <c r="AU446" i="2"/>
  <c r="AU291" i="2"/>
  <c r="M435" i="2"/>
  <c r="M446" i="2" s="1"/>
  <c r="M425" i="2"/>
  <c r="M68" i="2"/>
  <c r="AO396" i="2"/>
  <c r="AV21" i="2" l="1"/>
  <c r="AU303" i="2"/>
  <c r="M303" i="2" s="1"/>
  <c r="M291" i="2"/>
  <c r="AO383" i="2"/>
  <c r="AO302" i="2" s="1"/>
  <c r="AO319" i="2" l="1"/>
  <c r="AO318" i="2"/>
  <c r="AO305" i="2"/>
  <c r="AO313" i="2" s="1"/>
  <c r="M348" i="2"/>
  <c r="AV436" i="2"/>
  <c r="AV437" i="2" s="1"/>
  <c r="AV209" i="2"/>
  <c r="AV23" i="2"/>
  <c r="AV423" i="2" l="1"/>
  <c r="AV424" i="2" s="1"/>
  <c r="AV70" i="2"/>
  <c r="AV39" i="2"/>
  <c r="AV438" i="2"/>
  <c r="AV278" i="2"/>
  <c r="AV440" i="2"/>
  <c r="AV331" i="2" s="1"/>
  <c r="AV444" i="2"/>
  <c r="AV434" i="2"/>
  <c r="AO321" i="2"/>
  <c r="AO263" i="2"/>
  <c r="AP24" i="2"/>
  <c r="AO372" i="2"/>
  <c r="AV280" i="2" l="1"/>
  <c r="AP207" i="2"/>
  <c r="AP26" i="2"/>
  <c r="AP330" i="2"/>
  <c r="AP329" i="2"/>
  <c r="AP328" i="2"/>
  <c r="AV445" i="2"/>
  <c r="AV435" i="2"/>
  <c r="AO273" i="2"/>
  <c r="AO275" i="2" s="1"/>
  <c r="AO268" i="2"/>
  <c r="AO285" i="2" s="1"/>
  <c r="AV68" i="2"/>
  <c r="AV425" i="2"/>
  <c r="AP27" i="2" l="1"/>
  <c r="AV446" i="2"/>
  <c r="AV291" i="2"/>
  <c r="AO422" i="2"/>
  <c r="AO290" i="2"/>
  <c r="AO269" i="2"/>
  <c r="AO2" i="2"/>
  <c r="AO380" i="2"/>
  <c r="AO320" i="2"/>
  <c r="AV246" i="2"/>
  <c r="AP208" i="2" l="1"/>
  <c r="AP288" i="2"/>
  <c r="AO326" i="2"/>
  <c r="AO325" i="2"/>
  <c r="AO324" i="2"/>
  <c r="AO322" i="2"/>
  <c r="AW21" i="2"/>
  <c r="AV303" i="2"/>
  <c r="AO336" i="2"/>
  <c r="AO295" i="2"/>
  <c r="AO314" i="2" s="1"/>
  <c r="AP28" i="2"/>
  <c r="AW436" i="2" l="1"/>
  <c r="AW437" i="2" s="1"/>
  <c r="AW209" i="2"/>
  <c r="AW23" i="2"/>
  <c r="AP247" i="2"/>
  <c r="AP421" i="2"/>
  <c r="AP335" i="2"/>
  <c r="AP409" i="2"/>
  <c r="AP407" i="2" s="1"/>
  <c r="AP30" i="2"/>
  <c r="AP352" i="2" l="1"/>
  <c r="AP354" i="2" s="1"/>
  <c r="AP428" i="2"/>
  <c r="AW423" i="2"/>
  <c r="AW424" i="2" s="1"/>
  <c r="AW70" i="2"/>
  <c r="AW39" i="2"/>
  <c r="AP467" i="2"/>
  <c r="AP413" i="2"/>
  <c r="AP32" i="2"/>
  <c r="AP37" i="2"/>
  <c r="AP427" i="2" s="1"/>
  <c r="AW438" i="2"/>
  <c r="AW278" i="2"/>
  <c r="AW440" i="2"/>
  <c r="AW331" i="2" s="1"/>
  <c r="AW444" i="2"/>
  <c r="AW434" i="2"/>
  <c r="AW425" i="2" l="1"/>
  <c r="AW280" i="2"/>
  <c r="AP34" i="2"/>
  <c r="AP1" i="2" s="1"/>
  <c r="AW68" i="2"/>
  <c r="AW445" i="2"/>
  <c r="AW435" i="2"/>
  <c r="AP36" i="2"/>
  <c r="AP472" i="2"/>
  <c r="AP412" i="2"/>
  <c r="AP245" i="2"/>
  <c r="AP206" i="2"/>
  <c r="AP210" i="2" s="1"/>
  <c r="AP35" i="2"/>
  <c r="AP309" i="2"/>
  <c r="AW446" i="2" l="1"/>
  <c r="AW291" i="2"/>
  <c r="AW246" i="2"/>
  <c r="AP214" i="2"/>
  <c r="AP311" i="2"/>
  <c r="AP257" i="2"/>
  <c r="AP418" i="2" l="1"/>
  <c r="AP417" i="2"/>
  <c r="AP416" i="2"/>
  <c r="AP415" i="2"/>
  <c r="AP466" i="2" s="1"/>
  <c r="AP468" i="2" s="1"/>
  <c r="AP355" i="2"/>
  <c r="AP357" i="2" s="1"/>
  <c r="AP359" i="2" s="1"/>
  <c r="AP368" i="2" s="1"/>
  <c r="AP429" i="2"/>
  <c r="AP430" i="2"/>
  <c r="AX21" i="2"/>
  <c r="AW303" i="2"/>
  <c r="AP259" i="2"/>
  <c r="AP271" i="2"/>
  <c r="AP399" i="2"/>
  <c r="AP216" i="2"/>
  <c r="AP215" i="2"/>
  <c r="AP40" i="2"/>
  <c r="AX436" i="2" l="1"/>
  <c r="AX437" i="2" s="1"/>
  <c r="AX209" i="2"/>
  <c r="AX23" i="2"/>
  <c r="AP392" i="2"/>
  <c r="AP369" i="2"/>
  <c r="AP379" i="2"/>
  <c r="AP393" i="2" l="1"/>
  <c r="AP371" i="2"/>
  <c r="AX438" i="2"/>
  <c r="AX278" i="2"/>
  <c r="AX440" i="2"/>
  <c r="AX331" i="2" s="1"/>
  <c r="AX444" i="2"/>
  <c r="AX434" i="2"/>
  <c r="AP396" i="2"/>
  <c r="AX423" i="2"/>
  <c r="AX424" i="2" s="1"/>
  <c r="AX70" i="2"/>
  <c r="AX39" i="2"/>
  <c r="AP383" i="2" l="1"/>
  <c r="AP302" i="2" s="1"/>
  <c r="AX280" i="2"/>
  <c r="AX445" i="2"/>
  <c r="AX435" i="2"/>
  <c r="AX425" i="2"/>
  <c r="AX68" i="2"/>
  <c r="AX446" i="2" l="1"/>
  <c r="AX291" i="2"/>
  <c r="AX246" i="2"/>
  <c r="AP318" i="2"/>
  <c r="AP319" i="2"/>
  <c r="AP305" i="2"/>
  <c r="AP313" i="2" s="1"/>
  <c r="AP321" i="2" l="1"/>
  <c r="AP263" i="2"/>
  <c r="AQ24" i="2"/>
  <c r="AP372" i="2"/>
  <c r="AY21" i="2"/>
  <c r="AX303" i="2"/>
  <c r="AQ207" i="2" l="1"/>
  <c r="AQ26" i="2"/>
  <c r="AQ330" i="2"/>
  <c r="AQ329" i="2"/>
  <c r="AQ328" i="2"/>
  <c r="L24" i="2"/>
  <c r="AP273" i="2"/>
  <c r="AP275" i="2" s="1"/>
  <c r="AP268" i="2"/>
  <c r="AP285" i="2" s="1"/>
  <c r="AY436" i="2"/>
  <c r="AY437" i="2" s="1"/>
  <c r="AY209" i="2"/>
  <c r="AY23" i="2"/>
  <c r="N21" i="2"/>
  <c r="L71" i="2" l="1"/>
  <c r="L26" i="2"/>
  <c r="L330" i="2"/>
  <c r="L329" i="2"/>
  <c r="L328" i="2"/>
  <c r="AQ27" i="2"/>
  <c r="AY423" i="2"/>
  <c r="AY424" i="2" s="1"/>
  <c r="AY70" i="2"/>
  <c r="AY39" i="2"/>
  <c r="L209" i="2"/>
  <c r="M209" i="2"/>
  <c r="N209" i="2"/>
  <c r="AY438" i="2"/>
  <c r="AY278" i="2"/>
  <c r="AY440" i="2"/>
  <c r="AY331" i="2" s="1"/>
  <c r="AY444" i="2"/>
  <c r="AY434" i="2"/>
  <c r="N436" i="2"/>
  <c r="N437" i="2" s="1"/>
  <c r="N69" i="2"/>
  <c r="N23" i="2"/>
  <c r="AP422" i="2"/>
  <c r="AP290" i="2"/>
  <c r="AP269" i="2"/>
  <c r="AP2" i="2"/>
  <c r="AP380" i="2"/>
  <c r="AP320" i="2"/>
  <c r="N423" i="2" l="1"/>
  <c r="N424" i="2" s="1"/>
  <c r="N39" i="2"/>
  <c r="N70" i="2"/>
  <c r="AQ208" i="2"/>
  <c r="L27" i="2"/>
  <c r="L72" i="2" s="1"/>
  <c r="AQ288" i="2"/>
  <c r="AY445" i="2"/>
  <c r="AY435" i="2"/>
  <c r="N434" i="2"/>
  <c r="N445" i="2" s="1"/>
  <c r="AY425" i="2"/>
  <c r="AY68" i="2"/>
  <c r="AQ28" i="2"/>
  <c r="L28" i="2"/>
  <c r="L30" i="2" s="1"/>
  <c r="AP322" i="2"/>
  <c r="AP324" i="2"/>
  <c r="AP325" i="2"/>
  <c r="AP326" i="2"/>
  <c r="AP336" i="2"/>
  <c r="AP295" i="2"/>
  <c r="AP314" i="2" s="1"/>
  <c r="N438" i="2"/>
  <c r="N440" i="2"/>
  <c r="N331" i="2" s="1"/>
  <c r="N444" i="2"/>
  <c r="AY280" i="2"/>
  <c r="L278" i="2"/>
  <c r="M278" i="2"/>
  <c r="N278" i="2"/>
  <c r="AY246" i="2" l="1"/>
  <c r="L280" i="2"/>
  <c r="M280" i="2"/>
  <c r="N280" i="2"/>
  <c r="AQ247" i="2"/>
  <c r="AQ335" i="2"/>
  <c r="AQ421" i="2"/>
  <c r="L288" i="2"/>
  <c r="N68" i="2"/>
  <c r="L467" i="2"/>
  <c r="L413" i="2"/>
  <c r="L32" i="2"/>
  <c r="AY446" i="2"/>
  <c r="AY291" i="2"/>
  <c r="N435" i="2"/>
  <c r="N446" i="2" s="1"/>
  <c r="AQ409" i="2"/>
  <c r="AQ407" i="2" s="1"/>
  <c r="AQ37" i="2" s="1"/>
  <c r="AQ30" i="2"/>
  <c r="N425" i="2"/>
  <c r="AQ467" i="2" l="1"/>
  <c r="AQ413" i="2"/>
  <c r="AQ36" i="2"/>
  <c r="AQ34" i="2"/>
  <c r="AQ1" i="2" s="1"/>
  <c r="AQ32" i="2"/>
  <c r="AY303" i="2"/>
  <c r="N303" i="2" s="1"/>
  <c r="N291" i="2"/>
  <c r="AQ352" i="2"/>
  <c r="AQ428" i="2"/>
  <c r="AQ427" i="2"/>
  <c r="L472" i="2"/>
  <c r="L412" i="2"/>
  <c r="L206" i="2"/>
  <c r="L421" i="2"/>
  <c r="L335" i="2"/>
  <c r="L246" i="2"/>
  <c r="M246" i="2"/>
  <c r="N246" i="2"/>
  <c r="L428" i="2" l="1"/>
  <c r="N348" i="2"/>
  <c r="AQ472" i="2"/>
  <c r="AQ412" i="2"/>
  <c r="AQ245" i="2"/>
  <c r="AQ257" i="2" s="1"/>
  <c r="AQ206" i="2"/>
  <c r="AQ210" i="2" s="1"/>
  <c r="AQ214" i="2" s="1"/>
  <c r="AQ35" i="2"/>
  <c r="AQ309" i="2"/>
  <c r="AQ354" i="2"/>
  <c r="L352" i="2"/>
  <c r="AQ399" i="2" l="1"/>
  <c r="AQ216" i="2"/>
  <c r="AQ215" i="2"/>
  <c r="AQ40" i="2"/>
  <c r="L354" i="2"/>
  <c r="AQ259" i="2"/>
  <c r="AQ271" i="2"/>
  <c r="AQ311" i="2"/>
  <c r="L309" i="2"/>
  <c r="AQ418" i="2" l="1"/>
  <c r="AQ417" i="2"/>
  <c r="AQ416" i="2"/>
  <c r="AQ415" i="2"/>
  <c r="AQ466" i="2" s="1"/>
  <c r="AQ468" i="2" s="1"/>
  <c r="AQ355" i="2"/>
  <c r="L311" i="2"/>
  <c r="AQ429" i="2"/>
  <c r="AQ430" i="2"/>
  <c r="L355" i="2" l="1"/>
  <c r="AQ357" i="2"/>
  <c r="L415" i="2"/>
  <c r="L466" i="2" s="1"/>
  <c r="L468" i="2" s="1"/>
  <c r="L417" i="2"/>
  <c r="L416" i="2"/>
  <c r="L418" i="2"/>
  <c r="L429" i="2"/>
  <c r="L430" i="2"/>
  <c r="AQ359" i="2" l="1"/>
  <c r="L357" i="2"/>
  <c r="AQ368" i="2" l="1"/>
  <c r="L359" i="2"/>
  <c r="AQ392" i="2" l="1"/>
  <c r="AQ369" i="2"/>
  <c r="AQ379" i="2"/>
  <c r="L368" i="2"/>
  <c r="L392" i="2" s="1"/>
  <c r="AQ396" i="2" l="1"/>
  <c r="L396" i="2" s="1"/>
  <c r="L379" i="2"/>
  <c r="AQ393" i="2"/>
  <c r="AQ371" i="2"/>
  <c r="L369" i="2"/>
  <c r="L393" i="2" s="1"/>
  <c r="AQ383" i="2" l="1"/>
  <c r="L371" i="2"/>
  <c r="AQ302" i="2" l="1"/>
  <c r="L383" i="2"/>
  <c r="AQ319" i="2" l="1"/>
  <c r="AQ318" i="2"/>
  <c r="AQ305" i="2"/>
  <c r="AQ313" i="2" s="1"/>
  <c r="L302" i="2"/>
  <c r="L319" i="2" l="1"/>
  <c r="L318" i="2"/>
  <c r="L305" i="2"/>
  <c r="L313" i="2" s="1"/>
  <c r="AQ321" i="2"/>
  <c r="AQ263" i="2"/>
  <c r="AR24" i="2"/>
  <c r="AQ372" i="2"/>
  <c r="L321" i="2" l="1"/>
  <c r="AR207" i="2"/>
  <c r="AR330" i="2"/>
  <c r="AR26" i="2"/>
  <c r="AR329" i="2"/>
  <c r="AR328" i="2"/>
  <c r="AQ273" i="2"/>
  <c r="AQ275" i="2" s="1"/>
  <c r="AQ268" i="2"/>
  <c r="AQ285" i="2" s="1"/>
  <c r="AQ422" i="2" l="1"/>
  <c r="AQ269" i="2"/>
  <c r="AQ290" i="2"/>
  <c r="AQ2" i="2"/>
  <c r="L285" i="2"/>
  <c r="AQ380" i="2"/>
  <c r="L380" i="2" s="1"/>
  <c r="AQ320" i="2"/>
  <c r="AR27" i="2"/>
  <c r="AQ326" i="2" l="1"/>
  <c r="AQ325" i="2"/>
  <c r="AQ324" i="2"/>
  <c r="AQ322" i="2"/>
  <c r="AQ295" i="2"/>
  <c r="AQ314" i="2" s="1"/>
  <c r="AQ336" i="2"/>
  <c r="AR208" i="2"/>
  <c r="AR288" i="2"/>
  <c r="L422" i="2"/>
  <c r="L290" i="2"/>
  <c r="L320" i="2"/>
  <c r="AR28" i="2"/>
  <c r="L336" i="2" l="1"/>
  <c r="L295" i="2"/>
  <c r="L314" i="2" s="1"/>
  <c r="AR409" i="2"/>
  <c r="AR407" i="2" s="1"/>
  <c r="AR30" i="2"/>
  <c r="L326" i="2"/>
  <c r="L322" i="2"/>
  <c r="AR247" i="2"/>
  <c r="AR335" i="2"/>
  <c r="AR421" i="2"/>
  <c r="AR352" i="2" l="1"/>
  <c r="AR354" i="2" s="1"/>
  <c r="AR428" i="2"/>
  <c r="AR467" i="2"/>
  <c r="AR413" i="2"/>
  <c r="AR34" i="2"/>
  <c r="AR1" i="2" s="1"/>
  <c r="AR32" i="2"/>
  <c r="AR37" i="2"/>
  <c r="AR427" i="2" s="1"/>
  <c r="AR36" i="2" l="1"/>
  <c r="AR472" i="2"/>
  <c r="AR412" i="2"/>
  <c r="AR245" i="2"/>
  <c r="AR206" i="2"/>
  <c r="AR210" i="2" s="1"/>
  <c r="AR35" i="2"/>
  <c r="AR309" i="2"/>
  <c r="AR311" i="2" l="1"/>
  <c r="AR214" i="2"/>
  <c r="AR257" i="2"/>
  <c r="AR399" i="2" l="1"/>
  <c r="AR216" i="2"/>
  <c r="AR215" i="2"/>
  <c r="AR40" i="2"/>
  <c r="AR418" i="2"/>
  <c r="AR417" i="2"/>
  <c r="AR416" i="2"/>
  <c r="AR415" i="2"/>
  <c r="AR466" i="2" s="1"/>
  <c r="AR468" i="2" s="1"/>
  <c r="AR355" i="2"/>
  <c r="AR357" i="2" s="1"/>
  <c r="AR359" i="2" s="1"/>
  <c r="AR368" i="2" s="1"/>
  <c r="AR429" i="2"/>
  <c r="AR430" i="2"/>
  <c r="AR271" i="2"/>
  <c r="AR259" i="2"/>
  <c r="AR392" i="2" l="1"/>
  <c r="AR369" i="2"/>
  <c r="AR379" i="2"/>
  <c r="AR393" i="2" l="1"/>
  <c r="AR371" i="2"/>
  <c r="AR396" i="2"/>
  <c r="AR383" i="2" l="1"/>
  <c r="AR302" i="2" s="1"/>
  <c r="AR318" i="2" l="1"/>
  <c r="AR319" i="2"/>
  <c r="AR305" i="2"/>
  <c r="AR313" i="2" s="1"/>
  <c r="AR321" i="2" l="1"/>
  <c r="AR263" i="2"/>
  <c r="AS24" i="2"/>
  <c r="AR372" i="2"/>
  <c r="AS207" i="2" l="1"/>
  <c r="AS26" i="2"/>
  <c r="AS330" i="2"/>
  <c r="AS329" i="2"/>
  <c r="AS328" i="2"/>
  <c r="AR273" i="2"/>
  <c r="AR275" i="2" s="1"/>
  <c r="AR268" i="2"/>
  <c r="AR285" i="2" s="1"/>
  <c r="AS27" i="2" l="1"/>
  <c r="AR422" i="2"/>
  <c r="AR290" i="2"/>
  <c r="AR269" i="2"/>
  <c r="AR2" i="2"/>
  <c r="AR380" i="2"/>
  <c r="AR320" i="2"/>
  <c r="AS208" i="2" l="1"/>
  <c r="AS288" i="2"/>
  <c r="AR322" i="2"/>
  <c r="AR326" i="2"/>
  <c r="AR325" i="2"/>
  <c r="AR324" i="2"/>
  <c r="AR336" i="2"/>
  <c r="AR295" i="2"/>
  <c r="AR314" i="2" s="1"/>
  <c r="AS28" i="2"/>
  <c r="AS247" i="2" l="1"/>
  <c r="AS421" i="2"/>
  <c r="AS335" i="2"/>
  <c r="AS409" i="2"/>
  <c r="AS407" i="2" s="1"/>
  <c r="AS30" i="2"/>
  <c r="AS467" i="2" l="1"/>
  <c r="AS413" i="2"/>
  <c r="AS32" i="2"/>
  <c r="AS352" i="2"/>
  <c r="AS354" i="2" s="1"/>
  <c r="AS428" i="2"/>
  <c r="AS37" i="2"/>
  <c r="AS427" i="2" s="1"/>
  <c r="AS36" i="2" l="1"/>
  <c r="AS472" i="2"/>
  <c r="AS412" i="2"/>
  <c r="AS245" i="2"/>
  <c r="AS206" i="2"/>
  <c r="AS210" i="2" s="1"/>
  <c r="AS35" i="2"/>
  <c r="AS309" i="2"/>
  <c r="AS34" i="2"/>
  <c r="AS1" i="2" s="1"/>
  <c r="AS311" i="2" l="1"/>
  <c r="AS257" i="2"/>
  <c r="AS214" i="2"/>
  <c r="AS399" i="2" l="1"/>
  <c r="AS216" i="2"/>
  <c r="AS215" i="2"/>
  <c r="AS40" i="2"/>
  <c r="AS271" i="2"/>
  <c r="AS259" i="2"/>
  <c r="AS418" i="2"/>
  <c r="AS416" i="2"/>
  <c r="AS417" i="2"/>
  <c r="AS415" i="2"/>
  <c r="AS466" i="2" s="1"/>
  <c r="AS468" i="2" s="1"/>
  <c r="AS355" i="2"/>
  <c r="AS357" i="2" s="1"/>
  <c r="AS359" i="2" s="1"/>
  <c r="AS368" i="2" s="1"/>
  <c r="AS429" i="2"/>
  <c r="AS430" i="2"/>
  <c r="AS392" i="2" l="1"/>
  <c r="AS369" i="2"/>
  <c r="AS379" i="2"/>
  <c r="AS396" i="2" l="1"/>
  <c r="AS393" i="2"/>
  <c r="AS371" i="2"/>
  <c r="AS383" i="2" l="1"/>
  <c r="AS302" i="2" s="1"/>
  <c r="AS319" i="2" l="1"/>
  <c r="AS318" i="2"/>
  <c r="AS305" i="2"/>
  <c r="AS313" i="2" s="1"/>
  <c r="AS321" i="2" l="1"/>
  <c r="AS263" i="2"/>
  <c r="AT24" i="2"/>
  <c r="AS372" i="2"/>
  <c r="AS273" i="2" l="1"/>
  <c r="AS275" i="2" s="1"/>
  <c r="AS268" i="2"/>
  <c r="AS285" i="2" s="1"/>
  <c r="AT207" i="2"/>
  <c r="AT26" i="2"/>
  <c r="AT330" i="2"/>
  <c r="AT328" i="2"/>
  <c r="AT329" i="2"/>
  <c r="AS422" i="2" l="1"/>
  <c r="AS290" i="2"/>
  <c r="AS269" i="2"/>
  <c r="AS2" i="2"/>
  <c r="AS380" i="2"/>
  <c r="AS320" i="2"/>
  <c r="AT27" i="2"/>
  <c r="AT28" i="2" s="1"/>
  <c r="AT409" i="2" l="1"/>
  <c r="AT407" i="2" s="1"/>
  <c r="AT30" i="2"/>
  <c r="AS326" i="2"/>
  <c r="AS325" i="2"/>
  <c r="AS324" i="2"/>
  <c r="AS322" i="2"/>
  <c r="AS336" i="2"/>
  <c r="AS295" i="2"/>
  <c r="AS314" i="2" s="1"/>
  <c r="AT208" i="2"/>
  <c r="AT288" i="2"/>
  <c r="AT247" i="2" l="1"/>
  <c r="AT335" i="2"/>
  <c r="AT421" i="2"/>
  <c r="AT467" i="2"/>
  <c r="AT413" i="2"/>
  <c r="AT32" i="2"/>
  <c r="AT36" i="2"/>
  <c r="AT37" i="2"/>
  <c r="AT472" i="2" l="1"/>
  <c r="AT412" i="2"/>
  <c r="AT245" i="2"/>
  <c r="AT206" i="2"/>
  <c r="AT210" i="2" s="1"/>
  <c r="AT35" i="2"/>
  <c r="AT309" i="2"/>
  <c r="AT352" i="2"/>
  <c r="AT354" i="2" s="1"/>
  <c r="AT428" i="2"/>
  <c r="AT427" i="2"/>
  <c r="AT34" i="2"/>
  <c r="AT1" i="2" s="1"/>
  <c r="AT257" i="2" l="1"/>
  <c r="AT311" i="2"/>
  <c r="AT214" i="2"/>
  <c r="AT399" i="2" l="1"/>
  <c r="AT216" i="2"/>
  <c r="AT215" i="2"/>
  <c r="AT40" i="2"/>
  <c r="AT259" i="2"/>
  <c r="AT271" i="2"/>
  <c r="AT418" i="2"/>
  <c r="AT417" i="2"/>
  <c r="AT416" i="2"/>
  <c r="AT415" i="2"/>
  <c r="AT466" i="2" s="1"/>
  <c r="AT468" i="2" s="1"/>
  <c r="AT355" i="2"/>
  <c r="AT357" i="2" s="1"/>
  <c r="AT359" i="2" s="1"/>
  <c r="AT368" i="2" s="1"/>
  <c r="AT429" i="2"/>
  <c r="AT430" i="2"/>
  <c r="AT392" i="2" l="1"/>
  <c r="AT369" i="2"/>
  <c r="AT379" i="2"/>
  <c r="AT396" i="2" l="1"/>
  <c r="AT393" i="2"/>
  <c r="AT371" i="2"/>
  <c r="AT383" i="2" l="1"/>
  <c r="AT302" i="2" s="1"/>
  <c r="AT318" i="2" l="1"/>
  <c r="AT319" i="2"/>
  <c r="AT305" i="2"/>
  <c r="AT313" i="2" s="1"/>
  <c r="AT321" i="2" l="1"/>
  <c r="AT263" i="2"/>
  <c r="AU24" i="2"/>
  <c r="AT372" i="2"/>
  <c r="AU207" i="2" l="1"/>
  <c r="AU26" i="2"/>
  <c r="AU330" i="2"/>
  <c r="AU329" i="2"/>
  <c r="AU328" i="2"/>
  <c r="M24" i="2"/>
  <c r="AT273" i="2"/>
  <c r="AT275" i="2" s="1"/>
  <c r="AT268" i="2"/>
  <c r="AT285" i="2" s="1"/>
  <c r="M71" i="2" l="1"/>
  <c r="M330" i="2"/>
  <c r="M26" i="2"/>
  <c r="M329" i="2"/>
  <c r="M328" i="2"/>
  <c r="AU27" i="2"/>
  <c r="AT422" i="2"/>
  <c r="AT290" i="2"/>
  <c r="AT269" i="2"/>
  <c r="AT2" i="2"/>
  <c r="AT380" i="2"/>
  <c r="AT320" i="2"/>
  <c r="AU208" i="2" l="1"/>
  <c r="M27" i="2"/>
  <c r="M72" i="2" s="1"/>
  <c r="AU288" i="2"/>
  <c r="AT322" i="2"/>
  <c r="AT324" i="2"/>
  <c r="AT325" i="2"/>
  <c r="AT326" i="2"/>
  <c r="AU28" i="2"/>
  <c r="AT336" i="2"/>
  <c r="AT295" i="2"/>
  <c r="AT314" i="2" s="1"/>
  <c r="M28" i="2" l="1"/>
  <c r="M30" i="2" s="1"/>
  <c r="AU247" i="2"/>
  <c r="AU421" i="2"/>
  <c r="AU335" i="2"/>
  <c r="M288" i="2"/>
  <c r="AU409" i="2"/>
  <c r="AU407" i="2" s="1"/>
  <c r="AU37" i="2" s="1"/>
  <c r="AU427" i="2" s="1"/>
  <c r="AU30" i="2"/>
  <c r="AU467" i="2" l="1"/>
  <c r="AU413" i="2"/>
  <c r="AU36" i="2"/>
  <c r="AU34" i="2"/>
  <c r="AU1" i="2" s="1"/>
  <c r="AU32" i="2"/>
  <c r="AU352" i="2"/>
  <c r="AU428" i="2"/>
  <c r="M335" i="2"/>
  <c r="M421" i="2"/>
  <c r="M467" i="2"/>
  <c r="M413" i="2"/>
  <c r="M32" i="2"/>
  <c r="M472" i="2" l="1"/>
  <c r="M412" i="2"/>
  <c r="M206" i="2"/>
  <c r="M428" i="2"/>
  <c r="AU354" i="2"/>
  <c r="M352" i="2"/>
  <c r="AU472" i="2"/>
  <c r="AU412" i="2"/>
  <c r="AU245" i="2"/>
  <c r="AU257" i="2" s="1"/>
  <c r="AU206" i="2"/>
  <c r="AU210" i="2" s="1"/>
  <c r="AU214" i="2" s="1"/>
  <c r="AU35" i="2"/>
  <c r="AU309" i="2"/>
  <c r="AU399" i="2" l="1"/>
  <c r="AU216" i="2"/>
  <c r="AU215" i="2"/>
  <c r="AU40" i="2"/>
  <c r="AU259" i="2"/>
  <c r="AU271" i="2"/>
  <c r="AU311" i="2"/>
  <c r="M309" i="2"/>
  <c r="M354" i="2"/>
  <c r="AU418" i="2" l="1"/>
  <c r="AU417" i="2"/>
  <c r="AU416" i="2"/>
  <c r="AU415" i="2"/>
  <c r="AU466" i="2" s="1"/>
  <c r="AU468" i="2" s="1"/>
  <c r="AU355" i="2"/>
  <c r="M311" i="2"/>
  <c r="AU429" i="2"/>
  <c r="AU430" i="2"/>
  <c r="M418" i="2" l="1"/>
  <c r="M416" i="2"/>
  <c r="M415" i="2"/>
  <c r="M466" i="2" s="1"/>
  <c r="M468" i="2" s="1"/>
  <c r="M417" i="2"/>
  <c r="M429" i="2"/>
  <c r="M430" i="2"/>
  <c r="M355" i="2"/>
  <c r="AU357" i="2"/>
  <c r="AU359" i="2" l="1"/>
  <c r="M357" i="2"/>
  <c r="AU368" i="2" l="1"/>
  <c r="M359" i="2"/>
  <c r="AU392" i="2" l="1"/>
  <c r="AU369" i="2"/>
  <c r="M368" i="2"/>
  <c r="M392" i="2" s="1"/>
  <c r="AU379" i="2"/>
  <c r="M379" i="2" l="1"/>
  <c r="AU396" i="2"/>
  <c r="M396" i="2" s="1"/>
  <c r="AU393" i="2"/>
  <c r="AU371" i="2"/>
  <c r="M369" i="2"/>
  <c r="M393" i="2" s="1"/>
  <c r="AU383" i="2" l="1"/>
  <c r="M371" i="2"/>
  <c r="AU302" i="2" l="1"/>
  <c r="M383" i="2"/>
  <c r="AU319" i="2" l="1"/>
  <c r="AU318" i="2"/>
  <c r="AU305" i="2"/>
  <c r="AU313" i="2" s="1"/>
  <c r="M302" i="2"/>
  <c r="M318" i="2" l="1"/>
  <c r="M319" i="2"/>
  <c r="M305" i="2"/>
  <c r="M313" i="2" s="1"/>
  <c r="AU321" i="2"/>
  <c r="AU263" i="2"/>
  <c r="AV24" i="2"/>
  <c r="AU372" i="2"/>
  <c r="AV207" i="2" l="1"/>
  <c r="AV330" i="2"/>
  <c r="AV26" i="2"/>
  <c r="AV329" i="2"/>
  <c r="AV328" i="2"/>
  <c r="AU273" i="2"/>
  <c r="AU275" i="2" s="1"/>
  <c r="AU268" i="2"/>
  <c r="AU285" i="2" s="1"/>
  <c r="M321" i="2"/>
  <c r="AU422" i="2" l="1"/>
  <c r="AU290" i="2"/>
  <c r="AU269" i="2"/>
  <c r="AU2" i="2"/>
  <c r="M285" i="2"/>
  <c r="AU380" i="2"/>
  <c r="M380" i="2" s="1"/>
  <c r="AU320" i="2"/>
  <c r="AV28" i="2"/>
  <c r="AV27" i="2"/>
  <c r="AU326" i="2" l="1"/>
  <c r="AU325" i="2"/>
  <c r="AU324" i="2"/>
  <c r="AU322" i="2"/>
  <c r="AV208" i="2"/>
  <c r="AV288" i="2"/>
  <c r="M422" i="2"/>
  <c r="M290" i="2"/>
  <c r="M320" i="2"/>
  <c r="AU295" i="2"/>
  <c r="AU314" i="2" s="1"/>
  <c r="AU336" i="2"/>
  <c r="AV409" i="2"/>
  <c r="AV407" i="2" s="1"/>
  <c r="AV30" i="2"/>
  <c r="M336" i="2" l="1"/>
  <c r="M295" i="2"/>
  <c r="M314" i="2" s="1"/>
  <c r="AV467" i="2"/>
  <c r="AV413" i="2"/>
  <c r="AV32" i="2"/>
  <c r="M326" i="2"/>
  <c r="M322" i="2"/>
  <c r="AV247" i="2"/>
  <c r="AV335" i="2"/>
  <c r="AV421" i="2"/>
  <c r="AV37" i="2"/>
  <c r="AV36" i="2" s="1"/>
  <c r="AV352" i="2" l="1"/>
  <c r="AV354" i="2" s="1"/>
  <c r="AV428" i="2"/>
  <c r="AV472" i="2"/>
  <c r="AV412" i="2"/>
  <c r="AV245" i="2"/>
  <c r="AV206" i="2"/>
  <c r="AV210" i="2" s="1"/>
  <c r="AV35" i="2"/>
  <c r="AV309" i="2"/>
  <c r="AV34" i="2"/>
  <c r="AV1" i="2" s="1"/>
  <c r="AV427" i="2"/>
  <c r="AV214" i="2" l="1"/>
  <c r="AV257" i="2"/>
  <c r="AV311" i="2"/>
  <c r="AV271" i="2" l="1"/>
  <c r="AV259" i="2"/>
  <c r="AV418" i="2"/>
  <c r="AV417" i="2"/>
  <c r="AV416" i="2"/>
  <c r="AV415" i="2"/>
  <c r="AV466" i="2" s="1"/>
  <c r="AV468" i="2" s="1"/>
  <c r="AV355" i="2"/>
  <c r="AV357" i="2" s="1"/>
  <c r="AV359" i="2" s="1"/>
  <c r="AV368" i="2" s="1"/>
  <c r="AV429" i="2"/>
  <c r="AV430" i="2"/>
  <c r="AV399" i="2"/>
  <c r="AV216" i="2"/>
  <c r="AV215" i="2"/>
  <c r="AV40" i="2"/>
  <c r="AV392" i="2" l="1"/>
  <c r="AV369" i="2"/>
  <c r="AV379" i="2"/>
  <c r="AV396" i="2" l="1"/>
  <c r="AV393" i="2"/>
  <c r="AV371" i="2"/>
  <c r="AV383" i="2" l="1"/>
  <c r="AV302" i="2" s="1"/>
  <c r="AV318" i="2" l="1"/>
  <c r="AV319" i="2"/>
  <c r="AV305" i="2"/>
  <c r="AV313" i="2" s="1"/>
  <c r="AV321" i="2" l="1"/>
  <c r="AV263" i="2"/>
  <c r="AW24" i="2"/>
  <c r="AV372" i="2"/>
  <c r="AW207" i="2" l="1"/>
  <c r="AW330" i="2"/>
  <c r="AW26" i="2"/>
  <c r="AW329" i="2"/>
  <c r="AW328" i="2"/>
  <c r="AV273" i="2"/>
  <c r="AV275" i="2" s="1"/>
  <c r="AV268" i="2"/>
  <c r="AV285" i="2" s="1"/>
  <c r="AV422" i="2" l="1"/>
  <c r="AV290" i="2"/>
  <c r="AV269" i="2"/>
  <c r="AV2" i="2"/>
  <c r="AV380" i="2"/>
  <c r="AV320" i="2"/>
  <c r="AW28" i="2"/>
  <c r="AW27" i="2"/>
  <c r="AV322" i="2" l="1"/>
  <c r="AV326" i="2"/>
  <c r="AV325" i="2"/>
  <c r="AV324" i="2"/>
  <c r="AV336" i="2"/>
  <c r="AV295" i="2"/>
  <c r="AV314" i="2" s="1"/>
  <c r="AW409" i="2"/>
  <c r="AW407" i="2" s="1"/>
  <c r="AW30" i="2"/>
  <c r="AW208" i="2"/>
  <c r="AW288" i="2"/>
  <c r="AW467" i="2" l="1"/>
  <c r="AW413" i="2"/>
  <c r="AW32" i="2"/>
  <c r="AW247" i="2"/>
  <c r="AW335" i="2"/>
  <c r="AW421" i="2"/>
  <c r="AW37" i="2"/>
  <c r="AW427" i="2" s="1"/>
  <c r="AW36" i="2" l="1"/>
  <c r="AW352" i="2"/>
  <c r="AW354" i="2" s="1"/>
  <c r="AW428" i="2"/>
  <c r="AW472" i="2"/>
  <c r="AW412" i="2"/>
  <c r="AW245" i="2"/>
  <c r="AW206" i="2"/>
  <c r="AW210" i="2" s="1"/>
  <c r="AW35" i="2"/>
  <c r="AW309" i="2"/>
  <c r="AW34" i="2"/>
  <c r="AW1" i="2" s="1"/>
  <c r="AW311" i="2" l="1"/>
  <c r="AW257" i="2"/>
  <c r="AW214" i="2"/>
  <c r="AW271" i="2" l="1"/>
  <c r="AW259" i="2"/>
  <c r="AW399" i="2"/>
  <c r="AW216" i="2"/>
  <c r="AW215" i="2"/>
  <c r="AW40" i="2"/>
  <c r="AW415" i="2"/>
  <c r="AW466" i="2" s="1"/>
  <c r="AW468" i="2" s="1"/>
  <c r="AW417" i="2"/>
  <c r="AW418" i="2"/>
  <c r="AW416" i="2"/>
  <c r="AW355" i="2"/>
  <c r="AW357" i="2" s="1"/>
  <c r="AW359" i="2" s="1"/>
  <c r="AW368" i="2" s="1"/>
  <c r="AW429" i="2"/>
  <c r="AW430" i="2"/>
  <c r="AW392" i="2" l="1"/>
  <c r="AW369" i="2"/>
  <c r="AW379" i="2"/>
  <c r="AW396" i="2" l="1"/>
  <c r="AW393" i="2"/>
  <c r="AW371" i="2"/>
  <c r="AW383" i="2" l="1"/>
  <c r="AW302" i="2" s="1"/>
  <c r="AW319" i="2" l="1"/>
  <c r="AW318" i="2"/>
  <c r="AW305" i="2"/>
  <c r="AW313" i="2" s="1"/>
  <c r="AW321" i="2" l="1"/>
  <c r="AW263" i="2"/>
  <c r="AX24" i="2"/>
  <c r="AW372" i="2"/>
  <c r="AX207" i="2" l="1"/>
  <c r="AX330" i="2"/>
  <c r="AX26" i="2"/>
  <c r="AX328" i="2"/>
  <c r="AX329" i="2"/>
  <c r="AW273" i="2"/>
  <c r="AW275" i="2" s="1"/>
  <c r="AW268" i="2"/>
  <c r="AW285" i="2" s="1"/>
  <c r="AX28" i="2" l="1"/>
  <c r="AX27" i="2"/>
  <c r="AW422" i="2"/>
  <c r="AW290" i="2"/>
  <c r="AW269" i="2"/>
  <c r="AW2" i="2"/>
  <c r="AW380" i="2"/>
  <c r="AW320" i="2"/>
  <c r="AW336" i="2" l="1"/>
  <c r="AW295" i="2"/>
  <c r="AW314" i="2" s="1"/>
  <c r="AX208" i="2"/>
  <c r="AX288" i="2"/>
  <c r="AW326" i="2"/>
  <c r="AW325" i="2"/>
  <c r="AW324" i="2"/>
  <c r="AW322" i="2"/>
  <c r="AX409" i="2"/>
  <c r="AX407" i="2" s="1"/>
  <c r="AX30" i="2"/>
  <c r="AX467" i="2" l="1"/>
  <c r="AX413" i="2"/>
  <c r="AX32" i="2"/>
  <c r="AX36" i="2"/>
  <c r="AX37" i="2"/>
  <c r="AX247" i="2"/>
  <c r="AX335" i="2"/>
  <c r="AX421" i="2"/>
  <c r="AX472" i="2" l="1"/>
  <c r="AX412" i="2"/>
  <c r="AX245" i="2"/>
  <c r="AX206" i="2"/>
  <c r="AX210" i="2" s="1"/>
  <c r="AX35" i="2"/>
  <c r="AX309" i="2"/>
  <c r="AX427" i="2"/>
  <c r="AX352" i="2"/>
  <c r="AX354" i="2" s="1"/>
  <c r="AX428" i="2"/>
  <c r="AX34" i="2"/>
  <c r="AX1" i="2" s="1"/>
  <c r="AX257" i="2" l="1"/>
  <c r="AX311" i="2"/>
  <c r="AX214" i="2"/>
  <c r="AX418" i="2" l="1"/>
  <c r="AX417" i="2"/>
  <c r="AX416" i="2"/>
  <c r="AX415" i="2"/>
  <c r="AX466" i="2" s="1"/>
  <c r="AX468" i="2" s="1"/>
  <c r="AX355" i="2"/>
  <c r="AX357" i="2" s="1"/>
  <c r="AX359" i="2" s="1"/>
  <c r="AX368" i="2" s="1"/>
  <c r="AX429" i="2"/>
  <c r="AX430" i="2"/>
  <c r="AX399" i="2"/>
  <c r="AX216" i="2"/>
  <c r="AX215" i="2"/>
  <c r="AX40" i="2"/>
  <c r="AX259" i="2"/>
  <c r="AX271" i="2"/>
  <c r="AX392" i="2" l="1"/>
  <c r="AX369" i="2"/>
  <c r="AX379" i="2"/>
  <c r="AX393" i="2" l="1"/>
  <c r="AX371" i="2"/>
  <c r="AX396" i="2"/>
  <c r="AX383" i="2" l="1"/>
  <c r="AX302" i="2" s="1"/>
  <c r="AX318" i="2" l="1"/>
  <c r="AX319" i="2"/>
  <c r="AX305" i="2"/>
  <c r="AX313" i="2" s="1"/>
  <c r="AX321" i="2" l="1"/>
  <c r="AX263" i="2"/>
  <c r="AY24" i="2"/>
  <c r="AX372" i="2"/>
  <c r="AX273" i="2" l="1"/>
  <c r="AX275" i="2" s="1"/>
  <c r="AX268" i="2"/>
  <c r="AX285" i="2" s="1"/>
  <c r="AY207" i="2"/>
  <c r="AY330" i="2"/>
  <c r="AY26" i="2"/>
  <c r="AY329" i="2"/>
  <c r="AY328" i="2"/>
  <c r="N24" i="2"/>
  <c r="AY28" i="2" l="1"/>
  <c r="AY27" i="2"/>
  <c r="L207" i="2"/>
  <c r="M207" i="2"/>
  <c r="N207" i="2"/>
  <c r="AX422" i="2"/>
  <c r="AX290" i="2"/>
  <c r="AX269" i="2"/>
  <c r="AX2" i="2"/>
  <c r="AX380" i="2"/>
  <c r="AX320" i="2"/>
  <c r="N71" i="2"/>
  <c r="N330" i="2"/>
  <c r="N26" i="2"/>
  <c r="N329" i="2"/>
  <c r="N328" i="2"/>
  <c r="AX322" i="2" l="1"/>
  <c r="AX325" i="2"/>
  <c r="AX326" i="2"/>
  <c r="AX324" i="2"/>
  <c r="AX336" i="2"/>
  <c r="AX295" i="2"/>
  <c r="AX314" i="2" s="1"/>
  <c r="AY208" i="2"/>
  <c r="N27" i="2"/>
  <c r="N72" i="2" s="1"/>
  <c r="AY288" i="2"/>
  <c r="AY409" i="2"/>
  <c r="AY407" i="2" s="1"/>
  <c r="AY30" i="2"/>
  <c r="AY467" i="2" l="1"/>
  <c r="AY413" i="2"/>
  <c r="AY36" i="2"/>
  <c r="AY34" i="2"/>
  <c r="AY1" i="2" s="1"/>
  <c r="AY32" i="2"/>
  <c r="L208" i="2"/>
  <c r="M208" i="2"/>
  <c r="N208" i="2"/>
  <c r="AY37" i="2"/>
  <c r="L407" i="2"/>
  <c r="M407" i="2"/>
  <c r="N407" i="2"/>
  <c r="AY247" i="2"/>
  <c r="N288" i="2"/>
  <c r="AY421" i="2"/>
  <c r="AY335" i="2"/>
  <c r="N28" i="2"/>
  <c r="N30" i="2" s="1"/>
  <c r="M409" i="2" l="1"/>
  <c r="M37" i="2"/>
  <c r="AY352" i="2"/>
  <c r="AY428" i="2"/>
  <c r="N421" i="2"/>
  <c r="N428" i="2" s="1"/>
  <c r="N335" i="2"/>
  <c r="L409" i="2"/>
  <c r="L37" i="2"/>
  <c r="N467" i="2"/>
  <c r="N413" i="2"/>
  <c r="N32" i="2"/>
  <c r="L247" i="2"/>
  <c r="M247" i="2"/>
  <c r="N247" i="2"/>
  <c r="AY427" i="2"/>
  <c r="AY472" i="2"/>
  <c r="AY412" i="2"/>
  <c r="AY245" i="2"/>
  <c r="AY206" i="2"/>
  <c r="AY210" i="2" s="1"/>
  <c r="AY35" i="2"/>
  <c r="AY309" i="2"/>
  <c r="N409" i="2"/>
  <c r="N37" i="2"/>
  <c r="N427" i="2" s="1"/>
  <c r="N34" i="2" l="1"/>
  <c r="N1" i="2" s="1"/>
  <c r="L427" i="2"/>
  <c r="L36" i="2"/>
  <c r="L34" i="2"/>
  <c r="L1" i="2" s="1"/>
  <c r="L35" i="2"/>
  <c r="AY311" i="2"/>
  <c r="N309" i="2"/>
  <c r="AY354" i="2"/>
  <c r="N352" i="2"/>
  <c r="AY214" i="2"/>
  <c r="L210" i="2"/>
  <c r="M210" i="2"/>
  <c r="N210" i="2"/>
  <c r="AY257" i="2"/>
  <c r="L245" i="2"/>
  <c r="L257" i="2" s="1"/>
  <c r="M245" i="2"/>
  <c r="M257" i="2" s="1"/>
  <c r="N245" i="2"/>
  <c r="N257" i="2" s="1"/>
  <c r="N472" i="2"/>
  <c r="N412" i="2"/>
  <c r="N206" i="2"/>
  <c r="N35" i="2"/>
  <c r="M427" i="2"/>
  <c r="M34" i="2"/>
  <c r="M1" i="2" s="1"/>
  <c r="M36" i="2"/>
  <c r="M35" i="2"/>
  <c r="N36" i="2"/>
  <c r="M271" i="2" l="1"/>
  <c r="M259" i="2"/>
  <c r="N354" i="2"/>
  <c r="L271" i="2"/>
  <c r="L259" i="2"/>
  <c r="AY259" i="2"/>
  <c r="AY271" i="2"/>
  <c r="AY399" i="2"/>
  <c r="AY216" i="2"/>
  <c r="AY215" i="2"/>
  <c r="AY40" i="2"/>
  <c r="L214" i="2"/>
  <c r="M214" i="2"/>
  <c r="N214" i="2"/>
  <c r="AY418" i="2"/>
  <c r="AY417" i="2"/>
  <c r="AY416" i="2"/>
  <c r="AY415" i="2"/>
  <c r="AY466" i="2" s="1"/>
  <c r="AY468" i="2" s="1"/>
  <c r="AY355" i="2"/>
  <c r="N355" i="2" s="1"/>
  <c r="N311" i="2"/>
  <c r="AY429" i="2"/>
  <c r="AY430" i="2"/>
  <c r="N259" i="2"/>
  <c r="N271" i="2"/>
  <c r="N215" i="2" l="1"/>
  <c r="N40" i="2"/>
  <c r="AY357" i="2"/>
  <c r="N417" i="2"/>
  <c r="N415" i="2"/>
  <c r="N466" i="2" s="1"/>
  <c r="N468" i="2" s="1"/>
  <c r="N418" i="2"/>
  <c r="N416" i="2"/>
  <c r="N429" i="2"/>
  <c r="N430" i="2"/>
  <c r="M215" i="2"/>
  <c r="M40" i="2"/>
  <c r="M325" i="2" s="1"/>
  <c r="M324" i="2"/>
  <c r="L216" i="2"/>
  <c r="M216" i="2"/>
  <c r="N216" i="2"/>
  <c r="L215" i="2"/>
  <c r="L40" i="2"/>
  <c r="L325" i="2" s="1"/>
  <c r="L324" i="2"/>
  <c r="AY359" i="2" l="1"/>
  <c r="N357" i="2"/>
  <c r="AY368" i="2" l="1"/>
  <c r="N359" i="2"/>
  <c r="AY392" i="2" l="1"/>
  <c r="AY369" i="2"/>
  <c r="N368" i="2"/>
  <c r="N392" i="2" s="1"/>
  <c r="AY379" i="2"/>
  <c r="N379" i="2" l="1"/>
  <c r="AY396" i="2"/>
  <c r="N396" i="2" s="1"/>
  <c r="AY393" i="2"/>
  <c r="AY371" i="2"/>
  <c r="N369" i="2"/>
  <c r="N393" i="2" s="1"/>
  <c r="AY383" i="2" l="1"/>
  <c r="N371" i="2"/>
  <c r="AY302" i="2" l="1"/>
  <c r="N383" i="2"/>
  <c r="AY319" i="2" l="1"/>
  <c r="AY318" i="2"/>
  <c r="N302" i="2"/>
  <c r="AY305" i="2"/>
  <c r="AY313" i="2" s="1"/>
  <c r="N319" i="2" l="1"/>
  <c r="N318" i="2"/>
  <c r="N305" i="2"/>
  <c r="N313" i="2" s="1"/>
  <c r="AY321" i="2"/>
  <c r="AY263" i="2"/>
  <c r="AY372" i="2"/>
  <c r="AY273" i="2" l="1"/>
  <c r="AY275" i="2" s="1"/>
  <c r="L263" i="2"/>
  <c r="M263" i="2"/>
  <c r="N263" i="2"/>
  <c r="AY268" i="2"/>
  <c r="AY285" i="2" s="1"/>
  <c r="N321" i="2"/>
  <c r="N273" i="2" l="1"/>
  <c r="N275" i="2" s="1"/>
  <c r="N268" i="2"/>
  <c r="M273" i="2"/>
  <c r="M275" i="2" s="1"/>
  <c r="M268" i="2"/>
  <c r="M269" i="2" s="1"/>
  <c r="L273" i="2"/>
  <c r="L275" i="2" s="1"/>
  <c r="L268" i="2"/>
  <c r="L269" i="2" s="1"/>
  <c r="AY422" i="2"/>
  <c r="AY269" i="2"/>
  <c r="AY290" i="2"/>
  <c r="AY2" i="2"/>
  <c r="N285" i="2"/>
  <c r="AY380" i="2"/>
  <c r="N380" i="2" s="1"/>
  <c r="AY320" i="2"/>
  <c r="N422" i="2" l="1"/>
  <c r="N290" i="2"/>
  <c r="N269" i="2"/>
  <c r="N320" i="2"/>
  <c r="AY326" i="2"/>
  <c r="AY325" i="2"/>
  <c r="AY324" i="2"/>
  <c r="AY322" i="2"/>
  <c r="AY295" i="2"/>
  <c r="AY314" i="2" s="1"/>
  <c r="AY336" i="2"/>
  <c r="N326" i="2" l="1"/>
  <c r="N322" i="2"/>
  <c r="N324" i="2"/>
  <c r="N325" i="2"/>
  <c r="N336" i="2"/>
  <c r="N295" i="2"/>
  <c r="N314" i="2" s="1"/>
</calcChain>
</file>

<file path=xl/comments1.xml><?xml version="1.0" encoding="utf-8"?>
<comments xmlns="http://schemas.openxmlformats.org/spreadsheetml/2006/main">
  <authors>
    <author>Lynagh, Connor J (Research)</author>
    <author>Ozier, Alex (Research)</author>
  </authors>
  <commentList>
    <comment ref="AD16" authorId="0">
      <text>
        <r>
          <rPr>
            <sz val="9"/>
            <color indexed="81"/>
            <rFont val="Tahoma"/>
            <family val="2"/>
          </rPr>
          <t>excludes 3.123 in restructuring</t>
        </r>
      </text>
    </comment>
    <comment ref="AE16" authorId="0">
      <text>
        <r>
          <rPr>
            <sz val="9"/>
            <color indexed="81"/>
            <rFont val="Tahoma"/>
            <family val="2"/>
          </rPr>
          <t>excludes $76mm in restructuring</t>
        </r>
      </text>
    </comment>
    <comment ref="AG16" authorId="0">
      <text>
        <r>
          <rPr>
            <sz val="9"/>
            <color indexed="81"/>
            <rFont val="Tahoma"/>
            <family val="2"/>
          </rPr>
          <t>excludes $9.9mm in inventory writedowns</t>
        </r>
      </text>
    </comment>
    <comment ref="AH16" authorId="0">
      <text>
        <r>
          <rPr>
            <sz val="9"/>
            <color indexed="81"/>
            <rFont val="Tahoma"/>
            <family val="2"/>
          </rPr>
          <t>no longer includes G&amp;A at segment level</t>
        </r>
      </text>
    </comment>
    <comment ref="AC17" authorId="0">
      <text>
        <r>
          <rPr>
            <sz val="9"/>
            <color indexed="81"/>
            <rFont val="Tahoma"/>
            <family val="2"/>
          </rPr>
          <t>12.1mm of restructuring charges excluded</t>
        </r>
      </text>
    </comment>
    <comment ref="AD17" authorId="0">
      <text>
        <r>
          <rPr>
            <sz val="9"/>
            <color indexed="81"/>
            <rFont val="Tahoma"/>
            <family val="2"/>
          </rPr>
          <t>excludes 1.832 in restructuring</t>
        </r>
      </text>
    </comment>
    <comment ref="AE17" authorId="0">
      <text>
        <r>
          <rPr>
            <sz val="9"/>
            <color indexed="81"/>
            <rFont val="Tahoma"/>
            <family val="2"/>
          </rPr>
          <t>excludes a $0.410mm benefit</t>
        </r>
      </text>
    </comment>
    <comment ref="AG17" authorId="0">
      <text>
        <r>
          <rPr>
            <sz val="9"/>
            <color indexed="81"/>
            <rFont val="Tahoma"/>
            <family val="2"/>
          </rPr>
          <t>excludes $0.4mm in inventory writedowns</t>
        </r>
      </text>
    </comment>
    <comment ref="AH17" authorId="0">
      <text>
        <r>
          <rPr>
            <sz val="9"/>
            <color indexed="81"/>
            <rFont val="Tahoma"/>
            <family val="2"/>
          </rPr>
          <t>no longer includes G&amp;A at segment level</t>
        </r>
      </text>
    </comment>
    <comment ref="B19" authorId="0">
      <text>
        <r>
          <rPr>
            <sz val="9"/>
            <color indexed="81"/>
            <rFont val="Tahoma"/>
            <family val="2"/>
          </rPr>
          <t>Previously was only corporate costs; changed as of 3Q16</t>
        </r>
      </text>
    </comment>
    <comment ref="J19" authorId="0">
      <text>
        <r>
          <rPr>
            <b/>
            <sz val="9"/>
            <color indexed="81"/>
            <rFont val="Tahoma"/>
            <family val="2"/>
          </rPr>
          <t>Lynagh, Connor J (Research):</t>
        </r>
        <r>
          <rPr>
            <sz val="9"/>
            <color indexed="81"/>
            <rFont val="Tahoma"/>
            <family val="2"/>
          </rPr>
          <t xml:space="preserve">
note change in methodology here</t>
        </r>
      </text>
    </comment>
    <comment ref="AH19" authorId="0">
      <text>
        <r>
          <rPr>
            <sz val="9"/>
            <color indexed="81"/>
            <rFont val="Tahoma"/>
            <family val="2"/>
          </rPr>
          <t>now total G&amp;A, not just corporate G&amp;A</t>
        </r>
      </text>
    </comment>
    <comment ref="AM19" authorId="0">
      <text>
        <r>
          <rPr>
            <b/>
            <sz val="9"/>
            <color indexed="81"/>
            <rFont val="Tahoma"/>
            <family val="2"/>
          </rPr>
          <t>Lynagh, Connor J (Research):</t>
        </r>
        <r>
          <rPr>
            <sz val="9"/>
            <color indexed="81"/>
            <rFont val="Tahoma"/>
            <family val="2"/>
          </rPr>
          <t xml:space="preserve">
excluding $3mm in debt refinancing fees</t>
        </r>
      </text>
    </comment>
    <comment ref="AP19" authorId="0">
      <text>
        <r>
          <rPr>
            <b/>
            <sz val="9"/>
            <color indexed="81"/>
            <rFont val="Tahoma"/>
            <family val="2"/>
          </rPr>
          <t>Lynagh, Connor J (Research):</t>
        </r>
        <r>
          <rPr>
            <sz val="9"/>
            <color indexed="81"/>
            <rFont val="Tahoma"/>
            <family val="2"/>
          </rPr>
          <t xml:space="preserve">
$160mm LTM, assume some growth into upcycle and then modest synergies over next 2 quarters</t>
        </r>
      </text>
    </comment>
    <comment ref="AC20" authorId="0">
      <text>
        <r>
          <rPr>
            <sz val="9"/>
            <color indexed="81"/>
            <rFont val="Tahoma"/>
            <family val="2"/>
          </rPr>
          <t>add back expenses related to "audit of comp. plan"</t>
        </r>
      </text>
    </comment>
    <comment ref="AP20" authorId="0">
      <text>
        <r>
          <rPr>
            <b/>
            <sz val="9"/>
            <color indexed="81"/>
            <rFont val="Tahoma"/>
            <family val="2"/>
          </rPr>
          <t>Lynagh, Connor J (Research):</t>
        </r>
        <r>
          <rPr>
            <sz val="9"/>
            <color indexed="81"/>
            <rFont val="Tahoma"/>
            <family val="2"/>
          </rPr>
          <t xml:space="preserve">
uncertain; estimated</t>
        </r>
      </text>
    </comment>
    <comment ref="AN21" authorId="0">
      <text>
        <r>
          <rPr>
            <b/>
            <sz val="9"/>
            <color indexed="81"/>
            <rFont val="Tahoma"/>
            <family val="2"/>
          </rPr>
          <t>Lynagh, Connor J (Research):</t>
        </r>
        <r>
          <rPr>
            <sz val="9"/>
            <color indexed="81"/>
            <rFont val="Tahoma"/>
            <family val="2"/>
          </rPr>
          <t xml:space="preserve">
$20mm/q</t>
        </r>
      </text>
    </comment>
    <comment ref="AB22" authorId="0">
      <text>
        <r>
          <rPr>
            <sz val="9"/>
            <color indexed="81"/>
            <rFont val="Tahoma"/>
            <family val="2"/>
          </rPr>
          <t>rounded to make total match</t>
        </r>
      </text>
    </comment>
    <comment ref="AH22" authorId="0">
      <text>
        <r>
          <rPr>
            <sz val="9"/>
            <color indexed="81"/>
            <rFont val="Tahoma"/>
            <family val="2"/>
          </rPr>
          <t>exclude $9.8mm in railcar renegotiation expenses</t>
        </r>
      </text>
    </comment>
    <comment ref="AM24" authorId="0">
      <text>
        <r>
          <rPr>
            <b/>
            <sz val="9"/>
            <color indexed="81"/>
            <rFont val="Tahoma"/>
            <family val="2"/>
          </rPr>
          <t>Lynagh, Connor J (Research):</t>
        </r>
        <r>
          <rPr>
            <sz val="9"/>
            <color indexed="81"/>
            <rFont val="Tahoma"/>
            <family val="2"/>
          </rPr>
          <t xml:space="preserve">
fees that went into refinancing expensed ~$4.7mm in Q4</t>
        </r>
      </text>
    </comment>
    <comment ref="AN24" authorId="0">
      <text>
        <r>
          <rPr>
            <b/>
            <sz val="9"/>
            <color indexed="81"/>
            <rFont val="Tahoma"/>
            <family val="2"/>
          </rPr>
          <t>Lynagh, Connor J (Research):</t>
        </r>
        <r>
          <rPr>
            <sz val="9"/>
            <color indexed="81"/>
            <rFont val="Tahoma"/>
            <family val="2"/>
          </rPr>
          <t xml:space="preserve">
~$15mm/q</t>
        </r>
      </text>
    </comment>
    <comment ref="W25" authorId="0">
      <text>
        <r>
          <rPr>
            <sz val="9"/>
            <color indexed="81"/>
            <rFont val="Tahoma"/>
            <family val="2"/>
          </rPr>
          <t>excludes loss on disposition</t>
        </r>
      </text>
    </comment>
    <comment ref="Z25" authorId="0">
      <text>
        <r>
          <rPr>
            <sz val="9"/>
            <color indexed="81"/>
            <rFont val="Tahoma"/>
            <family val="2"/>
          </rPr>
          <t>excl. gain on asset disposal</t>
        </r>
      </text>
    </comment>
    <comment ref="AE25" authorId="0">
      <text>
        <r>
          <rPr>
            <sz val="9"/>
            <color indexed="81"/>
            <rFont val="Tahoma"/>
            <family val="2"/>
          </rPr>
          <t>adjustments less identified one-times</t>
        </r>
      </text>
    </comment>
    <comment ref="AH46" authorId="0">
      <text>
        <r>
          <rPr>
            <sz val="9"/>
            <color indexed="81"/>
            <rFont val="Tahoma"/>
            <family val="2"/>
          </rPr>
          <t>not comparable Q/Q - now COGS only</t>
        </r>
      </text>
    </comment>
    <comment ref="AP69" authorId="0">
      <text>
        <r>
          <rPr>
            <b/>
            <sz val="9"/>
            <color indexed="81"/>
            <rFont val="Tahoma"/>
            <family val="2"/>
          </rPr>
          <t>Lynagh, Connor J (Research):</t>
        </r>
        <r>
          <rPr>
            <sz val="9"/>
            <color indexed="81"/>
            <rFont val="Tahoma"/>
            <family val="2"/>
          </rPr>
          <t xml:space="preserve">
targeting ~$250mm in annual D&amp;A</t>
        </r>
      </text>
    </comment>
    <comment ref="AN71" authorId="0">
      <text>
        <r>
          <rPr>
            <b/>
            <sz val="9"/>
            <color indexed="81"/>
            <rFont val="Tahoma"/>
            <family val="2"/>
          </rPr>
          <t>Lynagh, Connor J (Research):</t>
        </r>
        <r>
          <rPr>
            <sz val="9"/>
            <color indexed="81"/>
            <rFont val="Tahoma"/>
            <family val="2"/>
          </rPr>
          <t xml:space="preserve">
L+600 on new debt, assume 50bps of amortization and other fees</t>
        </r>
      </text>
    </comment>
    <comment ref="AP71" authorId="0">
      <text>
        <r>
          <rPr>
            <b/>
            <sz val="9"/>
            <color indexed="81"/>
            <rFont val="Tahoma"/>
            <family val="2"/>
          </rPr>
          <t>Lynagh, Connor J (Research):</t>
        </r>
        <r>
          <rPr>
            <sz val="9"/>
            <color indexed="81"/>
            <rFont val="Tahoma"/>
            <family val="2"/>
          </rPr>
          <t xml:space="preserve">
assume broadly in line with current debt assumptions, minor adjustment to reflect lower impact of commitment fee</t>
        </r>
      </text>
    </comment>
    <comment ref="AN72" authorId="0">
      <text>
        <r>
          <rPr>
            <b/>
            <sz val="9"/>
            <color indexed="81"/>
            <rFont val="Tahoma"/>
            <family val="2"/>
          </rPr>
          <t>Lynagh, Connor J (Research):</t>
        </r>
        <r>
          <rPr>
            <sz val="9"/>
            <color indexed="81"/>
            <rFont val="Tahoma"/>
            <family val="2"/>
          </rPr>
          <t xml:space="preserve">
3-5%</t>
        </r>
      </text>
    </comment>
    <comment ref="AI76" authorId="0">
      <text>
        <r>
          <rPr>
            <b/>
            <sz val="9"/>
            <color indexed="81"/>
            <rFont val="Tahoma"/>
            <family val="2"/>
          </rPr>
          <t>Lynagh, Connor J (Research):</t>
        </r>
        <r>
          <rPr>
            <sz val="9"/>
            <color indexed="81"/>
            <rFont val="Tahoma"/>
            <family val="2"/>
          </rPr>
          <t xml:space="preserve">
excluding stock-based comp</t>
        </r>
      </text>
    </comment>
    <comment ref="AJ76" authorId="0">
      <text>
        <r>
          <rPr>
            <b/>
            <sz val="9"/>
            <color indexed="81"/>
            <rFont val="Tahoma"/>
            <family val="2"/>
          </rPr>
          <t>Lynagh, Connor J (Research):</t>
        </r>
        <r>
          <rPr>
            <sz val="9"/>
            <color indexed="81"/>
            <rFont val="Tahoma"/>
            <family val="2"/>
          </rPr>
          <t xml:space="preserve">
excl. stock comp</t>
        </r>
      </text>
    </comment>
    <comment ref="AK76" authorId="0">
      <text>
        <r>
          <rPr>
            <b/>
            <sz val="9"/>
            <color indexed="81"/>
            <rFont val="Tahoma"/>
            <family val="2"/>
          </rPr>
          <t>Lynagh, Connor J (Research):</t>
        </r>
        <r>
          <rPr>
            <sz val="9"/>
            <color indexed="81"/>
            <rFont val="Tahoma"/>
            <family val="2"/>
          </rPr>
          <t xml:space="preserve">
excl. stock comp</t>
        </r>
      </text>
    </comment>
    <comment ref="AL76" authorId="0">
      <text>
        <r>
          <rPr>
            <b/>
            <sz val="9"/>
            <color indexed="81"/>
            <rFont val="Tahoma"/>
            <family val="2"/>
          </rPr>
          <t>Lynagh, Connor J (Research):</t>
        </r>
        <r>
          <rPr>
            <sz val="9"/>
            <color indexed="81"/>
            <rFont val="Tahoma"/>
            <family val="2"/>
          </rPr>
          <t xml:space="preserve">
excl. stock comp</t>
        </r>
      </text>
    </comment>
    <comment ref="C80" authorId="0">
      <text>
        <r>
          <rPr>
            <sz val="9"/>
            <color indexed="81"/>
            <rFont val="Tahoma"/>
            <family val="2"/>
          </rPr>
          <t xml:space="preserve"> Impairment of long-lived assets
$.580 Mn : Transaction expenses</t>
        </r>
      </text>
    </comment>
    <comment ref="D80" authorId="0">
      <text>
        <r>
          <rPr>
            <sz val="9"/>
            <color indexed="81"/>
            <rFont val="Tahoma"/>
            <family val="2"/>
          </rPr>
          <t xml:space="preserve"> Impairment of long-lived assets
$2.907 Mn: Non-recurring payments relating to sponsor buyout
$17.536 Mn: Trans exp.</t>
        </r>
      </text>
    </comment>
    <comment ref="E80" authorId="0">
      <text>
        <r>
          <rPr>
            <sz val="9"/>
            <color indexed="81"/>
            <rFont val="Tahoma"/>
            <family val="2"/>
          </rPr>
          <t xml:space="preserve"> Non-recurring payments relating to sponsor buyout</t>
        </r>
      </text>
    </comment>
    <comment ref="F80" authorId="0">
      <text>
        <r>
          <rPr>
            <sz val="9"/>
            <color indexed="81"/>
            <rFont val="Tahoma"/>
            <family val="2"/>
          </rPr>
          <t>impairments and loss on disposal</t>
        </r>
      </text>
    </comment>
    <comment ref="G80" authorId="0">
      <text>
        <r>
          <rPr>
            <sz val="9"/>
            <color indexed="81"/>
            <rFont val="Tahoma"/>
            <family val="2"/>
          </rPr>
          <t>loss on asset sales and transaction expenses</t>
        </r>
      </text>
    </comment>
    <comment ref="T80" authorId="0">
      <text>
        <r>
          <rPr>
            <sz val="9"/>
            <color indexed="81"/>
            <rFont val="Tahoma"/>
            <family val="2"/>
          </rPr>
          <t>trans. costs</t>
        </r>
      </text>
    </comment>
    <comment ref="U80" authorId="0">
      <text>
        <r>
          <rPr>
            <sz val="9"/>
            <color indexed="81"/>
            <rFont val="Tahoma"/>
            <family val="2"/>
          </rPr>
          <t>Transaction expenses</t>
        </r>
      </text>
    </comment>
    <comment ref="V80" authorId="0">
      <text>
        <r>
          <rPr>
            <sz val="9"/>
            <color indexed="81"/>
            <rFont val="Tahoma"/>
            <family val="2"/>
          </rPr>
          <t>transaction expense</t>
        </r>
      </text>
    </comment>
    <comment ref="W80" authorId="0">
      <text>
        <r>
          <rPr>
            <sz val="9"/>
            <color indexed="81"/>
            <rFont val="Tahoma"/>
            <family val="2"/>
          </rPr>
          <t>transaction expenses</t>
        </r>
      </text>
    </comment>
    <comment ref="X80" authorId="0">
      <text>
        <r>
          <rPr>
            <sz val="9"/>
            <color indexed="81"/>
            <rFont val="Tahoma"/>
            <family val="2"/>
          </rPr>
          <t>trans. costs</t>
        </r>
      </text>
    </comment>
    <comment ref="Y80" authorId="0">
      <text>
        <r>
          <rPr>
            <sz val="9"/>
            <color indexed="81"/>
            <rFont val="Tahoma"/>
            <family val="2"/>
          </rPr>
          <t>transaction &amp; IPO costs</t>
        </r>
      </text>
    </comment>
    <comment ref="Z80" authorId="0">
      <text>
        <r>
          <rPr>
            <sz val="9"/>
            <color indexed="81"/>
            <rFont val="Tahoma"/>
            <family val="2"/>
          </rPr>
          <t>IPO costs</t>
        </r>
      </text>
    </comment>
    <comment ref="AA80" authorId="0">
      <text>
        <r>
          <rPr>
            <sz val="9"/>
            <color indexed="81"/>
            <rFont val="Tahoma"/>
            <family val="2"/>
          </rPr>
          <t>IPO costs and mgmt. fees</t>
        </r>
      </text>
    </comment>
    <comment ref="AB80" authorId="0">
      <text>
        <r>
          <rPr>
            <sz val="9"/>
            <color indexed="81"/>
            <rFont val="Tahoma"/>
            <family val="2"/>
          </rPr>
          <t>severance</t>
        </r>
      </text>
    </comment>
    <comment ref="AG80" authorId="0">
      <text>
        <r>
          <rPr>
            <sz val="9"/>
            <color indexed="81"/>
            <rFont val="Tahoma"/>
            <family val="2"/>
          </rPr>
          <t>$5.3mm of debt extension fees, $10.3 of inventory writedown</t>
        </r>
      </text>
    </comment>
    <comment ref="AI80" authorId="0">
      <text>
        <r>
          <rPr>
            <b/>
            <sz val="9"/>
            <color indexed="81"/>
            <rFont val="Tahoma"/>
            <family val="2"/>
          </rPr>
          <t>Lynagh, Connor J (Research):</t>
        </r>
        <r>
          <rPr>
            <sz val="9"/>
            <color indexed="81"/>
            <rFont val="Tahoma"/>
            <family val="2"/>
          </rPr>
          <t xml:space="preserve">
professional fees</t>
        </r>
      </text>
    </comment>
    <comment ref="AM80" authorId="0">
      <text>
        <r>
          <rPr>
            <b/>
            <sz val="9"/>
            <color indexed="81"/>
            <rFont val="Tahoma"/>
            <family val="2"/>
          </rPr>
          <t>Lynagh, Connor J (Research):</t>
        </r>
        <r>
          <rPr>
            <sz val="9"/>
            <color indexed="81"/>
            <rFont val="Tahoma"/>
            <family val="2"/>
          </rPr>
          <t xml:space="preserve">
merger transaction expenses</t>
        </r>
      </text>
    </comment>
    <comment ref="E82" authorId="0">
      <text>
        <r>
          <rPr>
            <sz val="9"/>
            <color indexed="81"/>
            <rFont val="Tahoma"/>
            <family val="2"/>
          </rPr>
          <t xml:space="preserve"> Loss on extinguishment of debt
</t>
        </r>
      </text>
    </comment>
    <comment ref="G82" authorId="0">
      <text>
        <r>
          <rPr>
            <sz val="9"/>
            <color indexed="81"/>
            <rFont val="Tahoma"/>
            <family val="2"/>
          </rPr>
          <t>loss on extinguishment of debt</t>
        </r>
      </text>
    </comment>
    <comment ref="V82" authorId="0">
      <text>
        <r>
          <rPr>
            <sz val="9"/>
            <color indexed="81"/>
            <rFont val="Tahoma"/>
            <family val="2"/>
          </rPr>
          <t>mgmt fees, loss on extinguishment of debt</t>
        </r>
      </text>
    </comment>
    <comment ref="W82" authorId="0">
      <text>
        <r>
          <rPr>
            <sz val="9"/>
            <color indexed="81"/>
            <rFont val="Tahoma"/>
            <family val="2"/>
          </rPr>
          <t>loss on disposition of assets</t>
        </r>
      </text>
    </comment>
    <comment ref="Z82" authorId="0">
      <text>
        <r>
          <rPr>
            <sz val="9"/>
            <color indexed="81"/>
            <rFont val="Tahoma"/>
            <family val="2"/>
          </rPr>
          <t>loss on sale of assets</t>
        </r>
      </text>
    </comment>
    <comment ref="AC82" authorId="0">
      <text>
        <r>
          <rPr>
            <sz val="9"/>
            <color indexed="81"/>
            <rFont val="Tahoma"/>
            <family val="2"/>
          </rPr>
          <t>restructuring</t>
        </r>
      </text>
    </comment>
    <comment ref="AD82" authorId="0">
      <text>
        <r>
          <rPr>
            <sz val="9"/>
            <color indexed="81"/>
            <rFont val="Tahoma"/>
            <family val="2"/>
          </rPr>
          <t>restructuring</t>
        </r>
      </text>
    </comment>
    <comment ref="AE82" authorId="0">
      <text>
        <r>
          <rPr>
            <sz val="9"/>
            <color indexed="81"/>
            <rFont val="Tahoma"/>
            <family val="2"/>
          </rPr>
          <t>loss on disposal, impairment, restructuring and impairment</t>
        </r>
      </text>
    </comment>
    <comment ref="AF82" authorId="0">
      <text>
        <r>
          <rPr>
            <sz val="9"/>
            <color indexed="81"/>
            <rFont val="Tahoma"/>
            <family val="2"/>
          </rPr>
          <t>restructuring</t>
        </r>
      </text>
    </comment>
    <comment ref="AG82" authorId="0">
      <text>
        <r>
          <rPr>
            <sz val="9"/>
            <color indexed="81"/>
            <rFont val="Tahoma"/>
            <family val="2"/>
          </rPr>
          <t>$91mm asset impairment and $1.155mm restructuring</t>
        </r>
      </text>
    </comment>
    <comment ref="AH82" authorId="0">
      <text>
        <r>
          <rPr>
            <sz val="9"/>
            <color indexed="81"/>
            <rFont val="Tahoma"/>
            <family val="2"/>
          </rPr>
          <t>railcar restructuring costs</t>
        </r>
      </text>
    </comment>
    <comment ref="AI82" authorId="0">
      <text>
        <r>
          <rPr>
            <b/>
            <sz val="9"/>
            <color indexed="81"/>
            <rFont val="Tahoma"/>
            <family val="2"/>
          </rPr>
          <t>Lynagh, Connor J (Research):</t>
        </r>
        <r>
          <rPr>
            <sz val="9"/>
            <color indexed="81"/>
            <rFont val="Tahoma"/>
            <family val="2"/>
          </rPr>
          <t xml:space="preserve">
goodwill and asset impairment, gain on repurchase of debt net of transaction fees</t>
        </r>
      </text>
    </comment>
    <comment ref="AM82" authorId="0">
      <text>
        <r>
          <rPr>
            <b/>
            <sz val="9"/>
            <color indexed="81"/>
            <rFont val="Tahoma"/>
            <family val="2"/>
          </rPr>
          <t>Lynagh, Connor J (Research):</t>
        </r>
        <r>
          <rPr>
            <sz val="9"/>
            <color indexed="81"/>
            <rFont val="Tahoma"/>
            <family val="2"/>
          </rPr>
          <t xml:space="preserve">
loss on debt extinguishment</t>
        </r>
      </text>
    </comment>
    <comment ref="AG83" authorId="0">
      <text>
        <r>
          <rPr>
            <sz val="9"/>
            <color indexed="81"/>
            <rFont val="Tahoma"/>
            <family val="2"/>
          </rPr>
          <t>co reports $111mm in charges but $3.9mm of this is stock comp expense</t>
        </r>
      </text>
    </comment>
    <comment ref="G84" authorId="0">
      <text>
        <r>
          <rPr>
            <sz val="9"/>
            <color indexed="81"/>
            <rFont val="Tahoma"/>
            <family val="2"/>
          </rPr>
          <t>believe no tax benefit was realized for extinguishment of debt</t>
        </r>
      </text>
    </comment>
    <comment ref="AC84" authorId="0">
      <text>
        <r>
          <rPr>
            <sz val="9"/>
            <color indexed="81"/>
            <rFont val="Tahoma"/>
            <family val="2"/>
          </rPr>
          <t>includes add'l non-recurring tax benefit</t>
        </r>
      </text>
    </comment>
    <comment ref="AE84" authorId="0">
      <text>
        <r>
          <rPr>
            <sz val="9"/>
            <color indexed="81"/>
            <rFont val="Tahoma"/>
            <family val="2"/>
          </rPr>
          <t>one-times after tax and tax liability adjustment</t>
        </r>
      </text>
    </comment>
    <comment ref="AN88" authorId="0">
      <text>
        <r>
          <rPr>
            <b/>
            <sz val="9"/>
            <color indexed="81"/>
            <rFont val="Tahoma"/>
            <family val="2"/>
          </rPr>
          <t>Lynagh, Connor J (Research):</t>
        </r>
        <r>
          <rPr>
            <sz val="9"/>
            <color indexed="81"/>
            <rFont val="Tahoma"/>
            <family val="2"/>
          </rPr>
          <t xml:space="preserve">
down ~5%</t>
        </r>
      </text>
    </comment>
    <comment ref="AP88" authorId="0">
      <text>
        <r>
          <rPr>
            <b/>
            <sz val="9"/>
            <color indexed="81"/>
            <rFont val="Tahoma"/>
            <family val="2"/>
          </rPr>
          <t>Lynagh, Connor J (Research):</t>
        </r>
        <r>
          <rPr>
            <sz val="9"/>
            <color indexed="81"/>
            <rFont val="Tahoma"/>
            <family val="2"/>
          </rPr>
          <t xml:space="preserve">
previously assumed 3100 FMSA tons, assume 3600 incremental from Unimin</t>
        </r>
      </text>
    </comment>
    <comment ref="AN89" authorId="0">
      <text>
        <r>
          <rPr>
            <b/>
            <sz val="9"/>
            <color indexed="81"/>
            <rFont val="Tahoma"/>
            <family val="2"/>
          </rPr>
          <t>Lynagh, Connor J (Research):</t>
        </r>
        <r>
          <rPr>
            <sz val="9"/>
            <color indexed="81"/>
            <rFont val="Tahoma"/>
            <family val="2"/>
          </rPr>
          <t xml:space="preserve">
pretty stable</t>
        </r>
      </text>
    </comment>
    <comment ref="X92" authorId="0">
      <text>
        <r>
          <rPr>
            <sz val="9"/>
            <color indexed="81"/>
            <rFont val="Tahoma"/>
            <family val="2"/>
          </rPr>
          <t>not disclosed but assume similar 25/75 split as 2Q/3Q increase</t>
        </r>
      </text>
    </comment>
    <comment ref="Y92" authorId="0">
      <text>
        <r>
          <rPr>
            <sz val="9"/>
            <color indexed="81"/>
            <rFont val="Tahoma"/>
            <family val="2"/>
          </rPr>
          <t>25% of Q/Q increase in CM/ton due to pricing</t>
        </r>
      </text>
    </comment>
    <comment ref="AA92" authorId="0">
      <text>
        <r>
          <rPr>
            <sz val="9"/>
            <color indexed="81"/>
            <rFont val="Tahoma"/>
            <family val="2"/>
          </rPr>
          <t>starting point of pricing assumptions</t>
        </r>
      </text>
    </comment>
    <comment ref="AB92" authorId="0">
      <text>
        <r>
          <rPr>
            <sz val="9"/>
            <color indexed="81"/>
            <rFont val="Tahoma"/>
            <family val="2"/>
          </rPr>
          <t>white down 10%, brown flat</t>
        </r>
      </text>
    </comment>
    <comment ref="AC92" authorId="0">
      <text>
        <r>
          <rPr>
            <sz val="9"/>
            <color indexed="81"/>
            <rFont val="Tahoma"/>
            <family val="2"/>
          </rPr>
          <t>down $9-12 in the period or 13%</t>
        </r>
      </text>
    </comment>
    <comment ref="AE92" authorId="0">
      <text>
        <r>
          <rPr>
            <sz val="9"/>
            <color indexed="81"/>
            <rFont val="Tahoma"/>
            <family val="2"/>
          </rPr>
          <t>down 5%</t>
        </r>
      </text>
    </comment>
    <comment ref="AF92" authorId="0">
      <text>
        <r>
          <rPr>
            <sz val="9"/>
            <color indexed="81"/>
            <rFont val="Tahoma"/>
            <family val="2"/>
          </rPr>
          <t>down 5%</t>
        </r>
      </text>
    </comment>
    <comment ref="AG92" authorId="0">
      <text>
        <r>
          <rPr>
            <sz val="9"/>
            <color indexed="81"/>
            <rFont val="Tahoma"/>
            <family val="2"/>
          </rPr>
          <t>RCS relatively flattish- backed into raw down ~10%</t>
        </r>
      </text>
    </comment>
    <comment ref="AI92" authorId="0">
      <text>
        <r>
          <rPr>
            <sz val="9"/>
            <color indexed="81"/>
            <rFont val="Tahoma"/>
            <family val="2"/>
          </rPr>
          <t>$2-4 price increase</t>
        </r>
      </text>
    </comment>
    <comment ref="AJ92" authorId="0">
      <text>
        <r>
          <rPr>
            <b/>
            <sz val="9"/>
            <color indexed="81"/>
            <rFont val="Tahoma"/>
            <family val="2"/>
          </rPr>
          <t>Lynagh, Connor J (Research):</t>
        </r>
        <r>
          <rPr>
            <sz val="9"/>
            <color indexed="81"/>
            <rFont val="Tahoma"/>
            <family val="2"/>
          </rPr>
          <t xml:space="preserve">
$4</t>
        </r>
      </text>
    </comment>
    <comment ref="AK92" authorId="0">
      <text>
        <r>
          <rPr>
            <b/>
            <sz val="9"/>
            <color indexed="81"/>
            <rFont val="Tahoma"/>
            <family val="2"/>
          </rPr>
          <t>Lynagh, Connor J (Research):</t>
        </r>
        <r>
          <rPr>
            <sz val="9"/>
            <color indexed="81"/>
            <rFont val="Tahoma"/>
            <family val="2"/>
          </rPr>
          <t xml:space="preserve">
$8/ton using constant mix</t>
        </r>
      </text>
    </comment>
    <comment ref="AL92" authorId="0">
      <text>
        <r>
          <rPr>
            <b/>
            <sz val="9"/>
            <color indexed="81"/>
            <rFont val="Tahoma"/>
            <family val="2"/>
          </rPr>
          <t>Lynagh, Connor J (Research):</t>
        </r>
        <r>
          <rPr>
            <sz val="9"/>
            <color indexed="81"/>
            <rFont val="Tahoma"/>
            <family val="2"/>
          </rPr>
          <t xml:space="preserve">
$5-7/ton guidance; comments "more than $7/ton"</t>
        </r>
      </text>
    </comment>
    <comment ref="AM92" authorId="0">
      <text>
        <r>
          <rPr>
            <b/>
            <sz val="9"/>
            <color indexed="81"/>
            <rFont val="Tahoma"/>
            <family val="2"/>
          </rPr>
          <t>Lynagh, Connor J (Research):</t>
        </r>
        <r>
          <rPr>
            <sz val="9"/>
            <color indexed="81"/>
            <rFont val="Tahoma"/>
            <family val="2"/>
          </rPr>
          <t xml:space="preserve">
flattish, but assume some mix shift</t>
        </r>
      </text>
    </comment>
    <comment ref="AI98" authorId="0">
      <text>
        <r>
          <rPr>
            <b/>
            <sz val="9"/>
            <color indexed="81"/>
            <rFont val="Tahoma"/>
            <family val="2"/>
          </rPr>
          <t>Lynagh, Connor J (Research):</t>
        </r>
        <r>
          <rPr>
            <sz val="9"/>
            <color indexed="81"/>
            <rFont val="Tahoma"/>
            <family val="2"/>
          </rPr>
          <t xml:space="preserve">
IR deck</t>
        </r>
      </text>
    </comment>
    <comment ref="AJ98" authorId="0">
      <text>
        <r>
          <rPr>
            <b/>
            <sz val="9"/>
            <color indexed="81"/>
            <rFont val="Tahoma"/>
            <family val="2"/>
          </rPr>
          <t>Lynagh, Connor J (Research):</t>
        </r>
        <r>
          <rPr>
            <sz val="9"/>
            <color indexed="81"/>
            <rFont val="Tahoma"/>
            <family val="2"/>
          </rPr>
          <t xml:space="preserve">
approximately 10,000</t>
        </r>
      </text>
    </comment>
    <comment ref="T103" authorId="0">
      <text>
        <r>
          <rPr>
            <b/>
            <sz val="9"/>
            <color indexed="81"/>
            <rFont val="Tahoma"/>
            <family val="2"/>
          </rPr>
          <t>Lynagh, Connor J (Research):</t>
        </r>
        <r>
          <rPr>
            <sz val="9"/>
            <color indexed="81"/>
            <rFont val="Tahoma"/>
            <family val="2"/>
          </rPr>
          <t xml:space="preserve">
assumed</t>
        </r>
      </text>
    </comment>
    <comment ref="U103" authorId="0">
      <text>
        <r>
          <rPr>
            <b/>
            <sz val="9"/>
            <color indexed="81"/>
            <rFont val="Tahoma"/>
            <family val="2"/>
          </rPr>
          <t>Lynagh, Connor J (Research):</t>
        </r>
        <r>
          <rPr>
            <sz val="9"/>
            <color indexed="81"/>
            <rFont val="Tahoma"/>
            <family val="2"/>
          </rPr>
          <t xml:space="preserve">
assumed</t>
        </r>
      </text>
    </comment>
    <comment ref="X106" authorId="0">
      <text>
        <r>
          <rPr>
            <b/>
            <sz val="9"/>
            <color indexed="81"/>
            <rFont val="Tahoma"/>
            <family val="2"/>
          </rPr>
          <t>Lynagh, Connor J (Research):</t>
        </r>
        <r>
          <rPr>
            <sz val="9"/>
            <color indexed="81"/>
            <rFont val="Tahoma"/>
            <family val="2"/>
          </rPr>
          <t xml:space="preserve">
assumed</t>
        </r>
      </text>
    </comment>
    <comment ref="Y106" authorId="0">
      <text>
        <r>
          <rPr>
            <b/>
            <sz val="9"/>
            <color indexed="81"/>
            <rFont val="Tahoma"/>
            <family val="2"/>
          </rPr>
          <t>Lynagh, Connor J (Research):</t>
        </r>
        <r>
          <rPr>
            <sz val="9"/>
            <color indexed="81"/>
            <rFont val="Tahoma"/>
            <family val="2"/>
          </rPr>
          <t xml:space="preserve">
assumed</t>
        </r>
      </text>
    </comment>
    <comment ref="B108" authorId="0">
      <text>
        <r>
          <rPr>
            <b/>
            <sz val="9"/>
            <color indexed="81"/>
            <rFont val="Tahoma"/>
            <family val="2"/>
          </rPr>
          <t>Lynagh, Connor J (Research):</t>
        </r>
        <r>
          <rPr>
            <sz val="9"/>
            <color indexed="81"/>
            <rFont val="Tahoma"/>
            <family val="2"/>
          </rPr>
          <t xml:space="preserve">
Virtually all</t>
        </r>
      </text>
    </comment>
    <comment ref="AJ109" authorId="0">
      <text>
        <r>
          <rPr>
            <b/>
            <sz val="9"/>
            <color indexed="81"/>
            <rFont val="Tahoma"/>
            <family val="2"/>
          </rPr>
          <t>Lynagh, Connor J (Research):</t>
        </r>
        <r>
          <rPr>
            <sz val="9"/>
            <color indexed="81"/>
            <rFont val="Tahoma"/>
            <family val="2"/>
          </rPr>
          <t xml:space="preserve">
~70%</t>
        </r>
      </text>
    </comment>
    <comment ref="AM109" authorId="0">
      <text>
        <r>
          <rPr>
            <b/>
            <sz val="9"/>
            <color indexed="81"/>
            <rFont val="Tahoma"/>
            <family val="2"/>
          </rPr>
          <t>Lynagh, Connor J (Research):</t>
        </r>
        <r>
          <rPr>
            <sz val="9"/>
            <color indexed="81"/>
            <rFont val="Tahoma"/>
            <family val="2"/>
          </rPr>
          <t xml:space="preserve">
nearly 75%</t>
        </r>
      </text>
    </comment>
    <comment ref="AJ113" authorId="0">
      <text>
        <r>
          <rPr>
            <b/>
            <sz val="9"/>
            <color indexed="81"/>
            <rFont val="Tahoma"/>
            <family val="2"/>
          </rPr>
          <t>Lynagh, Connor J (Research):</t>
        </r>
        <r>
          <rPr>
            <sz val="9"/>
            <color indexed="81"/>
            <rFont val="Tahoma"/>
            <family val="2"/>
          </rPr>
          <t xml:space="preserve">
up 3% this year</t>
        </r>
      </text>
    </comment>
    <comment ref="AN113" authorId="0">
      <text>
        <r>
          <rPr>
            <b/>
            <sz val="9"/>
            <color indexed="81"/>
            <rFont val="Tahoma"/>
            <family val="2"/>
          </rPr>
          <t>Lynagh, Connor J (Research):</t>
        </r>
        <r>
          <rPr>
            <sz val="9"/>
            <color indexed="81"/>
            <rFont val="Tahoma"/>
            <family val="2"/>
          </rPr>
          <t xml:space="preserve">
low single digits</t>
        </r>
      </text>
    </comment>
    <comment ref="AN117" authorId="0">
      <text>
        <r>
          <rPr>
            <b/>
            <sz val="9"/>
            <color indexed="81"/>
            <rFont val="Tahoma"/>
            <family val="2"/>
          </rPr>
          <t>Lynagh, Connor J (Research):</t>
        </r>
        <r>
          <rPr>
            <sz val="9"/>
            <color indexed="81"/>
            <rFont val="Tahoma"/>
            <family val="2"/>
          </rPr>
          <t xml:space="preserve">
up 3-4/ton</t>
        </r>
      </text>
    </comment>
    <comment ref="AO117" authorId="0">
      <text>
        <r>
          <rPr>
            <b/>
            <sz val="9"/>
            <color indexed="81"/>
            <rFont val="Tahoma"/>
            <family val="2"/>
          </rPr>
          <t>Lynagh, Connor J (Research):</t>
        </r>
        <r>
          <rPr>
            <sz val="9"/>
            <color indexed="81"/>
            <rFont val="Tahoma"/>
            <family val="2"/>
          </rPr>
          <t xml:space="preserve">
probably not much more</t>
        </r>
      </text>
    </comment>
    <comment ref="AQ119" authorId="0">
      <text>
        <r>
          <rPr>
            <b/>
            <sz val="9"/>
            <color indexed="81"/>
            <rFont val="Tahoma"/>
            <family val="2"/>
          </rPr>
          <t>Lynagh, Connor J (Research):</t>
        </r>
        <r>
          <rPr>
            <sz val="9"/>
            <color indexed="81"/>
            <rFont val="Tahoma"/>
            <family val="2"/>
          </rPr>
          <t xml:space="preserve">
assume some partial margin capture on logistical synergies</t>
        </r>
      </text>
    </comment>
    <comment ref="AO134" authorId="0">
      <text>
        <r>
          <rPr>
            <b/>
            <sz val="9"/>
            <color indexed="81"/>
            <rFont val="Tahoma"/>
            <family val="2"/>
          </rPr>
          <t>Lynagh, Connor J (Research):</t>
        </r>
        <r>
          <rPr>
            <sz val="9"/>
            <color indexed="81"/>
            <rFont val="Tahoma"/>
            <family val="2"/>
          </rPr>
          <t xml:space="preserve">
heavier skew to cheap, N. white mines and low overburden W Tx mines</t>
        </r>
      </text>
    </comment>
    <comment ref="AP134" authorId="0">
      <text>
        <r>
          <rPr>
            <b/>
            <sz val="9"/>
            <color indexed="81"/>
            <rFont val="Tahoma"/>
            <family val="2"/>
          </rPr>
          <t>Lynagh, Connor J (Research):</t>
        </r>
        <r>
          <rPr>
            <sz val="9"/>
            <color indexed="81"/>
            <rFont val="Tahoma"/>
            <family val="2"/>
          </rPr>
          <t xml:space="preserve">
heavier skew to cheap, N. white mines and low overburden W Tx mines</t>
        </r>
      </text>
    </comment>
    <comment ref="X136" authorId="0">
      <text>
        <r>
          <rPr>
            <b/>
            <sz val="9"/>
            <color indexed="81"/>
            <rFont val="Tahoma"/>
            <family val="2"/>
          </rPr>
          <t>Lynagh, Connor J (Research):</t>
        </r>
        <r>
          <rPr>
            <sz val="9"/>
            <color indexed="81"/>
            <rFont val="Tahoma"/>
            <family val="2"/>
          </rPr>
          <t xml:space="preserve">
based on full-year average</t>
        </r>
      </text>
    </comment>
    <comment ref="Y136" authorId="0">
      <text>
        <r>
          <rPr>
            <b/>
            <sz val="9"/>
            <color indexed="81"/>
            <rFont val="Tahoma"/>
            <family val="2"/>
          </rPr>
          <t>Lynagh, Connor J (Research):</t>
        </r>
        <r>
          <rPr>
            <sz val="9"/>
            <color indexed="81"/>
            <rFont val="Tahoma"/>
            <family val="2"/>
          </rPr>
          <t xml:space="preserve">
based on full-year average</t>
        </r>
      </text>
    </comment>
    <comment ref="Z136" authorId="0">
      <text>
        <r>
          <rPr>
            <b/>
            <sz val="9"/>
            <color indexed="81"/>
            <rFont val="Tahoma"/>
            <family val="2"/>
          </rPr>
          <t>Lynagh, Connor J (Research):</t>
        </r>
        <r>
          <rPr>
            <sz val="9"/>
            <color indexed="81"/>
            <rFont val="Tahoma"/>
            <family val="2"/>
          </rPr>
          <t xml:space="preserve">
based on full-year average</t>
        </r>
      </text>
    </comment>
    <comment ref="AA136" authorId="0">
      <text>
        <r>
          <rPr>
            <b/>
            <sz val="9"/>
            <color indexed="81"/>
            <rFont val="Tahoma"/>
            <family val="2"/>
          </rPr>
          <t>Lynagh, Connor J (Research):</t>
        </r>
        <r>
          <rPr>
            <sz val="9"/>
            <color indexed="81"/>
            <rFont val="Tahoma"/>
            <family val="2"/>
          </rPr>
          <t xml:space="preserve">
based on full-year average</t>
        </r>
      </text>
    </comment>
    <comment ref="AB136" authorId="0">
      <text>
        <r>
          <rPr>
            <b/>
            <sz val="9"/>
            <color indexed="81"/>
            <rFont val="Tahoma"/>
            <family val="2"/>
          </rPr>
          <t>Lynagh, Connor J (Research):</t>
        </r>
        <r>
          <rPr>
            <sz val="9"/>
            <color indexed="81"/>
            <rFont val="Tahoma"/>
            <family val="2"/>
          </rPr>
          <t xml:space="preserve">
based on full-year average</t>
        </r>
      </text>
    </comment>
    <comment ref="AC136" authorId="0">
      <text>
        <r>
          <rPr>
            <b/>
            <sz val="9"/>
            <color indexed="81"/>
            <rFont val="Tahoma"/>
            <family val="2"/>
          </rPr>
          <t>Lynagh, Connor J (Research):</t>
        </r>
        <r>
          <rPr>
            <sz val="9"/>
            <color indexed="81"/>
            <rFont val="Tahoma"/>
            <family val="2"/>
          </rPr>
          <t xml:space="preserve">
based on full-year average</t>
        </r>
      </text>
    </comment>
    <comment ref="AD136" authorId="0">
      <text>
        <r>
          <rPr>
            <b/>
            <sz val="9"/>
            <color indexed="81"/>
            <rFont val="Tahoma"/>
            <family val="2"/>
          </rPr>
          <t>Lynagh, Connor J (Research):</t>
        </r>
        <r>
          <rPr>
            <sz val="9"/>
            <color indexed="81"/>
            <rFont val="Tahoma"/>
            <family val="2"/>
          </rPr>
          <t xml:space="preserve">
based on full-year average</t>
        </r>
      </text>
    </comment>
    <comment ref="AE136" authorId="0">
      <text>
        <r>
          <rPr>
            <b/>
            <sz val="9"/>
            <color indexed="81"/>
            <rFont val="Tahoma"/>
            <family val="2"/>
          </rPr>
          <t>Lynagh, Connor J (Research):</t>
        </r>
        <r>
          <rPr>
            <sz val="9"/>
            <color indexed="81"/>
            <rFont val="Tahoma"/>
            <family val="2"/>
          </rPr>
          <t xml:space="preserve">
based on full-year average</t>
        </r>
      </text>
    </comment>
    <comment ref="AF136" authorId="0">
      <text>
        <r>
          <rPr>
            <b/>
            <sz val="9"/>
            <color indexed="81"/>
            <rFont val="Tahoma"/>
            <family val="2"/>
          </rPr>
          <t>Lynagh, Connor J (Research):</t>
        </r>
        <r>
          <rPr>
            <sz val="9"/>
            <color indexed="81"/>
            <rFont val="Tahoma"/>
            <family val="2"/>
          </rPr>
          <t xml:space="preserve">
based on full-year average</t>
        </r>
      </text>
    </comment>
    <comment ref="AG136" authorId="0">
      <text>
        <r>
          <rPr>
            <b/>
            <sz val="9"/>
            <color indexed="81"/>
            <rFont val="Tahoma"/>
            <family val="2"/>
          </rPr>
          <t>Lynagh, Connor J (Research):</t>
        </r>
        <r>
          <rPr>
            <sz val="9"/>
            <color indexed="81"/>
            <rFont val="Tahoma"/>
            <family val="2"/>
          </rPr>
          <t xml:space="preserve">
based on full-year average</t>
        </r>
      </text>
    </comment>
    <comment ref="AH136" authorId="0">
      <text>
        <r>
          <rPr>
            <b/>
            <sz val="9"/>
            <color indexed="81"/>
            <rFont val="Tahoma"/>
            <family val="2"/>
          </rPr>
          <t>Lynagh, Connor J (Research):</t>
        </r>
        <r>
          <rPr>
            <sz val="9"/>
            <color indexed="81"/>
            <rFont val="Tahoma"/>
            <family val="2"/>
          </rPr>
          <t xml:space="preserve">
based on full-year average</t>
        </r>
      </text>
    </comment>
    <comment ref="AI136" authorId="0">
      <text>
        <r>
          <rPr>
            <b/>
            <sz val="9"/>
            <color indexed="81"/>
            <rFont val="Tahoma"/>
            <family val="2"/>
          </rPr>
          <t>Lynagh, Connor J (Research):</t>
        </r>
        <r>
          <rPr>
            <sz val="9"/>
            <color indexed="81"/>
            <rFont val="Tahoma"/>
            <family val="2"/>
          </rPr>
          <t xml:space="preserve">
based on full-year average</t>
        </r>
      </text>
    </comment>
    <comment ref="T143" authorId="0">
      <text>
        <r>
          <rPr>
            <b/>
            <sz val="9"/>
            <color indexed="81"/>
            <rFont val="Tahoma"/>
            <family val="2"/>
          </rPr>
          <t>Lynagh, Connor J (Research):</t>
        </r>
        <r>
          <rPr>
            <sz val="9"/>
            <color indexed="81"/>
            <rFont val="Tahoma"/>
            <family val="2"/>
          </rPr>
          <t xml:space="preserve">
assumed</t>
        </r>
      </text>
    </comment>
    <comment ref="U143" authorId="0">
      <text>
        <r>
          <rPr>
            <b/>
            <sz val="9"/>
            <color indexed="81"/>
            <rFont val="Tahoma"/>
            <family val="2"/>
          </rPr>
          <t>Lynagh, Connor J (Research):</t>
        </r>
        <r>
          <rPr>
            <sz val="9"/>
            <color indexed="81"/>
            <rFont val="Tahoma"/>
            <family val="2"/>
          </rPr>
          <t xml:space="preserve">
assumed</t>
        </r>
      </text>
    </comment>
    <comment ref="V143" authorId="0">
      <text>
        <r>
          <rPr>
            <b/>
            <sz val="9"/>
            <color indexed="81"/>
            <rFont val="Tahoma"/>
            <family val="2"/>
          </rPr>
          <t>Lynagh, Connor J (Research):</t>
        </r>
        <r>
          <rPr>
            <sz val="9"/>
            <color indexed="81"/>
            <rFont val="Tahoma"/>
            <family val="2"/>
          </rPr>
          <t xml:space="preserve">
assumed</t>
        </r>
      </text>
    </comment>
    <comment ref="AN145" authorId="0">
      <text>
        <r>
          <rPr>
            <b/>
            <sz val="9"/>
            <color indexed="81"/>
            <rFont val="Tahoma"/>
            <family val="2"/>
          </rPr>
          <t>Lynagh, Connor J (Research):</t>
        </r>
        <r>
          <rPr>
            <sz val="9"/>
            <color indexed="81"/>
            <rFont val="Tahoma"/>
            <family val="2"/>
          </rPr>
          <t xml:space="preserve">
kermit startup costs of ~$3mm</t>
        </r>
      </text>
    </comment>
    <comment ref="AO145" authorId="0">
      <text>
        <r>
          <rPr>
            <b/>
            <sz val="9"/>
            <color indexed="81"/>
            <rFont val="Tahoma"/>
            <family val="2"/>
          </rPr>
          <t>Lynagh, Connor J (Research):</t>
        </r>
        <r>
          <rPr>
            <sz val="9"/>
            <color indexed="81"/>
            <rFont val="Tahoma"/>
            <family val="2"/>
          </rPr>
          <t xml:space="preserve">
should diminish</t>
        </r>
      </text>
    </comment>
    <comment ref="B153" authorId="0">
      <text>
        <r>
          <rPr>
            <sz val="9"/>
            <color indexed="81"/>
            <rFont val="Tahoma"/>
            <family val="2"/>
          </rPr>
          <t>lowest cost; 9MM tpy total, 7.5 frac</t>
        </r>
      </text>
    </comment>
    <comment ref="AF153" authorId="0">
      <text>
        <r>
          <rPr>
            <sz val="9"/>
            <color indexed="81"/>
            <rFont val="Tahoma"/>
            <family val="2"/>
          </rPr>
          <t>Wedron expansion ramping over 2Qs</t>
        </r>
      </text>
    </comment>
    <comment ref="AG153" authorId="0">
      <text>
        <r>
          <rPr>
            <sz val="9"/>
            <color indexed="81"/>
            <rFont val="Tahoma"/>
            <family val="2"/>
          </rPr>
          <t>Wedron expansion ramping over 2Qs</t>
        </r>
      </text>
    </comment>
    <comment ref="B154" authorId="0">
      <text>
        <r>
          <rPr>
            <sz val="9"/>
            <color indexed="81"/>
            <rFont val="Tahoma"/>
            <family val="2"/>
          </rPr>
          <t>next lowest cost, though worse than Wedron</t>
        </r>
      </text>
    </comment>
    <comment ref="B155" authorId="0">
      <text>
        <r>
          <rPr>
            <sz val="9"/>
            <color indexed="81"/>
            <rFont val="Tahoma"/>
            <family val="2"/>
          </rPr>
          <t>decent cost, particularly to Canada, Bakken, etc.</t>
        </r>
      </text>
    </comment>
    <comment ref="Y155" authorId="0">
      <text>
        <r>
          <rPr>
            <sz val="9"/>
            <color indexed="81"/>
            <rFont val="Tahoma"/>
            <family val="2"/>
          </rPr>
          <t>est.</t>
        </r>
      </text>
    </comment>
    <comment ref="B156" authorId="0">
      <text>
        <r>
          <rPr>
            <sz val="9"/>
            <color indexed="81"/>
            <rFont val="Tahoma"/>
            <family val="2"/>
          </rPr>
          <t>have to truck to rail, adds ~$5-7/ton and slightly higher costs</t>
        </r>
      </text>
    </comment>
    <comment ref="AC156" authorId="0">
      <text>
        <r>
          <rPr>
            <sz val="9"/>
            <color indexed="81"/>
            <rFont val="Tahoma"/>
            <family val="2"/>
          </rPr>
          <t>idled</t>
        </r>
      </text>
    </comment>
    <comment ref="B157" authorId="0">
      <text>
        <r>
          <rPr>
            <sz val="9"/>
            <color indexed="81"/>
            <rFont val="Tahoma"/>
            <family val="2"/>
          </rPr>
          <t>high costs, probably low-mid $20s/ton, no unit trains</t>
        </r>
      </text>
    </comment>
    <comment ref="Y157" authorId="0">
      <text>
        <r>
          <rPr>
            <sz val="9"/>
            <color indexed="81"/>
            <rFont val="Tahoma"/>
            <family val="2"/>
          </rPr>
          <t>est.</t>
        </r>
      </text>
    </comment>
    <comment ref="B158" authorId="0">
      <text>
        <r>
          <rPr>
            <sz val="9"/>
            <color indexed="81"/>
            <rFont val="Tahoma"/>
            <family val="2"/>
          </rPr>
          <t>mid cost; unit train capabilities, more coarse</t>
        </r>
      </text>
    </comment>
    <comment ref="Y158" authorId="0">
      <text>
        <r>
          <rPr>
            <sz val="9"/>
            <color indexed="81"/>
            <rFont val="Tahoma"/>
            <family val="2"/>
          </rPr>
          <t>est.</t>
        </r>
      </text>
    </comment>
    <comment ref="Y159" authorId="0">
      <text>
        <r>
          <rPr>
            <sz val="9"/>
            <color indexed="81"/>
            <rFont val="Tahoma"/>
            <family val="2"/>
          </rPr>
          <t>per conversation, effective capacity probably closer to 1m at present</t>
        </r>
      </text>
    </comment>
    <comment ref="AL159" authorId="0">
      <text>
        <r>
          <rPr>
            <b/>
            <sz val="9"/>
            <color indexed="81"/>
            <rFont val="Tahoma"/>
            <family val="2"/>
          </rPr>
          <t>Lynagh, Connor J (Research):</t>
        </r>
        <r>
          <rPr>
            <sz val="9"/>
            <color indexed="81"/>
            <rFont val="Tahoma"/>
            <family val="2"/>
          </rPr>
          <t xml:space="preserve">
adding some capital this year to get to 1.2, can't run full-out</t>
        </r>
      </text>
    </comment>
    <comment ref="AQ160" authorId="0">
      <text>
        <r>
          <rPr>
            <b/>
            <sz val="9"/>
            <color indexed="81"/>
            <rFont val="Tahoma"/>
            <family val="2"/>
          </rPr>
          <t>Lynagh, Connor J (Research):</t>
        </r>
        <r>
          <rPr>
            <sz val="9"/>
            <color indexed="81"/>
            <rFont val="Tahoma"/>
            <family val="2"/>
          </rPr>
          <t xml:space="preserve">
fully ramped by 4Q</t>
        </r>
      </text>
    </comment>
    <comment ref="AO162" authorId="0">
      <text>
        <r>
          <rPr>
            <b/>
            <sz val="9"/>
            <color indexed="81"/>
            <rFont val="Tahoma"/>
            <family val="2"/>
          </rPr>
          <t>Lynagh, Connor J (Research):</t>
        </r>
        <r>
          <rPr>
            <sz val="9"/>
            <color indexed="81"/>
            <rFont val="Tahoma"/>
            <family val="2"/>
          </rPr>
          <t xml:space="preserve">
currently at 12.5, adding 1mm in Utica</t>
        </r>
      </text>
    </comment>
    <comment ref="Y163" authorId="0">
      <text>
        <r>
          <rPr>
            <sz val="9"/>
            <color indexed="81"/>
            <rFont val="Tahoma"/>
            <family val="2"/>
          </rPr>
          <t>estimated</t>
        </r>
      </text>
    </comment>
    <comment ref="AD163" authorId="0">
      <text>
        <r>
          <rPr>
            <sz val="9"/>
            <color indexed="81"/>
            <rFont val="Tahoma"/>
            <family val="2"/>
          </rPr>
          <t>closed</t>
        </r>
      </text>
    </comment>
    <comment ref="AN163" authorId="0">
      <text>
        <r>
          <rPr>
            <b/>
            <sz val="9"/>
            <color indexed="81"/>
            <rFont val="Tahoma"/>
            <family val="2"/>
          </rPr>
          <t>Lynagh, Connor J (Research):</t>
        </r>
        <r>
          <rPr>
            <sz val="9"/>
            <color indexed="81"/>
            <rFont val="Tahoma"/>
            <family val="2"/>
          </rPr>
          <t xml:space="preserve">
reactivated</t>
        </r>
      </text>
    </comment>
    <comment ref="B167" authorId="0">
      <text>
        <r>
          <rPr>
            <sz val="9"/>
            <color indexed="81"/>
            <rFont val="Tahoma"/>
            <family val="2"/>
          </rPr>
          <t>very high cost, assuming no reactivation</t>
        </r>
      </text>
    </comment>
    <comment ref="Y167" authorId="0">
      <text>
        <r>
          <rPr>
            <sz val="9"/>
            <color indexed="81"/>
            <rFont val="Tahoma"/>
            <family val="2"/>
          </rPr>
          <t>est.</t>
        </r>
      </text>
    </comment>
    <comment ref="AB167" authorId="0">
      <text>
        <r>
          <rPr>
            <sz val="9"/>
            <color indexed="81"/>
            <rFont val="Tahoma"/>
            <family val="2"/>
          </rPr>
          <t>idled, likely permanently closed</t>
        </r>
      </text>
    </comment>
    <comment ref="AL184" authorId="0">
      <text>
        <r>
          <rPr>
            <b/>
            <sz val="9"/>
            <color indexed="81"/>
            <rFont val="Tahoma"/>
            <family val="2"/>
          </rPr>
          <t>Lynagh, Connor J (Research):</t>
        </r>
        <r>
          <rPr>
            <sz val="9"/>
            <color indexed="81"/>
            <rFont val="Tahoma"/>
            <family val="2"/>
          </rPr>
          <t xml:space="preserve">
"relatively flat"</t>
        </r>
      </text>
    </comment>
    <comment ref="AP184" authorId="0">
      <text>
        <r>
          <rPr>
            <b/>
            <sz val="9"/>
            <color indexed="81"/>
            <rFont val="Tahoma"/>
            <family val="2"/>
          </rPr>
          <t>Lynagh, Connor J (Research):</t>
        </r>
        <r>
          <rPr>
            <sz val="9"/>
            <color indexed="81"/>
            <rFont val="Tahoma"/>
            <family val="2"/>
          </rPr>
          <t xml:space="preserve">
assume 3100/q of Unimin tonnage</t>
        </r>
      </text>
    </comment>
    <comment ref="AP185" authorId="0">
      <text>
        <r>
          <rPr>
            <b/>
            <sz val="9"/>
            <color indexed="81"/>
            <rFont val="Tahoma"/>
            <family val="2"/>
          </rPr>
          <t>Lynagh, Connor J (Research):</t>
        </r>
        <r>
          <rPr>
            <sz val="9"/>
            <color indexed="81"/>
            <rFont val="Tahoma"/>
            <family val="2"/>
          </rPr>
          <t xml:space="preserve">
unimin PF appears lower, Targeting CM in the mid teens / ton</t>
        </r>
      </text>
    </comment>
    <comment ref="AJ187" authorId="0">
      <text>
        <r>
          <rPr>
            <sz val="9"/>
            <color indexed="81"/>
            <rFont val="Tahoma"/>
            <family val="2"/>
          </rPr>
          <t>~$2/ton of G&amp;A no longer recorded in segment</t>
        </r>
      </text>
    </comment>
    <comment ref="AK187" authorId="0">
      <text>
        <r>
          <rPr>
            <sz val="9"/>
            <color indexed="81"/>
            <rFont val="Tahoma"/>
            <family val="2"/>
          </rPr>
          <t>~$2/ton of G&amp;A no longer recorded in segment</t>
        </r>
      </text>
    </comment>
    <comment ref="B212" authorId="0">
      <text>
        <r>
          <rPr>
            <sz val="9"/>
            <color indexed="81"/>
            <rFont val="Tahoma"/>
            <family val="2"/>
          </rPr>
          <t>pre-offering only</t>
        </r>
      </text>
    </comment>
    <comment ref="V212" authorId="0">
      <text>
        <r>
          <rPr>
            <sz val="9"/>
            <color indexed="81"/>
            <rFont val="Tahoma"/>
            <family val="2"/>
          </rPr>
          <t>already included in one-times due to large magnitude</t>
        </r>
      </text>
    </comment>
    <comment ref="AI212" authorId="0">
      <text>
        <r>
          <rPr>
            <b/>
            <sz val="9"/>
            <color indexed="81"/>
            <rFont val="Tahoma"/>
            <family val="2"/>
          </rPr>
          <t>Lynagh, Connor J (Research):</t>
        </r>
        <r>
          <rPr>
            <sz val="9"/>
            <color indexed="81"/>
            <rFont val="Tahoma"/>
            <family val="2"/>
          </rPr>
          <t xml:space="preserve">
$1.2mm of equity offering expense not excluded as well as pension charge</t>
        </r>
      </text>
    </comment>
    <comment ref="B218" authorId="0">
      <text>
        <r>
          <rPr>
            <sz val="9"/>
            <color indexed="81"/>
            <rFont val="Tahoma"/>
            <family val="2"/>
          </rPr>
          <t>FMSA shifted reporting to be more in line w/ peers as of 3Q16</t>
        </r>
      </text>
    </comment>
    <comment ref="B245" authorId="0">
      <text>
        <r>
          <rPr>
            <sz val="9"/>
            <color indexed="81"/>
            <rFont val="Tahoma"/>
            <family val="2"/>
          </rPr>
          <t>Pre-NCI</t>
        </r>
      </text>
    </comment>
    <comment ref="C249" authorId="0">
      <text>
        <r>
          <rPr>
            <sz val="9"/>
            <color indexed="81"/>
            <rFont val="Tahoma"/>
            <family val="2"/>
          </rPr>
          <t>Impairment of long-lived assets</t>
        </r>
      </text>
    </comment>
    <comment ref="D249" authorId="0">
      <text>
        <r>
          <rPr>
            <sz val="9"/>
            <color indexed="81"/>
            <rFont val="Tahoma"/>
            <family val="2"/>
          </rPr>
          <t>Impairment of long-lived assets</t>
        </r>
      </text>
    </comment>
    <comment ref="F249" authorId="0">
      <text>
        <r>
          <rPr>
            <sz val="9"/>
            <color indexed="81"/>
            <rFont val="Tahoma"/>
            <family val="2"/>
          </rPr>
          <t>impairment and swap gains/losses</t>
        </r>
      </text>
    </comment>
    <comment ref="G249" authorId="0">
      <text>
        <r>
          <rPr>
            <sz val="9"/>
            <color indexed="81"/>
            <rFont val="Tahoma"/>
            <family val="2"/>
          </rPr>
          <t>loss on extinguishment of debt + swap gains &amp; losses</t>
        </r>
      </text>
    </comment>
    <comment ref="Y249" authorId="0">
      <text>
        <r>
          <rPr>
            <sz val="9"/>
            <color indexed="81"/>
            <rFont val="Tahoma"/>
            <family val="2"/>
          </rPr>
          <t>gain/loss on int. rate swaps, gain on asset sale</t>
        </r>
      </text>
    </comment>
    <comment ref="AE249" authorId="0">
      <text>
        <r>
          <rPr>
            <sz val="9"/>
            <color indexed="81"/>
            <rFont val="Tahoma"/>
            <family val="2"/>
          </rPr>
          <t>primarily impairment</t>
        </r>
      </text>
    </comment>
    <comment ref="AG249" authorId="0">
      <text>
        <r>
          <rPr>
            <sz val="9"/>
            <color indexed="81"/>
            <rFont val="Tahoma"/>
            <family val="2"/>
          </rPr>
          <t>primarily impairment</t>
        </r>
      </text>
    </comment>
    <comment ref="AK249" authorId="0">
      <text>
        <r>
          <rPr>
            <b/>
            <sz val="9"/>
            <color indexed="81"/>
            <rFont val="Tahoma"/>
            <family val="2"/>
          </rPr>
          <t>Lynagh, Connor J (Research):</t>
        </r>
        <r>
          <rPr>
            <sz val="9"/>
            <color indexed="81"/>
            <rFont val="Tahoma"/>
            <family val="2"/>
          </rPr>
          <t xml:space="preserve">
primarily income tax refund</t>
        </r>
      </text>
    </comment>
    <comment ref="AO251" authorId="0">
      <text>
        <r>
          <rPr>
            <b/>
            <sz val="9"/>
            <color indexed="81"/>
            <rFont val="Tahoma"/>
            <family val="2"/>
          </rPr>
          <t>Lynagh, Connor J (Research):</t>
        </r>
        <r>
          <rPr>
            <sz val="9"/>
            <color indexed="81"/>
            <rFont val="Tahoma"/>
            <family val="2"/>
          </rPr>
          <t xml:space="preserve">
excluding assumed acquired working capital</t>
        </r>
      </text>
    </comment>
    <comment ref="AO252" authorId="0">
      <text>
        <r>
          <rPr>
            <b/>
            <sz val="9"/>
            <color indexed="81"/>
            <rFont val="Tahoma"/>
            <family val="2"/>
          </rPr>
          <t>Lynagh, Connor J (Research):</t>
        </r>
        <r>
          <rPr>
            <sz val="9"/>
            <color indexed="81"/>
            <rFont val="Tahoma"/>
            <family val="2"/>
          </rPr>
          <t xml:space="preserve">
excluding assumed acquired working capital</t>
        </r>
      </text>
    </comment>
    <comment ref="AO254" authorId="0">
      <text>
        <r>
          <rPr>
            <b/>
            <sz val="9"/>
            <color indexed="81"/>
            <rFont val="Tahoma"/>
            <family val="2"/>
          </rPr>
          <t>Lynagh, Connor J (Research):</t>
        </r>
        <r>
          <rPr>
            <sz val="9"/>
            <color indexed="81"/>
            <rFont val="Tahoma"/>
            <family val="2"/>
          </rPr>
          <t xml:space="preserve">
excluding assumed acquired working capital</t>
        </r>
      </text>
    </comment>
    <comment ref="AD258" authorId="0">
      <text>
        <r>
          <rPr>
            <sz val="9"/>
            <color indexed="81"/>
            <rFont val="Tahoma"/>
            <family val="2"/>
          </rPr>
          <t>95-100 for the year</t>
        </r>
      </text>
    </comment>
    <comment ref="AE258" authorId="0">
      <text>
        <r>
          <rPr>
            <sz val="9"/>
            <color indexed="81"/>
            <rFont val="Tahoma"/>
            <family val="2"/>
          </rPr>
          <t>95-100 in year + 10 in stripping costs; so 105-110</t>
        </r>
      </text>
    </comment>
    <comment ref="AF258" authorId="0">
      <text>
        <r>
          <rPr>
            <sz val="9"/>
            <color indexed="81"/>
            <rFont val="Tahoma"/>
            <family val="2"/>
          </rPr>
          <t>8mm remaining for Wedron +3/Q in maint.</t>
        </r>
      </text>
    </comment>
    <comment ref="AJ258" authorId="0">
      <text>
        <r>
          <rPr>
            <sz val="9"/>
            <color indexed="81"/>
            <rFont val="Tahoma"/>
            <family val="2"/>
          </rPr>
          <t>assume step-up in maint. Capex with higher activity</t>
        </r>
      </text>
    </comment>
    <comment ref="AL258" authorId="0">
      <text>
        <r>
          <rPr>
            <b/>
            <sz val="9"/>
            <color indexed="81"/>
            <rFont val="Tahoma"/>
            <family val="2"/>
          </rPr>
          <t>Lynagh, Connor J (Research):</t>
        </r>
        <r>
          <rPr>
            <sz val="9"/>
            <color indexed="81"/>
            <rFont val="Tahoma"/>
            <family val="2"/>
          </rPr>
          <t xml:space="preserve">
$30-35mm of maint. + ~$50mm of Kermit</t>
        </r>
      </text>
    </comment>
    <comment ref="AM258" authorId="0">
      <text>
        <r>
          <rPr>
            <b/>
            <sz val="9"/>
            <color indexed="81"/>
            <rFont val="Tahoma"/>
            <family val="2"/>
          </rPr>
          <t>Lynagh, Connor J (Research):</t>
        </r>
        <r>
          <rPr>
            <sz val="9"/>
            <color indexed="81"/>
            <rFont val="Tahoma"/>
            <family val="2"/>
          </rPr>
          <t xml:space="preserve">
$30-35mm of maint. + ~$50mm of Kermit accounted for (accounting for leasehold payments as capex)</t>
        </r>
      </text>
    </comment>
    <comment ref="AN258" authorId="0">
      <text>
        <r>
          <rPr>
            <b/>
            <sz val="9"/>
            <color indexed="81"/>
            <rFont val="Tahoma"/>
            <family val="2"/>
          </rPr>
          <t>Lynagh, Connor J (Research):</t>
        </r>
        <r>
          <rPr>
            <sz val="9"/>
            <color indexed="81"/>
            <rFont val="Tahoma"/>
            <family val="2"/>
          </rPr>
          <t xml:space="preserve">
hardcoded: assume $50mm of spend related to Kermit mine + $30mm of maintenance</t>
        </r>
      </text>
    </comment>
    <comment ref="AO258" authorId="0">
      <text>
        <r>
          <rPr>
            <b/>
            <sz val="9"/>
            <color indexed="81"/>
            <rFont val="Tahoma"/>
            <family val="2"/>
          </rPr>
          <t>Lynagh, Connor J (Research):</t>
        </r>
        <r>
          <rPr>
            <sz val="9"/>
            <color indexed="81"/>
            <rFont val="Tahoma"/>
            <family val="2"/>
          </rPr>
          <t xml:space="preserve">
hardcoded: assume $50mm of spend related to Kermit mine + $30mm of maintenance (high end of potential range)</t>
        </r>
      </text>
    </comment>
    <comment ref="AP258" authorId="0">
      <text>
        <r>
          <rPr>
            <b/>
            <sz val="9"/>
            <color indexed="81"/>
            <rFont val="Tahoma"/>
            <family val="2"/>
          </rPr>
          <t>Lynagh, Connor J (Research):</t>
        </r>
        <r>
          <rPr>
            <sz val="9"/>
            <color indexed="81"/>
            <rFont val="Tahoma"/>
            <family val="2"/>
          </rPr>
          <t xml:space="preserve">
hardcoded: assume $50mm of spend related to Kermit mine + $30mm of maintenance (high end of potential range)</t>
        </r>
      </text>
    </comment>
    <comment ref="AQ258" authorId="0">
      <text>
        <r>
          <rPr>
            <b/>
            <sz val="9"/>
            <color indexed="81"/>
            <rFont val="Tahoma"/>
            <family val="2"/>
          </rPr>
          <t>Lynagh, Connor J (Research):</t>
        </r>
        <r>
          <rPr>
            <sz val="9"/>
            <color indexed="81"/>
            <rFont val="Tahoma"/>
            <family val="2"/>
          </rPr>
          <t xml:space="preserve">
assume $2/ton per active capacity + $30/ton of newbuild capacity</t>
        </r>
      </text>
    </comment>
    <comment ref="AL260" authorId="0">
      <text>
        <r>
          <rPr>
            <b/>
            <sz val="9"/>
            <color indexed="81"/>
            <rFont val="Tahoma"/>
            <family val="2"/>
          </rPr>
          <t>Lynagh, Connor J (Research):</t>
        </r>
        <r>
          <rPr>
            <sz val="9"/>
            <color indexed="81"/>
            <rFont val="Tahoma"/>
            <family val="2"/>
          </rPr>
          <t xml:space="preserve">
leasehold payment for sand reserves</t>
        </r>
      </text>
    </comment>
    <comment ref="AM260" authorId="0">
      <text>
        <r>
          <rPr>
            <b/>
            <sz val="9"/>
            <color indexed="81"/>
            <rFont val="Tahoma"/>
            <family val="2"/>
          </rPr>
          <t>Lynagh, Connor J (Research):</t>
        </r>
        <r>
          <rPr>
            <sz val="9"/>
            <color indexed="81"/>
            <rFont val="Tahoma"/>
            <family val="2"/>
          </rPr>
          <t xml:space="preserve">
leasehold interest payment for sand reserves</t>
        </r>
      </text>
    </comment>
    <comment ref="AO260" authorId="0">
      <text>
        <r>
          <rPr>
            <b/>
            <sz val="9"/>
            <color indexed="81"/>
            <rFont val="Tahoma"/>
            <family val="2"/>
          </rPr>
          <t>Lynagh, Connor J (Research):</t>
        </r>
        <r>
          <rPr>
            <sz val="9"/>
            <color indexed="81"/>
            <rFont val="Tahoma"/>
            <family val="2"/>
          </rPr>
          <t xml:space="preserve">
final leasehold payment</t>
        </r>
      </text>
    </comment>
    <comment ref="C262" authorId="0">
      <text>
        <r>
          <rPr>
            <sz val="9"/>
            <color indexed="81"/>
            <rFont val="Tahoma"/>
            <family val="2"/>
          </rPr>
          <t>Co. has not provided the breakup of CFI. Hence Other Inv. Activities is equal to CFI- Capex</t>
        </r>
      </text>
    </comment>
    <comment ref="D262" authorId="0">
      <text>
        <r>
          <rPr>
            <sz val="9"/>
            <color indexed="81"/>
            <rFont val="Tahoma"/>
            <family val="2"/>
          </rPr>
          <t>Co. has not provided the breakup of CFI. Hence Other Inv. Activities is equal to CFI- Capex</t>
        </r>
      </text>
    </comment>
    <comment ref="E262" authorId="0">
      <text>
        <r>
          <rPr>
            <sz val="9"/>
            <color indexed="81"/>
            <rFont val="Tahoma"/>
            <family val="2"/>
          </rPr>
          <t>Co. has not provided the breakup of CFI. Hence Other Inv. Activities is equal to CFI- Capex</t>
        </r>
      </text>
    </comment>
    <comment ref="B264" authorId="0">
      <text>
        <r>
          <rPr>
            <sz val="9"/>
            <color indexed="81"/>
            <rFont val="Tahoma"/>
            <family val="2"/>
          </rPr>
          <t>includes option tax effects</t>
        </r>
      </text>
    </comment>
    <comment ref="AH264" authorId="0">
      <text>
        <r>
          <rPr>
            <sz val="9"/>
            <color indexed="81"/>
            <rFont val="Tahoma"/>
            <family val="2"/>
          </rPr>
          <t>equity deal</t>
        </r>
      </text>
    </comment>
    <comment ref="C266" authorId="0">
      <text>
        <r>
          <rPr>
            <sz val="9"/>
            <color indexed="81"/>
            <rFont val="Tahoma"/>
            <family val="2"/>
          </rPr>
          <t xml:space="preserve">Co. has not provided the breakup of CFF. </t>
        </r>
      </text>
    </comment>
    <comment ref="D266" authorId="0">
      <text>
        <r>
          <rPr>
            <sz val="9"/>
            <color indexed="81"/>
            <rFont val="Tahoma"/>
            <family val="2"/>
          </rPr>
          <t xml:space="preserve">Co. has not provided the breakup of CFF. </t>
        </r>
      </text>
    </comment>
    <comment ref="E266" authorId="0">
      <text>
        <r>
          <rPr>
            <sz val="9"/>
            <color indexed="81"/>
            <rFont val="Tahoma"/>
            <family val="2"/>
          </rPr>
          <t xml:space="preserve">Co. has not provided the breakup of CFF. </t>
        </r>
      </text>
    </comment>
    <comment ref="G266" authorId="0">
      <text>
        <r>
          <rPr>
            <sz val="9"/>
            <color indexed="81"/>
            <rFont val="Tahoma"/>
            <family val="2"/>
          </rPr>
          <t>includes financing costs</t>
        </r>
      </text>
    </comment>
    <comment ref="Z266" authorId="0">
      <text>
        <r>
          <rPr>
            <sz val="9"/>
            <color indexed="81"/>
            <rFont val="Tahoma"/>
            <family val="2"/>
          </rPr>
          <t>includes settlement of contingent consideration</t>
        </r>
      </text>
    </comment>
    <comment ref="AC266" authorId="0">
      <text>
        <r>
          <rPr>
            <sz val="9"/>
            <color indexed="81"/>
            <rFont val="Tahoma"/>
            <family val="2"/>
          </rPr>
          <t>financing costs</t>
        </r>
      </text>
    </comment>
    <comment ref="AD266" authorId="0">
      <text>
        <r>
          <rPr>
            <sz val="9"/>
            <color indexed="81"/>
            <rFont val="Tahoma"/>
            <family val="2"/>
          </rPr>
          <t>change in cash related to assets held for sale, financing costs and distributions to non-controlling interest</t>
        </r>
      </text>
    </comment>
    <comment ref="AG266" authorId="0">
      <text>
        <r>
          <rPr>
            <sz val="9"/>
            <color indexed="81"/>
            <rFont val="Tahoma"/>
            <family val="2"/>
          </rPr>
          <t>includes change in cash from assets held-for-sale</t>
        </r>
      </text>
    </comment>
    <comment ref="AI266" authorId="0">
      <text>
        <r>
          <rPr>
            <b/>
            <sz val="9"/>
            <color indexed="81"/>
            <rFont val="Tahoma"/>
            <family val="2"/>
          </rPr>
          <t>Lynagh, Connor J (Research):</t>
        </r>
        <r>
          <rPr>
            <sz val="9"/>
            <color indexed="81"/>
            <rFont val="Tahoma"/>
            <family val="2"/>
          </rPr>
          <t xml:space="preserve">
includes chg. in cash related to assets held for sale</t>
        </r>
      </text>
    </comment>
    <comment ref="AF267" authorId="0">
      <text>
        <r>
          <rPr>
            <sz val="9"/>
            <color indexed="81"/>
            <rFont val="Tahoma"/>
            <family val="2"/>
          </rPr>
          <t>includes assets held for sale adjustment</t>
        </r>
      </text>
    </comment>
    <comment ref="B277" authorId="0">
      <text>
        <r>
          <rPr>
            <sz val="9"/>
            <color indexed="81"/>
            <rFont val="Tahoma"/>
            <family val="2"/>
          </rPr>
          <t>reconcile for K/Q #s</t>
        </r>
      </text>
    </comment>
    <comment ref="AD289" authorId="0">
      <text>
        <r>
          <rPr>
            <sz val="9"/>
            <color indexed="81"/>
            <rFont val="Tahoma"/>
            <family val="2"/>
          </rPr>
          <t>includes assets held for sale</t>
        </r>
      </text>
    </comment>
    <comment ref="AH289" authorId="0">
      <text>
        <r>
          <rPr>
            <sz val="9"/>
            <color indexed="81"/>
            <rFont val="Tahoma"/>
            <family val="2"/>
          </rPr>
          <t>income tax recovery</t>
        </r>
      </text>
    </comment>
    <comment ref="AK289" authorId="0">
      <text>
        <r>
          <rPr>
            <b/>
            <sz val="9"/>
            <color indexed="81"/>
            <rFont val="Tahoma"/>
            <family val="2"/>
          </rPr>
          <t>Lynagh, Connor J (Research):</t>
        </r>
        <r>
          <rPr>
            <sz val="9"/>
            <color indexed="81"/>
            <rFont val="Tahoma"/>
            <family val="2"/>
          </rPr>
          <t xml:space="preserve">
income tax recovery</t>
        </r>
      </text>
    </comment>
    <comment ref="AD300" authorId="0">
      <text>
        <r>
          <rPr>
            <sz val="9"/>
            <color indexed="81"/>
            <rFont val="Tahoma"/>
            <family val="2"/>
          </rPr>
          <t>includes liabilities of assets held for sale</t>
        </r>
      </text>
    </comment>
    <comment ref="C302" authorId="0">
      <text>
        <r>
          <rPr>
            <sz val="9"/>
            <color indexed="81"/>
            <rFont val="Tahoma"/>
            <family val="2"/>
          </rPr>
          <t>(including current
portion of LTD)</t>
        </r>
      </text>
    </comment>
    <comment ref="D302" authorId="0">
      <text>
        <r>
          <rPr>
            <sz val="9"/>
            <color indexed="81"/>
            <rFont val="Tahoma"/>
            <family val="2"/>
          </rPr>
          <t>(including current
portion of LTD)</t>
        </r>
      </text>
    </comment>
    <comment ref="E302" authorId="0">
      <text>
        <r>
          <rPr>
            <sz val="9"/>
            <color indexed="81"/>
            <rFont val="Tahoma"/>
            <family val="2"/>
          </rPr>
          <t>(including current
portion of LTD)</t>
        </r>
      </text>
    </comment>
    <comment ref="AF303" authorId="0">
      <text>
        <r>
          <rPr>
            <sz val="9"/>
            <color indexed="81"/>
            <rFont val="Tahoma"/>
            <family val="2"/>
          </rPr>
          <t>assume flat this year</t>
        </r>
      </text>
    </comment>
    <comment ref="B306" authorId="0">
      <text>
        <r>
          <rPr>
            <sz val="9"/>
            <color indexed="81"/>
            <rFont val="Tahoma"/>
            <family val="2"/>
          </rPr>
          <t>includes Class A and Class B shares</t>
        </r>
      </text>
    </comment>
    <comment ref="C311" authorId="0">
      <text>
        <r>
          <rPr>
            <sz val="9"/>
            <color indexed="81"/>
            <rFont val="Tahoma"/>
            <family val="2"/>
          </rPr>
          <t>(including Non-Controlling Interest)</t>
        </r>
      </text>
    </comment>
    <comment ref="D311" authorId="0">
      <text>
        <r>
          <rPr>
            <sz val="9"/>
            <color indexed="81"/>
            <rFont val="Tahoma"/>
            <family val="2"/>
          </rPr>
          <t>(including Non-Controlling Interest)</t>
        </r>
      </text>
    </comment>
    <comment ref="B353" authorId="0">
      <text>
        <r>
          <rPr>
            <sz val="9"/>
            <color indexed="81"/>
            <rFont val="Tahoma"/>
            <family val="2"/>
          </rPr>
          <t>=cash for historicals/annuals</t>
        </r>
      </text>
    </comment>
    <comment ref="B357" authorId="0">
      <text>
        <r>
          <rPr>
            <sz val="9"/>
            <color indexed="81"/>
            <rFont val="Tahoma"/>
            <family val="2"/>
          </rPr>
          <t>=LTD for historicals/annuals</t>
        </r>
      </text>
    </comment>
    <comment ref="AX362" authorId="0">
      <text>
        <r>
          <rPr>
            <b/>
            <sz val="9"/>
            <color indexed="81"/>
            <rFont val="Tahoma"/>
            <family val="2"/>
          </rPr>
          <t>Lynagh, Connor J (Research):</t>
        </r>
        <r>
          <rPr>
            <sz val="9"/>
            <color indexed="81"/>
            <rFont val="Tahoma"/>
            <family val="2"/>
          </rPr>
          <t xml:space="preserve">
increase in amotization</t>
        </r>
      </text>
    </comment>
    <comment ref="AP363" authorId="0">
      <text>
        <r>
          <rPr>
            <b/>
            <sz val="9"/>
            <color indexed="81"/>
            <rFont val="Tahoma"/>
            <family val="2"/>
          </rPr>
          <t>Lynagh, Connor J (Research):</t>
        </r>
        <r>
          <rPr>
            <sz val="9"/>
            <color indexed="81"/>
            <rFont val="Tahoma"/>
            <family val="2"/>
          </rPr>
          <t xml:space="preserve">
assume 2.5% annual amortization, similar to recent refi</t>
        </r>
      </text>
    </comment>
    <comment ref="AQ363" authorId="0">
      <text>
        <r>
          <rPr>
            <b/>
            <sz val="9"/>
            <color indexed="81"/>
            <rFont val="Tahoma"/>
            <family val="2"/>
          </rPr>
          <t>Lynagh, Connor J (Research):</t>
        </r>
        <r>
          <rPr>
            <sz val="9"/>
            <color indexed="81"/>
            <rFont val="Tahoma"/>
            <family val="2"/>
          </rPr>
          <t xml:space="preserve">
assume 2.5% annual amortization, similar to recent refi</t>
        </r>
      </text>
    </comment>
    <comment ref="AR363" authorId="0">
      <text>
        <r>
          <rPr>
            <b/>
            <sz val="9"/>
            <color indexed="81"/>
            <rFont val="Tahoma"/>
            <family val="2"/>
          </rPr>
          <t>Lynagh, Connor J (Research):</t>
        </r>
        <r>
          <rPr>
            <sz val="9"/>
            <color indexed="81"/>
            <rFont val="Tahoma"/>
            <family val="2"/>
          </rPr>
          <t xml:space="preserve">
assume 2.5% annual amortization, similar to recent refi</t>
        </r>
      </text>
    </comment>
    <comment ref="AS363" authorId="0">
      <text>
        <r>
          <rPr>
            <b/>
            <sz val="9"/>
            <color indexed="81"/>
            <rFont val="Tahoma"/>
            <family val="2"/>
          </rPr>
          <t>Lynagh, Connor J (Research):</t>
        </r>
        <r>
          <rPr>
            <sz val="9"/>
            <color indexed="81"/>
            <rFont val="Tahoma"/>
            <family val="2"/>
          </rPr>
          <t xml:space="preserve">
assume 2.5% annual amortization, similar to recent refi</t>
        </r>
      </text>
    </comment>
    <comment ref="AT363" authorId="0">
      <text>
        <r>
          <rPr>
            <b/>
            <sz val="9"/>
            <color indexed="81"/>
            <rFont val="Tahoma"/>
            <family val="2"/>
          </rPr>
          <t>Lynagh, Connor J (Research):</t>
        </r>
        <r>
          <rPr>
            <sz val="9"/>
            <color indexed="81"/>
            <rFont val="Tahoma"/>
            <family val="2"/>
          </rPr>
          <t xml:space="preserve">
assume 2.5% annual amortization, similar to recent refi</t>
        </r>
      </text>
    </comment>
    <comment ref="AU363" authorId="0">
      <text>
        <r>
          <rPr>
            <b/>
            <sz val="9"/>
            <color indexed="81"/>
            <rFont val="Tahoma"/>
            <family val="2"/>
          </rPr>
          <t>Lynagh, Connor J (Research):</t>
        </r>
        <r>
          <rPr>
            <sz val="9"/>
            <color indexed="81"/>
            <rFont val="Tahoma"/>
            <family val="2"/>
          </rPr>
          <t xml:space="preserve">
assume 2.5% annual amortization, similar to recent refi</t>
        </r>
      </text>
    </comment>
    <comment ref="AV363" authorId="0">
      <text>
        <r>
          <rPr>
            <b/>
            <sz val="9"/>
            <color indexed="81"/>
            <rFont val="Tahoma"/>
            <family val="2"/>
          </rPr>
          <t>Lynagh, Connor J (Research):</t>
        </r>
        <r>
          <rPr>
            <sz val="9"/>
            <color indexed="81"/>
            <rFont val="Tahoma"/>
            <family val="2"/>
          </rPr>
          <t xml:space="preserve">
assume 2.5% annual amortization, similar to recent refi</t>
        </r>
      </text>
    </comment>
    <comment ref="AW363" authorId="0">
      <text>
        <r>
          <rPr>
            <b/>
            <sz val="9"/>
            <color indexed="81"/>
            <rFont val="Tahoma"/>
            <family val="2"/>
          </rPr>
          <t>Lynagh, Connor J (Research):</t>
        </r>
        <r>
          <rPr>
            <sz val="9"/>
            <color indexed="81"/>
            <rFont val="Tahoma"/>
            <family val="2"/>
          </rPr>
          <t xml:space="preserve">
assume 2.5% annual amortization, similar to recent refi</t>
        </r>
      </text>
    </comment>
    <comment ref="AX363" authorId="0">
      <text>
        <r>
          <rPr>
            <b/>
            <sz val="9"/>
            <color indexed="81"/>
            <rFont val="Tahoma"/>
            <family val="2"/>
          </rPr>
          <t>Lynagh, Connor J (Research):</t>
        </r>
        <r>
          <rPr>
            <sz val="9"/>
            <color indexed="81"/>
            <rFont val="Tahoma"/>
            <family val="2"/>
          </rPr>
          <t xml:space="preserve">
assume 2.5% annual amortization, similar to recent refi</t>
        </r>
      </text>
    </comment>
    <comment ref="AY363" authorId="0">
      <text>
        <r>
          <rPr>
            <b/>
            <sz val="9"/>
            <color indexed="81"/>
            <rFont val="Tahoma"/>
            <family val="2"/>
          </rPr>
          <t>Lynagh, Connor J (Research):</t>
        </r>
        <r>
          <rPr>
            <sz val="9"/>
            <color indexed="81"/>
            <rFont val="Tahoma"/>
            <family val="2"/>
          </rPr>
          <t xml:space="preserve">
assume 2.5% annual amortization, similar to recent refi</t>
        </r>
      </text>
    </comment>
    <comment ref="AL370" authorId="0">
      <text>
        <r>
          <rPr>
            <b/>
            <sz val="9"/>
            <color indexed="81"/>
            <rFont val="Tahoma"/>
            <family val="2"/>
          </rPr>
          <t>Lynagh, Connor J (Research):</t>
        </r>
        <r>
          <rPr>
            <sz val="9"/>
            <color indexed="81"/>
            <rFont val="Tahoma"/>
            <family val="2"/>
          </rPr>
          <t xml:space="preserve">
plug</t>
        </r>
      </text>
    </comment>
    <comment ref="AD376" authorId="0">
      <text>
        <r>
          <rPr>
            <sz val="9"/>
            <color indexed="81"/>
            <rFont val="Tahoma"/>
            <family val="2"/>
          </rPr>
          <t>100mm only available if leverage ratio is below 4.75</t>
        </r>
      </text>
    </comment>
    <comment ref="B399" authorId="1">
      <text>
        <r>
          <rPr>
            <b/>
            <sz val="9"/>
            <color indexed="81"/>
            <rFont val="Tahoma"/>
            <family val="2"/>
          </rPr>
          <t>Ozier, Alex (Research):</t>
        </r>
        <r>
          <rPr>
            <sz val="9"/>
            <color indexed="81"/>
            <rFont val="Tahoma"/>
            <family val="2"/>
          </rPr>
          <t xml:space="preserve">
Unconfirmed with company</t>
        </r>
      </text>
    </comment>
    <comment ref="AD400" authorId="0">
      <text>
        <r>
          <rPr>
            <sz val="9"/>
            <color indexed="81"/>
            <rFont val="Tahoma"/>
            <family val="2"/>
          </rPr>
          <t>if greater than this, minimum EBITDA test applies</t>
        </r>
      </text>
    </comment>
    <comment ref="AE400" authorId="0">
      <text>
        <r>
          <rPr>
            <sz val="9"/>
            <color indexed="81"/>
            <rFont val="Tahoma"/>
            <family val="2"/>
          </rPr>
          <t>if greater than this, minimum EBITDA test applies</t>
        </r>
      </text>
    </comment>
    <comment ref="AF400" authorId="0">
      <text>
        <r>
          <rPr>
            <sz val="9"/>
            <color indexed="81"/>
            <rFont val="Tahoma"/>
            <family val="2"/>
          </rPr>
          <t>if greater than this, minimum EBITDA test applies</t>
        </r>
      </text>
    </comment>
    <comment ref="AG400" authorId="0">
      <text>
        <r>
          <rPr>
            <sz val="9"/>
            <color indexed="81"/>
            <rFont val="Tahoma"/>
            <family val="2"/>
          </rPr>
          <t>if greater than this, minimum EBITDA test applies</t>
        </r>
      </text>
    </comment>
    <comment ref="AH400" authorId="0">
      <text>
        <r>
          <rPr>
            <sz val="9"/>
            <color indexed="81"/>
            <rFont val="Tahoma"/>
            <family val="2"/>
          </rPr>
          <t>if greater than this, minimum EBITDA test applies</t>
        </r>
      </text>
    </comment>
    <comment ref="AI400" authorId="0">
      <text>
        <r>
          <rPr>
            <sz val="9"/>
            <color indexed="81"/>
            <rFont val="Tahoma"/>
            <family val="2"/>
          </rPr>
          <t>if greater than this, minimum EBITDA test applies</t>
        </r>
      </text>
    </comment>
    <comment ref="Z407" authorId="0">
      <text>
        <r>
          <rPr>
            <sz val="9"/>
            <color indexed="81"/>
            <rFont val="Tahoma"/>
            <family val="2"/>
          </rPr>
          <t>not planning on buying back stock to compensate</t>
        </r>
      </text>
    </comment>
    <comment ref="AO408" authorId="0">
      <text>
        <r>
          <rPr>
            <b/>
            <sz val="9"/>
            <color indexed="81"/>
            <rFont val="Tahoma"/>
            <family val="2"/>
          </rPr>
          <t>Lynagh, Connor J (Research):</t>
        </r>
        <r>
          <rPr>
            <sz val="9"/>
            <color indexed="81"/>
            <rFont val="Tahoma"/>
            <family val="2"/>
          </rPr>
          <t xml:space="preserve">
FMSA receives 35% stake in new company, grossing up share count</t>
        </r>
      </text>
    </comment>
    <comment ref="AB410" authorId="0">
      <text>
        <r>
          <rPr>
            <sz val="9"/>
            <color indexed="81"/>
            <rFont val="Tahoma"/>
            <family val="2"/>
          </rPr>
          <t>~1%/year</t>
        </r>
      </text>
    </comment>
    <comment ref="B436" authorId="0">
      <text>
        <r>
          <rPr>
            <sz val="9"/>
            <color indexed="81"/>
            <rFont val="Tahoma"/>
            <family val="2"/>
          </rPr>
          <t>from IS, CF # has amort. that is included in int. expense</t>
        </r>
      </text>
    </comment>
  </commentList>
</comments>
</file>

<file path=xl/sharedStrings.xml><?xml version="1.0" encoding="utf-8"?>
<sst xmlns="http://schemas.openxmlformats.org/spreadsheetml/2006/main" count="899" uniqueCount="781">
  <si>
    <t>x</t>
  </si>
  <si>
    <t>Net Issuance</t>
  </si>
  <si>
    <t>Net income for validation</t>
  </si>
  <si>
    <t>ND</t>
  </si>
  <si>
    <t>Unrecorded Goodwill from Poolings</t>
  </si>
  <si>
    <t>MW Required:</t>
  </si>
  <si>
    <t>ROAE</t>
  </si>
  <si>
    <t>Net Income</t>
  </si>
  <si>
    <t>Shareholders' Equity</t>
  </si>
  <si>
    <t>Statutory Tax Rate</t>
  </si>
  <si>
    <t>Miscellaneous</t>
  </si>
  <si>
    <t>Implied Goodwill</t>
  </si>
  <si>
    <t>Net Asset Value Assumed</t>
  </si>
  <si>
    <t>Payables</t>
  </si>
  <si>
    <t>Inventory</t>
  </si>
  <si>
    <t>Receivables</t>
  </si>
  <si>
    <t>Run-Rate Unimin Quarterly Revenues</t>
  </si>
  <si>
    <t>Implied PP&amp;E Acquired</t>
  </si>
  <si>
    <t>Assumed % PP&amp;E</t>
  </si>
  <si>
    <t>Enterprise Value</t>
  </si>
  <si>
    <t>Net Debt</t>
  </si>
  <si>
    <t>Equity Value</t>
  </si>
  <si>
    <t>Unimin Deal</t>
  </si>
  <si>
    <t>Amort. % of Beg. Net Intangibles</t>
  </si>
  <si>
    <t>Amortization of Intangibles</t>
  </si>
  <si>
    <t>Remaining Useful Life (Years)</t>
  </si>
  <si>
    <t>Average Asset Age (Years)</t>
  </si>
  <si>
    <t>Avg. Asset  Life (Years)</t>
  </si>
  <si>
    <t>Maint. Capex</t>
  </si>
  <si>
    <t>Capex</t>
  </si>
  <si>
    <t>Capex / Depreciation</t>
  </si>
  <si>
    <t>Capex / Revenues</t>
  </si>
  <si>
    <t>Depreciation / Revenues</t>
  </si>
  <si>
    <t>Depreciation</t>
  </si>
  <si>
    <t>DD&amp;A</t>
  </si>
  <si>
    <t>Net PP&amp;E</t>
  </si>
  <si>
    <t>Accum. Dep.</t>
  </si>
  <si>
    <t>Gross PP&amp;E</t>
  </si>
  <si>
    <t>Depreciation &amp; Capex</t>
  </si>
  <si>
    <t>ROE (GAAP)</t>
  </si>
  <si>
    <t>ROE (Operating)</t>
  </si>
  <si>
    <t>RNOA (ROIC)</t>
  </si>
  <si>
    <t>Op. Asset Turnover</t>
  </si>
  <si>
    <t>NOPAT % Margin</t>
  </si>
  <si>
    <t>NOPAT</t>
  </si>
  <si>
    <t>EBIT</t>
  </si>
  <si>
    <t>Invested Capital</t>
  </si>
  <si>
    <t>Net Operating Assets</t>
  </si>
  <si>
    <t>Return Metrics</t>
  </si>
  <si>
    <t>Tangible Book Value/Share</t>
  </si>
  <si>
    <t>Book Value/Share</t>
  </si>
  <si>
    <t>Tangible Book Value</t>
  </si>
  <si>
    <t>Book Value</t>
  </si>
  <si>
    <t>Basic EPS (Ex-Extraordinary)</t>
  </si>
  <si>
    <t>Basic EPS (Incl. Extraordinary)</t>
  </si>
  <si>
    <t>Shares Issued for SBC/Other</t>
  </si>
  <si>
    <t>Dilution Ratio</t>
  </si>
  <si>
    <t>Common Shares at Period End</t>
  </si>
  <si>
    <t>Diluted Shares Outstanding</t>
  </si>
  <si>
    <t>Basic Shares Outstanding</t>
  </si>
  <si>
    <t>Shares Outstanding &amp; BV/Sh.</t>
  </si>
  <si>
    <t>Leverage Ratio</t>
  </si>
  <si>
    <t>Cumulative EBITDA</t>
  </si>
  <si>
    <t>NA</t>
  </si>
  <si>
    <t>Minimum Cumulative EBITDA</t>
  </si>
  <si>
    <t>Maximum Before Covenants in Effect</t>
  </si>
  <si>
    <t>Revolver Drawn (incl. LOC)</t>
  </si>
  <si>
    <t>Covenants</t>
  </si>
  <si>
    <t>Total Gross Debt</t>
  </si>
  <si>
    <t>Revolver due 10/22</t>
  </si>
  <si>
    <t>Loans and Other Debt</t>
  </si>
  <si>
    <t>Other</t>
  </si>
  <si>
    <t>Capital Leases</t>
  </si>
  <si>
    <t>Industrial Revenue Bond</t>
  </si>
  <si>
    <t>New Term Loan B</t>
  </si>
  <si>
    <t>Term Loan B due 10/22</t>
  </si>
  <si>
    <t>Net (Repayment)</t>
  </si>
  <si>
    <t>LT Debt</t>
  </si>
  <si>
    <t>ST Debt</t>
  </si>
  <si>
    <t>Total Liquidity</t>
  </si>
  <si>
    <t>Revolver Available</t>
  </si>
  <si>
    <t>Cash Revolver Capacity</t>
  </si>
  <si>
    <t>Less: Letters of Credit</t>
  </si>
  <si>
    <t>Reported Debt</t>
  </si>
  <si>
    <t>Deferred Fin. Costs</t>
  </si>
  <si>
    <t>Other, Including Prior Term Loans</t>
  </si>
  <si>
    <t>Industrial Revenue Bond due 9/27</t>
  </si>
  <si>
    <t>Debt Detail</t>
  </si>
  <si>
    <t>Revolver Req'd</t>
  </si>
  <si>
    <t>Debt Ex. Revolver</t>
  </si>
  <si>
    <t>Min Debt Req'd</t>
  </si>
  <si>
    <t>- Non-Controlling Interest</t>
  </si>
  <si>
    <t>- Shareholder's Equity</t>
  </si>
  <si>
    <t>Funding Req'd</t>
  </si>
  <si>
    <t>+ Operating Cash</t>
  </si>
  <si>
    <t>Funding</t>
  </si>
  <si>
    <t>Other LT Liab. % of Ann. Rev</t>
  </si>
  <si>
    <t>DTL % of PP&amp;E</t>
  </si>
  <si>
    <t>Accrued Exp. % of SG&amp;A</t>
  </si>
  <si>
    <t>Other Assets % of Ann. Rev</t>
  </si>
  <si>
    <t>Other Current Assets % of Ann. Rev</t>
  </si>
  <si>
    <t>Other Assets/Liabilities:</t>
  </si>
  <si>
    <t>Cash Conversion Cycle (Days)</t>
  </si>
  <si>
    <t>Payables Days</t>
  </si>
  <si>
    <t>Days of  Inventory on Hand</t>
  </si>
  <si>
    <t>Inventory Turnover (times)</t>
  </si>
  <si>
    <t>Receivables Days (DSO)</t>
  </si>
  <si>
    <t>Receivables Turnover (times)</t>
  </si>
  <si>
    <t>Current Ratio</t>
  </si>
  <si>
    <t>Op. WC</t>
  </si>
  <si>
    <t>Days in Period</t>
  </si>
  <si>
    <t>Working Capital &amp; Other A/L</t>
  </si>
  <si>
    <t>Capex/D&amp;A</t>
  </si>
  <si>
    <t>EBIT/Int. Expense</t>
  </si>
  <si>
    <t>(EBITDA-Capex) / Interest Expense</t>
  </si>
  <si>
    <t>EBITDA / Interest Expense</t>
  </si>
  <si>
    <t>Net Debt/LTM EBIT</t>
  </si>
  <si>
    <t>Net Debt/Ann. Adj. EBITDA</t>
  </si>
  <si>
    <t>Net Debt/LTM Adj. EBITDA</t>
  </si>
  <si>
    <t>Net Debt/Capital</t>
  </si>
  <si>
    <t>Total Debt/Capital</t>
  </si>
  <si>
    <t>Total Debt</t>
  </si>
  <si>
    <t>Total Capital</t>
  </si>
  <si>
    <t>Leverage &amp; Credit Metrics:</t>
  </si>
  <si>
    <t>Supporting Schedules</t>
  </si>
  <si>
    <t>Total Liabilities &amp; Equity</t>
  </si>
  <si>
    <t>Non-Controlling Interest</t>
  </si>
  <si>
    <t>Accum. Other Comprehensive</t>
  </si>
  <si>
    <t>Retained Earnings</t>
  </si>
  <si>
    <t>Treasury Stock</t>
  </si>
  <si>
    <t>Additional Paid in Capital</t>
  </si>
  <si>
    <t>Common Stock</t>
  </si>
  <si>
    <t>Total Liabilities</t>
  </si>
  <si>
    <t>Other LT Liabilities</t>
  </si>
  <si>
    <t>Deferred Income Taxes</t>
  </si>
  <si>
    <t>Total Current Liabilities</t>
  </si>
  <si>
    <t>Accrued Expenses &amp; Deferred Revenue</t>
  </si>
  <si>
    <t>Accounts Payable</t>
  </si>
  <si>
    <t>Current Portion LTD</t>
  </si>
  <si>
    <t>Liabilities &amp; Equity:</t>
  </si>
  <si>
    <t>Total Assets</t>
  </si>
  <si>
    <t>Intangible Assets</t>
  </si>
  <si>
    <t>Goodwill</t>
  </si>
  <si>
    <t>Total Current Assets</t>
  </si>
  <si>
    <t>Prepaid Expenses / Other Current Assets</t>
  </si>
  <si>
    <t>Cash &amp; Equivalents</t>
  </si>
  <si>
    <t>Assets:</t>
  </si>
  <si>
    <t>($ in Millions)</t>
  </si>
  <si>
    <t>Balance Sheet</t>
  </si>
  <si>
    <t>Total DD&amp;A</t>
  </si>
  <si>
    <t>Amort. of Intangibles</t>
  </si>
  <si>
    <t>Depr. &amp; Depl.</t>
  </si>
  <si>
    <t>DD&amp;A Detail:</t>
  </si>
  <si>
    <t>Net Change in Cash</t>
  </si>
  <si>
    <t>Exch. Rate Effects</t>
  </si>
  <si>
    <t>CFF</t>
  </si>
  <si>
    <t>CFI</t>
  </si>
  <si>
    <t>CFO</t>
  </si>
  <si>
    <t>GAAP Reconciliation:</t>
  </si>
  <si>
    <t>Increase (Decrease) in Cash</t>
  </si>
  <si>
    <t>Effect of Exchange Rate Changes on Cash</t>
  </si>
  <si>
    <t>Other Fin. Activities</t>
  </si>
  <si>
    <t>Purchase of Treasury Shares</t>
  </si>
  <si>
    <t>Equity Issues / Options Activity</t>
  </si>
  <si>
    <t>Net Debt Issuance (Repayment)</t>
  </si>
  <si>
    <t>Other Inv. Activities</t>
  </si>
  <si>
    <t>Asset Disposals</t>
  </si>
  <si>
    <t>Acquisitions &amp; Investments</t>
  </si>
  <si>
    <t>Free Cash Flow</t>
  </si>
  <si>
    <t>Capital Expenditures</t>
  </si>
  <si>
    <t>Cash from Operations (CFO)</t>
  </si>
  <si>
    <t>Δ in Other Assets/Liabilities</t>
  </si>
  <si>
    <t>Δ in Accrued Expenses</t>
  </si>
  <si>
    <t>Δ in Accounts Payable</t>
  </si>
  <si>
    <t>Δ in Prepaid Expenses / Other Current Assets</t>
  </si>
  <si>
    <t>Δ in Inventories</t>
  </si>
  <si>
    <t>Δ in Receivables</t>
  </si>
  <si>
    <t>Δ in Operating Assets/Liabilities:</t>
  </si>
  <si>
    <t>Stock Compensation Expense</t>
  </si>
  <si>
    <t>Deferred Taxes</t>
  </si>
  <si>
    <t>Net Income (GAAP)</t>
  </si>
  <si>
    <t>Operating Cash Flow</t>
  </si>
  <si>
    <t>Cash Flow Statement</t>
  </si>
  <si>
    <t>G&amp;A/Ton</t>
  </si>
  <si>
    <t>Gross Margin/Ton</t>
  </si>
  <si>
    <t>Gross Margin</t>
  </si>
  <si>
    <t>COGS Only</t>
  </si>
  <si>
    <t>Assumed G&amp;A</t>
  </si>
  <si>
    <t>COGS &amp; G&amp;A</t>
  </si>
  <si>
    <t>Revenues</t>
  </si>
  <si>
    <t>Industrial &amp; Recreational</t>
  </si>
  <si>
    <t>Proppant Solutions</t>
  </si>
  <si>
    <t>G&amp;A in Segments</t>
  </si>
  <si>
    <t>Assumed One-Times in G&amp;A</t>
  </si>
  <si>
    <t>G&amp;A Recorded as Corporate</t>
  </si>
  <si>
    <t>Total G&amp;A</t>
  </si>
  <si>
    <t>Memo: Pro Forma Gross Margin/Ton</t>
  </si>
  <si>
    <t>Difference to MS EBITDA</t>
  </si>
  <si>
    <t>Adjusted EBITDA Margin</t>
  </si>
  <si>
    <t>Adjusted EBITDA as Reported</t>
  </si>
  <si>
    <t>Non-Recurring Items</t>
  </si>
  <si>
    <t>Mgmt. Fees to Sponsor &amp; Other</t>
  </si>
  <si>
    <t>Stock-Based Comp</t>
  </si>
  <si>
    <t>Simple EBITDA</t>
  </si>
  <si>
    <t>Taxes</t>
  </si>
  <si>
    <t>Int. Expense</t>
  </si>
  <si>
    <t>Company-Level Net Income</t>
  </si>
  <si>
    <t>Reported/Adj. EBITDA</t>
  </si>
  <si>
    <t>Adj. EBITDA and Pro Forma Historicals</t>
  </si>
  <si>
    <t>Average Contribution Margin per Ton ($)</t>
  </si>
  <si>
    <t>Average Production Cost per Ton ($)</t>
  </si>
  <si>
    <t>Average Realized Price per Ton ($)</t>
  </si>
  <si>
    <t>Tons Sold (000s)</t>
  </si>
  <si>
    <t>Total (All Segments)</t>
  </si>
  <si>
    <t>CM / Ton YoY Change %</t>
  </si>
  <si>
    <t>Avg Cost / Ton YoY Change %</t>
  </si>
  <si>
    <t>ASP YoY Change %</t>
  </si>
  <si>
    <t>Tons Sold YoY Growth</t>
  </si>
  <si>
    <t>Tons Sold Seq. Growth</t>
  </si>
  <si>
    <t>Utilization %</t>
  </si>
  <si>
    <t>Capacity</t>
  </si>
  <si>
    <t>Contribution Margin per Ton ($)</t>
  </si>
  <si>
    <t>Tons Sold (ktons)</t>
  </si>
  <si>
    <t>Industrial &amp; Recreational Products Segment</t>
  </si>
  <si>
    <t>FMSA Market Share</t>
  </si>
  <si>
    <t>Annualized US Sand Demand (MM tons)</t>
  </si>
  <si>
    <t>Tons Sold per Horizontal Rig</t>
  </si>
  <si>
    <t>Tons Sold per Rig</t>
  </si>
  <si>
    <t>Sequential Growth</t>
  </si>
  <si>
    <t>US Horizontal Rig Count</t>
  </si>
  <si>
    <t>US Land Rig Count</t>
  </si>
  <si>
    <t>Oil &amp; Gas Macro Data</t>
  </si>
  <si>
    <t>Effective Utilization</t>
  </si>
  <si>
    <t>Effective Capacity</t>
  </si>
  <si>
    <t>Idled Capacity</t>
  </si>
  <si>
    <t>Gross Capacity</t>
  </si>
  <si>
    <t>Readfield, WI (White)</t>
  </si>
  <si>
    <t>Arcadia, WI (White) - Spec</t>
  </si>
  <si>
    <t>Diamond Bluff, WI (White) - Spec</t>
  </si>
  <si>
    <t>Katemcy, TX (Brown) - Spec</t>
  </si>
  <si>
    <t>Wexford, MI (Lake Sand)</t>
  </si>
  <si>
    <t>Unimin N. White</t>
  </si>
  <si>
    <t>Unimin Local</t>
  </si>
  <si>
    <t>Kermit, TX (Brown)</t>
  </si>
  <si>
    <t>Voca, TX (Brown)</t>
  </si>
  <si>
    <t>Hager City/Bay City, WI (White)</t>
  </si>
  <si>
    <t>Shakopee, MN (White)</t>
  </si>
  <si>
    <t>Brewer, MO (White)</t>
  </si>
  <si>
    <t>Menomonie, WI (White)</t>
  </si>
  <si>
    <t>Maiden Rock, WI (White)</t>
  </si>
  <si>
    <t>Wedron, IL (White)</t>
  </si>
  <si>
    <t>Raw Sand Capacity (Tons, 000s)</t>
  </si>
  <si>
    <t>Implied Contribution Margin/Ton ($)</t>
  </si>
  <si>
    <t>Total Proppant Solutions Cost/Ton ($)</t>
  </si>
  <si>
    <t>Blended ASP/Ton ($)</t>
  </si>
  <si>
    <t>Total Proppant Solutions Costs</t>
  </si>
  <si>
    <t>Implied Other Costs</t>
  </si>
  <si>
    <t>G&amp;A</t>
  </si>
  <si>
    <t>Railcar Leases</t>
  </si>
  <si>
    <t>Freight Costs</t>
  </si>
  <si>
    <t>Coating Costs</t>
  </si>
  <si>
    <t>Mine-Level Costs</t>
  </si>
  <si>
    <t>Total Costs ($mm)</t>
  </si>
  <si>
    <t>Assumed Coating Costs ($mm)</t>
  </si>
  <si>
    <t>Assumed Coating Cost/RCS Ton</t>
  </si>
  <si>
    <t>Mine-Level Costs ($mm)</t>
  </si>
  <si>
    <t>Assumed Mine-Level Costs/Ton</t>
  </si>
  <si>
    <t>Mine &amp; Coating Costs</t>
  </si>
  <si>
    <t>Coated</t>
  </si>
  <si>
    <t>N. White In-Basin</t>
  </si>
  <si>
    <t>N. White Minegate</t>
  </si>
  <si>
    <t>Regional Minegate</t>
  </si>
  <si>
    <t>Variable Margins</t>
  </si>
  <si>
    <t>Total Raw Tons</t>
  </si>
  <si>
    <t>Regional Tons</t>
  </si>
  <si>
    <t>Blended Raw ASP</t>
  </si>
  <si>
    <t>Implied N. White In-Basin Price</t>
  </si>
  <si>
    <t>Assumed N. White Minegate Price</t>
  </si>
  <si>
    <t>Assumed Regional Minegate Price</t>
  </si>
  <si>
    <t>Implied Freight Synergies</t>
  </si>
  <si>
    <t>Assumed Total Freight Costs ($mm)</t>
  </si>
  <si>
    <t>Assumed Freight/Ton Shipped ($)</t>
  </si>
  <si>
    <t>Assumed Tons Shipped by Rail</t>
  </si>
  <si>
    <t>Assumed Regional Tons</t>
  </si>
  <si>
    <t>Assumed Regional Utilization</t>
  </si>
  <si>
    <t>Tons Sold In-Basin</t>
  </si>
  <si>
    <t>Coated Tons In-Basin</t>
  </si>
  <si>
    <t>Raw Tons In-Basin</t>
  </si>
  <si>
    <t>Raw % Sold In-Basin</t>
  </si>
  <si>
    <t>Freight</t>
  </si>
  <si>
    <t>Total Railcar Cost</t>
  </si>
  <si>
    <t>Implied Lease Rate/Mo.</t>
  </si>
  <si>
    <t>Leased Cars</t>
  </si>
  <si>
    <t>Cars Subleased</t>
  </si>
  <si>
    <t>Customer Cars</t>
  </si>
  <si>
    <t>Railcars Operated</t>
  </si>
  <si>
    <t>Railcars</t>
  </si>
  <si>
    <t>Cost Build-Up</t>
  </si>
  <si>
    <t>Blended ASP</t>
  </si>
  <si>
    <t>Implied ASP - Coated</t>
  </si>
  <si>
    <t>Assumed ASP - Raw</t>
  </si>
  <si>
    <t>Total Tons</t>
  </si>
  <si>
    <t>Coated Tons Sold</t>
  </si>
  <si>
    <t>Raw Tons Sold</t>
  </si>
  <si>
    <t>Detailed Proppant Solutions Data</t>
  </si>
  <si>
    <t>Tax Benefit of Non-Recurring Costs</t>
  </si>
  <si>
    <t>Non-Recurring Costs, After-Tax</t>
  </si>
  <si>
    <t>Total Non-Recurring Costs</t>
  </si>
  <si>
    <t>Non-Recurring Costs Not Included in SG&amp;A/COGS</t>
  </si>
  <si>
    <t>Recurring Corporate Costs (Now G&amp;A)</t>
  </si>
  <si>
    <t>Non-Recurring Costs Included in SG&amp;A/COGS</t>
  </si>
  <si>
    <t>Corporate Costs (Now Total G&amp;A)</t>
  </si>
  <si>
    <t>IRP Cost of Sales &amp; SG&amp;A</t>
  </si>
  <si>
    <t>PS Cost of Sales &amp; SG&amp;A</t>
  </si>
  <si>
    <t>SG&amp;A (Reported)</t>
  </si>
  <si>
    <t>Cost of Sales (Reported)</t>
  </si>
  <si>
    <t>One-Times and Corporate Cost:</t>
  </si>
  <si>
    <t>Effective Tax Rate (Operating)</t>
  </si>
  <si>
    <t>Effective Int. Rate (Ann.)</t>
  </si>
  <si>
    <t>EBIT Margin</t>
  </si>
  <si>
    <t xml:space="preserve">Ann. D&amp;A % of Net PP&amp;E </t>
  </si>
  <si>
    <t>EBITDA Margin</t>
  </si>
  <si>
    <t>SG&amp;A % of Revenue</t>
  </si>
  <si>
    <t>Gross Profit</t>
  </si>
  <si>
    <t>Industrial &amp; Recreational Products</t>
  </si>
  <si>
    <t>Contribution Margin</t>
  </si>
  <si>
    <t>Total Revenue Growth (Sequential)</t>
  </si>
  <si>
    <t>Other Drivers &amp; Analysis</t>
  </si>
  <si>
    <t>CM / Ton  %</t>
  </si>
  <si>
    <t>CM / Ton Change %</t>
  </si>
  <si>
    <t>Avg Cost / Ton Change %</t>
  </si>
  <si>
    <t>ASP Change %</t>
  </si>
  <si>
    <t>Capacity Utilization</t>
  </si>
  <si>
    <t>Proppant Sales Volumes (ktons)</t>
  </si>
  <si>
    <t>Proppant Solutions Segment</t>
  </si>
  <si>
    <t>Operating Data &amp; Drivers:</t>
  </si>
  <si>
    <t>Adj. EBITDA, as Reported</t>
  </si>
  <si>
    <t>MS EBITDA</t>
  </si>
  <si>
    <t>Diluted Shares Outstanding (mm)</t>
  </si>
  <si>
    <t>CEPS (Operating)</t>
  </si>
  <si>
    <t>EPS (GAAP)</t>
  </si>
  <si>
    <t>EPS (Operating)</t>
  </si>
  <si>
    <t>Net Income to Common (GAAP)</t>
  </si>
  <si>
    <t>One Time Charges, After Tax</t>
  </si>
  <si>
    <t>Net Income to Common (Operating)</t>
  </si>
  <si>
    <t>Net Income (Operating)</t>
  </si>
  <si>
    <t>Income Taxes</t>
  </si>
  <si>
    <t>EBT</t>
  </si>
  <si>
    <t>Other Income (Expense), Net</t>
  </si>
  <si>
    <t>Interest (Expense), Net</t>
  </si>
  <si>
    <t>Other Operating (Expense) Income</t>
  </si>
  <si>
    <t>DD&amp;A (Expense)</t>
  </si>
  <si>
    <t>Stock Comp. (Expense)</t>
  </si>
  <si>
    <t>(Cash G&amp;A)</t>
  </si>
  <si>
    <t>Total Contribution Margin</t>
  </si>
  <si>
    <t>N/A</t>
  </si>
  <si>
    <t>Contribution Margin:</t>
  </si>
  <si>
    <t>Total Revenue</t>
  </si>
  <si>
    <t>Revenue:</t>
  </si>
  <si>
    <t>Income Statement</t>
  </si>
  <si>
    <t>4Q20E</t>
  </si>
  <si>
    <t>3Q20E</t>
  </si>
  <si>
    <t>2Q20E</t>
  </si>
  <si>
    <t>1Q20E</t>
  </si>
  <si>
    <t>4Q19E</t>
  </si>
  <si>
    <t>3Q19E</t>
  </si>
  <si>
    <t>2Q19E</t>
  </si>
  <si>
    <t>1Q19E</t>
  </si>
  <si>
    <t>4Q18E</t>
  </si>
  <si>
    <t>3Q18E</t>
  </si>
  <si>
    <t>2Q18E</t>
  </si>
  <si>
    <t>1Q18E</t>
  </si>
  <si>
    <t>3Q17</t>
  </si>
  <si>
    <t>2Q17</t>
  </si>
  <si>
    <t>1Q17</t>
  </si>
  <si>
    <t>4Q16</t>
  </si>
  <si>
    <t>3Q16</t>
  </si>
  <si>
    <t>2Q16</t>
  </si>
  <si>
    <t>1Q16</t>
  </si>
  <si>
    <t>4Q15</t>
  </si>
  <si>
    <t>3Q15</t>
  </si>
  <si>
    <t>2Q15</t>
  </si>
  <si>
    <t>1Q15</t>
  </si>
  <si>
    <t>4Q14</t>
  </si>
  <si>
    <t>3Q14</t>
  </si>
  <si>
    <t>2Q14</t>
  </si>
  <si>
    <t>1Q14</t>
  </si>
  <si>
    <t>4Q13</t>
  </si>
  <si>
    <t>3Q13</t>
  </si>
  <si>
    <t>2Q13</t>
  </si>
  <si>
    <t>1Q13</t>
  </si>
  <si>
    <t>4Q12</t>
  </si>
  <si>
    <t>3Q12</t>
  </si>
  <si>
    <t>2Q12</t>
  </si>
  <si>
    <t>1Q12</t>
  </si>
  <si>
    <t>2020E</t>
  </si>
  <si>
    <t>2019E</t>
  </si>
  <si>
    <t>2018E</t>
  </si>
  <si>
    <t>EOP Date</t>
  </si>
  <si>
    <t>Year</t>
  </si>
  <si>
    <t>Fairmount Santrol (FMSA) Earnings Model</t>
  </si>
  <si>
    <t>Morgan Stanley</t>
  </si>
  <si>
    <t>Total</t>
  </si>
  <si>
    <t>% of Total</t>
  </si>
  <si>
    <t>USD</t>
  </si>
  <si>
    <t>Count</t>
  </si>
  <si>
    <t>Current Stock Price</t>
  </si>
  <si>
    <t>Currency</t>
  </si>
  <si>
    <t>FMSA Holdings Inc</t>
  </si>
  <si>
    <t>FMSA.N</t>
  </si>
  <si>
    <t>Assume merger w/ Unimin @ end of 2Q</t>
  </si>
  <si>
    <t>Historicals are uncertain - primary purpose is modeling mix shift at time of transaction</t>
  </si>
  <si>
    <t>4Q17</t>
  </si>
  <si>
    <t>Assumed Borrowing Base</t>
  </si>
  <si>
    <t>Max Availability</t>
  </si>
  <si>
    <t>Revolver Commitment</t>
  </si>
  <si>
    <t>Fixed Charge Coverage Ratio (Mse)</t>
  </si>
  <si>
    <t xml:space="preserve">Minimum Fixed Charge Coverage Ratio </t>
  </si>
  <si>
    <t>Q Index</t>
  </si>
  <si>
    <t>Research</t>
  </si>
  <si>
    <t>MSA85HBK</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</si>
  <si>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</si>
  <si>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</si>
  <si>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</si>
  <si>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</si>
  <si>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</si>
  <si>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</si>
  <si>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</si>
  <si>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Connor Lynagh</t>
  </si>
  <si>
    <t>Date: 11 Apr 2018</t>
  </si>
  <si>
    <t>Ticker: FMSA.N</t>
  </si>
  <si>
    <t>Stock Rating: NAV</t>
  </si>
  <si>
    <t>Industry: Oil Services, Drilling &amp; Equipment</t>
  </si>
  <si>
    <t>Industry View: In-Line</t>
  </si>
  <si>
    <t>Price as of 11 Apr 2018: 4.72</t>
  </si>
  <si>
    <t xml:space="preserve">Target Price: </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</si>
  <si>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</si>
  <si>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</si>
  <si>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</si>
  <si>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</si>
  <si>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FMSA Holdings Inc.</t>
  </si>
  <si>
    <t>STOCK RATINGS</t>
  </si>
  <si>
    <t>Global Stock Ratings Distribution</t>
  </si>
  <si>
    <t>(as of March 31,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</si>
  <si>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</si>
  <si>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</si>
  <si>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</si>
  <si>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</si>
  <si>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</si>
  <si>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</si>
  <si>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</si>
  <si>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</si>
  <si>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</si>
  <si>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</si>
  <si>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</si>
  <si>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</si>
  <si>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</si>
  <si>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</si>
  <si>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</si>
  <si>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</si>
  <si>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</si>
  <si>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</si>
  <si>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</si>
  <si>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</si>
  <si>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</si>
  <si>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</si>
  <si>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</si>
  <si>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</si>
  <si>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</si>
  <si>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</si>
  <si>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</si>
  <si>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</si>
  <si>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</si>
  <si>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</si>
  <si>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</si>
  <si>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</si>
  <si>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</si>
  <si>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</si>
  <si>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</si>
  <si>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</si>
  <si>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</si>
  <si>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</si>
  <si>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</si>
  <si>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</si>
  <si>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</si>
  <si>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</si>
  <si>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</si>
  <si>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</si>
  <si>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</si>
  <si>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</si>
  <si>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</si>
  <si>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</si>
  <si>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</si>
  <si>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</si>
  <si>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</si>
  <si>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</si>
  <si>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</si>
  <si>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</si>
  <si>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</si>
  <si>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</si>
  <si>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</si>
  <si>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</si>
  <si>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</si>
  <si>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</si>
  <si>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</si>
  <si>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</si>
  <si>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</si>
  <si>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</si>
  <si>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</si>
  <si>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</si>
  <si>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</si>
  <si>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</si>
  <si>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</si>
  <si>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</si>
  <si>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</si>
  <si>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</si>
  <si>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</si>
  <si>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</si>
  <si>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</si>
  <si>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</si>
  <si>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</si>
  <si>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</si>
  <si>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</si>
  <si>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</si>
  <si>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</si>
  <si>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</si>
  <si>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</si>
  <si>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</si>
  <si>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</si>
  <si>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</si>
  <si>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</si>
  <si>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</si>
  <si>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</si>
  <si>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</si>
  <si>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</si>
  <si>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</si>
  <si>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</si>
  <si>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</si>
  <si>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</si>
  <si>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</si>
  <si>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</si>
  <si>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</si>
  <si>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</si>
  <si>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</si>
  <si>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</si>
  <si>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</si>
  <si>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</si>
  <si>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</si>
  <si>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</si>
  <si>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</si>
  <si>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</si>
  <si>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</si>
  <si>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</si>
  <si>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</si>
  <si>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</si>
  <si>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</si>
  <si>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</si>
  <si>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</si>
  <si>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</si>
  <si>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</si>
  <si>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</si>
  <si>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</si>
  <si>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</si>
  <si>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</si>
  <si>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</si>
  <si>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</si>
  <si>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</si>
  <si>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</si>
  <si>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</si>
  <si>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</si>
  <si>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</si>
  <si>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</si>
  <si>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</si>
  <si>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</si>
  <si>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</si>
  <si>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</si>
  <si>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</si>
  <si>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</si>
  <si>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</si>
  <si>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</si>
  <si>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</si>
  <si>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</si>
  <si>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</si>
  <si>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</si>
  <si>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</si>
  <si>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</si>
  <si>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</si>
  <si>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</si>
  <si>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</si>
  <si>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</si>
  <si>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</si>
  <si>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</si>
  <si>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</si>
  <si>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</si>
  <si>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</si>
  <si>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</si>
  <si>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</si>
  <si>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</si>
  <si>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</si>
  <si>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</si>
  <si>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</si>
  <si>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</si>
  <si>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</si>
  <si>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</si>
  <si>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</si>
  <si>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</si>
  <si>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</si>
  <si>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</si>
  <si>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</si>
  <si>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</si>
  <si>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</si>
  <si>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</si>
  <si>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</si>
  <si>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</si>
  <si>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</si>
  <si>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</si>
  <si>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</si>
  <si>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</si>
  <si>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</si>
  <si>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</si>
  <si>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</si>
  <si>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</si>
  <si>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</si>
  <si>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</si>
  <si>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</si>
  <si>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</si>
  <si>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</si>
  <si>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</si>
  <si>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</si>
  <si>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</si>
  <si>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</si>
  <si>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</si>
  <si>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</si>
  <si>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</si>
  <si>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</si>
  <si>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</si>
  <si>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</si>
  <si>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</si>
  <si>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</si>
  <si>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</si>
  <si>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</si>
  <si>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</si>
  <si>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</si>
  <si>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</si>
  <si>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</si>
  <si>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</si>
  <si>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</si>
  <si>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</si>
  <si>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</si>
  <si>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</si>
  <si>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</si>
  <si>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</si>
  <si>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</si>
  <si>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</si>
  <si>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</si>
  <si>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</si>
  <si>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</si>
  <si>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</si>
  <si>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</si>
  <si>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</si>
  <si>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</si>
  <si>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</si>
  <si>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</si>
  <si>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</si>
  <si>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</si>
  <si>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</si>
  <si>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</si>
  <si>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</si>
  <si>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</si>
  <si>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</si>
  <si>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</si>
  <si>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</si>
  <si>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</si>
  <si>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</si>
  <si>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</si>
  <si>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</si>
  <si>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</si>
  <si>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</si>
  <si>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</si>
  <si>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</si>
  <si>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</si>
  <si>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</si>
  <si>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FMSA Holdings Inc.</t>
  </si>
  <si>
    <t>In the next 3 months, Morgan Stanley expects to receive or intends to seek compensation for investment</t>
  </si>
  <si>
    <t>banking services from FMSA Holdings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</si>
  <si>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</si>
  <si>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</si>
  <si>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</si>
  <si>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</si>
  <si>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</si>
  <si>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Connor Lynagh.</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</si>
  <si>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</si>
  <si>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</si>
  <si>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</si>
  <si>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</si>
  <si>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</si>
  <si>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</si>
  <si>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</si>
  <si>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</si>
  <si>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</si>
  <si>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</si>
  <si>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</si>
  <si>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</si>
  <si>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</si>
  <si>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</si>
  <si>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</si>
  <si>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</si>
  <si>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</si>
  <si>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</si>
  <si>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</si>
  <si>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</si>
  <si>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</si>
  <si>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</si>
  <si>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</si>
  <si>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</si>
  <si>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</si>
  <si>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</si>
  <si>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</si>
  <si>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</si>
  <si>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</si>
  <si>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</si>
  <si>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</si>
  <si>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</si>
  <si>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</si>
  <si>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</si>
  <si>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</si>
  <si>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</si>
  <si>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</si>
  <si>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</si>
  <si>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</si>
  <si>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</si>
  <si>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</si>
  <si>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</si>
  <si>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</si>
  <si>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</si>
  <si>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</si>
  <si>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 xml:space="preserve"> </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</si>
  <si>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</si>
  <si>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</si>
  <si>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</si>
  <si>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</si>
  <si>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</si>
  <si>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</si>
  <si>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</si>
  <si>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</si>
  <si>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</si>
  <si>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</si>
  <si>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</si>
  <si>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</si>
  <si>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</si>
  <si>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</si>
  <si>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</si>
  <si>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</si>
  <si>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</si>
  <si>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</si>
  <si>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</si>
  <si>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</si>
  <si>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</si>
  <si>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</si>
  <si>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</si>
  <si>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NAV / In-Line</t>
  </si>
  <si>
    <t>Regular Update</t>
  </si>
  <si>
    <t>NorthAmerica</t>
  </si>
  <si>
    <t>ozierale</t>
  </si>
  <si>
    <t>30555Q108</t>
  </si>
  <si>
    <t>BYN8LK5</t>
  </si>
  <si>
    <t>L:\ENERGY\Lynagh\Models\FMSA.xlsm</t>
  </si>
  <si>
    <t>[BRO MSA]</t>
  </si>
  <si>
    <t>[PRODUCT MODEL]</t>
  </si>
  <si>
    <t>[EMAIL_ALERT YES]</t>
  </si>
  <si>
    <t>[DISCIPLINE Company]</t>
  </si>
  <si>
    <t>[SUPPRESSED NO]</t>
  </si>
  <si>
    <t>[DOCDAT 2018-04-11]</t>
  </si>
  <si>
    <t>[DOCTIME 09:39]</t>
  </si>
  <si>
    <t>[PSYM FMSA.N(S&amp;P) (None)]</t>
  </si>
  <si>
    <t>[COU 1]</t>
  </si>
  <si>
    <t>[ANA ]</t>
  </si>
  <si>
    <t>[HL FMSA.N Model]</t>
  </si>
  <si>
    <t>[IND OILWEL]</t>
  </si>
  <si>
    <t>[PANA MSA85HBK]</t>
  </si>
  <si>
    <t>Morgan Stanley &amp; Co. International plc (“Morgan Stanley”) is acting as financial advisor to SCR-Sibelco NV (“Sibelco”) in relation to a definitive agreement under which Fairmount Santrol Holdings Inc. (”Fairmount”) and Sibelco’s wholly-owned subsidiary, Unimin Corporation, will merge. The proposed transaction is subject to approval by Fairmount shareholders, the effectiveness of the combined company’s Form S-1  Registration Statement, receipt of regulatory approvals and other customary closing conditions. This report and the information provided herein is not intended to (i) provide voting advice, (ii) serve as an endorsement of the proposed transaction, or (iii) result in the procurement, withholding or revocation of a proxy or any other action by a security holder.  Sibelco has agreed to pay fees to Morgan Stanley for its financial services. Please refer to the notes at the end of the report.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</si>
</sst>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38">
    <numFmt numFmtId="44" formatCode="_(&quot;$&quot;* #,##0.00_);_(&quot;$&quot;* \(#,##0.00\);_(&quot;$&quot;* &quot;-&quot;??_);_(@_)"/>
    <numFmt numFmtId="43" formatCode="_(* #,##0.00_);_(* \(#,##0.00\);_(* &quot;-&quot;??_);_(@_)"/>
    <numFmt numFmtId="164" formatCode="#,##0.0_);\ \(#,##0.0\);\ &quot;- &quot;"/>
    <numFmt numFmtId="165" formatCode="0.0%_);\(0.0%\);&quot;–&quot;_)"/>
    <numFmt numFmtId="166" formatCode="#,##0_);\(#,##0\);\–_)"/>
    <numFmt numFmtId="167" formatCode="0%_);\(0%\);&quot;–&quot;_)"/>
    <numFmt numFmtId="168" formatCode="#,##0.0_);\(#,##0.0\);\–_)"/>
    <numFmt numFmtId="169" formatCode="#,##0.0%_);\ \(#,##0.0%\);\ &quot;- &quot;"/>
    <numFmt numFmtId="170" formatCode="#,##0.00_);\ \(#,##0.00\);\ &quot;- &quot;"/>
    <numFmt numFmtId="171" formatCode="#,##0.0_);\(#,##0.0\);\–_);&quot;–&quot;_)"/>
    <numFmt numFmtId="172" formatCode="&quot;$&quot;#,##0.00_);\(&quot;$&quot;#,##0.00\);\–_);&quot;–&quot;_)"/>
    <numFmt numFmtId="173" formatCode="0.000"/>
    <numFmt numFmtId="174" formatCode="#,##0.000_);\ \(#,##0.000\);\ &quot;- &quot;"/>
    <numFmt numFmtId="175" formatCode="#,##0%_);\ \(#,##0%\);\ &quot;- &quot;"/>
    <numFmt numFmtId="176" formatCode="0.00\x_);\(0.00\x\);&quot;–&quot;_)"/>
    <numFmt numFmtId="177" formatCode="#,##0.0_);\(#,##0.0\);&quot;-&quot;_);@_)"/>
    <numFmt numFmtId="178" formatCode="#,##0.0\x_);\ \(#,##0.0\x\);\ &quot;- &quot;"/>
    <numFmt numFmtId="179" formatCode="#,##0.000_);\(#,##0.000\)"/>
    <numFmt numFmtId="180" formatCode="0_);\(0\)"/>
    <numFmt numFmtId="181" formatCode="#,##0.0000_);\ \(#,##0.0000\);\ &quot;- &quot;"/>
    <numFmt numFmtId="182" formatCode="0.0000"/>
    <numFmt numFmtId="183" formatCode="#,##0.0"/>
    <numFmt numFmtId="184" formatCode="#,##0.00_);\(#,##0.00\);\–_)"/>
    <numFmt numFmtId="185" formatCode="#,##0_);\ \(#,##0\);\ &quot;- &quot;"/>
    <numFmt numFmtId="186" formatCode="#,##0_);\(#,##0\);&quot;-&quot;_);@_)"/>
    <numFmt numFmtId="187" formatCode="#,##0_);\(#,##0\);\–_);&quot;–&quot;_)"/>
    <numFmt numFmtId="188" formatCode="#,##0.000_);\(#,##0.000\);\–_)"/>
    <numFmt numFmtId="189" formatCode="#,##0.00%_);\ \(#,##0.00%\);\ &quot;- &quot;"/>
    <numFmt numFmtId="190" formatCode="0.000000000000000"/>
    <numFmt numFmtId="191" formatCode="[$-409]mmm\-yy;@"/>
    <numFmt numFmtId="192" formatCode="0.0%"/>
    <numFmt numFmtId="193" formatCode="#,##0.00_);\(#,##0.00\);&quot;-&quot;_);@_)"/>
    <numFmt numFmtId="194" formatCode="#,##0.0_);\(#,##0.0\);&quot;-&quot;"/>
    <numFmt numFmtId="195" formatCode="0.0%_);\(0.0%\);&quot;-&quot;"/>
    <numFmt numFmtId="196" formatCode="_ * #,##0_ ;_ * \-#,##0_ ;_ * &quot;-&quot;_ ;_ @_ "/>
    <numFmt numFmtId="197" formatCode="0.0\x_);\(0.0\x\);&quot;–&quot;_)"/>
    <numFmt numFmtId="198" formatCode="#,##0.000000000000_);\(#,##0.000000000000\)"/>
    <numFmt numFmtId="199" formatCode="mm/dd/yy\ hh:mm"/>
  </numFmts>
  <fonts count="46">
    <font>
      <sz val="8"/>
      <color theme="1"/>
      <name val="Arial"/>
      <family val="2"/>
    </font>
    <font>
      <sz val="8"/>
      <color rgb="FFFF0000"/>
      <name val="Arial"/>
      <family val="2"/>
    </font>
    <font>
      <sz val="10"/>
      <name val="Arial"/>
      <family val="2"/>
    </font>
    <font>
      <sz val="5"/>
      <name val="Arial"/>
      <family val="2"/>
    </font>
    <font>
      <sz val="8"/>
      <name val="Arial"/>
      <family val="2"/>
    </font>
    <font>
      <b/>
      <sz val="8"/>
      <name val="Arial"/>
      <family val="2"/>
    </font>
    <font>
      <sz val="8"/>
      <color indexed="24"/>
      <name val="Arial"/>
      <family val="2"/>
    </font>
    <font>
      <sz val="8"/>
      <color rgb="FF137CB1"/>
      <name val="Arial"/>
      <family val="2"/>
    </font>
    <font>
      <sz val="8"/>
      <color indexed="8"/>
      <name val="Arial"/>
      <family val="2"/>
    </font>
    <font>
      <sz val="8"/>
      <color rgb="FF000000"/>
      <name val="Arial"/>
      <family val="2"/>
    </font>
    <font>
      <i/>
      <sz val="8"/>
      <name val="Arial"/>
      <family val="2"/>
    </font>
    <font>
      <sz val="8"/>
      <color indexed="10"/>
      <name val="Arial"/>
      <family val="2"/>
    </font>
    <font>
      <i/>
      <sz val="8"/>
      <color indexed="10"/>
      <name val="Arial"/>
      <family val="2"/>
    </font>
    <font>
      <sz val="8"/>
      <color rgb="FF008000"/>
      <name val="Arial"/>
      <family val="2"/>
    </font>
    <font>
      <u/>
      <sz val="8"/>
      <name val="Arial"/>
      <family val="2"/>
    </font>
    <font>
      <sz val="8"/>
      <color indexed="12"/>
      <name val="Arial"/>
      <family val="2"/>
    </font>
    <font>
      <b/>
      <sz val="5"/>
      <name val="Arial"/>
      <family val="2"/>
    </font>
    <font>
      <sz val="8"/>
      <color indexed="21"/>
      <name val="Arial"/>
      <family val="2"/>
    </font>
    <font>
      <b/>
      <sz val="8"/>
      <color indexed="12"/>
      <name val="Arial"/>
      <family val="2"/>
    </font>
    <font>
      <b/>
      <u/>
      <sz val="8"/>
      <name val="Arial"/>
      <family val="2"/>
    </font>
    <font>
      <i/>
      <sz val="5"/>
      <name val="Arial"/>
      <family val="2"/>
    </font>
    <font>
      <b/>
      <i/>
      <sz val="8"/>
      <name val="Arial"/>
      <family val="2"/>
    </font>
    <font>
      <b/>
      <sz val="8"/>
      <color indexed="24"/>
      <name val="Arial"/>
      <family val="2"/>
    </font>
    <font>
      <b/>
      <i/>
      <sz val="5"/>
      <name val="Arial"/>
      <family val="2"/>
    </font>
    <font>
      <b/>
      <sz val="8"/>
      <color rgb="FF008000"/>
      <name val="Arial"/>
      <family val="2"/>
    </font>
    <font>
      <b/>
      <sz val="8"/>
      <color indexed="8"/>
      <name val="Arial"/>
      <family val="2"/>
    </font>
    <font>
      <b/>
      <sz val="8"/>
      <color indexed="10"/>
      <name val="Arial"/>
      <family val="2"/>
    </font>
    <font>
      <b/>
      <sz val="12"/>
      <name val="News Gothic MT"/>
      <family val="2"/>
    </font>
    <font>
      <sz val="9"/>
      <color indexed="81"/>
      <name val="Tahoma"/>
      <family val="2"/>
    </font>
    <font>
      <b/>
      <sz val="9"/>
      <color indexed="81"/>
      <name val="Tahoma"/>
      <family val="2"/>
    </font>
    <font>
      <b/>
      <sz val="10"/>
      <name val="Beatles"/>
      <charset val="162"/>
    </font>
    <font>
      <sz val="10"/>
      <name val="MS Sans Serif"/>
      <family val="2"/>
    </font>
    <font>
      <b/>
      <sz val="10"/>
      <color indexed="8"/>
      <name val="Times New Roman"/>
      <family val="1"/>
    </font>
    <font>
      <sz val="11"/>
      <color theme="1"/>
      <name val="Calibri"/>
      <family val="2"/>
      <scheme val="minor"/>
    </font>
    <font>
      <sz val="9"/>
      <name val="Times New Roman"/>
      <family val="1"/>
    </font>
    <font>
      <sz val="10"/>
      <color indexed="8"/>
      <name val="Times New Roman"/>
      <family val="1"/>
    </font>
    <font>
      <i/>
      <sz val="8"/>
      <name val="Times New Roman"/>
      <family val="1"/>
    </font>
    <font>
      <sz val="12"/>
      <name val="바탕체"/>
      <family val="1"/>
      <charset val="129"/>
    </font>
    <font>
      <sz val="11"/>
      <name val="Arial"/>
      <family val="2"/>
    </font>
    <font>
      <sz val="8"/>
      <color theme="0" tint="-0.499984740745262"/>
      <name val="Arial"/>
      <family val="2"/>
    </font>
    <font>
      <sz val="8"/>
      <color theme="1"/>
      <name val="Arial"/>
      <family val="2"/>
    </font>
    <font>
      <sz val="10"/>
      <name val="Courier"/>
      <family val="3"/>
    </font>
    <font>
      <i/>
      <sz val="10"/>
      <name val="Arial"/>
      <family val="2"/>
    </font>
    <font>
      <sz val="10"/>
      <color rgb="FF000000"/>
      <name val="Arial"/>
      <family val="2"/>
    </font>
    <font>
      <b/>
      <sz val="12"/>
      <color rgb="FF000080"/>
      <name val="Arial"/>
      <family val="2"/>
    </font>
    <font>
      <i/>
      <sz val="10"/>
      <color rgb="FF000000"/>
      <name val="Arial"/>
      <family val="2"/>
    </font>
  </fonts>
  <fills count="11">
    <fill>
      <patternFill patternType="none"/>
    </fill>
    <fill>
      <patternFill patternType="gray125"/>
    </fill>
    <fill>
      <patternFill patternType="solid">
        <fgColor indexed="60"/>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rgb="FFFFFF99"/>
        <bgColor indexed="64"/>
      </patternFill>
    </fill>
    <fill>
      <patternFill patternType="solid">
        <fgColor theme="0" tint="-0.14999847407452621"/>
        <bgColor indexed="64"/>
      </patternFill>
    </fill>
    <fill>
      <patternFill patternType="solid">
        <fgColor indexed="43"/>
        <bgColor indexed="64"/>
      </patternFill>
    </fill>
    <fill>
      <patternFill patternType="solid">
        <fgColor theme="0" tint="-0.34998626667073579"/>
        <bgColor indexed="64"/>
      </patternFill>
    </fill>
    <fill>
      <patternFill patternType="solid">
        <fgColor indexed="65"/>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8"/>
      </bottom>
      <diagonal/>
    </border>
    <border>
      <left/>
      <right/>
      <top style="thin">
        <color indexed="64"/>
      </top>
      <bottom/>
      <diagonal/>
    </border>
    <border>
      <left/>
      <right/>
      <top/>
      <bottom style="thin">
        <color indexed="64"/>
      </bottom>
      <diagonal/>
    </border>
    <border>
      <left/>
      <right/>
      <top/>
      <bottom style="thin">
        <color indexed="23"/>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8"/>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32">
    <xf numFmtId="0" fontId="0" fillId="0" borderId="0"/>
    <xf numFmtId="0" fontId="2" fillId="0" borderId="0"/>
    <xf numFmtId="0" fontId="2" fillId="0" borderId="0" applyNumberFormat="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applyNumberFormat="0" applyFont="0" applyFill="0" applyBorder="0" applyAlignment="0" applyProtection="0"/>
    <xf numFmtId="0" fontId="30" fillId="0" borderId="0" applyNumberFormat="0" applyFill="0" applyBorder="0" applyAlignment="0" applyProtection="0"/>
    <xf numFmtId="0" fontId="2" fillId="0" borderId="0"/>
    <xf numFmtId="0" fontId="2" fillId="0" borderId="0"/>
    <xf numFmtId="0" fontId="31" fillId="0" borderId="0"/>
    <xf numFmtId="0" fontId="31" fillId="0" borderId="0"/>
    <xf numFmtId="0" fontId="32" fillId="0" borderId="0"/>
    <xf numFmtId="43" fontId="2" fillId="0" borderId="0" applyFont="0" applyFill="0" applyBorder="0" applyAlignment="0" applyProtection="0"/>
    <xf numFmtId="43" fontId="33" fillId="0" borderId="0" applyFont="0" applyFill="0" applyBorder="0" applyAlignment="0" applyProtection="0"/>
    <xf numFmtId="44" fontId="2" fillId="0" borderId="0" applyFont="0" applyFill="0" applyBorder="0" applyAlignment="0" applyProtection="0"/>
    <xf numFmtId="0" fontId="2" fillId="0" borderId="0" applyNumberFormat="0" applyFill="0" applyBorder="0" applyAlignment="0" applyProtection="0"/>
    <xf numFmtId="0" fontId="2" fillId="0" borderId="0"/>
    <xf numFmtId="0" fontId="2" fillId="0" borderId="0"/>
    <xf numFmtId="194" fontId="4" fillId="0" borderId="0"/>
    <xf numFmtId="0" fontId="34" fillId="0" borderId="0">
      <alignment vertical="center"/>
    </xf>
    <xf numFmtId="195" fontId="2" fillId="0" borderId="0" applyFont="0" applyFill="0" applyBorder="0" applyAlignment="0" applyProtection="0"/>
    <xf numFmtId="0" fontId="2" fillId="8" borderId="0" applyNumberFormat="0" applyFont="0" applyBorder="0" applyAlignment="0" applyProtection="0"/>
    <xf numFmtId="0" fontId="2" fillId="8" borderId="0" applyNumberFormat="0" applyFont="0" applyBorder="0" applyAlignment="0" applyProtection="0"/>
    <xf numFmtId="0" fontId="35" fillId="0" borderId="0"/>
    <xf numFmtId="0" fontId="35" fillId="0" borderId="4">
      <alignment horizontal="centerContinuous"/>
    </xf>
    <xf numFmtId="0" fontId="36" fillId="0" borderId="4"/>
    <xf numFmtId="194" fontId="5" fillId="0" borderId="5"/>
    <xf numFmtId="196" fontId="37" fillId="0" borderId="0" applyFont="0" applyFill="0" applyBorder="0" applyAlignment="0" applyProtection="0"/>
    <xf numFmtId="0" fontId="37" fillId="0" borderId="0" applyFont="0" applyFill="0" applyBorder="0" applyAlignment="0" applyProtection="0"/>
    <xf numFmtId="0" fontId="40" fillId="0" borderId="0"/>
    <xf numFmtId="9" fontId="40" fillId="0" borderId="0" applyFont="0" applyFill="0" applyBorder="0" applyAlignment="0" applyProtection="0"/>
    <xf numFmtId="0" fontId="41" fillId="0" borderId="0"/>
  </cellStyleXfs>
  <cellXfs count="441">
    <xf numFmtId="0" fontId="0" fillId="0" borderId="0" xfId="0"/>
    <xf numFmtId="0" fontId="2" fillId="0" borderId="0" xfId="1"/>
    <xf numFmtId="0" fontId="3" fillId="0" borderId="0" xfId="1" applyFont="1"/>
    <xf numFmtId="0" fontId="4" fillId="0" borderId="0" xfId="1" applyFont="1"/>
    <xf numFmtId="0" fontId="4" fillId="3" borderId="0" xfId="1" applyFont="1" applyFill="1"/>
    <xf numFmtId="0" fontId="4" fillId="0" borderId="0" xfId="1" applyFont="1" applyFill="1"/>
    <xf numFmtId="0" fontId="3" fillId="0" borderId="0" xfId="1" applyFont="1" applyFill="1"/>
    <xf numFmtId="164" fontId="4" fillId="0" borderId="0" xfId="1" applyNumberFormat="1" applyFont="1" applyFill="1"/>
    <xf numFmtId="0" fontId="4" fillId="0" borderId="0" xfId="1" applyFont="1" applyFill="1" applyAlignment="1">
      <alignment horizontal="right"/>
    </xf>
    <xf numFmtId="0" fontId="5" fillId="0" borderId="0" xfId="1" applyFont="1" applyFill="1"/>
    <xf numFmtId="165" fontId="4" fillId="0" borderId="0" xfId="1" applyNumberFormat="1" applyFont="1"/>
    <xf numFmtId="0" fontId="4" fillId="0" borderId="0" xfId="1" applyFont="1" applyFill="1" applyBorder="1"/>
    <xf numFmtId="164" fontId="4" fillId="0" borderId="0" xfId="1" applyNumberFormat="1" applyFont="1"/>
    <xf numFmtId="165" fontId="6" fillId="0" borderId="0" xfId="3" applyNumberFormat="1" applyFont="1" applyFill="1" applyBorder="1"/>
    <xf numFmtId="165" fontId="4" fillId="0" borderId="0" xfId="3" applyNumberFormat="1" applyFont="1" applyFill="1" applyBorder="1"/>
    <xf numFmtId="164" fontId="4" fillId="0" borderId="0" xfId="3" applyNumberFormat="1" applyFont="1" applyFill="1" applyBorder="1"/>
    <xf numFmtId="49" fontId="4" fillId="0" borderId="0" xfId="3" applyNumberFormat="1" applyFont="1" applyFill="1" applyBorder="1"/>
    <xf numFmtId="0" fontId="5" fillId="0" borderId="0" xfId="1" applyFont="1" applyFill="1" applyBorder="1"/>
    <xf numFmtId="165" fontId="6" fillId="0" borderId="0" xfId="1" applyNumberFormat="1" applyFont="1" applyFill="1"/>
    <xf numFmtId="165" fontId="4" fillId="0" borderId="0" xfId="1" applyNumberFormat="1" applyFont="1" applyFill="1"/>
    <xf numFmtId="166" fontId="4" fillId="0" borderId="0" xfId="1" applyNumberFormat="1" applyFont="1" applyFill="1"/>
    <xf numFmtId="167" fontId="7" fillId="0" borderId="0" xfId="1" applyNumberFormat="1" applyFont="1" applyFill="1"/>
    <xf numFmtId="168" fontId="6" fillId="0" borderId="0" xfId="1" applyNumberFormat="1" applyFont="1" applyFill="1"/>
    <xf numFmtId="164" fontId="6" fillId="0" borderId="0" xfId="1" applyNumberFormat="1" applyFont="1" applyFill="1"/>
    <xf numFmtId="164" fontId="4" fillId="0" borderId="0" xfId="1" applyNumberFormat="1" applyFont="1" applyFill="1" applyBorder="1"/>
    <xf numFmtId="169" fontId="4" fillId="0" borderId="0" xfId="4" applyNumberFormat="1" applyFont="1" applyFill="1" applyBorder="1"/>
    <xf numFmtId="164" fontId="8" fillId="0" borderId="0" xfId="1" applyNumberFormat="1" applyFont="1" applyFill="1"/>
    <xf numFmtId="164" fontId="6" fillId="0" borderId="0" xfId="1" applyNumberFormat="1" applyFont="1" applyFill="1" applyBorder="1"/>
    <xf numFmtId="164" fontId="7" fillId="0" borderId="1" xfId="1" applyNumberFormat="1" applyFont="1" applyFill="1" applyBorder="1"/>
    <xf numFmtId="49" fontId="5" fillId="0" borderId="0" xfId="5" applyNumberFormat="1" applyFont="1" applyFill="1" applyBorder="1"/>
    <xf numFmtId="170" fontId="4" fillId="0" borderId="0" xfId="1" applyNumberFormat="1" applyFont="1" applyFill="1"/>
    <xf numFmtId="0" fontId="4" fillId="0" borderId="0" xfId="5" applyNumberFormat="1" applyFont="1" applyFill="1" applyBorder="1" applyAlignment="1">
      <alignment horizontal="left" vertical="center"/>
    </xf>
    <xf numFmtId="171" fontId="4" fillId="0" borderId="0" xfId="1" applyNumberFormat="1" applyFont="1"/>
    <xf numFmtId="49" fontId="4" fillId="0" borderId="0" xfId="3" applyNumberFormat="1" applyFont="1" applyFill="1" applyAlignment="1">
      <alignment horizontal="left"/>
    </xf>
    <xf numFmtId="49" fontId="4" fillId="0" borderId="0" xfId="3" applyNumberFormat="1" applyFont="1" applyFill="1" applyBorder="1" applyAlignment="1">
      <alignment horizontal="left"/>
    </xf>
    <xf numFmtId="0" fontId="5" fillId="0" borderId="0" xfId="5" applyNumberFormat="1" applyFont="1" applyFill="1" applyBorder="1" applyAlignment="1">
      <alignment horizontal="left" vertical="center"/>
    </xf>
    <xf numFmtId="0" fontId="4" fillId="0" borderId="0" xfId="1" applyFont="1" applyFill="1" applyAlignment="1">
      <alignment horizontal="left"/>
    </xf>
    <xf numFmtId="172" fontId="4" fillId="0" borderId="0" xfId="1" applyNumberFormat="1" applyFont="1"/>
    <xf numFmtId="172" fontId="4" fillId="0" borderId="0" xfId="1" applyNumberFormat="1" applyFont="1" applyFill="1"/>
    <xf numFmtId="172" fontId="3" fillId="0" borderId="0" xfId="1" applyNumberFormat="1" applyFont="1" applyFill="1"/>
    <xf numFmtId="49" fontId="4" fillId="0" borderId="0" xfId="5" applyNumberFormat="1" applyFont="1" applyFill="1" applyBorder="1"/>
    <xf numFmtId="170" fontId="4" fillId="0" borderId="0" xfId="3" applyNumberFormat="1" applyFont="1" applyFill="1" applyAlignment="1">
      <alignment horizontal="left"/>
    </xf>
    <xf numFmtId="170" fontId="3" fillId="0" borderId="0" xfId="1" applyNumberFormat="1" applyFont="1" applyFill="1"/>
    <xf numFmtId="173" fontId="6" fillId="0" borderId="0" xfId="1" applyNumberFormat="1" applyFont="1" applyFill="1"/>
    <xf numFmtId="173" fontId="9" fillId="0" borderId="0" xfId="1" applyNumberFormat="1" applyFont="1" applyFill="1"/>
    <xf numFmtId="174" fontId="6" fillId="0" borderId="0" xfId="1" applyNumberFormat="1" applyFont="1" applyFill="1"/>
    <xf numFmtId="175" fontId="7" fillId="0" borderId="0" xfId="4" applyNumberFormat="1" applyFont="1" applyFill="1" applyBorder="1"/>
    <xf numFmtId="175" fontId="4" fillId="0" borderId="0" xfId="4" applyNumberFormat="1" applyFont="1" applyFill="1" applyBorder="1"/>
    <xf numFmtId="175" fontId="4" fillId="0" borderId="0" xfId="1" applyNumberFormat="1" applyFont="1" applyFill="1"/>
    <xf numFmtId="173" fontId="4" fillId="0" borderId="0" xfId="1" applyNumberFormat="1" applyFont="1" applyFill="1"/>
    <xf numFmtId="174" fontId="4" fillId="0" borderId="0" xfId="1" applyNumberFormat="1" applyFont="1" applyFill="1"/>
    <xf numFmtId="174" fontId="7" fillId="0" borderId="0" xfId="1" applyNumberFormat="1" applyFont="1" applyFill="1"/>
    <xf numFmtId="173" fontId="8" fillId="0" borderId="0" xfId="1" applyNumberFormat="1" applyFont="1" applyFill="1"/>
    <xf numFmtId="174" fontId="8" fillId="0" borderId="0" xfId="1" applyNumberFormat="1" applyFont="1" applyFill="1"/>
    <xf numFmtId="176" fontId="4" fillId="0" borderId="0" xfId="1" applyNumberFormat="1" applyFont="1" applyFill="1"/>
    <xf numFmtId="176" fontId="9" fillId="0" borderId="0" xfId="1" applyNumberFormat="1" applyFont="1" applyFill="1" applyAlignment="1">
      <alignment horizontal="right"/>
    </xf>
    <xf numFmtId="0" fontId="4" fillId="0" borderId="0" xfId="1" applyFont="1" applyFill="1" applyBorder="1" applyAlignment="1">
      <alignment horizontal="left" indent="1"/>
    </xf>
    <xf numFmtId="164" fontId="4" fillId="0" borderId="2" xfId="1" applyNumberFormat="1" applyFont="1" applyFill="1" applyBorder="1"/>
    <xf numFmtId="177" fontId="9" fillId="0" borderId="0" xfId="1" applyNumberFormat="1" applyFont="1" applyFill="1" applyAlignment="1">
      <alignment horizontal="right"/>
    </xf>
    <xf numFmtId="164" fontId="7" fillId="0" borderId="0" xfId="1" applyNumberFormat="1" applyFont="1" applyFill="1" applyAlignment="1">
      <alignment horizontal="right"/>
    </xf>
    <xf numFmtId="164" fontId="7" fillId="0" borderId="2" xfId="1" applyNumberFormat="1" applyFont="1" applyFill="1" applyBorder="1" applyAlignment="1">
      <alignment horizontal="right"/>
    </xf>
    <xf numFmtId="164" fontId="7" fillId="0" borderId="0" xfId="1" applyNumberFormat="1" applyFont="1" applyFill="1"/>
    <xf numFmtId="176" fontId="7" fillId="0" borderId="0" xfId="1" applyNumberFormat="1" applyFont="1" applyFill="1" applyAlignment="1">
      <alignment horizontal="right"/>
    </xf>
    <xf numFmtId="176" fontId="7" fillId="0" borderId="0" xfId="1" applyNumberFormat="1" applyFont="1" applyFill="1"/>
    <xf numFmtId="176" fontId="7" fillId="0" borderId="2" xfId="1" applyNumberFormat="1" applyFont="1" applyFill="1" applyBorder="1"/>
    <xf numFmtId="164" fontId="9" fillId="0" borderId="0" xfId="1" applyNumberFormat="1" applyFont="1" applyFill="1" applyAlignment="1">
      <alignment horizontal="right"/>
    </xf>
    <xf numFmtId="170" fontId="7" fillId="0" borderId="0" xfId="1" applyNumberFormat="1" applyFont="1" applyFill="1"/>
    <xf numFmtId="164" fontId="4" fillId="0" borderId="0" xfId="1" applyNumberFormat="1" applyFont="1" applyFill="1" applyAlignment="1">
      <alignment horizontal="right"/>
    </xf>
    <xf numFmtId="0" fontId="4" fillId="0" borderId="0" xfId="1" applyFont="1" applyFill="1" applyBorder="1" applyAlignment="1"/>
    <xf numFmtId="164" fontId="7" fillId="5" borderId="0" xfId="1" applyNumberFormat="1" applyFont="1" applyFill="1"/>
    <xf numFmtId="164" fontId="7" fillId="0" borderId="0" xfId="1" applyNumberFormat="1" applyFont="1" applyFill="1" applyBorder="1"/>
    <xf numFmtId="164" fontId="7" fillId="0" borderId="3" xfId="1" applyNumberFormat="1" applyFont="1" applyFill="1" applyBorder="1"/>
    <xf numFmtId="177" fontId="4" fillId="0" borderId="0" xfId="1" applyNumberFormat="1" applyFont="1" applyFill="1"/>
    <xf numFmtId="177" fontId="7" fillId="0" borderId="0" xfId="1" applyNumberFormat="1" applyFont="1" applyFill="1"/>
    <xf numFmtId="164" fontId="9" fillId="0" borderId="0" xfId="1" applyNumberFormat="1" applyFont="1" applyFill="1"/>
    <xf numFmtId="177" fontId="9" fillId="0" borderId="0" xfId="1" applyNumberFormat="1" applyFont="1" applyFill="1"/>
    <xf numFmtId="177" fontId="7" fillId="0" borderId="1" xfId="1" applyNumberFormat="1" applyFont="1" applyFill="1" applyBorder="1"/>
    <xf numFmtId="177" fontId="4" fillId="0" borderId="0" xfId="1" applyNumberFormat="1" applyFont="1"/>
    <xf numFmtId="165" fontId="10" fillId="0" borderId="0" xfId="1" applyNumberFormat="1" applyFont="1"/>
    <xf numFmtId="0" fontId="4" fillId="0" borderId="0" xfId="1" quotePrefix="1" applyFont="1" applyFill="1" applyBorder="1"/>
    <xf numFmtId="164" fontId="8" fillId="0" borderId="0" xfId="1" applyNumberFormat="1" applyFont="1"/>
    <xf numFmtId="164" fontId="6" fillId="0" borderId="0" xfId="1" applyNumberFormat="1" applyFont="1"/>
    <xf numFmtId="164" fontId="6" fillId="0" borderId="1" xfId="1" applyNumberFormat="1" applyFont="1" applyBorder="1"/>
    <xf numFmtId="178" fontId="4" fillId="0" borderId="0" xfId="3" applyNumberFormat="1" applyFont="1" applyFill="1" applyBorder="1"/>
    <xf numFmtId="179" fontId="4" fillId="0" borderId="0" xfId="1" applyNumberFormat="1" applyFont="1" applyFill="1"/>
    <xf numFmtId="168" fontId="4" fillId="0" borderId="0" xfId="3" applyNumberFormat="1" applyFont="1" applyFill="1" applyBorder="1"/>
    <xf numFmtId="180" fontId="5" fillId="0" borderId="4" xfId="3" applyNumberFormat="1" applyFont="1" applyBorder="1" applyAlignment="1">
      <alignment horizontal="right"/>
    </xf>
    <xf numFmtId="180" fontId="5" fillId="0" borderId="4" xfId="3" applyNumberFormat="1" applyFont="1" applyFill="1" applyBorder="1" applyAlignment="1">
      <alignment horizontal="right"/>
    </xf>
    <xf numFmtId="0" fontId="5" fillId="0" borderId="4" xfId="3" applyNumberFormat="1" applyFont="1" applyBorder="1" applyAlignment="1">
      <alignment horizontal="left"/>
    </xf>
    <xf numFmtId="181" fontId="11" fillId="0" borderId="0" xfId="1" applyNumberFormat="1" applyFont="1"/>
    <xf numFmtId="171" fontId="12" fillId="0" borderId="0" xfId="1" applyNumberFormat="1" applyFont="1"/>
    <xf numFmtId="171" fontId="12" fillId="4" borderId="0" xfId="1" applyNumberFormat="1" applyFont="1" applyFill="1"/>
    <xf numFmtId="171" fontId="12" fillId="0" borderId="0" xfId="1" applyNumberFormat="1" applyFont="1" applyFill="1"/>
    <xf numFmtId="0" fontId="12" fillId="0" borderId="0" xfId="1" applyFont="1"/>
    <xf numFmtId="164" fontId="5" fillId="0" borderId="5" xfId="1" applyNumberFormat="1" applyFont="1" applyBorder="1"/>
    <xf numFmtId="164" fontId="5" fillId="0" borderId="5" xfId="1" applyNumberFormat="1" applyFont="1" applyFill="1" applyBorder="1"/>
    <xf numFmtId="0" fontId="5" fillId="0" borderId="0" xfId="1" applyFont="1" applyFill="1" applyBorder="1" applyAlignment="1">
      <alignment horizontal="left" indent="1"/>
    </xf>
    <xf numFmtId="49" fontId="4" fillId="0" borderId="0" xfId="1" applyNumberFormat="1" applyFont="1" applyFill="1" applyBorder="1" applyAlignment="1"/>
    <xf numFmtId="0" fontId="13" fillId="0" borderId="0" xfId="1" applyFont="1"/>
    <xf numFmtId="164" fontId="13" fillId="0" borderId="0" xfId="1" applyNumberFormat="1" applyFont="1"/>
    <xf numFmtId="164" fontId="13" fillId="0" borderId="0" xfId="1" applyNumberFormat="1" applyFont="1" applyFill="1"/>
    <xf numFmtId="164" fontId="13" fillId="0" borderId="1" xfId="1" applyNumberFormat="1" applyFont="1" applyBorder="1"/>
    <xf numFmtId="49" fontId="5" fillId="0" borderId="0" xfId="3" applyNumberFormat="1" applyFont="1" applyFill="1" applyBorder="1" applyAlignment="1">
      <alignment horizontal="left" indent="1"/>
    </xf>
    <xf numFmtId="164" fontId="7" fillId="0" borderId="0" xfId="1" applyNumberFormat="1" applyFont="1"/>
    <xf numFmtId="164" fontId="4" fillId="0" borderId="0" xfId="1" applyNumberFormat="1" applyFont="1" applyBorder="1"/>
    <xf numFmtId="164" fontId="6" fillId="0" borderId="0" xfId="1" applyNumberFormat="1" applyFont="1" applyBorder="1"/>
    <xf numFmtId="164" fontId="7" fillId="0" borderId="1" xfId="1" applyNumberFormat="1" applyFont="1" applyBorder="1"/>
    <xf numFmtId="164" fontId="9" fillId="0" borderId="0" xfId="1" applyNumberFormat="1" applyFont="1" applyBorder="1"/>
    <xf numFmtId="0" fontId="5" fillId="0" borderId="0" xfId="1" applyFont="1" applyFill="1" applyAlignment="1">
      <alignment horizontal="left"/>
    </xf>
    <xf numFmtId="49" fontId="4" fillId="0" borderId="0" xfId="3" applyNumberFormat="1" applyFont="1" applyFill="1" applyBorder="1" applyAlignment="1"/>
    <xf numFmtId="49" fontId="5" fillId="0" borderId="0" xfId="1" applyNumberFormat="1" applyFont="1" applyFill="1" applyBorder="1" applyAlignment="1">
      <alignment horizontal="left" vertical="center"/>
    </xf>
    <xf numFmtId="49" fontId="4" fillId="0" borderId="6" xfId="1" applyNumberFormat="1" applyFont="1" applyFill="1" applyBorder="1" applyAlignment="1">
      <alignment horizontal="left" vertical="center"/>
    </xf>
    <xf numFmtId="0" fontId="5" fillId="0" borderId="0" xfId="3" applyNumberFormat="1" applyFont="1" applyBorder="1" applyAlignment="1">
      <alignment horizontal="left"/>
    </xf>
    <xf numFmtId="0" fontId="14" fillId="0" borderId="0" xfId="1" applyFont="1"/>
    <xf numFmtId="182" fontId="4" fillId="0" borderId="0" xfId="1" applyNumberFormat="1" applyFont="1" applyFill="1"/>
    <xf numFmtId="168" fontId="12" fillId="0" borderId="0" xfId="1" applyNumberFormat="1" applyFont="1"/>
    <xf numFmtId="168" fontId="12" fillId="4" borderId="0" xfId="1" applyNumberFormat="1" applyFont="1" applyFill="1"/>
    <xf numFmtId="168" fontId="12" fillId="0" borderId="0" xfId="1" applyNumberFormat="1" applyFont="1" applyFill="1"/>
    <xf numFmtId="168" fontId="4" fillId="0" borderId="5" xfId="1" applyNumberFormat="1" applyFont="1" applyBorder="1"/>
    <xf numFmtId="168" fontId="4" fillId="0" borderId="5" xfId="1" applyNumberFormat="1" applyFont="1" applyFill="1" applyBorder="1"/>
    <xf numFmtId="168" fontId="4" fillId="0" borderId="0" xfId="1" applyNumberFormat="1" applyFont="1"/>
    <xf numFmtId="164" fontId="4" fillId="0" borderId="5" xfId="1" applyNumberFormat="1" applyFont="1" applyBorder="1" applyAlignment="1"/>
    <xf numFmtId="168" fontId="15" fillId="0" borderId="0" xfId="1" applyNumberFormat="1" applyFont="1" applyFill="1"/>
    <xf numFmtId="168" fontId="6" fillId="0" borderId="0" xfId="1" applyNumberFormat="1" applyFont="1"/>
    <xf numFmtId="168" fontId="4" fillId="0" borderId="0" xfId="1" applyNumberFormat="1" applyFont="1" applyFill="1"/>
    <xf numFmtId="49" fontId="4" fillId="0" borderId="7" xfId="3" applyNumberFormat="1" applyFont="1" applyFill="1" applyBorder="1" applyAlignment="1">
      <alignment horizontal="left" indent="1"/>
    </xf>
    <xf numFmtId="49" fontId="4" fillId="0" borderId="0" xfId="3" applyNumberFormat="1" applyFont="1" applyFill="1" applyBorder="1" applyAlignment="1">
      <alignment horizontal="left" indent="1"/>
    </xf>
    <xf numFmtId="168" fontId="7" fillId="0" borderId="0" xfId="1" applyNumberFormat="1" applyFont="1" applyFill="1"/>
    <xf numFmtId="168" fontId="8" fillId="0" borderId="0" xfId="1" applyNumberFormat="1" applyFont="1"/>
    <xf numFmtId="168" fontId="7" fillId="0" borderId="1" xfId="1" applyNumberFormat="1" applyFont="1" applyBorder="1"/>
    <xf numFmtId="168" fontId="7" fillId="0" borderId="0" xfId="1" applyNumberFormat="1" applyFont="1"/>
    <xf numFmtId="168" fontId="4" fillId="0" borderId="0" xfId="3" applyNumberFormat="1" applyFont="1" applyFill="1" applyAlignment="1">
      <alignment horizontal="left" indent="1"/>
    </xf>
    <xf numFmtId="168" fontId="3" fillId="0" borderId="0" xfId="1" applyNumberFormat="1" applyFont="1"/>
    <xf numFmtId="0" fontId="4" fillId="0" borderId="0" xfId="1" applyFont="1" applyBorder="1"/>
    <xf numFmtId="168" fontId="15" fillId="0" borderId="0" xfId="1" applyNumberFormat="1" applyFont="1" applyFill="1" applyBorder="1"/>
    <xf numFmtId="168" fontId="4" fillId="0" borderId="0" xfId="1" applyNumberFormat="1" applyFont="1" applyBorder="1"/>
    <xf numFmtId="168" fontId="6" fillId="0" borderId="0" xfId="1" applyNumberFormat="1" applyFont="1" applyBorder="1"/>
    <xf numFmtId="168" fontId="4" fillId="0" borderId="0" xfId="1" applyNumberFormat="1" applyFont="1" applyFill="1" applyBorder="1"/>
    <xf numFmtId="0" fontId="3" fillId="0" borderId="0" xfId="1" applyFont="1" applyBorder="1"/>
    <xf numFmtId="49" fontId="4" fillId="0" borderId="0" xfId="3" applyNumberFormat="1" applyFont="1" applyFill="1" applyAlignment="1">
      <alignment horizontal="left" indent="1"/>
    </xf>
    <xf numFmtId="168" fontId="5" fillId="0" borderId="5" xfId="1" applyNumberFormat="1" applyFont="1" applyBorder="1"/>
    <xf numFmtId="168" fontId="5" fillId="0" borderId="5" xfId="1" applyNumberFormat="1" applyFont="1" applyFill="1" applyBorder="1"/>
    <xf numFmtId="168" fontId="5" fillId="0" borderId="0" xfId="1" applyNumberFormat="1" applyFont="1"/>
    <xf numFmtId="49" fontId="5" fillId="0" borderId="5" xfId="3" applyNumberFormat="1" applyFont="1" applyFill="1" applyBorder="1" applyAlignment="1">
      <alignment vertical="center"/>
    </xf>
    <xf numFmtId="168" fontId="15" fillId="0" borderId="8" xfId="1" applyNumberFormat="1" applyFont="1" applyFill="1" applyBorder="1"/>
    <xf numFmtId="168" fontId="15" fillId="0" borderId="9" xfId="1" applyNumberFormat="1" applyFont="1" applyFill="1" applyBorder="1"/>
    <xf numFmtId="168" fontId="15" fillId="0" borderId="10" xfId="1" applyNumberFormat="1" applyFont="1" applyFill="1" applyBorder="1"/>
    <xf numFmtId="49" fontId="4" fillId="0" borderId="0" xfId="3" applyNumberFormat="1" applyFont="1" applyFill="1" applyBorder="1" applyAlignment="1">
      <alignment horizontal="left" vertical="center" indent="1"/>
    </xf>
    <xf numFmtId="168" fontId="7" fillId="0" borderId="5" xfId="1" applyNumberFormat="1" applyFont="1" applyFill="1" applyBorder="1"/>
    <xf numFmtId="49" fontId="4" fillId="0" borderId="5" xfId="1" applyNumberFormat="1" applyFont="1" applyFill="1" applyBorder="1" applyAlignment="1">
      <alignment vertical="center"/>
    </xf>
    <xf numFmtId="168" fontId="7" fillId="0" borderId="1" xfId="1" applyNumberFormat="1" applyFont="1" applyFill="1" applyBorder="1"/>
    <xf numFmtId="49" fontId="14" fillId="0" borderId="0" xfId="3" applyNumberFormat="1" applyFont="1" applyFill="1" applyBorder="1" applyAlignment="1"/>
    <xf numFmtId="168" fontId="9" fillId="0" borderId="0" xfId="1" applyNumberFormat="1" applyFont="1" applyFill="1"/>
    <xf numFmtId="49" fontId="14" fillId="0" borderId="0" xfId="1" applyNumberFormat="1" applyFont="1" applyFill="1" applyBorder="1" applyAlignment="1">
      <alignment vertical="center"/>
    </xf>
    <xf numFmtId="177" fontId="4" fillId="0" borderId="0" xfId="4" applyNumberFormat="1" applyFont="1" applyFill="1" applyBorder="1"/>
    <xf numFmtId="165" fontId="4" fillId="0" borderId="0" xfId="4" applyNumberFormat="1" applyFont="1" applyFill="1" applyBorder="1"/>
    <xf numFmtId="49" fontId="4" fillId="0" borderId="0" xfId="3" applyNumberFormat="1" applyFont="1" applyFill="1" applyBorder="1" applyAlignment="1">
      <alignment horizontal="left" indent="2"/>
    </xf>
    <xf numFmtId="177" fontId="4" fillId="5" borderId="0" xfId="1" applyNumberFormat="1" applyFont="1" applyFill="1"/>
    <xf numFmtId="171" fontId="4" fillId="0" borderId="0" xfId="4" applyNumberFormat="1" applyFont="1" applyFill="1" applyBorder="1"/>
    <xf numFmtId="168" fontId="4" fillId="0" borderId="0" xfId="4" applyNumberFormat="1" applyFont="1" applyFill="1" applyBorder="1"/>
    <xf numFmtId="177" fontId="7" fillId="0" borderId="0" xfId="4" applyNumberFormat="1" applyFont="1" applyFill="1" applyBorder="1"/>
    <xf numFmtId="0" fontId="14" fillId="0" borderId="0" xfId="1" applyFont="1" applyFill="1"/>
    <xf numFmtId="165" fontId="10" fillId="0" borderId="0" xfId="3" applyNumberFormat="1" applyFont="1" applyFill="1" applyBorder="1"/>
    <xf numFmtId="177" fontId="10" fillId="0" borderId="0" xfId="3" applyNumberFormat="1" applyFont="1" applyFill="1" applyBorder="1"/>
    <xf numFmtId="171" fontId="5" fillId="0" borderId="0" xfId="4" applyNumberFormat="1" applyFont="1" applyFill="1" applyBorder="1"/>
    <xf numFmtId="49" fontId="5" fillId="0" borderId="0" xfId="3" applyNumberFormat="1" applyFont="1" applyFill="1" applyBorder="1" applyAlignment="1"/>
    <xf numFmtId="171" fontId="8" fillId="0" borderId="0" xfId="4" applyNumberFormat="1" applyFont="1" applyFill="1" applyBorder="1"/>
    <xf numFmtId="171" fontId="7" fillId="0" borderId="0" xfId="4" applyNumberFormat="1" applyFont="1" applyFill="1" applyBorder="1"/>
    <xf numFmtId="171" fontId="6" fillId="0" borderId="0" xfId="4" applyNumberFormat="1" applyFont="1" applyFill="1" applyBorder="1"/>
    <xf numFmtId="171" fontId="9" fillId="0" borderId="0" xfId="4" applyNumberFormat="1" applyFont="1" applyFill="1" applyBorder="1"/>
    <xf numFmtId="0" fontId="5" fillId="0" borderId="0" xfId="1" applyFont="1"/>
    <xf numFmtId="0" fontId="16" fillId="0" borderId="0" xfId="1" applyFont="1" applyFill="1"/>
    <xf numFmtId="183" fontId="4" fillId="0" borderId="0" xfId="1" applyNumberFormat="1" applyFont="1"/>
    <xf numFmtId="43" fontId="4" fillId="0" borderId="0" xfId="3" applyFont="1" applyFill="1" applyBorder="1"/>
    <xf numFmtId="49" fontId="14" fillId="0" borderId="0" xfId="3" applyNumberFormat="1" applyFont="1" applyFill="1" applyBorder="1"/>
    <xf numFmtId="184" fontId="4" fillId="0" borderId="0" xfId="1" applyNumberFormat="1" applyFont="1" applyFill="1"/>
    <xf numFmtId="170" fontId="4" fillId="0" borderId="0" xfId="3" applyNumberFormat="1" applyFont="1" applyFill="1" applyBorder="1"/>
    <xf numFmtId="185" fontId="4" fillId="0" borderId="0" xfId="1" applyNumberFormat="1" applyFont="1" applyFill="1"/>
    <xf numFmtId="185" fontId="4" fillId="0" borderId="0" xfId="3" applyNumberFormat="1" applyFont="1" applyFill="1"/>
    <xf numFmtId="0" fontId="5" fillId="0" borderId="0" xfId="3" applyNumberFormat="1" applyFont="1" applyFill="1" applyBorder="1" applyAlignment="1">
      <alignment horizontal="left"/>
    </xf>
    <xf numFmtId="165" fontId="8" fillId="0" borderId="0" xfId="3" applyNumberFormat="1" applyFont="1" applyFill="1" applyBorder="1"/>
    <xf numFmtId="185" fontId="4" fillId="0" borderId="0" xfId="3" applyNumberFormat="1" applyFont="1" applyFill="1" applyBorder="1"/>
    <xf numFmtId="185" fontId="4" fillId="0" borderId="0" xfId="1" applyNumberFormat="1" applyFont="1" applyFill="1" applyBorder="1"/>
    <xf numFmtId="185" fontId="7" fillId="0" borderId="0" xfId="3" applyNumberFormat="1" applyFont="1" applyFill="1" applyBorder="1"/>
    <xf numFmtId="186" fontId="4" fillId="0" borderId="0" xfId="1" applyNumberFormat="1" applyFont="1"/>
    <xf numFmtId="177" fontId="6" fillId="6" borderId="5" xfId="1" applyNumberFormat="1" applyFont="1" applyFill="1" applyBorder="1"/>
    <xf numFmtId="177" fontId="4" fillId="0" borderId="5" xfId="1" applyNumberFormat="1" applyFont="1" applyFill="1" applyBorder="1"/>
    <xf numFmtId="177" fontId="8" fillId="0" borderId="5" xfId="3" applyNumberFormat="1" applyFont="1" applyFill="1" applyBorder="1"/>
    <xf numFmtId="177" fontId="6" fillId="0" borderId="5" xfId="3" applyNumberFormat="1" applyFont="1" applyFill="1" applyBorder="1"/>
    <xf numFmtId="177" fontId="4" fillId="0" borderId="5" xfId="3" applyNumberFormat="1" applyFont="1" applyFill="1" applyBorder="1"/>
    <xf numFmtId="168" fontId="4" fillId="0" borderId="5" xfId="3" applyNumberFormat="1" applyFont="1" applyFill="1" applyBorder="1"/>
    <xf numFmtId="185" fontId="4" fillId="0" borderId="5" xfId="3" applyNumberFormat="1" applyFont="1" applyFill="1" applyBorder="1"/>
    <xf numFmtId="0" fontId="4" fillId="0" borderId="5" xfId="1" applyFont="1" applyFill="1" applyBorder="1" applyAlignment="1">
      <alignment horizontal="left" indent="1"/>
    </xf>
    <xf numFmtId="177" fontId="4" fillId="0" borderId="0" xfId="3" applyNumberFormat="1" applyFont="1" applyFill="1" applyBorder="1"/>
    <xf numFmtId="177" fontId="7" fillId="6" borderId="0" xfId="3" applyNumberFormat="1" applyFont="1" applyFill="1" applyBorder="1"/>
    <xf numFmtId="177" fontId="6" fillId="6" borderId="0" xfId="1" applyNumberFormat="1" applyFont="1" applyFill="1"/>
    <xf numFmtId="177" fontId="8" fillId="0" borderId="0" xfId="3" applyNumberFormat="1" applyFont="1" applyFill="1" applyBorder="1"/>
    <xf numFmtId="177" fontId="6" fillId="0" borderId="0" xfId="3" applyNumberFormat="1" applyFont="1" applyFill="1" applyBorder="1"/>
    <xf numFmtId="186" fontId="6" fillId="6" borderId="0" xfId="1" applyNumberFormat="1" applyFont="1" applyFill="1"/>
    <xf numFmtId="187" fontId="6" fillId="0" borderId="0" xfId="3" applyNumberFormat="1" applyFont="1" applyFill="1"/>
    <xf numFmtId="185" fontId="6" fillId="0" borderId="0" xfId="3" applyNumberFormat="1" applyFont="1" applyFill="1"/>
    <xf numFmtId="186" fontId="4" fillId="0" borderId="0" xfId="1" applyNumberFormat="1" applyFont="1" applyFill="1"/>
    <xf numFmtId="168" fontId="13" fillId="0" borderId="0" xfId="1" applyNumberFormat="1" applyFont="1" applyFill="1"/>
    <xf numFmtId="185" fontId="17" fillId="0" borderId="0" xfId="1" applyNumberFormat="1" applyFont="1" applyFill="1"/>
    <xf numFmtId="171" fontId="4" fillId="0" borderId="0" xfId="1" applyNumberFormat="1" applyFont="1" applyFill="1"/>
    <xf numFmtId="0" fontId="4" fillId="0" borderId="0" xfId="1" applyFont="1" applyFill="1" applyAlignment="1">
      <alignment horizontal="left" indent="1"/>
    </xf>
    <xf numFmtId="187" fontId="4" fillId="0" borderId="0" xfId="1" applyNumberFormat="1" applyFont="1" applyFill="1" applyAlignment="1">
      <alignment horizontal="right"/>
    </xf>
    <xf numFmtId="166" fontId="4" fillId="0" borderId="0" xfId="1" applyNumberFormat="1" applyFont="1" applyFill="1" applyAlignment="1">
      <alignment horizontal="right"/>
    </xf>
    <xf numFmtId="187" fontId="6" fillId="0" borderId="0" xfId="1" applyNumberFormat="1" applyFont="1" applyFill="1" applyAlignment="1">
      <alignment horizontal="right"/>
    </xf>
    <xf numFmtId="166" fontId="6" fillId="0" borderId="0" xfId="1" applyNumberFormat="1" applyFont="1" applyFill="1" applyAlignment="1">
      <alignment horizontal="right"/>
    </xf>
    <xf numFmtId="187" fontId="8" fillId="7" borderId="0" xfId="1" applyNumberFormat="1" applyFont="1" applyFill="1" applyAlignment="1">
      <alignment horizontal="right"/>
    </xf>
    <xf numFmtId="187" fontId="8" fillId="0" borderId="0" xfId="1" applyNumberFormat="1" applyFont="1" applyFill="1" applyAlignment="1">
      <alignment horizontal="right"/>
    </xf>
    <xf numFmtId="166" fontId="4" fillId="0" borderId="0" xfId="1" applyNumberFormat="1" applyFont="1"/>
    <xf numFmtId="0" fontId="4" fillId="0" borderId="0" xfId="1" applyFont="1" applyAlignment="1">
      <alignment horizontal="left" indent="1"/>
    </xf>
    <xf numFmtId="187" fontId="6" fillId="5" borderId="0" xfId="1" applyNumberFormat="1" applyFont="1" applyFill="1" applyAlignment="1">
      <alignment horizontal="right"/>
    </xf>
    <xf numFmtId="187" fontId="6" fillId="5" borderId="0" xfId="1" applyNumberFormat="1" applyFont="1" applyFill="1"/>
    <xf numFmtId="187" fontId="8" fillId="5" borderId="0" xfId="1" applyNumberFormat="1" applyFont="1" applyFill="1" applyAlignment="1">
      <alignment horizontal="right"/>
    </xf>
    <xf numFmtId="187" fontId="7" fillId="5" borderId="0" xfId="1" applyNumberFormat="1" applyFont="1" applyFill="1" applyAlignment="1">
      <alignment horizontal="right"/>
    </xf>
    <xf numFmtId="187" fontId="7" fillId="0" borderId="1" xfId="1" applyNumberFormat="1" applyFont="1" applyFill="1" applyBorder="1" applyAlignment="1">
      <alignment horizontal="right"/>
    </xf>
    <xf numFmtId="166" fontId="7" fillId="0" borderId="0" xfId="1" applyNumberFormat="1" applyFont="1"/>
    <xf numFmtId="187" fontId="7" fillId="0" borderId="8" xfId="1" applyNumberFormat="1" applyFont="1" applyFill="1" applyBorder="1" applyAlignment="1">
      <alignment horizontal="right"/>
    </xf>
    <xf numFmtId="187" fontId="7" fillId="0" borderId="10" xfId="1" applyNumberFormat="1" applyFont="1" applyFill="1" applyBorder="1" applyAlignment="1">
      <alignment horizontal="right"/>
    </xf>
    <xf numFmtId="187" fontId="6" fillId="0" borderId="0" xfId="1" applyNumberFormat="1" applyFont="1" applyFill="1" applyBorder="1" applyAlignment="1">
      <alignment horizontal="right"/>
    </xf>
    <xf numFmtId="187" fontId="6" fillId="0" borderId="0" xfId="1" applyNumberFormat="1" applyFont="1"/>
    <xf numFmtId="17" fontId="18" fillId="0" borderId="0" xfId="1" applyNumberFormat="1" applyFont="1" applyFill="1" applyBorder="1" applyAlignment="1">
      <alignment horizontal="right" vertical="center"/>
    </xf>
    <xf numFmtId="166" fontId="4" fillId="0" borderId="0" xfId="1" applyNumberFormat="1" applyFont="1" applyFill="1" applyBorder="1" applyAlignment="1">
      <alignment horizontal="right" vertical="center"/>
    </xf>
    <xf numFmtId="177" fontId="4" fillId="0" borderId="0" xfId="1" applyNumberFormat="1" applyFont="1" applyFill="1" applyBorder="1" applyAlignment="1">
      <alignment horizontal="right" vertical="center"/>
    </xf>
    <xf numFmtId="187" fontId="7" fillId="0" borderId="0" xfId="1" applyNumberFormat="1" applyFont="1" applyFill="1" applyAlignment="1">
      <alignment horizontal="right"/>
    </xf>
    <xf numFmtId="166" fontId="4" fillId="0" borderId="0" xfId="3" applyNumberFormat="1" applyFont="1" applyFill="1" applyBorder="1"/>
    <xf numFmtId="0" fontId="10" fillId="0" borderId="0" xfId="1" applyFont="1" applyFill="1"/>
    <xf numFmtId="188" fontId="18" fillId="0" borderId="0" xfId="1" applyNumberFormat="1" applyFont="1" applyFill="1" applyBorder="1" applyAlignment="1">
      <alignment horizontal="right" vertical="center"/>
    </xf>
    <xf numFmtId="180" fontId="18" fillId="0" borderId="0" xfId="1" applyNumberFormat="1" applyFont="1" applyFill="1" applyBorder="1" applyAlignment="1">
      <alignment horizontal="right" vertical="center"/>
    </xf>
    <xf numFmtId="0" fontId="19" fillId="0" borderId="0" xfId="1" applyFont="1"/>
    <xf numFmtId="0" fontId="20" fillId="0" borderId="0" xfId="1" applyFont="1"/>
    <xf numFmtId="0" fontId="21" fillId="0" borderId="0" xfId="1" applyFont="1" applyFill="1"/>
    <xf numFmtId="168" fontId="5" fillId="0" borderId="0" xfId="1" applyNumberFormat="1" applyFont="1" applyFill="1"/>
    <xf numFmtId="9" fontId="5" fillId="0" borderId="0" xfId="1" applyNumberFormat="1" applyFont="1" applyFill="1"/>
    <xf numFmtId="187" fontId="22" fillId="0" borderId="0" xfId="1" applyNumberFormat="1" applyFont="1" applyFill="1"/>
    <xf numFmtId="0" fontId="21" fillId="0" borderId="0" xfId="1" applyFont="1" applyFill="1" applyAlignment="1">
      <alignment horizontal="left" indent="1"/>
    </xf>
    <xf numFmtId="0" fontId="5" fillId="0" borderId="0" xfId="1" applyFont="1" applyFill="1" applyAlignment="1">
      <alignment horizontal="left" indent="2"/>
    </xf>
    <xf numFmtId="0" fontId="23" fillId="0" borderId="0" xfId="1" applyFont="1" applyFill="1"/>
    <xf numFmtId="171" fontId="5" fillId="0" borderId="0" xfId="1" applyNumberFormat="1" applyFont="1" applyFill="1"/>
    <xf numFmtId="168" fontId="5" fillId="0" borderId="0" xfId="1" applyNumberFormat="1" applyFont="1" applyFill="1" applyBorder="1"/>
    <xf numFmtId="9" fontId="4" fillId="0" borderId="0" xfId="1" applyNumberFormat="1" applyFont="1" applyFill="1"/>
    <xf numFmtId="187" fontId="4" fillId="0" borderId="0" xfId="1" applyNumberFormat="1" applyFont="1" applyFill="1"/>
    <xf numFmtId="187" fontId="6" fillId="0" borderId="0" xfId="1" applyNumberFormat="1" applyFont="1" applyFill="1"/>
    <xf numFmtId="0" fontId="10" fillId="0" borderId="0" xfId="1" applyFont="1" applyFill="1" applyAlignment="1">
      <alignment horizontal="left" indent="1"/>
    </xf>
    <xf numFmtId="0" fontId="4" fillId="0" borderId="0" xfId="1" applyFont="1" applyFill="1" applyAlignment="1">
      <alignment horizontal="left" indent="2"/>
    </xf>
    <xf numFmtId="0" fontId="20" fillId="0" borderId="0" xfId="1" applyFont="1" applyFill="1"/>
    <xf numFmtId="0" fontId="4" fillId="0" borderId="0" xfId="1" applyFont="1" applyFill="1" applyAlignment="1">
      <alignment horizontal="left" indent="3"/>
    </xf>
    <xf numFmtId="168" fontId="7" fillId="0" borderId="0" xfId="1" applyNumberFormat="1" applyFont="1" applyFill="1" applyBorder="1"/>
    <xf numFmtId="168" fontId="13" fillId="0" borderId="0" xfId="1" applyNumberFormat="1" applyFont="1" applyFill="1" applyBorder="1"/>
    <xf numFmtId="187" fontId="7" fillId="0" borderId="0" xfId="1" applyNumberFormat="1" applyFont="1" applyFill="1" applyBorder="1"/>
    <xf numFmtId="168" fontId="13" fillId="5" borderId="0" xfId="1" applyNumberFormat="1" applyFont="1" applyFill="1" applyBorder="1"/>
    <xf numFmtId="187" fontId="6" fillId="0" borderId="0" xfId="1" applyNumberFormat="1" applyFont="1" applyFill="1" applyBorder="1"/>
    <xf numFmtId="171" fontId="7" fillId="0" borderId="0" xfId="1" applyNumberFormat="1" applyFont="1" applyFill="1"/>
    <xf numFmtId="187" fontId="4" fillId="0" borderId="0" xfId="1" applyNumberFormat="1" applyFont="1" applyFill="1" applyBorder="1"/>
    <xf numFmtId="166" fontId="4" fillId="0" borderId="0" xfId="1" applyNumberFormat="1" applyFont="1" applyFill="1" applyBorder="1"/>
    <xf numFmtId="187" fontId="7" fillId="6" borderId="0" xfId="1" applyNumberFormat="1" applyFont="1" applyFill="1" applyBorder="1"/>
    <xf numFmtId="166" fontId="7" fillId="5" borderId="0" xfId="1" applyNumberFormat="1" applyFont="1" applyFill="1" applyBorder="1"/>
    <xf numFmtId="187" fontId="4" fillId="5" borderId="0" xfId="1" applyNumberFormat="1" applyFont="1" applyFill="1" applyBorder="1"/>
    <xf numFmtId="166" fontId="7" fillId="0" borderId="0" xfId="1" applyNumberFormat="1" applyFont="1" applyFill="1" applyBorder="1"/>
    <xf numFmtId="166" fontId="7" fillId="0" borderId="2" xfId="1" applyNumberFormat="1" applyFont="1" applyFill="1" applyBorder="1"/>
    <xf numFmtId="167" fontId="7" fillId="0" borderId="0" xfId="1" applyNumberFormat="1" applyFont="1" applyFill="1" applyBorder="1"/>
    <xf numFmtId="187" fontId="7" fillId="0" borderId="2" xfId="1" applyNumberFormat="1" applyFont="1" applyFill="1" applyBorder="1"/>
    <xf numFmtId="187" fontId="4" fillId="5" borderId="2" xfId="1" applyNumberFormat="1" applyFont="1" applyFill="1" applyBorder="1"/>
    <xf numFmtId="167" fontId="10" fillId="0" borderId="0" xfId="1" applyNumberFormat="1" applyFont="1" applyFill="1"/>
    <xf numFmtId="167" fontId="7" fillId="0" borderId="2" xfId="1" applyNumberFormat="1" applyFont="1" applyFill="1" applyBorder="1"/>
    <xf numFmtId="167" fontId="4" fillId="0" borderId="0" xfId="1" applyNumberFormat="1" applyFont="1" applyFill="1" applyBorder="1"/>
    <xf numFmtId="167" fontId="4" fillId="0" borderId="2" xfId="1" applyNumberFormat="1" applyFont="1" applyFill="1" applyBorder="1"/>
    <xf numFmtId="167" fontId="7" fillId="5" borderId="0" xfId="1" applyNumberFormat="1" applyFont="1" applyFill="1" applyBorder="1"/>
    <xf numFmtId="168" fontId="6" fillId="0" borderId="0" xfId="1" applyNumberFormat="1" applyFont="1" applyFill="1" applyBorder="1"/>
    <xf numFmtId="168" fontId="6" fillId="5" borderId="0" xfId="1" applyNumberFormat="1" applyFont="1" applyFill="1" applyBorder="1"/>
    <xf numFmtId="187" fontId="7" fillId="0" borderId="0" xfId="1" applyNumberFormat="1" applyFont="1" applyFill="1"/>
    <xf numFmtId="187" fontId="7" fillId="5" borderId="0" xfId="1" applyNumberFormat="1" applyFont="1" applyFill="1" applyBorder="1"/>
    <xf numFmtId="187" fontId="7" fillId="5" borderId="0" xfId="1" applyNumberFormat="1" applyFont="1" applyFill="1"/>
    <xf numFmtId="168" fontId="4" fillId="0" borderId="0" xfId="1" applyNumberFormat="1" applyFont="1" applyFill="1" applyBorder="1" applyAlignment="1">
      <alignment horizontal="right"/>
    </xf>
    <xf numFmtId="0" fontId="14" fillId="0" borderId="0" xfId="1" applyFont="1" applyFill="1" applyAlignment="1">
      <alignment horizontal="left" indent="1"/>
    </xf>
    <xf numFmtId="168" fontId="5" fillId="0" borderId="0" xfId="1" applyNumberFormat="1" applyFont="1" applyBorder="1"/>
    <xf numFmtId="168" fontId="24" fillId="0" borderId="0" xfId="1" applyNumberFormat="1" applyFont="1" applyBorder="1"/>
    <xf numFmtId="9" fontId="5" fillId="0" borderId="0" xfId="1" applyNumberFormat="1" applyFont="1"/>
    <xf numFmtId="187" fontId="22" fillId="5" borderId="0" xfId="1" applyNumberFormat="1" applyFont="1" applyFill="1"/>
    <xf numFmtId="0" fontId="21" fillId="0" borderId="0" xfId="1" applyFont="1" applyAlignment="1">
      <alignment horizontal="left" indent="1"/>
    </xf>
    <xf numFmtId="0" fontId="5" fillId="0" borderId="0" xfId="1" applyFont="1" applyAlignment="1">
      <alignment horizontal="left" indent="1"/>
    </xf>
    <xf numFmtId="0" fontId="23" fillId="0" borderId="0" xfId="1" applyFont="1"/>
    <xf numFmtId="168" fontId="7" fillId="6" borderId="0" xfId="1" applyNumberFormat="1" applyFont="1" applyFill="1"/>
    <xf numFmtId="187" fontId="6" fillId="0" borderId="0" xfId="1" applyNumberFormat="1" applyFont="1" applyBorder="1"/>
    <xf numFmtId="9" fontId="4" fillId="0" borderId="0" xfId="1" applyNumberFormat="1" applyFont="1"/>
    <xf numFmtId="0" fontId="10" fillId="0" borderId="0" xfId="1" applyFont="1" applyAlignment="1">
      <alignment horizontal="left" indent="1"/>
    </xf>
    <xf numFmtId="171" fontId="13" fillId="5" borderId="0" xfId="1" applyNumberFormat="1" applyFont="1" applyFill="1"/>
    <xf numFmtId="171" fontId="6" fillId="0" borderId="0" xfId="1" applyNumberFormat="1" applyFont="1"/>
    <xf numFmtId="171" fontId="6" fillId="0" borderId="1" xfId="1" applyNumberFormat="1" applyFont="1" applyBorder="1"/>
    <xf numFmtId="187" fontId="5" fillId="0" borderId="0" xfId="1" applyNumberFormat="1" applyFont="1"/>
    <xf numFmtId="165" fontId="5" fillId="0" borderId="0" xfId="1" applyNumberFormat="1" applyFont="1"/>
    <xf numFmtId="166" fontId="24" fillId="0" borderId="0" xfId="1" applyNumberFormat="1" applyFont="1" applyBorder="1"/>
    <xf numFmtId="187" fontId="4" fillId="0" borderId="0" xfId="1" applyNumberFormat="1" applyFont="1"/>
    <xf numFmtId="0" fontId="11" fillId="0" borderId="0" xfId="1" applyFont="1" applyFill="1"/>
    <xf numFmtId="0" fontId="11" fillId="0" borderId="0" xfId="1" applyFont="1"/>
    <xf numFmtId="167" fontId="8" fillId="0" borderId="0" xfId="4" applyNumberFormat="1" applyFont="1" applyFill="1" applyBorder="1"/>
    <xf numFmtId="168" fontId="8" fillId="0" borderId="0" xfId="4" applyNumberFormat="1" applyFont="1" applyFill="1" applyBorder="1"/>
    <xf numFmtId="177" fontId="8" fillId="0" borderId="0" xfId="4" applyNumberFormat="1" applyFont="1" applyFill="1" applyBorder="1"/>
    <xf numFmtId="177" fontId="8" fillId="0" borderId="0" xfId="1" applyNumberFormat="1" applyFont="1" applyFill="1"/>
    <xf numFmtId="165" fontId="8" fillId="0" borderId="0" xfId="4" applyNumberFormat="1" applyFont="1" applyFill="1" applyBorder="1"/>
    <xf numFmtId="169" fontId="8" fillId="0" borderId="0" xfId="4" applyNumberFormat="1" applyFont="1" applyFill="1" applyBorder="1"/>
    <xf numFmtId="49" fontId="25" fillId="0" borderId="0" xfId="3" applyNumberFormat="1" applyFont="1" applyFill="1" applyBorder="1" applyAlignment="1">
      <alignment horizontal="left"/>
    </xf>
    <xf numFmtId="174" fontId="4" fillId="0" borderId="0" xfId="3" applyNumberFormat="1" applyFont="1" applyFill="1" applyBorder="1"/>
    <xf numFmtId="164" fontId="6" fillId="0" borderId="0" xfId="3" applyNumberFormat="1" applyFont="1" applyFill="1" applyBorder="1"/>
    <xf numFmtId="164" fontId="7" fillId="0" borderId="0" xfId="3" applyNumberFormat="1" applyFont="1" applyFill="1" applyBorder="1"/>
    <xf numFmtId="174" fontId="6" fillId="0" borderId="0" xfId="3" applyNumberFormat="1" applyFont="1" applyFill="1" applyBorder="1"/>
    <xf numFmtId="180" fontId="5" fillId="0" borderId="0" xfId="3" applyNumberFormat="1" applyFont="1" applyBorder="1" applyAlignment="1">
      <alignment horizontal="right"/>
    </xf>
    <xf numFmtId="180" fontId="5" fillId="0" borderId="0" xfId="3" applyNumberFormat="1" applyFont="1" applyFill="1" applyBorder="1" applyAlignment="1">
      <alignment horizontal="right"/>
    </xf>
    <xf numFmtId="169" fontId="15" fillId="0" borderId="0" xfId="4" applyNumberFormat="1" applyFont="1" applyFill="1" applyBorder="1"/>
    <xf numFmtId="169" fontId="6" fillId="0" borderId="0" xfId="4" applyNumberFormat="1" applyFont="1" applyFill="1" applyBorder="1"/>
    <xf numFmtId="189" fontId="6" fillId="0" borderId="0" xfId="4" applyNumberFormat="1" applyFont="1" applyFill="1" applyBorder="1"/>
    <xf numFmtId="49" fontId="4" fillId="0" borderId="0" xfId="1" applyNumberFormat="1" applyFont="1" applyFill="1" applyBorder="1"/>
    <xf numFmtId="169" fontId="7" fillId="0" borderId="0" xfId="4" applyNumberFormat="1" applyFont="1" applyFill="1" applyBorder="1"/>
    <xf numFmtId="0" fontId="5" fillId="0" borderId="6" xfId="3" applyNumberFormat="1" applyFont="1" applyBorder="1" applyAlignment="1">
      <alignment horizontal="left"/>
    </xf>
    <xf numFmtId="49" fontId="8" fillId="0" borderId="0" xfId="3" applyNumberFormat="1" applyFont="1" applyFill="1" applyBorder="1" applyAlignment="1">
      <alignment horizontal="left"/>
    </xf>
    <xf numFmtId="165" fontId="4" fillId="0" borderId="0" xfId="1" applyNumberFormat="1" applyFont="1" applyAlignment="1">
      <alignment horizontal="right"/>
    </xf>
    <xf numFmtId="0" fontId="10" fillId="0" borderId="0" xfId="1" applyFont="1"/>
    <xf numFmtId="171" fontId="6" fillId="6" borderId="5" xfId="1" applyNumberFormat="1" applyFont="1" applyFill="1" applyBorder="1"/>
    <xf numFmtId="171" fontId="8" fillId="0" borderId="5" xfId="3" applyNumberFormat="1" applyFont="1" applyFill="1" applyBorder="1"/>
    <xf numFmtId="171" fontId="6" fillId="0" borderId="5" xfId="3" applyNumberFormat="1" applyFont="1" applyFill="1" applyBorder="1"/>
    <xf numFmtId="171" fontId="4" fillId="0" borderId="5" xfId="3" applyNumberFormat="1" applyFont="1" applyFill="1" applyBorder="1"/>
    <xf numFmtId="171" fontId="4" fillId="0" borderId="5" xfId="1" applyNumberFormat="1" applyFont="1" applyFill="1" applyBorder="1"/>
    <xf numFmtId="0" fontId="4" fillId="0" borderId="5" xfId="1" applyNumberFormat="1" applyFont="1" applyFill="1" applyBorder="1" applyAlignment="1">
      <alignment horizontal="left" indent="1"/>
    </xf>
    <xf numFmtId="171" fontId="3" fillId="0" borderId="0" xfId="1" applyNumberFormat="1" applyFont="1" applyFill="1"/>
    <xf numFmtId="171" fontId="4" fillId="0" borderId="0" xfId="3" applyNumberFormat="1" applyFont="1" applyFill="1" applyBorder="1"/>
    <xf numFmtId="171" fontId="4" fillId="0" borderId="10" xfId="3" applyNumberFormat="1" applyFont="1" applyFill="1" applyBorder="1"/>
    <xf numFmtId="0" fontId="4" fillId="0" borderId="0" xfId="1" applyNumberFormat="1" applyFont="1" applyFill="1" applyAlignment="1">
      <alignment horizontal="left" indent="1"/>
    </xf>
    <xf numFmtId="171" fontId="6" fillId="6" borderId="0" xfId="1" applyNumberFormat="1" applyFont="1" applyFill="1"/>
    <xf numFmtId="171" fontId="8" fillId="0" borderId="0" xfId="3" applyNumberFormat="1" applyFont="1" applyFill="1" applyBorder="1"/>
    <xf numFmtId="171" fontId="6" fillId="0" borderId="0" xfId="3" applyNumberFormat="1" applyFont="1" applyFill="1" applyBorder="1"/>
    <xf numFmtId="187" fontId="8" fillId="0" borderId="0" xfId="3" applyNumberFormat="1" applyFont="1" applyFill="1" applyBorder="1"/>
    <xf numFmtId="0" fontId="5" fillId="0" borderId="0" xfId="1" applyFont="1" applyBorder="1"/>
    <xf numFmtId="164" fontId="5" fillId="0" borderId="0" xfId="3" applyNumberFormat="1" applyFont="1" applyFill="1" applyBorder="1"/>
    <xf numFmtId="49" fontId="5" fillId="0" borderId="0" xfId="3" applyNumberFormat="1" applyFont="1" applyFill="1" applyBorder="1" applyAlignment="1">
      <alignment horizontal="left"/>
    </xf>
    <xf numFmtId="0" fontId="16" fillId="0" borderId="0" xfId="1" applyFont="1" applyFill="1" applyBorder="1"/>
    <xf numFmtId="174" fontId="4" fillId="0" borderId="0" xfId="1" applyNumberFormat="1" applyFont="1"/>
    <xf numFmtId="170" fontId="5" fillId="0" borderId="0" xfId="3" applyNumberFormat="1" applyFont="1" applyFill="1" applyBorder="1"/>
    <xf numFmtId="190" fontId="4" fillId="0" borderId="0" xfId="1" applyNumberFormat="1" applyFont="1"/>
    <xf numFmtId="164" fontId="4" fillId="0" borderId="5" xfId="3" applyNumberFormat="1" applyFont="1" applyFill="1" applyBorder="1"/>
    <xf numFmtId="49" fontId="4" fillId="0" borderId="0" xfId="1" applyNumberFormat="1" applyFont="1" applyFill="1" applyBorder="1" applyAlignment="1">
      <alignment horizontal="left" indent="1"/>
    </xf>
    <xf numFmtId="164" fontId="5" fillId="0" borderId="5" xfId="3" applyNumberFormat="1" applyFont="1" applyFill="1" applyBorder="1"/>
    <xf numFmtId="0" fontId="16" fillId="0" borderId="0" xfId="1" applyFont="1"/>
    <xf numFmtId="164" fontId="4" fillId="0" borderId="2" xfId="3" applyNumberFormat="1" applyFont="1" applyFill="1" applyBorder="1"/>
    <xf numFmtId="164" fontId="5" fillId="0" borderId="11" xfId="3" applyNumberFormat="1" applyFont="1" applyFill="1" applyBorder="1"/>
    <xf numFmtId="164" fontId="5" fillId="0" borderId="5" xfId="3" applyNumberFormat="1" applyFont="1" applyFill="1" applyBorder="1" applyAlignment="1">
      <alignment horizontal="right"/>
    </xf>
    <xf numFmtId="164" fontId="6" fillId="0" borderId="2" xfId="3" applyNumberFormat="1" applyFont="1" applyFill="1" applyBorder="1"/>
    <xf numFmtId="164" fontId="4" fillId="0" borderId="0" xfId="3" applyNumberFormat="1" applyFont="1" applyFill="1" applyBorder="1" applyAlignment="1">
      <alignment horizontal="right"/>
    </xf>
    <xf numFmtId="173" fontId="4" fillId="0" borderId="0" xfId="1" applyNumberFormat="1" applyFont="1"/>
    <xf numFmtId="0" fontId="5" fillId="0" borderId="0" xfId="1" applyFont="1" applyAlignment="1">
      <alignment horizontal="left"/>
    </xf>
    <xf numFmtId="0" fontId="4" fillId="0" borderId="0" xfId="1" applyFont="1" applyAlignment="1">
      <alignment horizontal="left"/>
    </xf>
    <xf numFmtId="0" fontId="5" fillId="0" borderId="0" xfId="1" applyFont="1" applyAlignment="1"/>
    <xf numFmtId="0" fontId="4" fillId="0" borderId="4" xfId="3" applyNumberFormat="1" applyFont="1" applyBorder="1" applyAlignment="1">
      <alignment horizontal="left"/>
    </xf>
    <xf numFmtId="0" fontId="1" fillId="0" borderId="0" xfId="1" applyFont="1"/>
    <xf numFmtId="180" fontId="5" fillId="0" borderId="0" xfId="1" applyNumberFormat="1" applyFont="1" applyFill="1" applyBorder="1" applyAlignment="1">
      <alignment horizontal="right"/>
    </xf>
    <xf numFmtId="49" fontId="4" fillId="0" borderId="0" xfId="1" applyNumberFormat="1" applyFont="1" applyFill="1" applyBorder="1" applyAlignment="1">
      <alignment horizontal="left" vertical="center"/>
    </xf>
    <xf numFmtId="191" fontId="11" fillId="2" borderId="0" xfId="1" applyNumberFormat="1" applyFont="1" applyFill="1" applyAlignment="1"/>
    <xf numFmtId="49" fontId="11" fillId="2" borderId="0" xfId="1" applyNumberFormat="1" applyFont="1" applyFill="1" applyBorder="1" applyAlignment="1">
      <alignment vertical="center"/>
    </xf>
    <xf numFmtId="0" fontId="11" fillId="2" borderId="0" xfId="1" applyFont="1" applyFill="1"/>
    <xf numFmtId="170" fontId="1" fillId="0" borderId="0" xfId="3" applyNumberFormat="1" applyFont="1" applyFill="1" applyBorder="1"/>
    <xf numFmtId="192" fontId="4" fillId="0" borderId="0" xfId="3" applyNumberFormat="1" applyFont="1" applyFill="1" applyBorder="1"/>
    <xf numFmtId="0" fontId="26" fillId="0" borderId="0" xfId="1" applyNumberFormat="1" applyFont="1" applyFill="1" applyBorder="1" applyAlignment="1">
      <alignment vertical="center"/>
    </xf>
    <xf numFmtId="164" fontId="1" fillId="0" borderId="0" xfId="1" applyNumberFormat="1" applyFont="1" applyFill="1"/>
    <xf numFmtId="49" fontId="5" fillId="0" borderId="0" xfId="1" applyNumberFormat="1" applyFont="1" applyFill="1" applyBorder="1" applyAlignment="1">
      <alignment vertical="center"/>
    </xf>
    <xf numFmtId="193" fontId="5" fillId="0" borderId="0" xfId="1" applyNumberFormat="1" applyFont="1"/>
    <xf numFmtId="49" fontId="27" fillId="0" borderId="0" xfId="1" applyNumberFormat="1" applyFont="1" applyFill="1" applyBorder="1"/>
    <xf numFmtId="0" fontId="2" fillId="0" borderId="0" xfId="1" applyFont="1"/>
    <xf numFmtId="0" fontId="4" fillId="0" borderId="2" xfId="1" applyFont="1" applyFill="1" applyBorder="1"/>
    <xf numFmtId="166" fontId="4" fillId="0" borderId="3" xfId="1" applyNumberFormat="1" applyFont="1" applyFill="1" applyBorder="1"/>
    <xf numFmtId="0" fontId="4" fillId="0" borderId="2" xfId="1" applyFont="1" applyBorder="1"/>
    <xf numFmtId="186" fontId="6" fillId="6" borderId="2" xfId="1" applyNumberFormat="1" applyFont="1" applyFill="1" applyBorder="1"/>
    <xf numFmtId="171" fontId="6" fillId="6" borderId="2" xfId="1" applyNumberFormat="1" applyFont="1" applyFill="1" applyBorder="1"/>
    <xf numFmtId="171" fontId="4" fillId="0" borderId="2" xfId="3" applyNumberFormat="1" applyFont="1" applyFill="1" applyBorder="1"/>
    <xf numFmtId="171" fontId="6" fillId="6" borderId="11" xfId="1" applyNumberFormat="1" applyFont="1" applyFill="1" applyBorder="1"/>
    <xf numFmtId="17" fontId="18" fillId="0" borderId="2" xfId="1" applyNumberFormat="1" applyFont="1" applyFill="1" applyBorder="1" applyAlignment="1">
      <alignment horizontal="right" vertical="center"/>
    </xf>
    <xf numFmtId="164" fontId="1" fillId="0" borderId="2" xfId="1" applyNumberFormat="1" applyFont="1" applyFill="1" applyBorder="1"/>
    <xf numFmtId="49" fontId="11" fillId="0" borderId="0" xfId="1" applyNumberFormat="1" applyFont="1" applyFill="1" applyBorder="1" applyAlignment="1">
      <alignment vertical="center"/>
    </xf>
    <xf numFmtId="191" fontId="11" fillId="0" borderId="0" xfId="1" applyNumberFormat="1" applyFont="1" applyFill="1" applyAlignment="1"/>
    <xf numFmtId="191" fontId="10" fillId="0" borderId="2" xfId="1" applyNumberFormat="1" applyFont="1" applyFill="1" applyBorder="1" applyAlignment="1"/>
    <xf numFmtId="180" fontId="5" fillId="0" borderId="13" xfId="3" applyNumberFormat="1" applyFont="1" applyBorder="1" applyAlignment="1">
      <alignment horizontal="right"/>
    </xf>
    <xf numFmtId="183" fontId="4" fillId="0" borderId="2" xfId="1" applyNumberFormat="1" applyFont="1" applyBorder="1"/>
    <xf numFmtId="164" fontId="7" fillId="0" borderId="2" xfId="3" applyNumberFormat="1" applyFont="1" applyFill="1" applyBorder="1"/>
    <xf numFmtId="164" fontId="6" fillId="0" borderId="2" xfId="1" applyNumberFormat="1" applyFont="1" applyFill="1" applyBorder="1"/>
    <xf numFmtId="164" fontId="4" fillId="0" borderId="11" xfId="3" applyNumberFormat="1" applyFont="1" applyFill="1" applyBorder="1"/>
    <xf numFmtId="170" fontId="5" fillId="0" borderId="2" xfId="3" applyNumberFormat="1" applyFont="1" applyFill="1" applyBorder="1"/>
    <xf numFmtId="170" fontId="4" fillId="0" borderId="2" xfId="3" applyNumberFormat="1" applyFont="1" applyFill="1" applyBorder="1"/>
    <xf numFmtId="164" fontId="8" fillId="0" borderId="2" xfId="1" applyNumberFormat="1" applyFont="1" applyBorder="1"/>
    <xf numFmtId="164" fontId="5" fillId="0" borderId="2" xfId="3" applyNumberFormat="1" applyFont="1" applyFill="1" applyBorder="1"/>
    <xf numFmtId="177" fontId="4" fillId="0" borderId="2" xfId="4" applyNumberFormat="1" applyFont="1" applyFill="1" applyBorder="1"/>
    <xf numFmtId="165" fontId="4" fillId="5" borderId="0" xfId="1" applyNumberFormat="1" applyFont="1" applyFill="1" applyAlignment="1">
      <alignment horizontal="right"/>
    </xf>
    <xf numFmtId="187" fontId="10" fillId="0" borderId="0" xfId="1" applyNumberFormat="1" applyFont="1" applyFill="1" applyBorder="1" applyAlignment="1">
      <alignment horizontal="centerContinuous"/>
    </xf>
    <xf numFmtId="187" fontId="39" fillId="0" borderId="0" xfId="1" applyNumberFormat="1" applyFont="1" applyFill="1" applyBorder="1" applyAlignment="1">
      <alignment horizontal="right"/>
    </xf>
    <xf numFmtId="187" fontId="39" fillId="0" borderId="0" xfId="1" applyNumberFormat="1" applyFont="1" applyFill="1" applyBorder="1"/>
    <xf numFmtId="0" fontId="10" fillId="0" borderId="0" xfId="1" applyNumberFormat="1" applyFont="1" applyFill="1" applyBorder="1" applyAlignment="1">
      <alignment horizontal="right"/>
    </xf>
    <xf numFmtId="166" fontId="6" fillId="0" borderId="0" xfId="1" applyNumberFormat="1" applyFont="1" applyFill="1"/>
    <xf numFmtId="166" fontId="7" fillId="0" borderId="0" xfId="1" applyNumberFormat="1" applyFont="1" applyFill="1"/>
    <xf numFmtId="173" fontId="7" fillId="0" borderId="1" xfId="1" applyNumberFormat="1" applyFont="1" applyFill="1" applyBorder="1"/>
    <xf numFmtId="177" fontId="4" fillId="0" borderId="2" xfId="1" applyNumberFormat="1" applyFont="1" applyFill="1" applyBorder="1"/>
    <xf numFmtId="166" fontId="7" fillId="0" borderId="1" xfId="1" applyNumberFormat="1" applyFont="1" applyFill="1" applyBorder="1"/>
    <xf numFmtId="165" fontId="4" fillId="0" borderId="1" xfId="1" applyNumberFormat="1" applyFont="1" applyFill="1" applyBorder="1"/>
    <xf numFmtId="198" fontId="10" fillId="0" borderId="0" xfId="1" applyNumberFormat="1" applyFont="1" applyFill="1"/>
    <xf numFmtId="177" fontId="6" fillId="6" borderId="2" xfId="1" applyNumberFormat="1" applyFont="1" applyFill="1" applyBorder="1"/>
    <xf numFmtId="177" fontId="7" fillId="6" borderId="2" xfId="3" applyNumberFormat="1" applyFont="1" applyFill="1" applyBorder="1"/>
    <xf numFmtId="177" fontId="4" fillId="0" borderId="11" xfId="1" applyNumberFormat="1" applyFont="1" applyFill="1" applyBorder="1"/>
    <xf numFmtId="177" fontId="6" fillId="6" borderId="12" xfId="1" applyNumberFormat="1" applyFont="1" applyFill="1" applyBorder="1"/>
    <xf numFmtId="176" fontId="7" fillId="9" borderId="0" xfId="1" applyNumberFormat="1" applyFont="1" applyFill="1"/>
    <xf numFmtId="164" fontId="7" fillId="9" borderId="0" xfId="1" applyNumberFormat="1" applyFont="1" applyFill="1" applyAlignment="1">
      <alignment horizontal="right"/>
    </xf>
    <xf numFmtId="164" fontId="4" fillId="9" borderId="0" xfId="1" applyNumberFormat="1" applyFont="1" applyFill="1"/>
    <xf numFmtId="176" fontId="4" fillId="9" borderId="0" xfId="1" applyNumberFormat="1" applyFont="1" applyFill="1"/>
    <xf numFmtId="197" fontId="7" fillId="0" borderId="0" xfId="1" applyNumberFormat="1" applyFont="1" applyFill="1"/>
    <xf numFmtId="197" fontId="9" fillId="0" borderId="0" xfId="1" applyNumberFormat="1" applyFont="1" applyFill="1" applyAlignment="1">
      <alignment horizontal="right"/>
    </xf>
    <xf numFmtId="0" fontId="2" fillId="10" borderId="0" xfId="31" applyFont="1" applyFill="1" applyAlignment="1">
      <alignment vertical="top"/>
    </xf>
    <xf numFmtId="0" fontId="2" fillId="10" borderId="0" xfId="1" applyFill="1" applyAlignment="1">
      <alignment vertical="top"/>
    </xf>
    <xf numFmtId="0" fontId="2" fillId="10" borderId="0" xfId="1" applyFill="1"/>
    <xf numFmtId="0" fontId="38" fillId="10" borderId="0" xfId="31" applyFont="1" applyFill="1" applyAlignment="1">
      <alignment horizontal="left" vertical="top"/>
    </xf>
    <xf numFmtId="0" fontId="2" fillId="10" borderId="0" xfId="1" applyFont="1" applyFill="1" applyAlignment="1">
      <alignment vertical="top"/>
    </xf>
    <xf numFmtId="0" fontId="42" fillId="10" borderId="0" xfId="31" applyFont="1" applyFill="1" applyAlignment="1">
      <alignment vertical="top"/>
    </xf>
    <xf numFmtId="0" fontId="0" fillId="10" borderId="0" xfId="0" applyFill="1" applyAlignment="1">
      <alignment vertical="top"/>
    </xf>
    <xf numFmtId="0" fontId="43" fillId="10" borderId="0" xfId="0" applyFont="1" applyFill="1" applyAlignment="1">
      <alignment vertical="top"/>
    </xf>
    <xf numFmtId="0" fontId="44" fillId="10" borderId="0" xfId="0" applyFont="1" applyFill="1" applyAlignment="1">
      <alignment vertical="top"/>
    </xf>
    <xf numFmtId="0" fontId="43" fillId="10" borderId="0" xfId="0" applyFont="1" applyFill="1" applyAlignment="1">
      <alignment vertical="top"/>
    </xf>
    <xf numFmtId="0" fontId="0" fillId="10" borderId="0" xfId="0" applyFill="1" applyAlignment="1">
      <alignment vertical="top"/>
    </xf>
    <xf numFmtId="0" fontId="43" fillId="10" borderId="14" xfId="0" applyFont="1" applyFill="1" applyBorder="1" applyAlignment="1">
      <alignment vertical="top"/>
    </xf>
    <xf numFmtId="9" fontId="43" fillId="10" borderId="14" xfId="0" applyNumberFormat="1" applyFont="1" applyFill="1" applyBorder="1" applyAlignment="1">
      <alignment vertical="top"/>
    </xf>
    <xf numFmtId="3" fontId="43" fillId="10" borderId="14" xfId="0" applyNumberFormat="1" applyFont="1" applyFill="1" applyBorder="1" applyAlignment="1">
      <alignment vertical="top"/>
    </xf>
    <xf numFmtId="2" fontId="2" fillId="0" borderId="0" xfId="1" applyNumberFormat="1" applyAlignment="1">
      <alignment horizontal="left"/>
    </xf>
    <xf numFmtId="0" fontId="2" fillId="0" borderId="0" xfId="1" applyNumberFormat="1" applyAlignment="1">
      <alignment horizontal="left"/>
    </xf>
    <xf numFmtId="1" fontId="2" fillId="0" borderId="0" xfId="1" applyNumberFormat="1" applyAlignment="1">
      <alignment horizontal="left"/>
    </xf>
    <xf numFmtId="199" fontId="2" fillId="0" borderId="0" xfId="1" applyNumberFormat="1" applyAlignment="1">
      <alignment horizontal="left"/>
    </xf>
    <xf numFmtId="49" fontId="2" fillId="0" borderId="0" xfId="1" applyNumberFormat="1"/>
    <xf numFmtId="0" fontId="0" fillId="10" borderId="19" xfId="0" applyFill="1" applyBorder="1" applyAlignment="1">
      <alignment vertical="top"/>
    </xf>
    <xf numFmtId="0" fontId="43" fillId="10" borderId="0" xfId="0" applyFont="1" applyFill="1" applyAlignment="1">
      <alignment vertical="top"/>
    </xf>
    <xf numFmtId="0" fontId="43" fillId="10" borderId="15" xfId="0" applyFont="1" applyFill="1" applyBorder="1" applyAlignment="1">
      <alignment vertical="top"/>
    </xf>
    <xf numFmtId="0" fontId="43" fillId="10" borderId="16" xfId="0" applyFont="1" applyFill="1" applyBorder="1" applyAlignment="1">
      <alignment vertical="top"/>
    </xf>
    <xf numFmtId="0" fontId="43" fillId="10" borderId="17" xfId="0" applyFont="1" applyFill="1" applyBorder="1" applyAlignment="1">
      <alignment vertical="top"/>
    </xf>
    <xf numFmtId="0" fontId="44" fillId="10" borderId="0" xfId="0" applyFont="1" applyFill="1" applyAlignment="1">
      <alignment vertical="top"/>
    </xf>
    <xf numFmtId="0" fontId="0" fillId="10" borderId="0" xfId="0" applyFill="1" applyAlignment="1">
      <alignment vertical="top"/>
    </xf>
    <xf numFmtId="0" fontId="0" fillId="10" borderId="18" xfId="0" applyFill="1" applyBorder="1" applyAlignment="1">
      <alignment vertical="top"/>
    </xf>
    <xf numFmtId="0" fontId="45" fillId="10" borderId="0" xfId="0" applyFont="1" applyFill="1" applyAlignment="1">
      <alignment vertical="top" wrapText="1"/>
    </xf>
  </cellXfs>
  <cellStyles count="32">
    <cellStyle name="          _x000d__x000a_network.drv=netware." xfId="6"/>
    <cellStyle name=" 1" xfId="7"/>
    <cellStyle name="_x000a_386grabber=M" xfId="5"/>
    <cellStyle name="******************************************" xfId="2"/>
    <cellStyle name="_SUMMARY " xfId="8"/>
    <cellStyle name="0_Capex &amp; Depreciation " xfId="9"/>
    <cellStyle name="0_Valuing BP " xfId="10"/>
    <cellStyle name="c_HardInc " xfId="11"/>
    <cellStyle name="Comma 2" xfId="3"/>
    <cellStyle name="Comma 2 2" xfId="12"/>
    <cellStyle name="Comma 2 3" xfId="13"/>
    <cellStyle name="Currency 4" xfId="14"/>
    <cellStyle name="Normal" xfId="0" builtinId="0"/>
    <cellStyle name="Normal 2" xfId="1"/>
    <cellStyle name="Normal 2 2" xfId="15"/>
    <cellStyle name="Normal 2 3" xfId="16"/>
    <cellStyle name="Normal 3" xfId="17"/>
    <cellStyle name="Normal 4" xfId="29"/>
    <cellStyle name="Normal 6" xfId="18"/>
    <cellStyle name="Normal_DisclaimerSheet Samples" xfId="31"/>
    <cellStyle name="p " xfId="19"/>
    <cellStyle name="Percent 2" xfId="4"/>
    <cellStyle name="Percent 3" xfId="30"/>
    <cellStyle name="Percent 4" xfId="20"/>
    <cellStyle name="RRSInstruction" xfId="21"/>
    <cellStyle name="RRSInstruction 2" xfId="22"/>
    <cellStyle name="s_HardInc " xfId="23"/>
    <cellStyle name="s_Valuation " xfId="24"/>
    <cellStyle name="ssp " xfId="25"/>
    <cellStyle name="Subtotal" xfId="26"/>
    <cellStyle name="콤마 [0]_#3이설 견적_준공내역총괄표 " xfId="27"/>
    <cellStyle name="콤마_#3이설 견적_준공내역총괄표 " xfId="28"/>
  </cellStyles>
  <dxfs count="6">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0</xdr:col>
      <xdr:colOff>2238375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169</xdr:row>
      <xdr:rowOff>0</xdr:rowOff>
    </xdr:from>
    <xdr:to>
      <xdr:col>1</xdr:col>
      <xdr:colOff>342900</xdr:colOff>
      <xdr:row>192</xdr:row>
      <xdr:rowOff>104775</xdr:rowOff>
    </xdr:to>
    <xdr:pic>
      <xdr:nvPicPr>
        <xdr:cNvPr id="18433" name="Picture 1" descr="C:\Users\ozierale.MSAD\AppData\Local\Temp\MercuryPriceRatingHistoryChart\FMSA.N_2018_04_10_18_59_00.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59937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83"/>
  <sheetViews>
    <sheetView showGridLines="0" tabSelected="1" topLeftCell="A37" workbookViewId="0">
      <selection activeCell="C49" sqref="C49"/>
    </sheetView>
  </sheetViews>
  <sheetFormatPr defaultRowHeight="12.75"/>
  <cols>
    <col min="1" max="1" width="106" style="415" customWidth="1"/>
    <col min="2" max="5" width="9.33203125" style="415"/>
    <col min="6" max="6" width="18.83203125" style="415" customWidth="1"/>
    <col min="7" max="256" width="9.33203125" style="415"/>
    <col min="257" max="257" width="117.5" style="415" customWidth="1"/>
    <col min="258" max="512" width="9.33203125" style="415"/>
    <col min="513" max="513" width="117.5" style="415" customWidth="1"/>
    <col min="514" max="768" width="9.33203125" style="415"/>
    <col min="769" max="769" width="117.5" style="415" customWidth="1"/>
    <col min="770" max="1024" width="9.33203125" style="415"/>
    <col min="1025" max="1025" width="117.5" style="415" customWidth="1"/>
    <col min="1026" max="1280" width="9.33203125" style="415"/>
    <col min="1281" max="1281" width="117.5" style="415" customWidth="1"/>
    <col min="1282" max="1536" width="9.33203125" style="415"/>
    <col min="1537" max="1537" width="117.5" style="415" customWidth="1"/>
    <col min="1538" max="1792" width="9.33203125" style="415"/>
    <col min="1793" max="1793" width="117.5" style="415" customWidth="1"/>
    <col min="1794" max="2048" width="9.33203125" style="415"/>
    <col min="2049" max="2049" width="117.5" style="415" customWidth="1"/>
    <col min="2050" max="2304" width="9.33203125" style="415"/>
    <col min="2305" max="2305" width="117.5" style="415" customWidth="1"/>
    <col min="2306" max="2560" width="9.33203125" style="415"/>
    <col min="2561" max="2561" width="117.5" style="415" customWidth="1"/>
    <col min="2562" max="2816" width="9.33203125" style="415"/>
    <col min="2817" max="2817" width="117.5" style="415" customWidth="1"/>
    <col min="2818" max="3072" width="9.33203125" style="415"/>
    <col min="3073" max="3073" width="117.5" style="415" customWidth="1"/>
    <col min="3074" max="3328" width="9.33203125" style="415"/>
    <col min="3329" max="3329" width="117.5" style="415" customWidth="1"/>
    <col min="3330" max="3584" width="9.33203125" style="415"/>
    <col min="3585" max="3585" width="117.5" style="415" customWidth="1"/>
    <col min="3586" max="3840" width="9.33203125" style="415"/>
    <col min="3841" max="3841" width="117.5" style="415" customWidth="1"/>
    <col min="3842" max="4096" width="9.33203125" style="415"/>
    <col min="4097" max="4097" width="117.5" style="415" customWidth="1"/>
    <col min="4098" max="4352" width="9.33203125" style="415"/>
    <col min="4353" max="4353" width="117.5" style="415" customWidth="1"/>
    <col min="4354" max="4608" width="9.33203125" style="415"/>
    <col min="4609" max="4609" width="117.5" style="415" customWidth="1"/>
    <col min="4610" max="4864" width="9.33203125" style="415"/>
    <col min="4865" max="4865" width="117.5" style="415" customWidth="1"/>
    <col min="4866" max="5120" width="9.33203125" style="415"/>
    <col min="5121" max="5121" width="117.5" style="415" customWidth="1"/>
    <col min="5122" max="5376" width="9.33203125" style="415"/>
    <col min="5377" max="5377" width="117.5" style="415" customWidth="1"/>
    <col min="5378" max="5632" width="9.33203125" style="415"/>
    <col min="5633" max="5633" width="117.5" style="415" customWidth="1"/>
    <col min="5634" max="5888" width="9.33203125" style="415"/>
    <col min="5889" max="5889" width="117.5" style="415" customWidth="1"/>
    <col min="5890" max="6144" width="9.33203125" style="415"/>
    <col min="6145" max="6145" width="117.5" style="415" customWidth="1"/>
    <col min="6146" max="6400" width="9.33203125" style="415"/>
    <col min="6401" max="6401" width="117.5" style="415" customWidth="1"/>
    <col min="6402" max="6656" width="9.33203125" style="415"/>
    <col min="6657" max="6657" width="117.5" style="415" customWidth="1"/>
    <col min="6658" max="6912" width="9.33203125" style="415"/>
    <col min="6913" max="6913" width="117.5" style="415" customWidth="1"/>
    <col min="6914" max="7168" width="9.33203125" style="415"/>
    <col min="7169" max="7169" width="117.5" style="415" customWidth="1"/>
    <col min="7170" max="7424" width="9.33203125" style="415"/>
    <col min="7425" max="7425" width="117.5" style="415" customWidth="1"/>
    <col min="7426" max="7680" width="9.33203125" style="415"/>
    <col min="7681" max="7681" width="117.5" style="415" customWidth="1"/>
    <col min="7682" max="7936" width="9.33203125" style="415"/>
    <col min="7937" max="7937" width="117.5" style="415" customWidth="1"/>
    <col min="7938" max="8192" width="9.33203125" style="415"/>
    <col min="8193" max="8193" width="117.5" style="415" customWidth="1"/>
    <col min="8194" max="8448" width="9.33203125" style="415"/>
    <col min="8449" max="8449" width="117.5" style="415" customWidth="1"/>
    <col min="8450" max="8704" width="9.33203125" style="415"/>
    <col min="8705" max="8705" width="117.5" style="415" customWidth="1"/>
    <col min="8706" max="8960" width="9.33203125" style="415"/>
    <col min="8961" max="8961" width="117.5" style="415" customWidth="1"/>
    <col min="8962" max="9216" width="9.33203125" style="415"/>
    <col min="9217" max="9217" width="117.5" style="415" customWidth="1"/>
    <col min="9218" max="9472" width="9.33203125" style="415"/>
    <col min="9473" max="9473" width="117.5" style="415" customWidth="1"/>
    <col min="9474" max="9728" width="9.33203125" style="415"/>
    <col min="9729" max="9729" width="117.5" style="415" customWidth="1"/>
    <col min="9730" max="9984" width="9.33203125" style="415"/>
    <col min="9985" max="9985" width="117.5" style="415" customWidth="1"/>
    <col min="9986" max="10240" width="9.33203125" style="415"/>
    <col min="10241" max="10241" width="117.5" style="415" customWidth="1"/>
    <col min="10242" max="10496" width="9.33203125" style="415"/>
    <col min="10497" max="10497" width="117.5" style="415" customWidth="1"/>
    <col min="10498" max="10752" width="9.33203125" style="415"/>
    <col min="10753" max="10753" width="117.5" style="415" customWidth="1"/>
    <col min="10754" max="11008" width="9.33203125" style="415"/>
    <col min="11009" max="11009" width="117.5" style="415" customWidth="1"/>
    <col min="11010" max="11264" width="9.33203125" style="415"/>
    <col min="11265" max="11265" width="117.5" style="415" customWidth="1"/>
    <col min="11266" max="11520" width="9.33203125" style="415"/>
    <col min="11521" max="11521" width="117.5" style="415" customWidth="1"/>
    <col min="11522" max="11776" width="9.33203125" style="415"/>
    <col min="11777" max="11777" width="117.5" style="415" customWidth="1"/>
    <col min="11778" max="12032" width="9.33203125" style="415"/>
    <col min="12033" max="12033" width="117.5" style="415" customWidth="1"/>
    <col min="12034" max="12288" width="9.33203125" style="415"/>
    <col min="12289" max="12289" width="117.5" style="415" customWidth="1"/>
    <col min="12290" max="12544" width="9.33203125" style="415"/>
    <col min="12545" max="12545" width="117.5" style="415" customWidth="1"/>
    <col min="12546" max="12800" width="9.33203125" style="415"/>
    <col min="12801" max="12801" width="117.5" style="415" customWidth="1"/>
    <col min="12802" max="13056" width="9.33203125" style="415"/>
    <col min="13057" max="13057" width="117.5" style="415" customWidth="1"/>
    <col min="13058" max="13312" width="9.33203125" style="415"/>
    <col min="13313" max="13313" width="117.5" style="415" customWidth="1"/>
    <col min="13314" max="13568" width="9.33203125" style="415"/>
    <col min="13569" max="13569" width="117.5" style="415" customWidth="1"/>
    <col min="13570" max="13824" width="9.33203125" style="415"/>
    <col min="13825" max="13825" width="117.5" style="415" customWidth="1"/>
    <col min="13826" max="14080" width="9.33203125" style="415"/>
    <col min="14081" max="14081" width="117.5" style="415" customWidth="1"/>
    <col min="14082" max="14336" width="9.33203125" style="415"/>
    <col min="14337" max="14337" width="117.5" style="415" customWidth="1"/>
    <col min="14338" max="14592" width="9.33203125" style="415"/>
    <col min="14593" max="14593" width="117.5" style="415" customWidth="1"/>
    <col min="14594" max="14848" width="9.33203125" style="415"/>
    <col min="14849" max="14849" width="117.5" style="415" customWidth="1"/>
    <col min="14850" max="15104" width="9.33203125" style="415"/>
    <col min="15105" max="15105" width="117.5" style="415" customWidth="1"/>
    <col min="15106" max="15360" width="9.33203125" style="415"/>
    <col min="15361" max="15361" width="117.5" style="415" customWidth="1"/>
    <col min="15362" max="15616" width="9.33203125" style="415"/>
    <col min="15617" max="15617" width="117.5" style="415" customWidth="1"/>
    <col min="15618" max="15872" width="9.33203125" style="415"/>
    <col min="15873" max="15873" width="117.5" style="415" customWidth="1"/>
    <col min="15874" max="16128" width="9.33203125" style="415"/>
    <col min="16129" max="16129" width="117.5" style="415" customWidth="1"/>
    <col min="16130" max="16384" width="9.33203125" style="415"/>
  </cols>
  <sheetData>
    <row r="1" spans="1:8" ht="30" customHeight="1">
      <c r="A1" s="413"/>
      <c r="B1" s="414"/>
      <c r="C1" s="414"/>
      <c r="D1" s="414"/>
      <c r="E1" s="414"/>
      <c r="F1" s="414"/>
      <c r="G1" s="414"/>
      <c r="H1" s="414"/>
    </row>
    <row r="2" spans="1:8" ht="14.25">
      <c r="A2" s="416" t="s">
        <v>424</v>
      </c>
      <c r="B2" s="414"/>
      <c r="C2" s="414"/>
      <c r="D2" s="414"/>
      <c r="E2" s="414"/>
      <c r="F2" s="414"/>
      <c r="G2" s="414"/>
      <c r="H2" s="414"/>
    </row>
    <row r="3" spans="1:8" ht="14.25">
      <c r="A3" s="416" t="s">
        <v>425</v>
      </c>
      <c r="B3" s="414"/>
      <c r="C3" s="414"/>
      <c r="D3" s="414"/>
      <c r="E3" s="414"/>
      <c r="F3" s="414"/>
      <c r="G3" s="414"/>
      <c r="H3" s="414"/>
    </row>
    <row r="4" spans="1:8" ht="14.25">
      <c r="A4" s="416" t="s">
        <v>426</v>
      </c>
      <c r="B4" s="414"/>
      <c r="C4" s="414"/>
      <c r="D4" s="414"/>
      <c r="E4" s="414"/>
      <c r="F4" s="414"/>
      <c r="G4" s="414"/>
      <c r="H4" s="414"/>
    </row>
    <row r="5" spans="1:8" ht="14.25">
      <c r="A5" s="416" t="s">
        <v>427</v>
      </c>
      <c r="B5" s="414"/>
      <c r="C5" s="414"/>
      <c r="D5" s="414"/>
      <c r="E5" s="414"/>
      <c r="F5" s="414"/>
      <c r="G5" s="414"/>
      <c r="H5" s="414"/>
    </row>
    <row r="6" spans="1:8" ht="14.25">
      <c r="A6" s="416"/>
      <c r="B6" s="414"/>
      <c r="C6" s="414"/>
      <c r="D6" s="414"/>
      <c r="E6" s="414"/>
      <c r="F6" s="414"/>
      <c r="G6" s="414"/>
      <c r="H6" s="414"/>
    </row>
    <row r="7" spans="1:8">
      <c r="A7" s="413" t="s">
        <v>428</v>
      </c>
      <c r="B7" s="414"/>
      <c r="C7" s="414"/>
      <c r="D7" s="414"/>
      <c r="E7" s="414"/>
      <c r="F7" s="414"/>
      <c r="G7" s="414"/>
      <c r="H7" s="414"/>
    </row>
    <row r="8" spans="1:8">
      <c r="A8" s="413" t="s">
        <v>429</v>
      </c>
      <c r="B8" s="414"/>
      <c r="C8" s="414"/>
      <c r="D8" s="414"/>
      <c r="E8" s="414"/>
      <c r="F8" s="414"/>
      <c r="G8" s="414"/>
      <c r="H8" s="414"/>
    </row>
    <row r="9" spans="1:8">
      <c r="A9" s="413"/>
      <c r="B9" s="414"/>
      <c r="C9" s="414"/>
      <c r="D9" s="414"/>
      <c r="E9" s="414"/>
      <c r="F9" s="414"/>
      <c r="G9" s="414"/>
      <c r="H9" s="414"/>
    </row>
    <row r="10" spans="1:8">
      <c r="A10" s="417" t="s">
        <v>430</v>
      </c>
      <c r="B10" s="414"/>
      <c r="C10" s="414"/>
      <c r="D10" s="414"/>
      <c r="E10" s="414"/>
      <c r="F10" s="414"/>
      <c r="G10" s="414"/>
      <c r="H10" s="414"/>
    </row>
    <row r="11" spans="1:8">
      <c r="A11" s="417" t="s">
        <v>431</v>
      </c>
      <c r="B11" s="414"/>
      <c r="C11" s="414"/>
      <c r="D11" s="414"/>
      <c r="E11" s="414"/>
      <c r="F11" s="414"/>
      <c r="G11" s="414"/>
      <c r="H11" s="414"/>
    </row>
    <row r="12" spans="1:8">
      <c r="A12" s="417" t="s">
        <v>432</v>
      </c>
      <c r="B12" s="414"/>
      <c r="C12" s="414"/>
      <c r="D12" s="414"/>
      <c r="E12" s="414"/>
      <c r="F12" s="414"/>
      <c r="G12" s="414"/>
      <c r="H12" s="414"/>
    </row>
    <row r="13" spans="1:8">
      <c r="A13" s="417" t="s">
        <v>433</v>
      </c>
      <c r="B13" s="414"/>
      <c r="C13" s="414"/>
      <c r="D13" s="414"/>
      <c r="E13" s="414"/>
      <c r="F13" s="414"/>
      <c r="G13" s="414"/>
      <c r="H13" s="414"/>
    </row>
    <row r="14" spans="1:8">
      <c r="A14" s="417" t="s">
        <v>434</v>
      </c>
      <c r="B14" s="414"/>
      <c r="C14" s="414"/>
      <c r="D14" s="414"/>
      <c r="E14" s="414"/>
      <c r="F14" s="414"/>
      <c r="G14" s="414"/>
      <c r="H14" s="414"/>
    </row>
    <row r="15" spans="1:8">
      <c r="A15" s="417" t="s">
        <v>435</v>
      </c>
      <c r="B15" s="414"/>
      <c r="C15" s="414"/>
      <c r="D15" s="414"/>
      <c r="E15" s="414"/>
      <c r="F15" s="414"/>
      <c r="G15" s="414"/>
      <c r="H15" s="414"/>
    </row>
    <row r="16" spans="1:8">
      <c r="A16" s="417"/>
      <c r="B16" s="414"/>
      <c r="C16" s="414"/>
      <c r="D16" s="414"/>
      <c r="E16" s="414"/>
      <c r="F16" s="414"/>
      <c r="G16" s="414"/>
      <c r="H16" s="414"/>
    </row>
    <row r="17" spans="1:8">
      <c r="A17" s="417" t="s">
        <v>421</v>
      </c>
      <c r="B17" s="414"/>
      <c r="C17" s="414"/>
      <c r="D17" s="414"/>
      <c r="E17" s="414"/>
      <c r="F17" s="414"/>
      <c r="G17" s="414"/>
      <c r="H17" s="414"/>
    </row>
    <row r="18" spans="1:8">
      <c r="A18" s="417"/>
      <c r="B18" s="414"/>
      <c r="C18" s="414"/>
      <c r="D18" s="414"/>
      <c r="E18" s="414"/>
      <c r="F18" s="414"/>
      <c r="G18" s="414"/>
      <c r="H18" s="414"/>
    </row>
    <row r="19" spans="1:8">
      <c r="A19" s="417" t="s">
        <v>422</v>
      </c>
      <c r="B19" s="414"/>
      <c r="C19" s="414"/>
      <c r="D19" s="414"/>
      <c r="E19" s="414"/>
      <c r="F19" s="414"/>
      <c r="G19" s="414"/>
      <c r="H19" s="414"/>
    </row>
    <row r="20" spans="1:8">
      <c r="A20" s="413"/>
      <c r="B20" s="414"/>
      <c r="C20" s="414"/>
      <c r="D20" s="414"/>
      <c r="E20" s="414"/>
      <c r="F20" s="414"/>
      <c r="G20" s="414"/>
      <c r="H20" s="414"/>
    </row>
    <row r="21" spans="1:8">
      <c r="A21" s="418" t="s">
        <v>423</v>
      </c>
      <c r="B21" s="414"/>
      <c r="C21" s="414"/>
      <c r="D21" s="414"/>
      <c r="E21" s="414"/>
      <c r="F21" s="414"/>
      <c r="G21" s="414"/>
      <c r="H21" s="414"/>
    </row>
    <row r="22" spans="1:8">
      <c r="A22" s="419"/>
      <c r="B22" s="419"/>
      <c r="C22" s="419"/>
      <c r="D22" s="419"/>
      <c r="E22" s="419"/>
      <c r="F22" s="419"/>
      <c r="G22" s="419"/>
      <c r="H22" s="419"/>
    </row>
    <row r="23" spans="1:8">
      <c r="A23" s="420" t="s">
        <v>706</v>
      </c>
      <c r="B23" s="419"/>
      <c r="C23" s="419"/>
      <c r="D23" s="419"/>
      <c r="E23" s="419"/>
      <c r="F23" s="419"/>
      <c r="G23" s="419"/>
      <c r="H23" s="419"/>
    </row>
    <row r="24" spans="1:8">
      <c r="A24" s="420" t="s">
        <v>707</v>
      </c>
      <c r="B24" s="419"/>
      <c r="C24" s="419"/>
      <c r="D24" s="419"/>
      <c r="E24" s="419"/>
      <c r="F24" s="419"/>
      <c r="G24" s="419"/>
      <c r="H24" s="419"/>
    </row>
    <row r="25" spans="1:8">
      <c r="A25" s="420" t="s">
        <v>708</v>
      </c>
      <c r="B25" s="419"/>
      <c r="C25" s="419"/>
      <c r="D25" s="419"/>
      <c r="E25" s="419"/>
      <c r="F25" s="419"/>
      <c r="G25" s="419"/>
      <c r="H25" s="419"/>
    </row>
    <row r="26" spans="1:8">
      <c r="A26" s="420" t="s">
        <v>709</v>
      </c>
      <c r="B26" s="419"/>
      <c r="C26" s="419"/>
      <c r="D26" s="419"/>
      <c r="E26" s="419"/>
      <c r="F26" s="419"/>
      <c r="G26" s="419"/>
      <c r="H26" s="419"/>
    </row>
    <row r="27" spans="1:8">
      <c r="A27" s="419"/>
      <c r="B27" s="419"/>
      <c r="C27" s="419"/>
      <c r="D27" s="419"/>
      <c r="E27" s="419"/>
      <c r="F27" s="419"/>
      <c r="G27" s="419"/>
      <c r="H27" s="419"/>
    </row>
    <row r="28" spans="1:8">
      <c r="A28" s="419"/>
      <c r="B28" s="419"/>
      <c r="C28" s="419"/>
      <c r="D28" s="419"/>
      <c r="E28" s="419"/>
      <c r="F28" s="419"/>
      <c r="G28" s="419"/>
      <c r="H28" s="419"/>
    </row>
    <row r="29" spans="1:8">
      <c r="A29" s="420" t="s">
        <v>701</v>
      </c>
      <c r="B29" s="419"/>
      <c r="C29" s="419"/>
      <c r="D29" s="419"/>
      <c r="E29" s="419"/>
      <c r="F29" s="419"/>
      <c r="G29" s="419"/>
      <c r="H29" s="419"/>
    </row>
    <row r="30" spans="1:8">
      <c r="A30" s="420" t="s">
        <v>702</v>
      </c>
      <c r="B30" s="419"/>
      <c r="C30" s="419"/>
      <c r="D30" s="419"/>
      <c r="E30" s="419"/>
      <c r="F30" s="419"/>
      <c r="G30" s="419"/>
      <c r="H30" s="419"/>
    </row>
    <row r="31" spans="1:8">
      <c r="A31" s="420" t="s">
        <v>703</v>
      </c>
      <c r="B31" s="419"/>
      <c r="C31" s="419"/>
      <c r="D31" s="419"/>
      <c r="E31" s="419"/>
      <c r="F31" s="419"/>
      <c r="G31" s="419"/>
      <c r="H31" s="419"/>
    </row>
    <row r="32" spans="1:8">
      <c r="A32" s="420" t="s">
        <v>704</v>
      </c>
      <c r="B32" s="419"/>
      <c r="C32" s="419"/>
      <c r="D32" s="419"/>
      <c r="E32" s="419"/>
      <c r="F32" s="419"/>
      <c r="G32" s="419"/>
      <c r="H32" s="419"/>
    </row>
    <row r="33" spans="1:8">
      <c r="A33" s="420" t="s">
        <v>705</v>
      </c>
      <c r="B33" s="419"/>
      <c r="C33" s="419"/>
      <c r="D33" s="419"/>
      <c r="E33" s="419"/>
      <c r="F33" s="419"/>
      <c r="G33" s="419"/>
      <c r="H33" s="419"/>
    </row>
    <row r="34" spans="1:8">
      <c r="A34" s="419"/>
      <c r="B34" s="419"/>
      <c r="C34" s="419"/>
      <c r="D34" s="419"/>
      <c r="E34" s="419"/>
      <c r="F34" s="419"/>
      <c r="G34" s="419"/>
      <c r="H34" s="419"/>
    </row>
    <row r="35" spans="1:8">
      <c r="A35" s="420" t="s">
        <v>697</v>
      </c>
      <c r="B35" s="419"/>
      <c r="C35" s="419"/>
      <c r="D35" s="419"/>
      <c r="E35" s="419"/>
      <c r="F35" s="419"/>
      <c r="G35" s="419"/>
      <c r="H35" s="419"/>
    </row>
    <row r="36" spans="1:8">
      <c r="A36" s="420" t="s">
        <v>698</v>
      </c>
      <c r="B36" s="419"/>
      <c r="C36" s="419"/>
      <c r="D36" s="419"/>
      <c r="E36" s="419"/>
      <c r="F36" s="419"/>
      <c r="G36" s="419"/>
      <c r="H36" s="419"/>
    </row>
    <row r="37" spans="1:8">
      <c r="A37" s="420" t="s">
        <v>699</v>
      </c>
      <c r="B37" s="419"/>
      <c r="C37" s="419"/>
      <c r="D37" s="419"/>
      <c r="E37" s="419"/>
      <c r="F37" s="419"/>
      <c r="G37" s="419"/>
      <c r="H37" s="419"/>
    </row>
    <row r="38" spans="1:8">
      <c r="A38" s="420" t="s">
        <v>700</v>
      </c>
      <c r="B38" s="419"/>
      <c r="C38" s="419"/>
      <c r="D38" s="419"/>
      <c r="E38" s="419"/>
      <c r="F38" s="419"/>
      <c r="G38" s="419"/>
      <c r="H38" s="419"/>
    </row>
    <row r="39" spans="1:8">
      <c r="A39" s="419"/>
      <c r="B39" s="419"/>
      <c r="C39" s="419"/>
      <c r="D39" s="419"/>
      <c r="E39" s="419"/>
      <c r="F39" s="419"/>
      <c r="G39" s="419"/>
      <c r="H39" s="419"/>
    </row>
    <row r="40" spans="1:8">
      <c r="A40" s="420" t="s">
        <v>691</v>
      </c>
      <c r="B40" s="419"/>
      <c r="C40" s="419"/>
      <c r="D40" s="419"/>
      <c r="E40" s="419"/>
      <c r="F40" s="419"/>
      <c r="G40" s="419"/>
      <c r="H40" s="419"/>
    </row>
    <row r="41" spans="1:8">
      <c r="A41" s="420" t="s">
        <v>692</v>
      </c>
      <c r="B41" s="419"/>
      <c r="C41" s="419"/>
      <c r="D41" s="419"/>
      <c r="E41" s="419"/>
      <c r="F41" s="419"/>
      <c r="G41" s="419"/>
      <c r="H41" s="419"/>
    </row>
    <row r="42" spans="1:8">
      <c r="A42" s="420" t="s">
        <v>693</v>
      </c>
      <c r="B42" s="419"/>
      <c r="C42" s="419"/>
      <c r="D42" s="419"/>
      <c r="E42" s="419"/>
      <c r="F42" s="419"/>
      <c r="G42" s="419"/>
      <c r="H42" s="419"/>
    </row>
    <row r="43" spans="1:8">
      <c r="A43" s="420" t="s">
        <v>694</v>
      </c>
      <c r="B43" s="419"/>
      <c r="C43" s="419"/>
      <c r="D43" s="419"/>
      <c r="E43" s="419"/>
      <c r="F43" s="419"/>
      <c r="G43" s="419"/>
      <c r="H43" s="419"/>
    </row>
    <row r="44" spans="1:8">
      <c r="A44" s="420" t="s">
        <v>695</v>
      </c>
      <c r="B44" s="419"/>
      <c r="C44" s="419"/>
      <c r="D44" s="419"/>
      <c r="E44" s="419"/>
      <c r="F44" s="419"/>
      <c r="G44" s="419"/>
      <c r="H44" s="419"/>
    </row>
    <row r="45" spans="1:8">
      <c r="A45" s="420" t="s">
        <v>696</v>
      </c>
      <c r="B45" s="419"/>
      <c r="C45" s="419"/>
      <c r="D45" s="419"/>
      <c r="E45" s="419"/>
      <c r="F45" s="419"/>
      <c r="G45" s="419"/>
      <c r="H45" s="419"/>
    </row>
    <row r="46" spans="1:8">
      <c r="A46" s="422"/>
      <c r="B46" s="423"/>
      <c r="C46" s="423"/>
      <c r="D46" s="423"/>
      <c r="E46" s="423"/>
      <c r="F46" s="423"/>
      <c r="G46" s="423"/>
      <c r="H46" s="423"/>
    </row>
    <row r="47" spans="1:8" ht="124.5" customHeight="1">
      <c r="A47" s="440" t="s">
        <v>780</v>
      </c>
      <c r="B47" s="423"/>
      <c r="C47" s="423"/>
      <c r="D47" s="423"/>
      <c r="E47" s="423"/>
      <c r="F47" s="423"/>
      <c r="G47" s="423"/>
      <c r="H47" s="423"/>
    </row>
    <row r="48" spans="1:8">
      <c r="A48" s="419"/>
      <c r="B48" s="419"/>
      <c r="C48" s="419"/>
      <c r="D48" s="419"/>
      <c r="E48" s="419"/>
      <c r="F48" s="419"/>
      <c r="G48" s="419"/>
      <c r="H48" s="419"/>
    </row>
    <row r="49" spans="1:8" ht="15.75">
      <c r="A49" s="421" t="s">
        <v>436</v>
      </c>
      <c r="B49" s="419"/>
      <c r="C49" s="419"/>
      <c r="D49" s="419"/>
      <c r="E49" s="419"/>
      <c r="F49" s="419"/>
      <c r="G49" s="419"/>
      <c r="H49" s="419"/>
    </row>
    <row r="50" spans="1:8">
      <c r="A50" s="419"/>
      <c r="B50" s="419"/>
      <c r="C50" s="419"/>
      <c r="D50" s="419"/>
      <c r="E50" s="419"/>
      <c r="F50" s="419"/>
      <c r="G50" s="419"/>
      <c r="H50" s="419"/>
    </row>
    <row r="51" spans="1:8">
      <c r="A51" s="420" t="s">
        <v>687</v>
      </c>
      <c r="B51" s="419"/>
      <c r="C51" s="419"/>
      <c r="D51" s="419"/>
      <c r="E51" s="419"/>
      <c r="F51" s="419"/>
      <c r="G51" s="419"/>
      <c r="H51" s="419"/>
    </row>
    <row r="52" spans="1:8">
      <c r="A52" s="420" t="s">
        <v>688</v>
      </c>
      <c r="B52" s="419"/>
      <c r="C52" s="419"/>
      <c r="D52" s="419"/>
      <c r="E52" s="419"/>
      <c r="F52" s="419"/>
      <c r="G52" s="419"/>
      <c r="H52" s="419"/>
    </row>
    <row r="53" spans="1:8">
      <c r="A53" s="420" t="s">
        <v>689</v>
      </c>
      <c r="B53" s="419"/>
      <c r="C53" s="419"/>
      <c r="D53" s="419"/>
      <c r="E53" s="419"/>
      <c r="F53" s="419"/>
      <c r="G53" s="419"/>
      <c r="H53" s="419"/>
    </row>
    <row r="54" spans="1:8">
      <c r="A54" s="420" t="s">
        <v>690</v>
      </c>
      <c r="B54" s="419"/>
      <c r="C54" s="419"/>
      <c r="D54" s="419"/>
      <c r="E54" s="419"/>
      <c r="F54" s="419"/>
      <c r="G54" s="419"/>
      <c r="H54" s="419"/>
    </row>
    <row r="55" spans="1:8">
      <c r="A55" s="419"/>
      <c r="B55" s="419"/>
      <c r="C55" s="419"/>
      <c r="D55" s="419"/>
      <c r="E55" s="419"/>
      <c r="F55" s="419"/>
      <c r="G55" s="419"/>
      <c r="H55" s="419"/>
    </row>
    <row r="56" spans="1:8">
      <c r="A56" s="420" t="s">
        <v>437</v>
      </c>
      <c r="B56" s="419"/>
      <c r="C56" s="419"/>
      <c r="D56" s="419"/>
      <c r="E56" s="419"/>
      <c r="F56" s="419"/>
      <c r="G56" s="419"/>
      <c r="H56" s="419"/>
    </row>
    <row r="57" spans="1:8">
      <c r="A57" s="419"/>
      <c r="B57" s="419"/>
      <c r="C57" s="419"/>
      <c r="D57" s="419"/>
      <c r="E57" s="419"/>
      <c r="F57" s="419"/>
      <c r="G57" s="419"/>
      <c r="H57" s="419"/>
    </row>
    <row r="58" spans="1:8" ht="15.75">
      <c r="A58" s="421" t="s">
        <v>438</v>
      </c>
      <c r="B58" s="419"/>
      <c r="C58" s="419"/>
      <c r="D58" s="419"/>
      <c r="E58" s="419"/>
      <c r="F58" s="419"/>
      <c r="G58" s="419"/>
      <c r="H58" s="419"/>
    </row>
    <row r="59" spans="1:8">
      <c r="A59" s="419"/>
      <c r="B59" s="419"/>
      <c r="C59" s="419"/>
      <c r="D59" s="419"/>
      <c r="E59" s="419"/>
      <c r="F59" s="419"/>
      <c r="G59" s="419"/>
      <c r="H59" s="419"/>
    </row>
    <row r="60" spans="1:8">
      <c r="A60" s="420" t="s">
        <v>685</v>
      </c>
      <c r="B60" s="419"/>
      <c r="C60" s="419"/>
      <c r="D60" s="419"/>
      <c r="E60" s="419"/>
      <c r="F60" s="419"/>
      <c r="G60" s="419"/>
      <c r="H60" s="419"/>
    </row>
    <row r="61" spans="1:8">
      <c r="A61" s="420" t="s">
        <v>686</v>
      </c>
      <c r="B61" s="419"/>
      <c r="C61" s="419"/>
      <c r="D61" s="419"/>
      <c r="E61" s="419"/>
      <c r="F61" s="419"/>
      <c r="G61" s="419"/>
      <c r="H61" s="419"/>
    </row>
    <row r="62" spans="1:8">
      <c r="A62" s="419"/>
      <c r="B62" s="419"/>
      <c r="C62" s="419"/>
      <c r="D62" s="419"/>
      <c r="E62" s="419"/>
      <c r="F62" s="419"/>
      <c r="G62" s="419"/>
      <c r="H62" s="419"/>
    </row>
    <row r="63" spans="1:8" ht="15.75">
      <c r="A63" s="421" t="s">
        <v>439</v>
      </c>
      <c r="B63" s="419"/>
      <c r="C63" s="419"/>
      <c r="D63" s="419"/>
      <c r="E63" s="419"/>
      <c r="F63" s="419"/>
      <c r="G63" s="419"/>
      <c r="H63" s="419"/>
    </row>
    <row r="64" spans="1:8">
      <c r="A64" s="419"/>
      <c r="B64" s="419"/>
      <c r="C64" s="419"/>
      <c r="D64" s="419"/>
      <c r="E64" s="419"/>
      <c r="F64" s="419"/>
      <c r="G64" s="419"/>
      <c r="H64" s="419"/>
    </row>
    <row r="65" spans="1:8">
      <c r="A65" s="420" t="s">
        <v>683</v>
      </c>
      <c r="B65" s="419"/>
      <c r="C65" s="419"/>
      <c r="D65" s="419"/>
      <c r="E65" s="419"/>
      <c r="F65" s="419"/>
      <c r="G65" s="419"/>
      <c r="H65" s="419"/>
    </row>
    <row r="66" spans="1:8">
      <c r="A66" s="420" t="s">
        <v>684</v>
      </c>
      <c r="B66" s="419"/>
      <c r="C66" s="419"/>
      <c r="D66" s="419"/>
      <c r="E66" s="419"/>
      <c r="F66" s="419"/>
      <c r="G66" s="419"/>
      <c r="H66" s="419"/>
    </row>
    <row r="67" spans="1:8">
      <c r="A67" s="419"/>
      <c r="B67" s="419"/>
      <c r="C67" s="419"/>
      <c r="D67" s="419"/>
      <c r="E67" s="419"/>
      <c r="F67" s="419"/>
      <c r="G67" s="419"/>
      <c r="H67" s="419"/>
    </row>
    <row r="68" spans="1:8">
      <c r="A68" s="420" t="s">
        <v>681</v>
      </c>
      <c r="B68" s="419"/>
      <c r="C68" s="419"/>
      <c r="D68" s="419"/>
      <c r="E68" s="419"/>
      <c r="F68" s="419"/>
      <c r="G68" s="419"/>
      <c r="H68" s="419"/>
    </row>
    <row r="69" spans="1:8">
      <c r="A69" s="420" t="s">
        <v>682</v>
      </c>
      <c r="B69" s="419"/>
      <c r="C69" s="419"/>
      <c r="D69" s="419"/>
      <c r="E69" s="419"/>
      <c r="F69" s="419"/>
      <c r="G69" s="419"/>
      <c r="H69" s="419"/>
    </row>
    <row r="70" spans="1:8">
      <c r="A70" s="419"/>
      <c r="B70" s="419"/>
      <c r="C70" s="419"/>
      <c r="D70" s="419"/>
      <c r="E70" s="419"/>
      <c r="F70" s="419"/>
      <c r="G70" s="419"/>
      <c r="H70" s="419"/>
    </row>
    <row r="71" spans="1:8">
      <c r="A71" s="420" t="s">
        <v>440</v>
      </c>
      <c r="B71" s="419"/>
      <c r="C71" s="419"/>
      <c r="D71" s="419"/>
      <c r="E71" s="419"/>
      <c r="F71" s="419"/>
      <c r="G71" s="419"/>
      <c r="H71" s="419"/>
    </row>
    <row r="72" spans="1:8">
      <c r="A72" s="419"/>
      <c r="B72" s="419"/>
      <c r="C72" s="419"/>
      <c r="D72" s="419"/>
      <c r="E72" s="419"/>
      <c r="F72" s="419"/>
      <c r="G72" s="419"/>
      <c r="H72" s="419"/>
    </row>
    <row r="73" spans="1:8">
      <c r="A73" s="420" t="s">
        <v>676</v>
      </c>
      <c r="B73" s="419"/>
      <c r="C73" s="419"/>
      <c r="D73" s="419"/>
      <c r="E73" s="419"/>
      <c r="F73" s="419"/>
      <c r="G73" s="419"/>
      <c r="H73" s="419"/>
    </row>
    <row r="74" spans="1:8">
      <c r="A74" s="420" t="s">
        <v>677</v>
      </c>
      <c r="B74" s="419"/>
      <c r="C74" s="419"/>
      <c r="D74" s="419"/>
      <c r="E74" s="419"/>
      <c r="F74" s="419"/>
      <c r="G74" s="419"/>
      <c r="H74" s="419"/>
    </row>
    <row r="75" spans="1:8">
      <c r="A75" s="420" t="s">
        <v>678</v>
      </c>
      <c r="B75" s="419"/>
      <c r="C75" s="419"/>
      <c r="D75" s="419"/>
      <c r="E75" s="419"/>
      <c r="F75" s="419"/>
      <c r="G75" s="419"/>
      <c r="H75" s="419"/>
    </row>
    <row r="76" spans="1:8">
      <c r="A76" s="420" t="s">
        <v>679</v>
      </c>
      <c r="B76" s="419"/>
      <c r="C76" s="419"/>
      <c r="D76" s="419"/>
      <c r="E76" s="419"/>
      <c r="F76" s="419"/>
      <c r="G76" s="419"/>
      <c r="H76" s="419"/>
    </row>
    <row r="77" spans="1:8">
      <c r="A77" s="420" t="s">
        <v>680</v>
      </c>
      <c r="B77" s="419"/>
      <c r="C77" s="419"/>
      <c r="D77" s="419"/>
      <c r="E77" s="419"/>
      <c r="F77" s="419"/>
      <c r="G77" s="419"/>
      <c r="H77" s="419"/>
    </row>
    <row r="78" spans="1:8">
      <c r="A78" s="420" t="s">
        <v>565</v>
      </c>
      <c r="B78" s="419"/>
      <c r="C78" s="419"/>
      <c r="D78" s="419"/>
      <c r="E78" s="419"/>
      <c r="F78" s="419"/>
      <c r="G78" s="419"/>
      <c r="H78" s="419"/>
    </row>
    <row r="79" spans="1:8">
      <c r="A79" s="419"/>
      <c r="B79" s="419"/>
      <c r="C79" s="419"/>
      <c r="D79" s="419"/>
      <c r="E79" s="419"/>
      <c r="F79" s="419"/>
      <c r="G79" s="419"/>
      <c r="H79" s="419"/>
    </row>
    <row r="80" spans="1:8">
      <c r="A80" s="420" t="s">
        <v>669</v>
      </c>
      <c r="B80" s="419"/>
      <c r="C80" s="419"/>
      <c r="D80" s="419"/>
      <c r="E80" s="419"/>
      <c r="F80" s="419"/>
      <c r="G80" s="419"/>
      <c r="H80" s="419"/>
    </row>
    <row r="81" spans="1:8">
      <c r="A81" s="420" t="s">
        <v>670</v>
      </c>
      <c r="B81" s="419"/>
      <c r="C81" s="419"/>
      <c r="D81" s="419"/>
      <c r="E81" s="419"/>
      <c r="F81" s="419"/>
      <c r="G81" s="419"/>
      <c r="H81" s="419"/>
    </row>
    <row r="82" spans="1:8">
      <c r="A82" s="420" t="s">
        <v>671</v>
      </c>
      <c r="B82" s="419"/>
      <c r="C82" s="419"/>
      <c r="D82" s="419"/>
      <c r="E82" s="419"/>
      <c r="F82" s="419"/>
      <c r="G82" s="419"/>
      <c r="H82" s="419"/>
    </row>
    <row r="83" spans="1:8">
      <c r="A83" s="420" t="s">
        <v>672</v>
      </c>
      <c r="B83" s="419"/>
      <c r="C83" s="419"/>
      <c r="D83" s="419"/>
      <c r="E83" s="419"/>
      <c r="F83" s="419"/>
      <c r="G83" s="419"/>
      <c r="H83" s="419"/>
    </row>
    <row r="84" spans="1:8">
      <c r="A84" s="420" t="s">
        <v>673</v>
      </c>
      <c r="B84" s="419"/>
      <c r="C84" s="419"/>
      <c r="D84" s="419"/>
      <c r="E84" s="419"/>
      <c r="F84" s="419"/>
      <c r="G84" s="419"/>
      <c r="H84" s="419"/>
    </row>
    <row r="85" spans="1:8">
      <c r="A85" s="420" t="s">
        <v>674</v>
      </c>
      <c r="B85" s="419"/>
      <c r="C85" s="419"/>
      <c r="D85" s="419"/>
      <c r="E85" s="419"/>
      <c r="F85" s="419"/>
      <c r="G85" s="419"/>
      <c r="H85" s="419"/>
    </row>
    <row r="86" spans="1:8">
      <c r="A86" s="420" t="s">
        <v>675</v>
      </c>
      <c r="B86" s="419"/>
      <c r="C86" s="419"/>
      <c r="D86" s="419"/>
      <c r="E86" s="419"/>
      <c r="F86" s="419"/>
      <c r="G86" s="419"/>
      <c r="H86" s="419"/>
    </row>
    <row r="87" spans="1:8">
      <c r="A87" s="419"/>
      <c r="B87" s="419"/>
      <c r="C87" s="419"/>
      <c r="D87" s="419"/>
      <c r="E87" s="419"/>
      <c r="F87" s="419"/>
      <c r="G87" s="419"/>
      <c r="H87" s="419"/>
    </row>
    <row r="88" spans="1:8">
      <c r="A88" s="420" t="s">
        <v>667</v>
      </c>
      <c r="B88" s="419"/>
      <c r="C88" s="419"/>
      <c r="D88" s="419"/>
      <c r="E88" s="419"/>
      <c r="F88" s="419"/>
      <c r="G88" s="419"/>
      <c r="H88" s="419"/>
    </row>
    <row r="89" spans="1:8">
      <c r="A89" s="420" t="s">
        <v>668</v>
      </c>
      <c r="B89" s="419"/>
      <c r="C89" s="419"/>
      <c r="D89" s="419"/>
      <c r="E89" s="419"/>
      <c r="F89" s="419"/>
      <c r="G89" s="419"/>
      <c r="H89" s="419"/>
    </row>
    <row r="90" spans="1:8">
      <c r="A90" s="419"/>
      <c r="B90" s="419"/>
      <c r="C90" s="419"/>
      <c r="D90" s="419"/>
      <c r="E90" s="419"/>
      <c r="F90" s="419"/>
      <c r="G90" s="419"/>
      <c r="H90" s="419"/>
    </row>
    <row r="91" spans="1:8" ht="15.75">
      <c r="A91" s="421" t="s">
        <v>441</v>
      </c>
      <c r="B91" s="419"/>
      <c r="C91" s="419"/>
      <c r="D91" s="419"/>
      <c r="E91" s="419"/>
      <c r="F91" s="419"/>
      <c r="G91" s="419"/>
      <c r="H91" s="419"/>
    </row>
    <row r="92" spans="1:8">
      <c r="A92" s="419"/>
      <c r="B92" s="419"/>
      <c r="C92" s="419"/>
      <c r="D92" s="419"/>
      <c r="E92" s="419"/>
      <c r="F92" s="419"/>
      <c r="G92" s="419"/>
      <c r="H92" s="419"/>
    </row>
    <row r="93" spans="1:8">
      <c r="A93" s="420" t="s">
        <v>658</v>
      </c>
      <c r="B93" s="419"/>
      <c r="C93" s="419"/>
      <c r="D93" s="419"/>
      <c r="E93" s="419"/>
      <c r="F93" s="419"/>
      <c r="G93" s="419"/>
      <c r="H93" s="419"/>
    </row>
    <row r="94" spans="1:8">
      <c r="A94" s="420" t="s">
        <v>659</v>
      </c>
      <c r="B94" s="419"/>
      <c r="C94" s="419"/>
      <c r="D94" s="419"/>
      <c r="E94" s="419"/>
      <c r="F94" s="419"/>
      <c r="G94" s="419"/>
      <c r="H94" s="419"/>
    </row>
    <row r="95" spans="1:8">
      <c r="A95" s="420" t="s">
        <v>660</v>
      </c>
      <c r="B95" s="419"/>
      <c r="C95" s="419"/>
      <c r="D95" s="419"/>
      <c r="E95" s="419"/>
      <c r="F95" s="419"/>
      <c r="G95" s="419"/>
      <c r="H95" s="419"/>
    </row>
    <row r="96" spans="1:8">
      <c r="A96" s="420" t="s">
        <v>661</v>
      </c>
      <c r="B96" s="419"/>
      <c r="C96" s="419"/>
      <c r="D96" s="419"/>
      <c r="E96" s="419"/>
      <c r="F96" s="419"/>
      <c r="G96" s="419"/>
      <c r="H96" s="419"/>
    </row>
    <row r="97" spans="1:8">
      <c r="A97" s="420" t="s">
        <v>662</v>
      </c>
      <c r="B97" s="419"/>
      <c r="C97" s="419"/>
      <c r="D97" s="419"/>
      <c r="E97" s="419"/>
      <c r="F97" s="419"/>
      <c r="G97" s="419"/>
      <c r="H97" s="419"/>
    </row>
    <row r="98" spans="1:8">
      <c r="A98" s="420" t="s">
        <v>663</v>
      </c>
      <c r="B98" s="419"/>
      <c r="C98" s="419"/>
      <c r="D98" s="419"/>
      <c r="E98" s="419"/>
      <c r="F98" s="419"/>
      <c r="G98" s="419"/>
      <c r="H98" s="419"/>
    </row>
    <row r="99" spans="1:8">
      <c r="A99" s="420" t="s">
        <v>664</v>
      </c>
      <c r="B99" s="419"/>
      <c r="C99" s="419"/>
      <c r="D99" s="419"/>
      <c r="E99" s="419"/>
      <c r="F99" s="419"/>
      <c r="G99" s="419"/>
      <c r="H99" s="419"/>
    </row>
    <row r="100" spans="1:8">
      <c r="A100" s="420" t="s">
        <v>665</v>
      </c>
      <c r="B100" s="419"/>
      <c r="C100" s="419"/>
      <c r="D100" s="419"/>
      <c r="E100" s="419"/>
      <c r="F100" s="419"/>
      <c r="G100" s="419"/>
      <c r="H100" s="419"/>
    </row>
    <row r="101" spans="1:8">
      <c r="A101" s="420" t="s">
        <v>666</v>
      </c>
      <c r="B101" s="419"/>
      <c r="C101" s="419"/>
      <c r="D101" s="419"/>
      <c r="E101" s="419"/>
      <c r="F101" s="419"/>
      <c r="G101" s="419"/>
      <c r="H101" s="419"/>
    </row>
    <row r="102" spans="1:8">
      <c r="A102" s="419"/>
      <c r="B102" s="419"/>
      <c r="C102" s="419"/>
      <c r="D102" s="419"/>
      <c r="E102" s="419"/>
      <c r="F102" s="419"/>
      <c r="G102" s="419"/>
      <c r="H102" s="419"/>
    </row>
    <row r="103" spans="1:8" ht="15.75">
      <c r="A103" s="437" t="s">
        <v>442</v>
      </c>
      <c r="B103" s="437"/>
      <c r="C103" s="437"/>
      <c r="D103" s="437"/>
      <c r="E103" s="437"/>
      <c r="F103" s="437"/>
      <c r="G103" s="437"/>
      <c r="H103" s="437"/>
    </row>
    <row r="104" spans="1:8">
      <c r="A104" s="433" t="s">
        <v>443</v>
      </c>
      <c r="B104" s="433"/>
      <c r="C104" s="433"/>
      <c r="D104" s="433"/>
      <c r="E104" s="433"/>
      <c r="F104" s="433"/>
      <c r="G104" s="433"/>
      <c r="H104" s="433"/>
    </row>
    <row r="105" spans="1:8">
      <c r="A105" s="438"/>
      <c r="B105" s="438"/>
      <c r="C105" s="438"/>
      <c r="D105" s="438"/>
      <c r="E105" s="438"/>
      <c r="F105" s="438"/>
      <c r="G105" s="438"/>
      <c r="H105" s="438"/>
    </row>
    <row r="106" spans="1:8">
      <c r="A106" s="433" t="s">
        <v>656</v>
      </c>
      <c r="B106" s="433"/>
      <c r="C106" s="433"/>
      <c r="D106" s="433"/>
      <c r="E106" s="433"/>
      <c r="F106" s="433"/>
      <c r="G106" s="433"/>
      <c r="H106" s="433"/>
    </row>
    <row r="107" spans="1:8">
      <c r="A107" s="420" t="s">
        <v>657</v>
      </c>
      <c r="B107" s="420"/>
      <c r="C107" s="420"/>
      <c r="D107" s="420"/>
      <c r="E107" s="420"/>
      <c r="F107" s="420"/>
      <c r="G107" s="420"/>
      <c r="H107" s="420"/>
    </row>
    <row r="108" spans="1:8">
      <c r="A108" s="438"/>
      <c r="B108" s="438"/>
      <c r="C108" s="438"/>
      <c r="D108" s="438"/>
      <c r="E108" s="438"/>
      <c r="F108" s="438"/>
      <c r="G108" s="438"/>
      <c r="H108" s="438"/>
    </row>
    <row r="109" spans="1:8">
      <c r="A109" s="433" t="s">
        <v>649</v>
      </c>
      <c r="B109" s="433"/>
      <c r="C109" s="433"/>
      <c r="D109" s="433"/>
      <c r="E109" s="433"/>
      <c r="F109" s="433"/>
      <c r="G109" s="433"/>
      <c r="H109" s="433"/>
    </row>
    <row r="110" spans="1:8">
      <c r="A110" s="420" t="s">
        <v>650</v>
      </c>
      <c r="B110" s="420"/>
      <c r="C110" s="420"/>
      <c r="D110" s="420"/>
      <c r="E110" s="420"/>
      <c r="F110" s="420"/>
      <c r="G110" s="420"/>
      <c r="H110" s="420"/>
    </row>
    <row r="111" spans="1:8">
      <c r="A111" s="420" t="s">
        <v>651</v>
      </c>
      <c r="B111" s="420"/>
      <c r="C111" s="420"/>
      <c r="D111" s="420"/>
      <c r="E111" s="420"/>
      <c r="F111" s="420"/>
      <c r="G111" s="420"/>
      <c r="H111" s="420"/>
    </row>
    <row r="112" spans="1:8">
      <c r="A112" s="420" t="s">
        <v>652</v>
      </c>
      <c r="B112" s="420"/>
      <c r="C112" s="420"/>
      <c r="D112" s="420"/>
      <c r="E112" s="420"/>
      <c r="F112" s="420"/>
      <c r="G112" s="420"/>
      <c r="H112" s="420"/>
    </row>
    <row r="113" spans="1:8">
      <c r="A113" s="420" t="s">
        <v>653</v>
      </c>
      <c r="B113" s="420"/>
      <c r="C113" s="420"/>
      <c r="D113" s="420"/>
      <c r="E113" s="420"/>
      <c r="F113" s="420"/>
      <c r="G113" s="420"/>
      <c r="H113" s="420"/>
    </row>
    <row r="114" spans="1:8">
      <c r="A114" s="420" t="s">
        <v>654</v>
      </c>
      <c r="B114" s="420"/>
      <c r="C114" s="420"/>
      <c r="D114" s="420"/>
      <c r="E114" s="420"/>
      <c r="F114" s="420"/>
      <c r="G114" s="420"/>
      <c r="H114" s="420"/>
    </row>
    <row r="115" spans="1:8">
      <c r="A115" s="420" t="s">
        <v>655</v>
      </c>
      <c r="B115" s="420"/>
      <c r="C115" s="420"/>
      <c r="D115" s="420"/>
      <c r="E115" s="420"/>
      <c r="F115" s="420"/>
      <c r="G115" s="420"/>
      <c r="H115" s="420"/>
    </row>
    <row r="116" spans="1:8">
      <c r="A116" s="439"/>
      <c r="B116" s="439"/>
      <c r="C116" s="439"/>
      <c r="D116" s="439"/>
      <c r="E116" s="439"/>
      <c r="F116" s="439"/>
      <c r="G116" s="439"/>
      <c r="H116" s="439"/>
    </row>
    <row r="117" spans="1:8">
      <c r="A117" s="424"/>
      <c r="B117" s="434" t="s">
        <v>444</v>
      </c>
      <c r="C117" s="435"/>
      <c r="D117" s="434" t="s">
        <v>445</v>
      </c>
      <c r="E117" s="436"/>
      <c r="F117" s="435"/>
      <c r="G117" s="434" t="s">
        <v>446</v>
      </c>
      <c r="H117" s="435"/>
    </row>
    <row r="118" spans="1:8">
      <c r="A118" s="424" t="s">
        <v>447</v>
      </c>
      <c r="B118" s="424" t="s">
        <v>405</v>
      </c>
      <c r="C118" s="424" t="s">
        <v>403</v>
      </c>
      <c r="D118" s="424" t="s">
        <v>405</v>
      </c>
      <c r="E118" s="424" t="s">
        <v>448</v>
      </c>
      <c r="F118" s="424" t="s">
        <v>449</v>
      </c>
      <c r="G118" s="424" t="s">
        <v>405</v>
      </c>
      <c r="H118" s="424" t="s">
        <v>450</v>
      </c>
    </row>
    <row r="119" spans="1:8">
      <c r="A119" s="424" t="s">
        <v>451</v>
      </c>
      <c r="B119" s="424">
        <v>1189</v>
      </c>
      <c r="C119" s="425">
        <v>0.38</v>
      </c>
      <c r="D119" s="424">
        <v>315</v>
      </c>
      <c r="E119" s="425">
        <v>0.41</v>
      </c>
      <c r="F119" s="425">
        <v>0.26</v>
      </c>
      <c r="G119" s="424">
        <v>555</v>
      </c>
      <c r="H119" s="425">
        <v>0.39</v>
      </c>
    </row>
    <row r="120" spans="1:8">
      <c r="A120" s="424" t="s">
        <v>452</v>
      </c>
      <c r="B120" s="424">
        <v>1355</v>
      </c>
      <c r="C120" s="425">
        <v>0.43</v>
      </c>
      <c r="D120" s="424">
        <v>364</v>
      </c>
      <c r="E120" s="425">
        <v>0.47</v>
      </c>
      <c r="F120" s="425">
        <v>0.27</v>
      </c>
      <c r="G120" s="424">
        <v>644</v>
      </c>
      <c r="H120" s="425">
        <v>0.45</v>
      </c>
    </row>
    <row r="121" spans="1:8">
      <c r="A121" s="424" t="s">
        <v>453</v>
      </c>
      <c r="B121" s="424">
        <v>53</v>
      </c>
      <c r="C121" s="425">
        <v>0.02</v>
      </c>
      <c r="D121" s="424">
        <v>4</v>
      </c>
      <c r="E121" s="425">
        <v>0.01</v>
      </c>
      <c r="F121" s="425">
        <v>0.08</v>
      </c>
      <c r="G121" s="424">
        <v>7</v>
      </c>
      <c r="H121" s="425">
        <v>0</v>
      </c>
    </row>
    <row r="122" spans="1:8">
      <c r="A122" s="424" t="s">
        <v>454</v>
      </c>
      <c r="B122" s="424">
        <v>545</v>
      </c>
      <c r="C122" s="425">
        <v>0.17</v>
      </c>
      <c r="D122" s="424">
        <v>84</v>
      </c>
      <c r="E122" s="425">
        <v>0.11</v>
      </c>
      <c r="F122" s="425">
        <v>0.15</v>
      </c>
      <c r="G122" s="424">
        <v>214</v>
      </c>
      <c r="H122" s="425">
        <v>0.15</v>
      </c>
    </row>
    <row r="123" spans="1:8">
      <c r="A123" s="424" t="s">
        <v>402</v>
      </c>
      <c r="B123" s="426">
        <v>3142</v>
      </c>
      <c r="C123" s="424"/>
      <c r="D123" s="424">
        <v>767</v>
      </c>
      <c r="E123" s="424"/>
      <c r="F123" s="424"/>
      <c r="G123" s="424">
        <v>1420</v>
      </c>
      <c r="H123" s="424"/>
    </row>
    <row r="124" spans="1:8">
      <c r="A124" s="432"/>
      <c r="B124" s="432"/>
      <c r="C124" s="432"/>
      <c r="D124" s="432"/>
      <c r="E124" s="432"/>
      <c r="F124" s="432"/>
      <c r="G124" s="432"/>
      <c r="H124" s="432"/>
    </row>
    <row r="125" spans="1:8">
      <c r="A125" s="433" t="s">
        <v>645</v>
      </c>
      <c r="B125" s="433"/>
      <c r="C125" s="433"/>
      <c r="D125" s="433"/>
      <c r="E125" s="433"/>
      <c r="F125" s="433"/>
      <c r="G125" s="433"/>
      <c r="H125" s="433"/>
    </row>
    <row r="126" spans="1:8">
      <c r="A126" s="420" t="s">
        <v>646</v>
      </c>
      <c r="B126" s="420"/>
      <c r="C126" s="420"/>
      <c r="D126" s="420"/>
      <c r="E126" s="420"/>
      <c r="F126" s="420"/>
      <c r="G126" s="420"/>
      <c r="H126" s="420"/>
    </row>
    <row r="127" spans="1:8">
      <c r="A127" s="420" t="s">
        <v>647</v>
      </c>
      <c r="B127" s="420"/>
      <c r="C127" s="420"/>
      <c r="D127" s="420"/>
      <c r="E127" s="420"/>
      <c r="F127" s="420"/>
      <c r="G127" s="420"/>
      <c r="H127" s="420"/>
    </row>
    <row r="128" spans="1:8">
      <c r="A128" s="420" t="s">
        <v>648</v>
      </c>
      <c r="B128" s="420"/>
      <c r="C128" s="420"/>
      <c r="D128" s="420"/>
      <c r="E128" s="420"/>
      <c r="F128" s="420"/>
      <c r="G128" s="420"/>
      <c r="H128" s="420"/>
    </row>
    <row r="129" spans="1:8">
      <c r="A129" s="419"/>
      <c r="B129" s="419"/>
      <c r="C129" s="419"/>
      <c r="D129" s="419"/>
      <c r="E129" s="419"/>
      <c r="F129" s="419"/>
      <c r="G129" s="419"/>
      <c r="H129" s="419"/>
    </row>
    <row r="130" spans="1:8" ht="15.75">
      <c r="A130" s="421" t="s">
        <v>455</v>
      </c>
      <c r="B130" s="419"/>
      <c r="C130" s="419"/>
      <c r="D130" s="419"/>
      <c r="E130" s="419"/>
      <c r="F130" s="419"/>
      <c r="G130" s="419"/>
      <c r="H130" s="419"/>
    </row>
    <row r="131" spans="1:8">
      <c r="A131" s="419"/>
      <c r="B131" s="419"/>
      <c r="C131" s="419"/>
      <c r="D131" s="419"/>
      <c r="E131" s="419"/>
      <c r="F131" s="419"/>
      <c r="G131" s="419"/>
      <c r="H131" s="419"/>
    </row>
    <row r="132" spans="1:8">
      <c r="A132" s="420" t="s">
        <v>643</v>
      </c>
      <c r="B132" s="419"/>
      <c r="C132" s="419"/>
      <c r="D132" s="419"/>
      <c r="E132" s="419"/>
      <c r="F132" s="419"/>
      <c r="G132" s="419"/>
      <c r="H132" s="419"/>
    </row>
    <row r="133" spans="1:8">
      <c r="A133" s="420" t="s">
        <v>644</v>
      </c>
      <c r="B133" s="419"/>
      <c r="C133" s="419"/>
      <c r="D133" s="419"/>
      <c r="E133" s="419"/>
      <c r="F133" s="419"/>
      <c r="G133" s="419"/>
      <c r="H133" s="419"/>
    </row>
    <row r="134" spans="1:8">
      <c r="A134" s="419"/>
      <c r="B134" s="419"/>
      <c r="C134" s="419"/>
      <c r="D134" s="419"/>
      <c r="E134" s="419"/>
      <c r="F134" s="419"/>
      <c r="G134" s="419"/>
      <c r="H134" s="419"/>
    </row>
    <row r="135" spans="1:8">
      <c r="A135" s="420" t="s">
        <v>640</v>
      </c>
      <c r="B135" s="419"/>
      <c r="C135" s="419"/>
      <c r="D135" s="419"/>
      <c r="E135" s="419"/>
      <c r="F135" s="419"/>
      <c r="G135" s="419"/>
      <c r="H135" s="419"/>
    </row>
    <row r="136" spans="1:8">
      <c r="A136" s="420" t="s">
        <v>641</v>
      </c>
      <c r="B136" s="419"/>
      <c r="C136" s="419"/>
      <c r="D136" s="419"/>
      <c r="E136" s="419"/>
      <c r="F136" s="419"/>
      <c r="G136" s="419"/>
      <c r="H136" s="419"/>
    </row>
    <row r="137" spans="1:8">
      <c r="A137" s="420" t="s">
        <v>642</v>
      </c>
      <c r="B137" s="419"/>
      <c r="C137" s="419"/>
      <c r="D137" s="419"/>
      <c r="E137" s="419"/>
      <c r="F137" s="419"/>
      <c r="G137" s="419"/>
      <c r="H137" s="419"/>
    </row>
    <row r="138" spans="1:8">
      <c r="A138" s="419"/>
      <c r="B138" s="419"/>
      <c r="C138" s="419"/>
      <c r="D138" s="419"/>
      <c r="E138" s="419"/>
      <c r="F138" s="419"/>
      <c r="G138" s="419"/>
      <c r="H138" s="419"/>
    </row>
    <row r="139" spans="1:8">
      <c r="A139" s="420" t="s">
        <v>637</v>
      </c>
      <c r="B139" s="419"/>
      <c r="C139" s="419"/>
      <c r="D139" s="419"/>
      <c r="E139" s="419"/>
      <c r="F139" s="419"/>
      <c r="G139" s="419"/>
      <c r="H139" s="419"/>
    </row>
    <row r="140" spans="1:8">
      <c r="A140" s="420" t="s">
        <v>638</v>
      </c>
      <c r="B140" s="419"/>
      <c r="C140" s="419"/>
      <c r="D140" s="419"/>
      <c r="E140" s="419"/>
      <c r="F140" s="419"/>
      <c r="G140" s="419"/>
      <c r="H140" s="419"/>
    </row>
    <row r="141" spans="1:8">
      <c r="A141" s="420" t="s">
        <v>639</v>
      </c>
      <c r="B141" s="419"/>
      <c r="C141" s="419"/>
      <c r="D141" s="419"/>
      <c r="E141" s="419"/>
      <c r="F141" s="419"/>
      <c r="G141" s="419"/>
      <c r="H141" s="419"/>
    </row>
    <row r="142" spans="1:8">
      <c r="A142" s="419"/>
      <c r="B142" s="419"/>
      <c r="C142" s="419"/>
      <c r="D142" s="419"/>
      <c r="E142" s="419"/>
      <c r="F142" s="419"/>
      <c r="G142" s="419"/>
      <c r="H142" s="419"/>
    </row>
    <row r="143" spans="1:8">
      <c r="A143" s="420" t="s">
        <v>634</v>
      </c>
      <c r="B143" s="419"/>
      <c r="C143" s="419"/>
      <c r="D143" s="419"/>
      <c r="E143" s="419"/>
      <c r="F143" s="419"/>
      <c r="G143" s="419"/>
      <c r="H143" s="419"/>
    </row>
    <row r="144" spans="1:8">
      <c r="A144" s="420" t="s">
        <v>635</v>
      </c>
      <c r="B144" s="419"/>
      <c r="C144" s="419"/>
      <c r="D144" s="419"/>
      <c r="E144" s="419"/>
      <c r="F144" s="419"/>
      <c r="G144" s="419"/>
      <c r="H144" s="419"/>
    </row>
    <row r="145" spans="1:8">
      <c r="A145" s="420" t="s">
        <v>636</v>
      </c>
      <c r="B145" s="419"/>
      <c r="C145" s="419"/>
      <c r="D145" s="419"/>
      <c r="E145" s="419"/>
      <c r="F145" s="419"/>
      <c r="G145" s="419"/>
      <c r="H145" s="419"/>
    </row>
    <row r="146" spans="1:8">
      <c r="A146" s="419"/>
      <c r="B146" s="419"/>
      <c r="C146" s="419"/>
      <c r="D146" s="419"/>
      <c r="E146" s="419"/>
      <c r="F146" s="419"/>
      <c r="G146" s="419"/>
      <c r="H146" s="419"/>
    </row>
    <row r="147" spans="1:8">
      <c r="A147" s="420" t="s">
        <v>632</v>
      </c>
      <c r="B147" s="419"/>
      <c r="C147" s="419"/>
      <c r="D147" s="419"/>
      <c r="E147" s="419"/>
      <c r="F147" s="419"/>
      <c r="G147" s="419"/>
      <c r="H147" s="419"/>
    </row>
    <row r="148" spans="1:8">
      <c r="A148" s="420" t="s">
        <v>633</v>
      </c>
      <c r="B148" s="419"/>
      <c r="C148" s="419"/>
      <c r="D148" s="419"/>
      <c r="E148" s="419"/>
      <c r="F148" s="419"/>
      <c r="G148" s="419"/>
      <c r="H148" s="419"/>
    </row>
    <row r="149" spans="1:8">
      <c r="A149" s="419"/>
      <c r="B149" s="419"/>
      <c r="C149" s="419"/>
      <c r="D149" s="419"/>
      <c r="E149" s="419"/>
      <c r="F149" s="419"/>
      <c r="G149" s="419"/>
      <c r="H149" s="419"/>
    </row>
    <row r="150" spans="1:8" ht="15.75">
      <c r="A150" s="421" t="s">
        <v>456</v>
      </c>
      <c r="B150" s="419"/>
      <c r="C150" s="419"/>
      <c r="D150" s="419"/>
      <c r="E150" s="419"/>
      <c r="F150" s="419"/>
      <c r="G150" s="419"/>
      <c r="H150" s="419"/>
    </row>
    <row r="151" spans="1:8">
      <c r="A151" s="419"/>
      <c r="B151" s="419"/>
      <c r="C151" s="419"/>
      <c r="D151" s="419"/>
      <c r="E151" s="419"/>
      <c r="F151" s="419"/>
      <c r="G151" s="419"/>
      <c r="H151" s="419"/>
    </row>
    <row r="152" spans="1:8">
      <c r="A152" s="420" t="s">
        <v>630</v>
      </c>
      <c r="B152" s="419"/>
      <c r="C152" s="419"/>
      <c r="D152" s="419"/>
      <c r="E152" s="419"/>
      <c r="F152" s="419"/>
      <c r="G152" s="419"/>
      <c r="H152" s="419"/>
    </row>
    <row r="153" spans="1:8">
      <c r="A153" s="420" t="s">
        <v>631</v>
      </c>
      <c r="B153" s="419"/>
      <c r="C153" s="419"/>
      <c r="D153" s="419"/>
      <c r="E153" s="419"/>
      <c r="F153" s="419"/>
      <c r="G153" s="419"/>
      <c r="H153" s="419"/>
    </row>
    <row r="154" spans="1:8">
      <c r="A154" s="419"/>
      <c r="B154" s="419"/>
      <c r="C154" s="419"/>
      <c r="D154" s="419"/>
      <c r="E154" s="419"/>
      <c r="F154" s="419"/>
      <c r="G154" s="419"/>
      <c r="H154" s="419"/>
    </row>
    <row r="155" spans="1:8">
      <c r="A155" s="420" t="s">
        <v>628</v>
      </c>
      <c r="B155" s="419"/>
      <c r="C155" s="419"/>
      <c r="D155" s="419"/>
      <c r="E155" s="419"/>
      <c r="F155" s="419"/>
      <c r="G155" s="419"/>
      <c r="H155" s="419"/>
    </row>
    <row r="156" spans="1:8">
      <c r="A156" s="420" t="s">
        <v>629</v>
      </c>
      <c r="B156" s="419"/>
      <c r="C156" s="419"/>
      <c r="D156" s="419"/>
      <c r="E156" s="419"/>
      <c r="F156" s="419"/>
      <c r="G156" s="419"/>
      <c r="H156" s="419"/>
    </row>
    <row r="157" spans="1:8">
      <c r="A157" s="419"/>
      <c r="B157" s="419"/>
      <c r="C157" s="419"/>
      <c r="D157" s="419"/>
      <c r="E157" s="419"/>
      <c r="F157" s="419"/>
      <c r="G157" s="419"/>
      <c r="H157" s="419"/>
    </row>
    <row r="158" spans="1:8">
      <c r="A158" s="420" t="s">
        <v>626</v>
      </c>
      <c r="B158" s="419"/>
      <c r="C158" s="419"/>
      <c r="D158" s="419"/>
      <c r="E158" s="419"/>
      <c r="F158" s="419"/>
      <c r="G158" s="419"/>
      <c r="H158" s="419"/>
    </row>
    <row r="159" spans="1:8">
      <c r="A159" s="420" t="s">
        <v>627</v>
      </c>
      <c r="B159" s="419"/>
      <c r="C159" s="419"/>
      <c r="D159" s="419"/>
      <c r="E159" s="419"/>
      <c r="F159" s="419"/>
      <c r="G159" s="419"/>
      <c r="H159" s="419"/>
    </row>
    <row r="160" spans="1:8">
      <c r="A160" s="419"/>
      <c r="B160" s="419"/>
      <c r="C160" s="419"/>
      <c r="D160" s="419"/>
      <c r="E160" s="419"/>
      <c r="F160" s="419"/>
      <c r="G160" s="419"/>
      <c r="H160" s="419"/>
    </row>
    <row r="161" spans="1:8">
      <c r="A161" s="420" t="s">
        <v>623</v>
      </c>
      <c r="B161" s="419"/>
      <c r="C161" s="419"/>
      <c r="D161" s="419"/>
      <c r="E161" s="419"/>
      <c r="F161" s="419"/>
      <c r="G161" s="419"/>
      <c r="H161" s="419"/>
    </row>
    <row r="162" spans="1:8">
      <c r="A162" s="420" t="s">
        <v>624</v>
      </c>
      <c r="B162" s="419"/>
      <c r="C162" s="419"/>
      <c r="D162" s="419"/>
      <c r="E162" s="419"/>
      <c r="F162" s="419"/>
      <c r="G162" s="419"/>
      <c r="H162" s="419"/>
    </row>
    <row r="163" spans="1:8">
      <c r="A163" s="420" t="s">
        <v>625</v>
      </c>
      <c r="B163" s="419"/>
      <c r="C163" s="419"/>
      <c r="D163" s="419"/>
      <c r="E163" s="419"/>
      <c r="F163" s="419"/>
      <c r="G163" s="419"/>
      <c r="H163" s="419"/>
    </row>
    <row r="164" spans="1:8">
      <c r="A164" s="419"/>
      <c r="B164" s="419"/>
      <c r="C164" s="419"/>
      <c r="D164" s="419"/>
      <c r="E164" s="419"/>
      <c r="F164" s="419"/>
      <c r="G164" s="419"/>
      <c r="H164" s="419"/>
    </row>
    <row r="165" spans="1:8">
      <c r="A165" s="419"/>
      <c r="B165" s="419"/>
      <c r="C165" s="419"/>
      <c r="D165" s="419"/>
      <c r="E165" s="419"/>
      <c r="F165" s="419"/>
      <c r="G165" s="419"/>
      <c r="H165" s="419"/>
    </row>
    <row r="166" spans="1:8">
      <c r="A166" s="420" t="s">
        <v>457</v>
      </c>
      <c r="B166" s="419"/>
      <c r="C166" s="419"/>
      <c r="D166" s="419"/>
      <c r="E166" s="419"/>
      <c r="F166" s="419"/>
      <c r="G166" s="419"/>
      <c r="H166" s="419"/>
    </row>
    <row r="167" spans="1:8">
      <c r="A167" s="419"/>
      <c r="B167" s="419"/>
      <c r="C167" s="419"/>
      <c r="D167" s="419"/>
      <c r="E167" s="419"/>
      <c r="F167" s="419"/>
      <c r="G167" s="419"/>
      <c r="H167" s="419"/>
    </row>
    <row r="168" spans="1:8" ht="15.75">
      <c r="A168" s="421" t="s">
        <v>458</v>
      </c>
      <c r="B168" s="419"/>
      <c r="C168" s="419"/>
      <c r="D168" s="419"/>
      <c r="E168" s="419"/>
      <c r="F168" s="419"/>
      <c r="G168" s="419"/>
      <c r="H168" s="419"/>
    </row>
    <row r="169" spans="1:8">
      <c r="A169" s="419"/>
      <c r="B169" s="419"/>
      <c r="C169" s="419"/>
      <c r="D169" s="419"/>
      <c r="E169" s="419"/>
      <c r="F169" s="419"/>
      <c r="G169" s="419"/>
      <c r="H169" s="419"/>
    </row>
    <row r="170" spans="1:8">
      <c r="A170" s="419"/>
      <c r="B170" s="419"/>
      <c r="C170" s="419"/>
      <c r="D170" s="419"/>
      <c r="E170" s="419"/>
      <c r="F170" s="419"/>
      <c r="G170" s="419"/>
      <c r="H170" s="419"/>
    </row>
    <row r="171" spans="1:8">
      <c r="A171" s="419"/>
      <c r="B171" s="419"/>
      <c r="C171" s="419"/>
      <c r="D171" s="419"/>
      <c r="E171" s="419"/>
      <c r="F171" s="419"/>
      <c r="G171" s="419"/>
      <c r="H171" s="419"/>
    </row>
    <row r="172" spans="1:8">
      <c r="A172" s="419"/>
      <c r="B172" s="419"/>
      <c r="C172" s="419"/>
      <c r="D172" s="419"/>
      <c r="E172" s="419"/>
      <c r="F172" s="419"/>
      <c r="G172" s="419"/>
      <c r="H172" s="419"/>
    </row>
    <row r="173" spans="1:8">
      <c r="A173" s="419"/>
      <c r="B173" s="419"/>
      <c r="C173" s="419"/>
      <c r="D173" s="419"/>
      <c r="E173" s="419"/>
      <c r="F173" s="419"/>
      <c r="G173" s="419"/>
      <c r="H173" s="419"/>
    </row>
    <row r="174" spans="1:8">
      <c r="A174" s="419"/>
      <c r="B174" s="419"/>
      <c r="C174" s="419"/>
      <c r="D174" s="419"/>
      <c r="E174" s="419"/>
      <c r="F174" s="419"/>
      <c r="G174" s="419"/>
      <c r="H174" s="419"/>
    </row>
    <row r="175" spans="1:8">
      <c r="A175" s="419"/>
      <c r="B175" s="419"/>
      <c r="C175" s="419"/>
      <c r="D175" s="419"/>
      <c r="E175" s="419"/>
      <c r="F175" s="419"/>
      <c r="G175" s="419"/>
      <c r="H175" s="419"/>
    </row>
    <row r="176" spans="1:8">
      <c r="A176" s="419"/>
      <c r="B176" s="419"/>
      <c r="C176" s="419"/>
      <c r="D176" s="419"/>
      <c r="E176" s="419"/>
      <c r="F176" s="419"/>
      <c r="G176" s="419"/>
      <c r="H176" s="419"/>
    </row>
    <row r="177" spans="1:8">
      <c r="A177" s="419"/>
      <c r="B177" s="419"/>
      <c r="C177" s="419"/>
      <c r="D177" s="419"/>
      <c r="E177" s="419"/>
      <c r="F177" s="419"/>
      <c r="G177" s="419"/>
      <c r="H177" s="419"/>
    </row>
    <row r="178" spans="1:8">
      <c r="A178" s="419"/>
      <c r="B178" s="419"/>
      <c r="C178" s="419"/>
      <c r="D178" s="419"/>
      <c r="E178" s="419"/>
      <c r="F178" s="419"/>
      <c r="G178" s="419"/>
      <c r="H178" s="419"/>
    </row>
    <row r="179" spans="1:8">
      <c r="A179" s="419"/>
      <c r="B179" s="419"/>
      <c r="C179" s="419"/>
      <c r="D179" s="419"/>
      <c r="E179" s="419"/>
      <c r="F179" s="419"/>
      <c r="G179" s="419"/>
      <c r="H179" s="419"/>
    </row>
    <row r="180" spans="1:8">
      <c r="A180" s="419"/>
      <c r="B180" s="419"/>
      <c r="C180" s="419"/>
      <c r="D180" s="419"/>
      <c r="E180" s="419"/>
      <c r="F180" s="419"/>
      <c r="G180" s="419"/>
      <c r="H180" s="419"/>
    </row>
    <row r="181" spans="1:8">
      <c r="A181" s="419"/>
      <c r="B181" s="419"/>
      <c r="C181" s="419"/>
      <c r="D181" s="419"/>
      <c r="E181" s="419"/>
      <c r="F181" s="419"/>
      <c r="G181" s="419"/>
      <c r="H181" s="419"/>
    </row>
    <row r="182" spans="1:8">
      <c r="A182" s="419"/>
      <c r="B182" s="419"/>
      <c r="C182" s="419"/>
      <c r="D182" s="419"/>
      <c r="E182" s="419"/>
      <c r="F182" s="419"/>
      <c r="G182" s="419"/>
      <c r="H182" s="419"/>
    </row>
    <row r="183" spans="1:8">
      <c r="A183" s="419"/>
      <c r="B183" s="419"/>
      <c r="C183" s="419"/>
      <c r="D183" s="419"/>
      <c r="E183" s="419"/>
      <c r="F183" s="419"/>
      <c r="G183" s="419"/>
      <c r="H183" s="419"/>
    </row>
    <row r="184" spans="1:8">
      <c r="A184" s="419"/>
      <c r="B184" s="419"/>
      <c r="C184" s="419"/>
      <c r="D184" s="419"/>
      <c r="E184" s="419"/>
      <c r="F184" s="419"/>
      <c r="G184" s="419"/>
      <c r="H184" s="419"/>
    </row>
    <row r="185" spans="1:8">
      <c r="A185" s="419"/>
      <c r="B185" s="419"/>
      <c r="C185" s="419"/>
      <c r="D185" s="419"/>
      <c r="E185" s="419"/>
      <c r="F185" s="419"/>
      <c r="G185" s="419"/>
      <c r="H185" s="419"/>
    </row>
    <row r="186" spans="1:8">
      <c r="A186" s="419"/>
      <c r="B186" s="419"/>
      <c r="C186" s="419"/>
      <c r="D186" s="419"/>
      <c r="E186" s="419"/>
      <c r="F186" s="419"/>
      <c r="G186" s="419"/>
      <c r="H186" s="419"/>
    </row>
    <row r="187" spans="1:8">
      <c r="A187" s="419"/>
      <c r="B187" s="419"/>
      <c r="C187" s="419"/>
      <c r="D187" s="419"/>
      <c r="E187" s="419"/>
      <c r="F187" s="419"/>
      <c r="G187" s="419"/>
      <c r="H187" s="419"/>
    </row>
    <row r="188" spans="1:8">
      <c r="A188" s="419"/>
      <c r="B188" s="419"/>
      <c r="C188" s="419"/>
      <c r="D188" s="419"/>
      <c r="E188" s="419"/>
      <c r="F188" s="419"/>
      <c r="G188" s="419"/>
      <c r="H188" s="419"/>
    </row>
    <row r="189" spans="1:8">
      <c r="A189" s="419"/>
      <c r="B189" s="419"/>
      <c r="C189" s="419"/>
      <c r="D189" s="419"/>
      <c r="E189" s="419"/>
      <c r="F189" s="419"/>
      <c r="G189" s="419"/>
      <c r="H189" s="419"/>
    </row>
    <row r="190" spans="1:8">
      <c r="A190" s="419"/>
      <c r="B190" s="419"/>
      <c r="C190" s="419"/>
      <c r="D190" s="419"/>
      <c r="E190" s="419"/>
      <c r="F190" s="419"/>
      <c r="G190" s="419"/>
      <c r="H190" s="419"/>
    </row>
    <row r="191" spans="1:8">
      <c r="A191" s="419"/>
      <c r="B191" s="419"/>
      <c r="C191" s="419"/>
      <c r="D191" s="419"/>
      <c r="E191" s="419"/>
      <c r="F191" s="419"/>
      <c r="G191" s="419"/>
      <c r="H191" s="419"/>
    </row>
    <row r="192" spans="1:8">
      <c r="A192" s="419"/>
      <c r="B192" s="419"/>
      <c r="C192" s="419"/>
      <c r="D192" s="419"/>
      <c r="E192" s="419"/>
      <c r="F192" s="419"/>
      <c r="G192" s="419"/>
      <c r="H192" s="419"/>
    </row>
    <row r="193" spans="1:8">
      <c r="A193" s="419"/>
      <c r="B193" s="419"/>
      <c r="C193" s="419"/>
      <c r="D193" s="419"/>
      <c r="E193" s="419"/>
      <c r="F193" s="419"/>
      <c r="G193" s="419"/>
      <c r="H193" s="419"/>
    </row>
    <row r="194" spans="1:8">
      <c r="A194" s="419"/>
      <c r="B194" s="419"/>
      <c r="C194" s="419"/>
      <c r="D194" s="419"/>
      <c r="E194" s="419"/>
      <c r="F194" s="419"/>
      <c r="G194" s="419"/>
      <c r="H194" s="419"/>
    </row>
    <row r="195" spans="1:8" ht="15.75">
      <c r="A195" s="421" t="s">
        <v>459</v>
      </c>
      <c r="B195" s="419"/>
      <c r="C195" s="419"/>
      <c r="D195" s="419"/>
      <c r="E195" s="419"/>
      <c r="F195" s="419"/>
      <c r="G195" s="419"/>
      <c r="H195" s="419"/>
    </row>
    <row r="196" spans="1:8">
      <c r="A196" s="419"/>
      <c r="B196" s="419"/>
      <c r="C196" s="419"/>
      <c r="D196" s="419"/>
      <c r="E196" s="419"/>
      <c r="F196" s="419"/>
      <c r="G196" s="419"/>
      <c r="H196" s="419"/>
    </row>
    <row r="197" spans="1:8">
      <c r="A197" s="420" t="s">
        <v>618</v>
      </c>
      <c r="B197" s="419"/>
      <c r="C197" s="419"/>
      <c r="D197" s="419"/>
      <c r="E197" s="419"/>
      <c r="F197" s="419"/>
      <c r="G197" s="419"/>
      <c r="H197" s="419"/>
    </row>
    <row r="198" spans="1:8">
      <c r="A198" s="420" t="s">
        <v>619</v>
      </c>
      <c r="B198" s="419"/>
      <c r="C198" s="419"/>
      <c r="D198" s="419"/>
      <c r="E198" s="419"/>
      <c r="F198" s="419"/>
      <c r="G198" s="419"/>
      <c r="H198" s="419"/>
    </row>
    <row r="199" spans="1:8">
      <c r="A199" s="420" t="s">
        <v>620</v>
      </c>
      <c r="B199" s="419"/>
      <c r="C199" s="419"/>
      <c r="D199" s="419"/>
      <c r="E199" s="419"/>
      <c r="F199" s="419"/>
      <c r="G199" s="419"/>
      <c r="H199" s="419"/>
    </row>
    <row r="200" spans="1:8">
      <c r="A200" s="420" t="s">
        <v>621</v>
      </c>
      <c r="B200" s="419"/>
      <c r="C200" s="419"/>
      <c r="D200" s="419"/>
      <c r="E200" s="419"/>
      <c r="F200" s="419"/>
      <c r="G200" s="419"/>
      <c r="H200" s="419"/>
    </row>
    <row r="201" spans="1:8">
      <c r="A201" s="420" t="s">
        <v>622</v>
      </c>
      <c r="B201" s="419"/>
      <c r="C201" s="419"/>
      <c r="D201" s="419"/>
      <c r="E201" s="419"/>
      <c r="F201" s="419"/>
      <c r="G201" s="419"/>
      <c r="H201" s="419"/>
    </row>
    <row r="202" spans="1:8">
      <c r="A202" s="419"/>
      <c r="B202" s="419"/>
      <c r="C202" s="419"/>
      <c r="D202" s="419"/>
      <c r="E202" s="419"/>
      <c r="F202" s="419"/>
      <c r="G202" s="419"/>
      <c r="H202" s="419"/>
    </row>
    <row r="203" spans="1:8">
      <c r="A203" s="420" t="s">
        <v>615</v>
      </c>
      <c r="B203" s="419"/>
      <c r="C203" s="419"/>
      <c r="D203" s="419"/>
      <c r="E203" s="419"/>
      <c r="F203" s="419"/>
      <c r="G203" s="419"/>
      <c r="H203" s="419"/>
    </row>
    <row r="204" spans="1:8">
      <c r="A204" s="420" t="s">
        <v>616</v>
      </c>
      <c r="B204" s="419"/>
      <c r="C204" s="419"/>
      <c r="D204" s="419"/>
      <c r="E204" s="419"/>
      <c r="F204" s="419"/>
      <c r="G204" s="419"/>
      <c r="H204" s="419"/>
    </row>
    <row r="205" spans="1:8">
      <c r="A205" s="420" t="s">
        <v>617</v>
      </c>
      <c r="B205" s="419"/>
      <c r="C205" s="419"/>
      <c r="D205" s="419"/>
      <c r="E205" s="419"/>
      <c r="F205" s="419"/>
      <c r="G205" s="419"/>
      <c r="H205" s="419"/>
    </row>
    <row r="206" spans="1:8" ht="15.75">
      <c r="A206" s="421" t="s">
        <v>460</v>
      </c>
      <c r="B206" s="419"/>
      <c r="C206" s="419"/>
      <c r="D206" s="419"/>
      <c r="E206" s="419"/>
      <c r="F206" s="419"/>
      <c r="G206" s="419"/>
      <c r="H206" s="419"/>
    </row>
    <row r="207" spans="1:8">
      <c r="A207" s="419"/>
      <c r="B207" s="419"/>
      <c r="C207" s="419"/>
      <c r="D207" s="419"/>
      <c r="E207" s="419"/>
      <c r="F207" s="419"/>
      <c r="G207" s="419"/>
      <c r="H207" s="419"/>
    </row>
    <row r="208" spans="1:8">
      <c r="A208" s="420" t="s">
        <v>608</v>
      </c>
      <c r="B208" s="419"/>
      <c r="C208" s="419"/>
      <c r="D208" s="419"/>
      <c r="E208" s="419"/>
      <c r="F208" s="419"/>
      <c r="G208" s="419"/>
      <c r="H208" s="419"/>
    </row>
    <row r="209" spans="1:8">
      <c r="A209" s="420" t="s">
        <v>609</v>
      </c>
      <c r="B209" s="419"/>
      <c r="C209" s="419"/>
      <c r="D209" s="419"/>
      <c r="E209" s="419"/>
      <c r="F209" s="419"/>
      <c r="G209" s="419"/>
      <c r="H209" s="419"/>
    </row>
    <row r="210" spans="1:8">
      <c r="A210" s="420" t="s">
        <v>610</v>
      </c>
      <c r="B210" s="419"/>
      <c r="C210" s="419"/>
      <c r="D210" s="419"/>
      <c r="E210" s="419"/>
      <c r="F210" s="419"/>
      <c r="G210" s="419"/>
      <c r="H210" s="419"/>
    </row>
    <row r="211" spans="1:8">
      <c r="A211" s="420" t="s">
        <v>611</v>
      </c>
      <c r="B211" s="419"/>
      <c r="C211" s="419"/>
      <c r="D211" s="419"/>
      <c r="E211" s="419"/>
      <c r="F211" s="419"/>
      <c r="G211" s="419"/>
      <c r="H211" s="419"/>
    </row>
    <row r="212" spans="1:8">
      <c r="A212" s="420" t="s">
        <v>612</v>
      </c>
      <c r="B212" s="419"/>
      <c r="C212" s="419"/>
      <c r="D212" s="419"/>
      <c r="E212" s="419"/>
      <c r="F212" s="419"/>
      <c r="G212" s="419"/>
      <c r="H212" s="419"/>
    </row>
    <row r="213" spans="1:8">
      <c r="A213" s="420" t="s">
        <v>613</v>
      </c>
      <c r="B213" s="419"/>
      <c r="C213" s="419"/>
      <c r="D213" s="419"/>
      <c r="E213" s="419"/>
      <c r="F213" s="419"/>
      <c r="G213" s="419"/>
      <c r="H213" s="419"/>
    </row>
    <row r="214" spans="1:8">
      <c r="A214" s="420" t="s">
        <v>614</v>
      </c>
      <c r="B214" s="419"/>
      <c r="C214" s="419"/>
      <c r="D214" s="419"/>
      <c r="E214" s="419"/>
      <c r="F214" s="419"/>
      <c r="G214" s="419"/>
      <c r="H214" s="419"/>
    </row>
    <row r="215" spans="1:8">
      <c r="A215" s="419"/>
      <c r="B215" s="419"/>
      <c r="C215" s="419"/>
      <c r="D215" s="419"/>
      <c r="E215" s="419"/>
      <c r="F215" s="419"/>
      <c r="G215" s="419"/>
      <c r="H215" s="419"/>
    </row>
    <row r="216" spans="1:8">
      <c r="A216" s="420" t="s">
        <v>605</v>
      </c>
      <c r="B216" s="419"/>
      <c r="C216" s="419"/>
      <c r="D216" s="419"/>
      <c r="E216" s="419"/>
      <c r="F216" s="419"/>
      <c r="G216" s="419"/>
      <c r="H216" s="419"/>
    </row>
    <row r="217" spans="1:8">
      <c r="A217" s="420" t="s">
        <v>606</v>
      </c>
      <c r="B217" s="419"/>
      <c r="C217" s="419"/>
      <c r="D217" s="419"/>
      <c r="E217" s="419"/>
      <c r="F217" s="419"/>
      <c r="G217" s="419"/>
      <c r="H217" s="419"/>
    </row>
    <row r="218" spans="1:8">
      <c r="A218" s="420" t="s">
        <v>607</v>
      </c>
      <c r="B218" s="419"/>
      <c r="C218" s="419"/>
      <c r="D218" s="419"/>
      <c r="E218" s="419"/>
      <c r="F218" s="419"/>
      <c r="G218" s="419"/>
      <c r="H218" s="419"/>
    </row>
    <row r="219" spans="1:8">
      <c r="A219" s="419"/>
      <c r="B219" s="419"/>
      <c r="C219" s="419"/>
      <c r="D219" s="419"/>
      <c r="E219" s="419"/>
      <c r="F219" s="419"/>
      <c r="G219" s="419"/>
      <c r="H219" s="419"/>
    </row>
    <row r="220" spans="1:8">
      <c r="A220" s="420" t="s">
        <v>600</v>
      </c>
      <c r="B220" s="419"/>
      <c r="C220" s="419"/>
      <c r="D220" s="419"/>
      <c r="E220" s="419"/>
      <c r="F220" s="419"/>
      <c r="G220" s="419"/>
      <c r="H220" s="419"/>
    </row>
    <row r="221" spans="1:8">
      <c r="A221" s="420" t="s">
        <v>601</v>
      </c>
      <c r="B221" s="419"/>
      <c r="C221" s="419"/>
      <c r="D221" s="419"/>
      <c r="E221" s="419"/>
      <c r="F221" s="419"/>
      <c r="G221" s="419"/>
      <c r="H221" s="419"/>
    </row>
    <row r="222" spans="1:8">
      <c r="A222" s="420" t="s">
        <v>602</v>
      </c>
      <c r="B222" s="419"/>
      <c r="C222" s="419"/>
      <c r="D222" s="419"/>
      <c r="E222" s="419"/>
      <c r="F222" s="419"/>
      <c r="G222" s="419"/>
      <c r="H222" s="419"/>
    </row>
    <row r="223" spans="1:8">
      <c r="A223" s="420" t="s">
        <v>603</v>
      </c>
      <c r="B223" s="419"/>
      <c r="C223" s="419"/>
      <c r="D223" s="419"/>
      <c r="E223" s="419"/>
      <c r="F223" s="419"/>
      <c r="G223" s="419"/>
      <c r="H223" s="419"/>
    </row>
    <row r="224" spans="1:8">
      <c r="A224" s="420" t="s">
        <v>604</v>
      </c>
      <c r="B224" s="419"/>
      <c r="C224" s="419"/>
      <c r="D224" s="419"/>
      <c r="E224" s="419"/>
      <c r="F224" s="419"/>
      <c r="G224" s="419"/>
      <c r="H224" s="419"/>
    </row>
    <row r="225" spans="1:8">
      <c r="A225" s="419"/>
      <c r="B225" s="419"/>
      <c r="C225" s="419"/>
      <c r="D225" s="419"/>
      <c r="E225" s="419"/>
      <c r="F225" s="419"/>
      <c r="G225" s="419"/>
      <c r="H225" s="419"/>
    </row>
    <row r="226" spans="1:8">
      <c r="A226" s="420" t="s">
        <v>594</v>
      </c>
      <c r="B226" s="419"/>
      <c r="C226" s="419"/>
      <c r="D226" s="419"/>
      <c r="E226" s="419"/>
      <c r="F226" s="419"/>
      <c r="G226" s="419"/>
      <c r="H226" s="419"/>
    </row>
    <row r="227" spans="1:8">
      <c r="A227" s="420" t="s">
        <v>595</v>
      </c>
      <c r="B227" s="419"/>
      <c r="C227" s="419"/>
      <c r="D227" s="419"/>
      <c r="E227" s="419"/>
      <c r="F227" s="419"/>
      <c r="G227" s="419"/>
      <c r="H227" s="419"/>
    </row>
    <row r="228" spans="1:8">
      <c r="A228" s="420" t="s">
        <v>596</v>
      </c>
      <c r="B228" s="419"/>
      <c r="C228" s="419"/>
      <c r="D228" s="419"/>
      <c r="E228" s="419"/>
      <c r="F228" s="419"/>
      <c r="G228" s="419"/>
      <c r="H228" s="419"/>
    </row>
    <row r="229" spans="1:8">
      <c r="A229" s="420" t="s">
        <v>597</v>
      </c>
      <c r="B229" s="419"/>
      <c r="C229" s="419"/>
      <c r="D229" s="419"/>
      <c r="E229" s="419"/>
      <c r="F229" s="419"/>
      <c r="G229" s="419"/>
      <c r="H229" s="419"/>
    </row>
    <row r="230" spans="1:8">
      <c r="A230" s="420" t="s">
        <v>598</v>
      </c>
      <c r="B230" s="419"/>
      <c r="C230" s="419"/>
      <c r="D230" s="419"/>
      <c r="E230" s="419"/>
      <c r="F230" s="419"/>
      <c r="G230" s="419"/>
      <c r="H230" s="419"/>
    </row>
    <row r="231" spans="1:8">
      <c r="A231" s="420" t="s">
        <v>599</v>
      </c>
      <c r="B231" s="419"/>
      <c r="C231" s="419"/>
      <c r="D231" s="419"/>
      <c r="E231" s="419"/>
      <c r="F231" s="419"/>
      <c r="G231" s="419"/>
      <c r="H231" s="419"/>
    </row>
    <row r="232" spans="1:8">
      <c r="A232" s="419"/>
      <c r="B232" s="419"/>
      <c r="C232" s="419"/>
      <c r="D232" s="419"/>
      <c r="E232" s="419"/>
      <c r="F232" s="419"/>
      <c r="G232" s="419"/>
      <c r="H232" s="419"/>
    </row>
    <row r="233" spans="1:8">
      <c r="A233" s="420" t="s">
        <v>584</v>
      </c>
      <c r="B233" s="419"/>
      <c r="C233" s="419"/>
      <c r="D233" s="419"/>
      <c r="E233" s="419"/>
      <c r="F233" s="419"/>
      <c r="G233" s="419"/>
      <c r="H233" s="419"/>
    </row>
    <row r="234" spans="1:8">
      <c r="A234" s="420" t="s">
        <v>585</v>
      </c>
      <c r="B234" s="419"/>
      <c r="C234" s="419"/>
      <c r="D234" s="419"/>
      <c r="E234" s="419"/>
      <c r="F234" s="419"/>
      <c r="G234" s="419"/>
      <c r="H234" s="419"/>
    </row>
    <row r="235" spans="1:8">
      <c r="A235" s="420" t="s">
        <v>586</v>
      </c>
      <c r="B235" s="419"/>
      <c r="C235" s="419"/>
      <c r="D235" s="419"/>
      <c r="E235" s="419"/>
      <c r="F235" s="419"/>
      <c r="G235" s="419"/>
      <c r="H235" s="419"/>
    </row>
    <row r="236" spans="1:8">
      <c r="A236" s="420" t="s">
        <v>587</v>
      </c>
      <c r="B236" s="419"/>
      <c r="C236" s="419"/>
      <c r="D236" s="419"/>
      <c r="E236" s="419"/>
      <c r="F236" s="419"/>
      <c r="G236" s="419"/>
      <c r="H236" s="419"/>
    </row>
    <row r="237" spans="1:8">
      <c r="A237" s="420" t="s">
        <v>588</v>
      </c>
      <c r="B237" s="419"/>
      <c r="C237" s="419"/>
      <c r="D237" s="419"/>
      <c r="E237" s="419"/>
      <c r="F237" s="419"/>
      <c r="G237" s="419"/>
      <c r="H237" s="419"/>
    </row>
    <row r="238" spans="1:8">
      <c r="A238" s="420" t="s">
        <v>589</v>
      </c>
      <c r="B238" s="419"/>
      <c r="C238" s="419"/>
      <c r="D238" s="419"/>
      <c r="E238" s="419"/>
      <c r="F238" s="419"/>
      <c r="G238" s="419"/>
      <c r="H238" s="419"/>
    </row>
    <row r="239" spans="1:8">
      <c r="A239" s="420" t="s">
        <v>590</v>
      </c>
      <c r="B239" s="419"/>
      <c r="C239" s="419"/>
      <c r="D239" s="419"/>
      <c r="E239" s="419"/>
      <c r="F239" s="419"/>
      <c r="G239" s="419"/>
      <c r="H239" s="419"/>
    </row>
    <row r="240" spans="1:8">
      <c r="A240" s="420" t="s">
        <v>591</v>
      </c>
      <c r="B240" s="419"/>
      <c r="C240" s="419"/>
      <c r="D240" s="419"/>
      <c r="E240" s="419"/>
      <c r="F240" s="419"/>
      <c r="G240" s="419"/>
      <c r="H240" s="419"/>
    </row>
    <row r="241" spans="1:8">
      <c r="A241" s="420" t="s">
        <v>592</v>
      </c>
      <c r="B241" s="419"/>
      <c r="C241" s="419"/>
      <c r="D241" s="419"/>
      <c r="E241" s="419"/>
      <c r="F241" s="419"/>
      <c r="G241" s="419"/>
      <c r="H241" s="419"/>
    </row>
    <row r="242" spans="1:8">
      <c r="A242" s="420" t="s">
        <v>593</v>
      </c>
      <c r="B242" s="419"/>
      <c r="C242" s="419"/>
      <c r="D242" s="419"/>
      <c r="E242" s="419"/>
      <c r="F242" s="419"/>
      <c r="G242" s="419"/>
      <c r="H242" s="419"/>
    </row>
    <row r="243" spans="1:8">
      <c r="A243" s="419"/>
      <c r="B243" s="419"/>
      <c r="C243" s="419"/>
      <c r="D243" s="419"/>
      <c r="E243" s="419"/>
      <c r="F243" s="419"/>
      <c r="G243" s="419"/>
      <c r="H243" s="419"/>
    </row>
    <row r="244" spans="1:8">
      <c r="A244" s="420" t="s">
        <v>582</v>
      </c>
      <c r="B244" s="419"/>
      <c r="C244" s="419"/>
      <c r="D244" s="419"/>
      <c r="E244" s="419"/>
      <c r="F244" s="419"/>
      <c r="G244" s="419"/>
      <c r="H244" s="419"/>
    </row>
    <row r="245" spans="1:8">
      <c r="A245" s="420" t="s">
        <v>583</v>
      </c>
      <c r="B245" s="419"/>
      <c r="C245" s="419"/>
      <c r="D245" s="419"/>
      <c r="E245" s="419"/>
      <c r="F245" s="419"/>
      <c r="G245" s="419"/>
      <c r="H245" s="419"/>
    </row>
    <row r="246" spans="1:8">
      <c r="A246" s="419"/>
      <c r="B246" s="419"/>
      <c r="C246" s="419"/>
      <c r="D246" s="419"/>
      <c r="E246" s="419"/>
      <c r="F246" s="419"/>
      <c r="G246" s="419"/>
      <c r="H246" s="419"/>
    </row>
    <row r="247" spans="1:8">
      <c r="A247" s="420" t="s">
        <v>566</v>
      </c>
      <c r="B247" s="419"/>
      <c r="C247" s="419"/>
      <c r="D247" s="419"/>
      <c r="E247" s="419"/>
      <c r="F247" s="419"/>
      <c r="G247" s="419"/>
      <c r="H247" s="419"/>
    </row>
    <row r="248" spans="1:8">
      <c r="A248" s="420" t="s">
        <v>567</v>
      </c>
      <c r="B248" s="419"/>
      <c r="C248" s="419"/>
      <c r="D248" s="419"/>
      <c r="E248" s="419"/>
      <c r="F248" s="419"/>
      <c r="G248" s="419"/>
      <c r="H248" s="419"/>
    </row>
    <row r="249" spans="1:8">
      <c r="A249" s="420" t="s">
        <v>568</v>
      </c>
      <c r="B249" s="419"/>
      <c r="C249" s="419"/>
      <c r="D249" s="419"/>
      <c r="E249" s="419"/>
      <c r="F249" s="419"/>
      <c r="G249" s="419"/>
      <c r="H249" s="419"/>
    </row>
    <row r="250" spans="1:8">
      <c r="A250" s="420" t="s">
        <v>569</v>
      </c>
      <c r="B250" s="419"/>
      <c r="C250" s="419"/>
      <c r="D250" s="419"/>
      <c r="E250" s="419"/>
      <c r="F250" s="419"/>
      <c r="G250" s="419"/>
      <c r="H250" s="419"/>
    </row>
    <row r="251" spans="1:8">
      <c r="A251" s="420" t="s">
        <v>570</v>
      </c>
      <c r="B251" s="419"/>
      <c r="C251" s="419"/>
      <c r="D251" s="419"/>
      <c r="E251" s="419"/>
      <c r="F251" s="419"/>
      <c r="G251" s="419"/>
      <c r="H251" s="419"/>
    </row>
    <row r="252" spans="1:8">
      <c r="A252" s="420" t="s">
        <v>571</v>
      </c>
      <c r="B252" s="419"/>
      <c r="C252" s="419"/>
      <c r="D252" s="419"/>
      <c r="E252" s="419"/>
      <c r="F252" s="419"/>
      <c r="G252" s="419"/>
      <c r="H252" s="419"/>
    </row>
    <row r="253" spans="1:8">
      <c r="A253" s="420" t="s">
        <v>572</v>
      </c>
      <c r="B253" s="419"/>
      <c r="C253" s="419"/>
      <c r="D253" s="419"/>
      <c r="E253" s="419"/>
      <c r="F253" s="419"/>
      <c r="G253" s="419"/>
      <c r="H253" s="419"/>
    </row>
    <row r="254" spans="1:8">
      <c r="A254" s="420" t="s">
        <v>573</v>
      </c>
      <c r="B254" s="419"/>
      <c r="C254" s="419"/>
      <c r="D254" s="419"/>
      <c r="E254" s="419"/>
      <c r="F254" s="419"/>
      <c r="G254" s="419"/>
      <c r="H254" s="419"/>
    </row>
    <row r="255" spans="1:8">
      <c r="A255" s="420" t="s">
        <v>574</v>
      </c>
      <c r="B255" s="419"/>
      <c r="C255" s="419"/>
      <c r="D255" s="419"/>
      <c r="E255" s="419"/>
      <c r="F255" s="419"/>
      <c r="G255" s="419"/>
      <c r="H255" s="419"/>
    </row>
    <row r="256" spans="1:8">
      <c r="A256" s="420" t="s">
        <v>575</v>
      </c>
      <c r="B256" s="419"/>
      <c r="C256" s="419"/>
      <c r="D256" s="419"/>
      <c r="E256" s="419"/>
      <c r="F256" s="419"/>
      <c r="G256" s="419"/>
      <c r="H256" s="419"/>
    </row>
    <row r="257" spans="1:8">
      <c r="A257" s="420" t="s">
        <v>576</v>
      </c>
      <c r="B257" s="419"/>
      <c r="C257" s="419"/>
      <c r="D257" s="419"/>
      <c r="E257" s="419"/>
      <c r="F257" s="419"/>
      <c r="G257" s="419"/>
      <c r="H257" s="419"/>
    </row>
    <row r="258" spans="1:8">
      <c r="A258" s="420" t="s">
        <v>577</v>
      </c>
      <c r="B258" s="419"/>
      <c r="C258" s="419"/>
      <c r="D258" s="419"/>
      <c r="E258" s="419"/>
      <c r="F258" s="419"/>
      <c r="G258" s="419"/>
      <c r="H258" s="419"/>
    </row>
    <row r="259" spans="1:8">
      <c r="A259" s="420" t="s">
        <v>578</v>
      </c>
      <c r="B259" s="419"/>
      <c r="C259" s="419"/>
      <c r="D259" s="419"/>
      <c r="E259" s="419"/>
      <c r="F259" s="419"/>
      <c r="G259" s="419"/>
      <c r="H259" s="419"/>
    </row>
    <row r="260" spans="1:8">
      <c r="A260" s="420" t="s">
        <v>579</v>
      </c>
      <c r="B260" s="419"/>
      <c r="C260" s="419"/>
      <c r="D260" s="419"/>
      <c r="E260" s="419"/>
      <c r="F260" s="419"/>
      <c r="G260" s="419"/>
      <c r="H260" s="419"/>
    </row>
    <row r="261" spans="1:8">
      <c r="A261" s="420" t="s">
        <v>580</v>
      </c>
      <c r="B261" s="419"/>
      <c r="C261" s="419"/>
      <c r="D261" s="419"/>
      <c r="E261" s="419"/>
      <c r="F261" s="419"/>
      <c r="G261" s="419"/>
      <c r="H261" s="419"/>
    </row>
    <row r="262" spans="1:8">
      <c r="A262" s="420" t="s">
        <v>581</v>
      </c>
      <c r="B262" s="419"/>
      <c r="C262" s="419"/>
      <c r="D262" s="419"/>
      <c r="E262" s="419"/>
      <c r="F262" s="419"/>
      <c r="G262" s="419"/>
      <c r="H262" s="419"/>
    </row>
    <row r="263" spans="1:8">
      <c r="A263" s="419"/>
      <c r="B263" s="419"/>
      <c r="C263" s="419"/>
      <c r="D263" s="419"/>
      <c r="E263" s="419"/>
      <c r="F263" s="419"/>
      <c r="G263" s="419"/>
      <c r="H263" s="419"/>
    </row>
    <row r="264" spans="1:8">
      <c r="A264" s="420" t="s">
        <v>559</v>
      </c>
      <c r="B264" s="419"/>
      <c r="C264" s="419"/>
      <c r="D264" s="419"/>
      <c r="E264" s="419"/>
      <c r="F264" s="419"/>
      <c r="G264" s="419"/>
      <c r="H264" s="419"/>
    </row>
    <row r="265" spans="1:8">
      <c r="A265" s="420" t="s">
        <v>560</v>
      </c>
      <c r="B265" s="419"/>
      <c r="C265" s="419"/>
      <c r="D265" s="419"/>
      <c r="E265" s="419"/>
      <c r="F265" s="419"/>
      <c r="G265" s="419"/>
      <c r="H265" s="419"/>
    </row>
    <row r="266" spans="1:8">
      <c r="A266" s="420" t="s">
        <v>561</v>
      </c>
      <c r="B266" s="419"/>
      <c r="C266" s="419"/>
      <c r="D266" s="419"/>
      <c r="E266" s="419"/>
      <c r="F266" s="419"/>
      <c r="G266" s="419"/>
      <c r="H266" s="419"/>
    </row>
    <row r="267" spans="1:8">
      <c r="A267" s="420" t="s">
        <v>562</v>
      </c>
      <c r="B267" s="419"/>
      <c r="C267" s="419"/>
      <c r="D267" s="419"/>
      <c r="E267" s="419"/>
      <c r="F267" s="419"/>
      <c r="G267" s="419"/>
      <c r="H267" s="419"/>
    </row>
    <row r="268" spans="1:8">
      <c r="A268" s="420" t="s">
        <v>563</v>
      </c>
      <c r="B268" s="419"/>
      <c r="C268" s="419"/>
      <c r="D268" s="419"/>
      <c r="E268" s="419"/>
      <c r="F268" s="419"/>
      <c r="G268" s="419"/>
      <c r="H268" s="419"/>
    </row>
    <row r="269" spans="1:8">
      <c r="A269" s="420" t="s">
        <v>564</v>
      </c>
      <c r="B269" s="419"/>
      <c r="C269" s="419"/>
      <c r="D269" s="419"/>
      <c r="E269" s="419"/>
      <c r="F269" s="419"/>
      <c r="G269" s="419"/>
      <c r="H269" s="419"/>
    </row>
    <row r="270" spans="1:8">
      <c r="A270" s="420" t="s">
        <v>565</v>
      </c>
      <c r="B270" s="419"/>
      <c r="C270" s="419"/>
      <c r="D270" s="419"/>
      <c r="E270" s="419"/>
      <c r="F270" s="419"/>
      <c r="G270" s="419"/>
      <c r="H270" s="419"/>
    </row>
    <row r="271" spans="1:8">
      <c r="A271" s="419"/>
      <c r="B271" s="419"/>
      <c r="C271" s="419"/>
      <c r="D271" s="419"/>
      <c r="E271" s="419"/>
      <c r="F271" s="419"/>
      <c r="G271" s="419"/>
      <c r="H271" s="419"/>
    </row>
    <row r="272" spans="1:8">
      <c r="A272" s="420" t="s">
        <v>550</v>
      </c>
      <c r="B272" s="419"/>
      <c r="C272" s="419"/>
      <c r="D272" s="419"/>
      <c r="E272" s="419"/>
      <c r="F272" s="419"/>
      <c r="G272" s="419"/>
      <c r="H272" s="419"/>
    </row>
    <row r="273" spans="1:8">
      <c r="A273" s="420" t="s">
        <v>551</v>
      </c>
      <c r="B273" s="419"/>
      <c r="C273" s="419"/>
      <c r="D273" s="419"/>
      <c r="E273" s="419"/>
      <c r="F273" s="419"/>
      <c r="G273" s="419"/>
      <c r="H273" s="419"/>
    </row>
    <row r="274" spans="1:8">
      <c r="A274" s="420" t="s">
        <v>552</v>
      </c>
      <c r="B274" s="419"/>
      <c r="C274" s="419"/>
      <c r="D274" s="419"/>
      <c r="E274" s="419"/>
      <c r="F274" s="419"/>
      <c r="G274" s="419"/>
      <c r="H274" s="419"/>
    </row>
    <row r="275" spans="1:8">
      <c r="A275" s="420" t="s">
        <v>553</v>
      </c>
      <c r="B275" s="419"/>
      <c r="C275" s="419"/>
      <c r="D275" s="419"/>
      <c r="E275" s="419"/>
      <c r="F275" s="419"/>
      <c r="G275" s="419"/>
      <c r="H275" s="419"/>
    </row>
    <row r="276" spans="1:8">
      <c r="A276" s="420" t="s">
        <v>554</v>
      </c>
      <c r="B276" s="419"/>
      <c r="C276" s="419"/>
      <c r="D276" s="419"/>
      <c r="E276" s="419"/>
      <c r="F276" s="419"/>
      <c r="G276" s="419"/>
      <c r="H276" s="419"/>
    </row>
    <row r="277" spans="1:8">
      <c r="A277" s="420" t="s">
        <v>555</v>
      </c>
      <c r="B277" s="419"/>
      <c r="C277" s="419"/>
      <c r="D277" s="419"/>
      <c r="E277" s="419"/>
      <c r="F277" s="419"/>
      <c r="G277" s="419"/>
      <c r="H277" s="419"/>
    </row>
    <row r="278" spans="1:8">
      <c r="A278" s="420" t="s">
        <v>556</v>
      </c>
      <c r="B278" s="419"/>
      <c r="C278" s="419"/>
      <c r="D278" s="419"/>
      <c r="E278" s="419"/>
      <c r="F278" s="419"/>
      <c r="G278" s="419"/>
      <c r="H278" s="419"/>
    </row>
    <row r="279" spans="1:8">
      <c r="A279" s="420" t="s">
        <v>557</v>
      </c>
      <c r="B279" s="419"/>
      <c r="C279" s="419"/>
      <c r="D279" s="419"/>
      <c r="E279" s="419"/>
      <c r="F279" s="419"/>
      <c r="G279" s="419"/>
      <c r="H279" s="419"/>
    </row>
    <row r="280" spans="1:8">
      <c r="A280" s="420" t="s">
        <v>558</v>
      </c>
      <c r="B280" s="419"/>
      <c r="C280" s="419"/>
      <c r="D280" s="419"/>
      <c r="E280" s="419"/>
      <c r="F280" s="419"/>
      <c r="G280" s="419"/>
      <c r="H280" s="419"/>
    </row>
    <row r="281" spans="1:8">
      <c r="A281" s="419"/>
      <c r="B281" s="419"/>
      <c r="C281" s="419"/>
      <c r="D281" s="419"/>
      <c r="E281" s="419"/>
      <c r="F281" s="419"/>
      <c r="G281" s="419"/>
      <c r="H281" s="419"/>
    </row>
    <row r="282" spans="1:8">
      <c r="A282" s="420" t="s">
        <v>543</v>
      </c>
      <c r="B282" s="419"/>
      <c r="C282" s="419"/>
      <c r="D282" s="419"/>
      <c r="E282" s="419"/>
      <c r="F282" s="419"/>
      <c r="G282" s="419"/>
      <c r="H282" s="419"/>
    </row>
    <row r="283" spans="1:8">
      <c r="A283" s="420" t="s">
        <v>544</v>
      </c>
      <c r="B283" s="419"/>
      <c r="C283" s="419"/>
      <c r="D283" s="419"/>
      <c r="E283" s="419"/>
      <c r="F283" s="419"/>
      <c r="G283" s="419"/>
      <c r="H283" s="419"/>
    </row>
    <row r="284" spans="1:8">
      <c r="A284" s="420" t="s">
        <v>545</v>
      </c>
      <c r="B284" s="419"/>
      <c r="C284" s="419"/>
      <c r="D284" s="419"/>
      <c r="E284" s="419"/>
      <c r="F284" s="419"/>
      <c r="G284" s="419"/>
      <c r="H284" s="419"/>
    </row>
    <row r="285" spans="1:8">
      <c r="A285" s="420" t="s">
        <v>546</v>
      </c>
      <c r="B285" s="419"/>
      <c r="C285" s="419"/>
      <c r="D285" s="419"/>
      <c r="E285" s="419"/>
      <c r="F285" s="419"/>
      <c r="G285" s="419"/>
      <c r="H285" s="419"/>
    </row>
    <row r="286" spans="1:8">
      <c r="A286" s="420" t="s">
        <v>547</v>
      </c>
      <c r="B286" s="419"/>
      <c r="C286" s="419"/>
      <c r="D286" s="419"/>
      <c r="E286" s="419"/>
      <c r="F286" s="419"/>
      <c r="G286" s="419"/>
      <c r="H286" s="419"/>
    </row>
    <row r="287" spans="1:8">
      <c r="A287" s="420" t="s">
        <v>548</v>
      </c>
      <c r="B287" s="419"/>
      <c r="C287" s="419"/>
      <c r="D287" s="419"/>
      <c r="E287" s="419"/>
      <c r="F287" s="419"/>
      <c r="G287" s="419"/>
      <c r="H287" s="419"/>
    </row>
    <row r="288" spans="1:8">
      <c r="A288" s="420" t="s">
        <v>549</v>
      </c>
      <c r="B288" s="419"/>
      <c r="C288" s="419"/>
      <c r="D288" s="419"/>
      <c r="E288" s="419"/>
      <c r="F288" s="419"/>
      <c r="G288" s="419"/>
      <c r="H288" s="419"/>
    </row>
    <row r="289" spans="1:8">
      <c r="A289" s="419"/>
      <c r="B289" s="419"/>
      <c r="C289" s="419"/>
      <c r="D289" s="419"/>
      <c r="E289" s="419"/>
      <c r="F289" s="419"/>
      <c r="G289" s="419"/>
      <c r="H289" s="419"/>
    </row>
    <row r="290" spans="1:8">
      <c r="A290" s="420" t="s">
        <v>540</v>
      </c>
      <c r="B290" s="419"/>
      <c r="C290" s="419"/>
      <c r="D290" s="419"/>
      <c r="E290" s="419"/>
      <c r="F290" s="419"/>
      <c r="G290" s="419"/>
      <c r="H290" s="419"/>
    </row>
    <row r="291" spans="1:8">
      <c r="A291" s="420" t="s">
        <v>541</v>
      </c>
      <c r="B291" s="419"/>
      <c r="C291" s="419"/>
      <c r="D291" s="419"/>
      <c r="E291" s="419"/>
      <c r="F291" s="419"/>
      <c r="G291" s="419"/>
      <c r="H291" s="419"/>
    </row>
    <row r="292" spans="1:8">
      <c r="A292" s="420" t="s">
        <v>542</v>
      </c>
      <c r="B292" s="419"/>
      <c r="C292" s="419"/>
      <c r="D292" s="419"/>
      <c r="E292" s="419"/>
      <c r="F292" s="419"/>
      <c r="G292" s="419"/>
      <c r="H292" s="419"/>
    </row>
    <row r="293" spans="1:8">
      <c r="A293" s="419"/>
      <c r="B293" s="419"/>
      <c r="C293" s="419"/>
      <c r="D293" s="419"/>
      <c r="E293" s="419"/>
      <c r="F293" s="419"/>
      <c r="G293" s="419"/>
      <c r="H293" s="419"/>
    </row>
    <row r="294" spans="1:8">
      <c r="A294" s="420" t="s">
        <v>538</v>
      </c>
      <c r="B294" s="419"/>
      <c r="C294" s="419"/>
      <c r="D294" s="419"/>
      <c r="E294" s="419"/>
      <c r="F294" s="419"/>
      <c r="G294" s="419"/>
      <c r="H294" s="419"/>
    </row>
    <row r="295" spans="1:8">
      <c r="A295" s="420" t="s">
        <v>539</v>
      </c>
      <c r="B295" s="419"/>
      <c r="C295" s="419"/>
      <c r="D295" s="419"/>
      <c r="E295" s="419"/>
      <c r="F295" s="419"/>
      <c r="G295" s="419"/>
      <c r="H295" s="419"/>
    </row>
    <row r="296" spans="1:8">
      <c r="A296" s="419"/>
      <c r="B296" s="419"/>
      <c r="C296" s="419"/>
      <c r="D296" s="419"/>
      <c r="E296" s="419"/>
      <c r="F296" s="419"/>
      <c r="G296" s="419"/>
      <c r="H296" s="419"/>
    </row>
    <row r="297" spans="1:8">
      <c r="A297" s="420" t="s">
        <v>525</v>
      </c>
      <c r="B297" s="419"/>
      <c r="C297" s="419"/>
      <c r="D297" s="419"/>
      <c r="E297" s="419"/>
      <c r="F297" s="419"/>
      <c r="G297" s="419"/>
      <c r="H297" s="419"/>
    </row>
    <row r="298" spans="1:8">
      <c r="A298" s="420" t="s">
        <v>526</v>
      </c>
      <c r="B298" s="419"/>
      <c r="C298" s="419"/>
      <c r="D298" s="419"/>
      <c r="E298" s="419"/>
      <c r="F298" s="419"/>
      <c r="G298" s="419"/>
      <c r="H298" s="419"/>
    </row>
    <row r="299" spans="1:8">
      <c r="A299" s="420" t="s">
        <v>527</v>
      </c>
      <c r="B299" s="419"/>
      <c r="C299" s="419"/>
      <c r="D299" s="419"/>
      <c r="E299" s="419"/>
      <c r="F299" s="419"/>
      <c r="G299" s="419"/>
      <c r="H299" s="419"/>
    </row>
    <row r="300" spans="1:8">
      <c r="A300" s="420" t="s">
        <v>528</v>
      </c>
      <c r="B300" s="419"/>
      <c r="C300" s="419"/>
      <c r="D300" s="419"/>
      <c r="E300" s="419"/>
      <c r="F300" s="419"/>
      <c r="G300" s="419"/>
      <c r="H300" s="419"/>
    </row>
    <row r="301" spans="1:8">
      <c r="A301" s="420" t="s">
        <v>529</v>
      </c>
      <c r="B301" s="419"/>
      <c r="C301" s="419"/>
      <c r="D301" s="419"/>
      <c r="E301" s="419"/>
      <c r="F301" s="419"/>
      <c r="G301" s="419"/>
      <c r="H301" s="419"/>
    </row>
    <row r="302" spans="1:8">
      <c r="A302" s="420" t="s">
        <v>530</v>
      </c>
      <c r="B302" s="419"/>
      <c r="C302" s="419"/>
      <c r="D302" s="419"/>
      <c r="E302" s="419"/>
      <c r="F302" s="419"/>
      <c r="G302" s="419"/>
      <c r="H302" s="419"/>
    </row>
    <row r="303" spans="1:8">
      <c r="A303" s="420" t="s">
        <v>531</v>
      </c>
      <c r="B303" s="419"/>
      <c r="C303" s="419"/>
      <c r="D303" s="419"/>
      <c r="E303" s="419"/>
      <c r="F303" s="419"/>
      <c r="G303" s="419"/>
      <c r="H303" s="419"/>
    </row>
    <row r="304" spans="1:8">
      <c r="A304" s="420" t="s">
        <v>532</v>
      </c>
      <c r="B304" s="419"/>
      <c r="C304" s="419"/>
      <c r="D304" s="419"/>
      <c r="E304" s="419"/>
      <c r="F304" s="419"/>
      <c r="G304" s="419"/>
      <c r="H304" s="419"/>
    </row>
    <row r="305" spans="1:8">
      <c r="A305" s="420" t="s">
        <v>533</v>
      </c>
      <c r="B305" s="419"/>
      <c r="C305" s="419"/>
      <c r="D305" s="419"/>
      <c r="E305" s="419"/>
      <c r="F305" s="419"/>
      <c r="G305" s="419"/>
      <c r="H305" s="419"/>
    </row>
    <row r="306" spans="1:8">
      <c r="A306" s="420" t="s">
        <v>534</v>
      </c>
      <c r="B306" s="419"/>
      <c r="C306" s="419"/>
      <c r="D306" s="419"/>
      <c r="E306" s="419"/>
      <c r="F306" s="419"/>
      <c r="G306" s="419"/>
      <c r="H306" s="419"/>
    </row>
    <row r="307" spans="1:8">
      <c r="A307" s="420" t="s">
        <v>535</v>
      </c>
      <c r="B307" s="419"/>
      <c r="C307" s="419"/>
      <c r="D307" s="419"/>
      <c r="E307" s="419"/>
      <c r="F307" s="419"/>
      <c r="G307" s="419"/>
      <c r="H307" s="419"/>
    </row>
    <row r="308" spans="1:8">
      <c r="A308" s="420" t="s">
        <v>536</v>
      </c>
      <c r="B308" s="419"/>
      <c r="C308" s="419"/>
      <c r="D308" s="419"/>
      <c r="E308" s="419"/>
      <c r="F308" s="419"/>
      <c r="G308" s="419"/>
      <c r="H308" s="419"/>
    </row>
    <row r="309" spans="1:8">
      <c r="A309" s="420" t="s">
        <v>537</v>
      </c>
      <c r="B309" s="419"/>
      <c r="C309" s="419"/>
      <c r="D309" s="419"/>
      <c r="E309" s="419"/>
      <c r="F309" s="419"/>
      <c r="G309" s="419"/>
      <c r="H309" s="419"/>
    </row>
    <row r="310" spans="1:8">
      <c r="A310" s="419"/>
      <c r="B310" s="419"/>
      <c r="C310" s="419"/>
      <c r="D310" s="419"/>
      <c r="E310" s="419"/>
      <c r="F310" s="419"/>
      <c r="G310" s="419"/>
      <c r="H310" s="419"/>
    </row>
    <row r="311" spans="1:8">
      <c r="A311" s="420" t="s">
        <v>517</v>
      </c>
      <c r="B311" s="419"/>
      <c r="C311" s="419"/>
      <c r="D311" s="419"/>
      <c r="E311" s="419"/>
      <c r="F311" s="419"/>
      <c r="G311" s="419"/>
      <c r="H311" s="419"/>
    </row>
    <row r="312" spans="1:8">
      <c r="A312" s="420" t="s">
        <v>518</v>
      </c>
      <c r="B312" s="419"/>
      <c r="C312" s="419"/>
      <c r="D312" s="419"/>
      <c r="E312" s="419"/>
      <c r="F312" s="419"/>
      <c r="G312" s="419"/>
      <c r="H312" s="419"/>
    </row>
    <row r="313" spans="1:8">
      <c r="A313" s="420" t="s">
        <v>519</v>
      </c>
      <c r="B313" s="419"/>
      <c r="C313" s="419"/>
      <c r="D313" s="419"/>
      <c r="E313" s="419"/>
      <c r="F313" s="419"/>
      <c r="G313" s="419"/>
      <c r="H313" s="419"/>
    </row>
    <row r="314" spans="1:8">
      <c r="A314" s="420" t="s">
        <v>520</v>
      </c>
      <c r="B314" s="419"/>
      <c r="C314" s="419"/>
      <c r="D314" s="419"/>
      <c r="E314" s="419"/>
      <c r="F314" s="419"/>
      <c r="G314" s="419"/>
      <c r="H314" s="419"/>
    </row>
    <row r="315" spans="1:8">
      <c r="A315" s="420" t="s">
        <v>521</v>
      </c>
      <c r="B315" s="419"/>
      <c r="C315" s="419"/>
      <c r="D315" s="419"/>
      <c r="E315" s="419"/>
      <c r="F315" s="419"/>
      <c r="G315" s="419"/>
      <c r="H315" s="419"/>
    </row>
    <row r="316" spans="1:8">
      <c r="A316" s="420" t="s">
        <v>522</v>
      </c>
      <c r="B316" s="419"/>
      <c r="C316" s="419"/>
      <c r="D316" s="419"/>
      <c r="E316" s="419"/>
      <c r="F316" s="419"/>
      <c r="G316" s="419"/>
      <c r="H316" s="419"/>
    </row>
    <row r="317" spans="1:8">
      <c r="A317" s="420" t="s">
        <v>523</v>
      </c>
      <c r="B317" s="419"/>
      <c r="C317" s="419"/>
      <c r="D317" s="419"/>
      <c r="E317" s="419"/>
      <c r="F317" s="419"/>
      <c r="G317" s="419"/>
      <c r="H317" s="419"/>
    </row>
    <row r="318" spans="1:8">
      <c r="A318" s="420" t="s">
        <v>524</v>
      </c>
      <c r="B318" s="419"/>
      <c r="C318" s="419"/>
      <c r="D318" s="419"/>
      <c r="E318" s="419"/>
      <c r="F318" s="419"/>
      <c r="G318" s="419"/>
      <c r="H318" s="419"/>
    </row>
    <row r="319" spans="1:8">
      <c r="A319" s="419"/>
      <c r="B319" s="419"/>
      <c r="C319" s="419"/>
      <c r="D319" s="419"/>
      <c r="E319" s="419"/>
      <c r="F319" s="419"/>
      <c r="G319" s="419"/>
      <c r="H319" s="419"/>
    </row>
    <row r="320" spans="1:8">
      <c r="A320" s="420" t="s">
        <v>482</v>
      </c>
      <c r="B320" s="419"/>
      <c r="C320" s="419"/>
      <c r="D320" s="419"/>
      <c r="E320" s="419"/>
      <c r="F320" s="419"/>
      <c r="G320" s="419"/>
      <c r="H320" s="419"/>
    </row>
    <row r="321" spans="1:8">
      <c r="A321" s="420" t="s">
        <v>483</v>
      </c>
      <c r="B321" s="419"/>
      <c r="C321" s="419"/>
      <c r="D321" s="419"/>
      <c r="E321" s="419"/>
      <c r="F321" s="419"/>
      <c r="G321" s="419"/>
      <c r="H321" s="419"/>
    </row>
    <row r="322" spans="1:8">
      <c r="A322" s="420" t="s">
        <v>484</v>
      </c>
      <c r="B322" s="419"/>
      <c r="C322" s="419"/>
      <c r="D322" s="419"/>
      <c r="E322" s="419"/>
      <c r="F322" s="419"/>
      <c r="G322" s="419"/>
      <c r="H322" s="419"/>
    </row>
    <row r="323" spans="1:8">
      <c r="A323" s="420" t="s">
        <v>485</v>
      </c>
      <c r="B323" s="419"/>
      <c r="C323" s="419"/>
      <c r="D323" s="419"/>
      <c r="E323" s="419"/>
      <c r="F323" s="419"/>
      <c r="G323" s="419"/>
      <c r="H323" s="419"/>
    </row>
    <row r="324" spans="1:8">
      <c r="A324" s="420" t="s">
        <v>486</v>
      </c>
      <c r="B324" s="419"/>
      <c r="C324" s="419"/>
      <c r="D324" s="419"/>
      <c r="E324" s="419"/>
      <c r="F324" s="419"/>
      <c r="G324" s="419"/>
      <c r="H324" s="419"/>
    </row>
    <row r="325" spans="1:8">
      <c r="A325" s="420" t="s">
        <v>487</v>
      </c>
      <c r="B325" s="419"/>
      <c r="C325" s="419"/>
      <c r="D325" s="419"/>
      <c r="E325" s="419"/>
      <c r="F325" s="419"/>
      <c r="G325" s="419"/>
      <c r="H325" s="419"/>
    </row>
    <row r="326" spans="1:8">
      <c r="A326" s="420" t="s">
        <v>488</v>
      </c>
      <c r="B326" s="419"/>
      <c r="C326" s="419"/>
      <c r="D326" s="419"/>
      <c r="E326" s="419"/>
      <c r="F326" s="419"/>
      <c r="G326" s="419"/>
      <c r="H326" s="419"/>
    </row>
    <row r="327" spans="1:8">
      <c r="A327" s="420" t="s">
        <v>489</v>
      </c>
      <c r="B327" s="419"/>
      <c r="C327" s="419"/>
      <c r="D327" s="419"/>
      <c r="E327" s="419"/>
      <c r="F327" s="419"/>
      <c r="G327" s="419"/>
      <c r="H327" s="419"/>
    </row>
    <row r="328" spans="1:8">
      <c r="A328" s="420" t="s">
        <v>490</v>
      </c>
      <c r="B328" s="419"/>
      <c r="C328" s="419"/>
      <c r="D328" s="419"/>
      <c r="E328" s="419"/>
      <c r="F328" s="419"/>
      <c r="G328" s="419"/>
      <c r="H328" s="419"/>
    </row>
    <row r="329" spans="1:8">
      <c r="A329" s="420" t="s">
        <v>491</v>
      </c>
      <c r="B329" s="419"/>
      <c r="C329" s="419"/>
      <c r="D329" s="419"/>
      <c r="E329" s="419"/>
      <c r="F329" s="419"/>
      <c r="G329" s="419"/>
      <c r="H329" s="419"/>
    </row>
    <row r="330" spans="1:8">
      <c r="A330" s="420" t="s">
        <v>492</v>
      </c>
      <c r="B330" s="419"/>
      <c r="C330" s="419"/>
      <c r="D330" s="419"/>
      <c r="E330" s="419"/>
      <c r="F330" s="419"/>
      <c r="G330" s="419"/>
      <c r="H330" s="419"/>
    </row>
    <row r="331" spans="1:8">
      <c r="A331" s="420" t="s">
        <v>493</v>
      </c>
      <c r="B331" s="419"/>
      <c r="C331" s="419"/>
      <c r="D331" s="419"/>
      <c r="E331" s="419"/>
      <c r="F331" s="419"/>
      <c r="G331" s="419"/>
      <c r="H331" s="419"/>
    </row>
    <row r="332" spans="1:8">
      <c r="A332" s="420" t="s">
        <v>494</v>
      </c>
      <c r="B332" s="419"/>
      <c r="C332" s="419"/>
      <c r="D332" s="419"/>
      <c r="E332" s="419"/>
      <c r="F332" s="419"/>
      <c r="G332" s="419"/>
      <c r="H332" s="419"/>
    </row>
    <row r="333" spans="1:8">
      <c r="A333" s="420" t="s">
        <v>495</v>
      </c>
      <c r="B333" s="419"/>
      <c r="C333" s="419"/>
      <c r="D333" s="419"/>
      <c r="E333" s="419"/>
      <c r="F333" s="419"/>
      <c r="G333" s="419"/>
      <c r="H333" s="419"/>
    </row>
    <row r="334" spans="1:8">
      <c r="A334" s="420" t="s">
        <v>496</v>
      </c>
      <c r="B334" s="419"/>
      <c r="C334" s="419"/>
      <c r="D334" s="419"/>
      <c r="E334" s="419"/>
      <c r="F334" s="419"/>
      <c r="G334" s="419"/>
      <c r="H334" s="419"/>
    </row>
    <row r="335" spans="1:8">
      <c r="A335" s="420" t="s">
        <v>497</v>
      </c>
      <c r="B335" s="419"/>
      <c r="C335" s="419"/>
      <c r="D335" s="419"/>
      <c r="E335" s="419"/>
      <c r="F335" s="419"/>
      <c r="G335" s="419"/>
      <c r="H335" s="419"/>
    </row>
    <row r="336" spans="1:8">
      <c r="A336" s="420" t="s">
        <v>498</v>
      </c>
      <c r="B336" s="419"/>
      <c r="C336" s="419"/>
      <c r="D336" s="419"/>
      <c r="E336" s="419"/>
      <c r="F336" s="419"/>
      <c r="G336" s="419"/>
      <c r="H336" s="419"/>
    </row>
    <row r="337" spans="1:8">
      <c r="A337" s="420" t="s">
        <v>499</v>
      </c>
      <c r="B337" s="419"/>
      <c r="C337" s="419"/>
      <c r="D337" s="419"/>
      <c r="E337" s="419"/>
      <c r="F337" s="419"/>
      <c r="G337" s="419"/>
      <c r="H337" s="419"/>
    </row>
    <row r="338" spans="1:8">
      <c r="A338" s="420" t="s">
        <v>500</v>
      </c>
      <c r="B338" s="419"/>
      <c r="C338" s="419"/>
      <c r="D338" s="419"/>
      <c r="E338" s="419"/>
      <c r="F338" s="419"/>
      <c r="G338" s="419"/>
      <c r="H338" s="419"/>
    </row>
    <row r="339" spans="1:8">
      <c r="A339" s="420" t="s">
        <v>501</v>
      </c>
      <c r="B339" s="419"/>
      <c r="C339" s="419"/>
      <c r="D339" s="419"/>
      <c r="E339" s="419"/>
      <c r="F339" s="419"/>
      <c r="G339" s="419"/>
      <c r="H339" s="419"/>
    </row>
    <row r="340" spans="1:8">
      <c r="A340" s="420" t="s">
        <v>502</v>
      </c>
      <c r="B340" s="419"/>
      <c r="C340" s="419"/>
      <c r="D340" s="419"/>
      <c r="E340" s="419"/>
      <c r="F340" s="419"/>
      <c r="G340" s="419"/>
      <c r="H340" s="419"/>
    </row>
    <row r="341" spans="1:8">
      <c r="A341" s="420" t="s">
        <v>503</v>
      </c>
      <c r="B341" s="419"/>
      <c r="C341" s="419"/>
      <c r="D341" s="419"/>
      <c r="E341" s="419"/>
      <c r="F341" s="419"/>
      <c r="G341" s="419"/>
      <c r="H341" s="419"/>
    </row>
    <row r="342" spans="1:8">
      <c r="A342" s="420" t="s">
        <v>504</v>
      </c>
      <c r="B342" s="419"/>
      <c r="C342" s="419"/>
      <c r="D342" s="419"/>
      <c r="E342" s="419"/>
      <c r="F342" s="419"/>
      <c r="G342" s="419"/>
      <c r="H342" s="419"/>
    </row>
    <row r="343" spans="1:8">
      <c r="A343" s="420" t="s">
        <v>505</v>
      </c>
      <c r="B343" s="419"/>
      <c r="C343" s="419"/>
      <c r="D343" s="419"/>
      <c r="E343" s="419"/>
      <c r="F343" s="419"/>
      <c r="G343" s="419"/>
      <c r="H343" s="419"/>
    </row>
    <row r="344" spans="1:8">
      <c r="A344" s="420" t="s">
        <v>506</v>
      </c>
      <c r="B344" s="419"/>
      <c r="C344" s="419"/>
      <c r="D344" s="419"/>
      <c r="E344" s="419"/>
      <c r="F344" s="419"/>
      <c r="G344" s="419"/>
      <c r="H344" s="419"/>
    </row>
    <row r="345" spans="1:8">
      <c r="A345" s="420" t="s">
        <v>507</v>
      </c>
      <c r="B345" s="419"/>
      <c r="C345" s="419"/>
      <c r="D345" s="419"/>
      <c r="E345" s="419"/>
      <c r="F345" s="419"/>
      <c r="G345" s="419"/>
      <c r="H345" s="419"/>
    </row>
    <row r="346" spans="1:8">
      <c r="A346" s="420" t="s">
        <v>508</v>
      </c>
      <c r="B346" s="419"/>
      <c r="C346" s="419"/>
      <c r="D346" s="419"/>
      <c r="E346" s="419"/>
      <c r="F346" s="419"/>
      <c r="G346" s="419"/>
      <c r="H346" s="419"/>
    </row>
    <row r="347" spans="1:8">
      <c r="A347" s="420" t="s">
        <v>509</v>
      </c>
      <c r="B347" s="419"/>
      <c r="C347" s="419"/>
      <c r="D347" s="419"/>
      <c r="E347" s="419"/>
      <c r="F347" s="419"/>
      <c r="G347" s="419"/>
      <c r="H347" s="419"/>
    </row>
    <row r="348" spans="1:8">
      <c r="A348" s="420" t="s">
        <v>510</v>
      </c>
      <c r="B348" s="419"/>
      <c r="C348" s="419"/>
      <c r="D348" s="419"/>
      <c r="E348" s="419"/>
      <c r="F348" s="419"/>
      <c r="G348" s="419"/>
      <c r="H348" s="419"/>
    </row>
    <row r="349" spans="1:8">
      <c r="A349" s="420" t="s">
        <v>511</v>
      </c>
      <c r="B349" s="419"/>
      <c r="C349" s="419"/>
      <c r="D349" s="419"/>
      <c r="E349" s="419"/>
      <c r="F349" s="419"/>
      <c r="G349" s="419"/>
      <c r="H349" s="419"/>
    </row>
    <row r="350" spans="1:8">
      <c r="A350" s="420" t="s">
        <v>512</v>
      </c>
      <c r="B350" s="419"/>
      <c r="C350" s="419"/>
      <c r="D350" s="419"/>
      <c r="E350" s="419"/>
      <c r="F350" s="419"/>
      <c r="G350" s="419"/>
      <c r="H350" s="419"/>
    </row>
    <row r="351" spans="1:8">
      <c r="A351" s="420" t="s">
        <v>513</v>
      </c>
      <c r="B351" s="419"/>
      <c r="C351" s="419"/>
      <c r="D351" s="419"/>
      <c r="E351" s="419"/>
      <c r="F351" s="419"/>
      <c r="G351" s="419"/>
      <c r="H351" s="419"/>
    </row>
    <row r="352" spans="1:8">
      <c r="A352" s="420" t="s">
        <v>514</v>
      </c>
      <c r="B352" s="419"/>
      <c r="C352" s="419"/>
      <c r="D352" s="419"/>
      <c r="E352" s="419"/>
      <c r="F352" s="419"/>
      <c r="G352" s="419"/>
      <c r="H352" s="419"/>
    </row>
    <row r="353" spans="1:8">
      <c r="A353" s="420" t="s">
        <v>515</v>
      </c>
      <c r="B353" s="419"/>
      <c r="C353" s="419"/>
      <c r="D353" s="419"/>
      <c r="E353" s="419"/>
      <c r="F353" s="419"/>
      <c r="G353" s="419"/>
      <c r="H353" s="419"/>
    </row>
    <row r="354" spans="1:8">
      <c r="A354" s="420" t="s">
        <v>516</v>
      </c>
      <c r="B354" s="419"/>
      <c r="C354" s="419"/>
      <c r="D354" s="419"/>
      <c r="E354" s="419"/>
      <c r="F354" s="419"/>
      <c r="G354" s="419"/>
      <c r="H354" s="419"/>
    </row>
    <row r="355" spans="1:8">
      <c r="A355" s="419"/>
      <c r="B355" s="419"/>
      <c r="C355" s="419"/>
      <c r="D355" s="419"/>
      <c r="E355" s="419"/>
      <c r="F355" s="419"/>
      <c r="G355" s="419"/>
      <c r="H355" s="419"/>
    </row>
    <row r="356" spans="1:8">
      <c r="A356" s="420" t="s">
        <v>474</v>
      </c>
      <c r="B356" s="419"/>
      <c r="C356" s="419"/>
      <c r="D356" s="419"/>
      <c r="E356" s="419"/>
      <c r="F356" s="419"/>
      <c r="G356" s="419"/>
      <c r="H356" s="419"/>
    </row>
    <row r="357" spans="1:8">
      <c r="A357" s="420" t="s">
        <v>478</v>
      </c>
      <c r="B357" s="419"/>
      <c r="C357" s="419"/>
      <c r="D357" s="419"/>
      <c r="E357" s="419"/>
      <c r="F357" s="419"/>
      <c r="G357" s="419"/>
      <c r="H357" s="419"/>
    </row>
    <row r="358" spans="1:8">
      <c r="A358" s="420" t="s">
        <v>479</v>
      </c>
      <c r="B358" s="419"/>
      <c r="C358" s="419"/>
      <c r="D358" s="419"/>
      <c r="E358" s="419"/>
      <c r="F358" s="419"/>
      <c r="G358" s="419"/>
      <c r="H358" s="419"/>
    </row>
    <row r="359" spans="1:8">
      <c r="A359" s="420" t="s">
        <v>480</v>
      </c>
      <c r="B359" s="419"/>
      <c r="C359" s="419"/>
      <c r="D359" s="419"/>
      <c r="E359" s="419"/>
      <c r="F359" s="419"/>
      <c r="G359" s="419"/>
      <c r="H359" s="419"/>
    </row>
    <row r="360" spans="1:8">
      <c r="A360" s="420" t="s">
        <v>481</v>
      </c>
      <c r="B360" s="419"/>
      <c r="C360" s="419"/>
      <c r="D360" s="419"/>
      <c r="E360" s="419"/>
      <c r="F360" s="419"/>
      <c r="G360" s="419"/>
      <c r="H360" s="419"/>
    </row>
    <row r="361" spans="1:8">
      <c r="A361" s="419"/>
      <c r="B361" s="419"/>
      <c r="C361" s="419"/>
      <c r="D361" s="419"/>
      <c r="E361" s="419"/>
      <c r="F361" s="419"/>
      <c r="G361" s="419"/>
      <c r="H361" s="419"/>
    </row>
    <row r="362" spans="1:8">
      <c r="A362" s="420" t="s">
        <v>474</v>
      </c>
      <c r="B362" s="419"/>
      <c r="C362" s="419"/>
      <c r="D362" s="419"/>
      <c r="E362" s="419"/>
      <c r="F362" s="419"/>
      <c r="G362" s="419"/>
      <c r="H362" s="419"/>
    </row>
    <row r="363" spans="1:8">
      <c r="A363" s="420" t="s">
        <v>475</v>
      </c>
      <c r="B363" s="419"/>
      <c r="C363" s="419"/>
      <c r="D363" s="419"/>
      <c r="E363" s="419"/>
      <c r="F363" s="419"/>
      <c r="G363" s="419"/>
      <c r="H363" s="419"/>
    </row>
    <row r="364" spans="1:8">
      <c r="A364" s="420" t="s">
        <v>476</v>
      </c>
      <c r="B364" s="419"/>
      <c r="C364" s="419"/>
      <c r="D364" s="419"/>
      <c r="E364" s="419"/>
      <c r="F364" s="419"/>
      <c r="G364" s="419"/>
      <c r="H364" s="419"/>
    </row>
    <row r="365" spans="1:8">
      <c r="A365" s="420" t="s">
        <v>477</v>
      </c>
      <c r="B365" s="419"/>
      <c r="C365" s="419"/>
      <c r="D365" s="419"/>
      <c r="E365" s="419"/>
      <c r="F365" s="419"/>
      <c r="G365" s="419"/>
      <c r="H365" s="419"/>
    </row>
    <row r="366" spans="1:8">
      <c r="A366" s="419"/>
      <c r="B366" s="419"/>
      <c r="C366" s="419"/>
      <c r="D366" s="419"/>
      <c r="E366" s="419"/>
      <c r="F366" s="419"/>
      <c r="G366" s="419"/>
      <c r="H366" s="419"/>
    </row>
    <row r="367" spans="1:8">
      <c r="A367" s="420" t="s">
        <v>468</v>
      </c>
      <c r="B367" s="419"/>
      <c r="C367" s="419"/>
      <c r="D367" s="419"/>
      <c r="E367" s="419"/>
      <c r="F367" s="419"/>
      <c r="G367" s="419"/>
      <c r="H367" s="419"/>
    </row>
    <row r="368" spans="1:8">
      <c r="A368" s="420" t="s">
        <v>469</v>
      </c>
      <c r="B368" s="419"/>
      <c r="C368" s="419"/>
      <c r="D368" s="419"/>
      <c r="E368" s="419"/>
      <c r="F368" s="419"/>
      <c r="G368" s="419"/>
      <c r="H368" s="419"/>
    </row>
    <row r="369" spans="1:8">
      <c r="A369" s="420" t="s">
        <v>470</v>
      </c>
      <c r="B369" s="419"/>
      <c r="C369" s="419"/>
      <c r="D369" s="419"/>
      <c r="E369" s="419"/>
      <c r="F369" s="419"/>
      <c r="G369" s="419"/>
      <c r="H369" s="419"/>
    </row>
    <row r="370" spans="1:8">
      <c r="A370" s="420" t="s">
        <v>471</v>
      </c>
      <c r="B370" s="419"/>
      <c r="C370" s="419"/>
      <c r="D370" s="419"/>
      <c r="E370" s="419"/>
      <c r="F370" s="419"/>
      <c r="G370" s="419"/>
      <c r="H370" s="419"/>
    </row>
    <row r="371" spans="1:8">
      <c r="A371" s="420" t="s">
        <v>472</v>
      </c>
      <c r="B371" s="419"/>
      <c r="C371" s="419"/>
      <c r="D371" s="419"/>
      <c r="E371" s="419"/>
      <c r="F371" s="419"/>
      <c r="G371" s="419"/>
      <c r="H371" s="419"/>
    </row>
    <row r="372" spans="1:8">
      <c r="A372" s="420" t="s">
        <v>473</v>
      </c>
      <c r="B372" s="419"/>
      <c r="C372" s="419"/>
      <c r="D372" s="419"/>
      <c r="E372" s="419"/>
      <c r="F372" s="419"/>
      <c r="G372" s="419"/>
      <c r="H372" s="419"/>
    </row>
    <row r="373" spans="1:8">
      <c r="A373" s="419"/>
      <c r="B373" s="419"/>
      <c r="C373" s="419"/>
      <c r="D373" s="419"/>
      <c r="E373" s="419"/>
      <c r="F373" s="419"/>
      <c r="G373" s="419"/>
      <c r="H373" s="419"/>
    </row>
    <row r="374" spans="1:8">
      <c r="A374" s="420" t="s">
        <v>463</v>
      </c>
      <c r="B374" s="419"/>
      <c r="C374" s="419"/>
      <c r="D374" s="419"/>
      <c r="E374" s="419"/>
      <c r="F374" s="419"/>
      <c r="G374" s="419"/>
      <c r="H374" s="419"/>
    </row>
    <row r="375" spans="1:8">
      <c r="A375" s="420" t="s">
        <v>464</v>
      </c>
      <c r="B375" s="419"/>
      <c r="C375" s="419"/>
      <c r="D375" s="419"/>
      <c r="E375" s="419"/>
      <c r="F375" s="419"/>
      <c r="G375" s="419"/>
      <c r="H375" s="419"/>
    </row>
    <row r="376" spans="1:8">
      <c r="A376" s="420" t="s">
        <v>465</v>
      </c>
      <c r="B376" s="419"/>
      <c r="C376" s="419"/>
      <c r="D376" s="419"/>
      <c r="E376" s="419"/>
      <c r="F376" s="419"/>
      <c r="G376" s="419"/>
      <c r="H376" s="419"/>
    </row>
    <row r="377" spans="1:8">
      <c r="A377" s="420" t="s">
        <v>466</v>
      </c>
      <c r="B377" s="419"/>
      <c r="C377" s="419"/>
      <c r="D377" s="419"/>
      <c r="E377" s="419"/>
      <c r="F377" s="419"/>
      <c r="G377" s="419"/>
      <c r="H377" s="419"/>
    </row>
    <row r="378" spans="1:8">
      <c r="A378" s="420" t="s">
        <v>467</v>
      </c>
      <c r="B378" s="419"/>
      <c r="C378" s="419"/>
      <c r="D378" s="419"/>
      <c r="E378" s="419"/>
      <c r="F378" s="419"/>
      <c r="G378" s="419"/>
      <c r="H378" s="419"/>
    </row>
    <row r="379" spans="1:8">
      <c r="A379" s="419"/>
      <c r="B379" s="419"/>
      <c r="C379" s="419"/>
      <c r="D379" s="419"/>
      <c r="E379" s="419"/>
      <c r="F379" s="419"/>
      <c r="G379" s="419"/>
      <c r="H379" s="419"/>
    </row>
    <row r="380" spans="1:8">
      <c r="A380" s="420" t="s">
        <v>461</v>
      </c>
      <c r="B380" s="419"/>
      <c r="C380" s="419"/>
      <c r="D380" s="419"/>
      <c r="E380" s="419"/>
      <c r="F380" s="419"/>
      <c r="G380" s="419"/>
      <c r="H380" s="419"/>
    </row>
    <row r="381" spans="1:8">
      <c r="A381" s="420" t="s">
        <v>462</v>
      </c>
      <c r="B381" s="419"/>
      <c r="C381" s="419"/>
      <c r="D381" s="419"/>
      <c r="E381" s="419"/>
      <c r="F381" s="419"/>
      <c r="G381" s="419"/>
      <c r="H381" s="419"/>
    </row>
    <row r="383" spans="1:8">
      <c r="A383" s="415" t="s">
        <v>710</v>
      </c>
    </row>
  </sheetData>
  <mergeCells count="12">
    <mergeCell ref="A109:H109"/>
    <mergeCell ref="A116:H116"/>
    <mergeCell ref="A103:H103"/>
    <mergeCell ref="A104:H104"/>
    <mergeCell ref="A105:H105"/>
    <mergeCell ref="A106:H106"/>
    <mergeCell ref="A108:H108"/>
    <mergeCell ref="A124:H124"/>
    <mergeCell ref="A125:H125"/>
    <mergeCell ref="B117:C117"/>
    <mergeCell ref="D117:F117"/>
    <mergeCell ref="G117:H117"/>
  </mergeCells>
  <pageMargins left="0.5" right="0.5" top="0.5" bottom="0.5" header="0.5" footer="0.5"/>
  <pageSetup orientation="portrait" horizont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3"/>
    <pageSetUpPr autoPageBreaks="0" fitToPage="1"/>
  </sheetPr>
  <dimension ref="A1:IW476"/>
  <sheetViews>
    <sheetView showGridLines="0" zoomScale="130" zoomScaleNormal="130" zoomScaleSheetLayoutView="100" workbookViewId="0">
      <pane xSplit="2" ySplit="7" topLeftCell="C8" activePane="bottomRight" state="frozen"/>
      <selection pane="topRight" activeCell="C1" sqref="C1"/>
      <selection pane="bottomLeft" activeCell="A8" sqref="A8"/>
      <selection pane="bottomRight" activeCell="G8" sqref="G8"/>
    </sheetView>
  </sheetViews>
  <sheetFormatPr defaultRowHeight="12.75" outlineLevelRow="3" outlineLevelCol="1"/>
  <cols>
    <col min="1" max="1" width="2" style="2" customWidth="1"/>
    <col min="2" max="2" width="37" style="1" customWidth="1"/>
    <col min="3" max="5" width="9.33203125" style="1" hidden="1" customWidth="1" outlineLevel="1"/>
    <col min="6" max="6" width="9.33203125" style="1" hidden="1" customWidth="1" outlineLevel="1" collapsed="1"/>
    <col min="7" max="7" width="9.33203125" style="1" customWidth="1" collapsed="1"/>
    <col min="8" max="14" width="9.33203125" style="1" customWidth="1"/>
    <col min="15" max="15" width="5.5" style="1" customWidth="1"/>
    <col min="16" max="19" width="9.33203125" style="1" hidden="1" customWidth="1" outlineLevel="1"/>
    <col min="20" max="20" width="9.33203125" style="1" hidden="1" customWidth="1" outlineLevel="1" collapsed="1"/>
    <col min="21" max="23" width="9.33203125" style="1" hidden="1" customWidth="1" outlineLevel="1"/>
    <col min="24" max="24" width="9.1640625" style="1" hidden="1" customWidth="1" outlineLevel="1" collapsed="1"/>
    <col min="25" max="27" width="9.1640625" style="1" hidden="1" customWidth="1" outlineLevel="1"/>
    <col min="28" max="28" width="9.33203125" style="1" hidden="1" customWidth="1" outlineLevel="1" collapsed="1"/>
    <col min="29" max="31" width="9.33203125" style="1" hidden="1" customWidth="1" outlineLevel="1"/>
    <col min="32" max="32" width="9.33203125" style="1" hidden="1" customWidth="1" outlineLevel="1" collapsed="1"/>
    <col min="33" max="35" width="9.33203125" style="1" hidden="1" customWidth="1" outlineLevel="1"/>
    <col min="36" max="36" width="9.33203125" style="1" customWidth="1" collapsed="1"/>
    <col min="37" max="38" width="9.33203125" style="1" customWidth="1"/>
    <col min="39" max="39" width="9.83203125" style="1" customWidth="1"/>
    <col min="40" max="51" width="9.33203125" style="1" customWidth="1"/>
    <col min="52" max="58" width="9.33203125" style="1"/>
    <col min="59" max="59" width="37.83203125" style="1" hidden="1" customWidth="1" outlineLevel="1"/>
    <col min="60" max="60" width="37.83203125" hidden="1" customWidth="1" outlineLevel="1"/>
    <col min="61" max="65" width="10.6640625" hidden="1" customWidth="1" outlineLevel="1"/>
    <col min="66" max="66" width="9.33203125" style="1" collapsed="1"/>
    <col min="67" max="16384" width="9.33203125" style="1"/>
  </cols>
  <sheetData>
    <row r="1" spans="1:257" ht="15.75">
      <c r="B1" s="367" t="s">
        <v>401</v>
      </c>
      <c r="C1" s="15"/>
      <c r="D1" s="15"/>
      <c r="E1" s="366">
        <f t="shared" ref="E1:N1" si="0">E34</f>
        <v>0.98076555850202862</v>
      </c>
      <c r="F1" s="366">
        <f t="shared" si="0"/>
        <v>0.9148968573427424</v>
      </c>
      <c r="G1" s="366">
        <f t="shared" si="0"/>
        <v>0.77331690678543452</v>
      </c>
      <c r="H1" s="366">
        <f t="shared" si="0"/>
        <v>1.0725283615834518</v>
      </c>
      <c r="I1" s="366">
        <f t="shared" si="0"/>
        <v>6.0496430470501059E-2</v>
      </c>
      <c r="J1" s="366">
        <f t="shared" si="0"/>
        <v>-0.358835125298545</v>
      </c>
      <c r="K1" s="366">
        <f t="shared" si="0"/>
        <v>0.27712795000910034</v>
      </c>
      <c r="L1" s="366">
        <f t="shared" si="0"/>
        <v>0.64775644673601962</v>
      </c>
      <c r="M1" s="366">
        <f t="shared" si="0"/>
        <v>0.41413494053081001</v>
      </c>
      <c r="N1" s="366">
        <f t="shared" si="0"/>
        <v>0.43600514296541715</v>
      </c>
      <c r="O1" s="3"/>
      <c r="P1" s="5"/>
      <c r="Q1" s="5"/>
      <c r="R1" s="5"/>
      <c r="S1" s="5"/>
      <c r="T1" s="366">
        <f t="shared" ref="T1:AY1" si="1">T34</f>
        <v>0.20460867178781542</v>
      </c>
      <c r="U1" s="366">
        <f t="shared" si="1"/>
        <v>0.21834974076777042</v>
      </c>
      <c r="V1" s="366">
        <f t="shared" si="1"/>
        <v>0.23302483593578427</v>
      </c>
      <c r="W1" s="366">
        <f t="shared" si="1"/>
        <v>0.10903744018255368</v>
      </c>
      <c r="X1" s="366">
        <f t="shared" si="1"/>
        <v>0.20942525408747717</v>
      </c>
      <c r="Y1" s="366">
        <f t="shared" si="1"/>
        <v>0.26291021648287904</v>
      </c>
      <c r="Z1" s="366">
        <f t="shared" si="1"/>
        <v>0.34620148402739531</v>
      </c>
      <c r="AA1" s="366">
        <f t="shared" si="1"/>
        <v>0.24356172559168876</v>
      </c>
      <c r="AB1" s="366">
        <f t="shared" si="1"/>
        <v>0.18608433641756308</v>
      </c>
      <c r="AC1" s="366">
        <f t="shared" si="1"/>
        <v>1.7327413921005199E-2</v>
      </c>
      <c r="AD1" s="366">
        <f t="shared" si="1"/>
        <v>-4.5120266419096396E-2</v>
      </c>
      <c r="AE1" s="366">
        <f t="shared" si="1"/>
        <v>-0.10307046538517273</v>
      </c>
      <c r="AF1" s="366">
        <f t="shared" si="1"/>
        <v>-7.2646581519517348E-2</v>
      </c>
      <c r="AG1" s="366">
        <f t="shared" si="1"/>
        <v>-0.11002987992353702</v>
      </c>
      <c r="AH1" s="366">
        <f t="shared" si="1"/>
        <v>-7.7469774534364419E-2</v>
      </c>
      <c r="AI1" s="366">
        <f t="shared" si="1"/>
        <v>-9.7785136094897321E-2</v>
      </c>
      <c r="AJ1" s="366">
        <f t="shared" si="1"/>
        <v>-5.1792490357067969E-2</v>
      </c>
      <c r="AK1" s="366">
        <f t="shared" si="1"/>
        <v>4.5940994986502323E-2</v>
      </c>
      <c r="AL1" s="366">
        <f t="shared" si="1"/>
        <v>0.15434628975265019</v>
      </c>
      <c r="AM1" s="366">
        <f t="shared" si="1"/>
        <v>0.12692504008902825</v>
      </c>
      <c r="AN1" s="366">
        <f t="shared" si="1"/>
        <v>0.12868043617603253</v>
      </c>
      <c r="AO1" s="366">
        <f t="shared" si="1"/>
        <v>0.20775540503057988</v>
      </c>
      <c r="AP1" s="366">
        <f t="shared" si="1"/>
        <v>0.15980373381201987</v>
      </c>
      <c r="AQ1" s="366">
        <f t="shared" si="1"/>
        <v>0.15965751052514154</v>
      </c>
      <c r="AR1" s="366">
        <f t="shared" si="1"/>
        <v>0.11357944615450091</v>
      </c>
      <c r="AS1" s="366">
        <f t="shared" si="1"/>
        <v>0.10256203787914177</v>
      </c>
      <c r="AT1" s="366">
        <f t="shared" si="1"/>
        <v>0.10429875939386242</v>
      </c>
      <c r="AU1" s="366">
        <f t="shared" si="1"/>
        <v>9.3766642989563997E-2</v>
      </c>
      <c r="AV1" s="366">
        <f t="shared" si="1"/>
        <v>0.10178832784518327</v>
      </c>
      <c r="AW1" s="366">
        <f t="shared" si="1"/>
        <v>0.1207921607470491</v>
      </c>
      <c r="AX1" s="366">
        <f t="shared" si="1"/>
        <v>0.11553062157387352</v>
      </c>
      <c r="AY1" s="366">
        <f t="shared" si="1"/>
        <v>9.791519524478412E-2</v>
      </c>
      <c r="BG1" s="4" t="s">
        <v>418</v>
      </c>
    </row>
    <row r="2" spans="1:257" s="3" customFormat="1" ht="11.25">
      <c r="A2" s="2"/>
      <c r="B2" s="365" t="s">
        <v>400</v>
      </c>
      <c r="C2" s="15"/>
      <c r="D2" s="15"/>
      <c r="E2" s="364">
        <f>MIN(E285,0)</f>
        <v>0</v>
      </c>
      <c r="F2" s="364"/>
      <c r="G2" s="364">
        <f>MIN(G285,0)</f>
        <v>0</v>
      </c>
      <c r="H2" s="364">
        <f>MIN(H285,0)</f>
        <v>0</v>
      </c>
      <c r="I2" s="364">
        <f>MIN(I285,0)</f>
        <v>0</v>
      </c>
      <c r="J2" s="364">
        <f>MIN(J285,0)</f>
        <v>0</v>
      </c>
      <c r="K2" s="364">
        <f>MIN(K285,0)</f>
        <v>0</v>
      </c>
      <c r="L2" s="364"/>
      <c r="M2" s="364"/>
      <c r="N2" s="364"/>
      <c r="P2" s="5"/>
      <c r="Q2" s="5"/>
      <c r="R2" s="5"/>
      <c r="S2" s="5"/>
      <c r="T2" s="364">
        <f t="shared" ref="T2:AY2" si="2">MIN(T285,0)</f>
        <v>0</v>
      </c>
      <c r="U2" s="364">
        <f t="shared" si="2"/>
        <v>0</v>
      </c>
      <c r="V2" s="364">
        <f t="shared" si="2"/>
        <v>0</v>
      </c>
      <c r="W2" s="364">
        <f t="shared" si="2"/>
        <v>0</v>
      </c>
      <c r="X2" s="364">
        <f t="shared" si="2"/>
        <v>0</v>
      </c>
      <c r="Y2" s="364">
        <f t="shared" si="2"/>
        <v>0</v>
      </c>
      <c r="Z2" s="364">
        <f t="shared" si="2"/>
        <v>0</v>
      </c>
      <c r="AA2" s="364">
        <f t="shared" si="2"/>
        <v>0</v>
      </c>
      <c r="AB2" s="364">
        <f t="shared" si="2"/>
        <v>0</v>
      </c>
      <c r="AC2" s="364">
        <f t="shared" si="2"/>
        <v>0</v>
      </c>
      <c r="AD2" s="364">
        <f t="shared" si="2"/>
        <v>0</v>
      </c>
      <c r="AE2" s="364">
        <f t="shared" si="2"/>
        <v>0</v>
      </c>
      <c r="AF2" s="364">
        <f t="shared" si="2"/>
        <v>0</v>
      </c>
      <c r="AG2" s="364">
        <f t="shared" si="2"/>
        <v>0</v>
      </c>
      <c r="AH2" s="364">
        <f t="shared" si="2"/>
        <v>0</v>
      </c>
      <c r="AI2" s="364">
        <f t="shared" si="2"/>
        <v>0</v>
      </c>
      <c r="AJ2" s="364">
        <f t="shared" si="2"/>
        <v>0</v>
      </c>
      <c r="AK2" s="364">
        <f t="shared" si="2"/>
        <v>0</v>
      </c>
      <c r="AL2" s="364">
        <f t="shared" si="2"/>
        <v>0</v>
      </c>
      <c r="AM2" s="364">
        <f t="shared" si="2"/>
        <v>0</v>
      </c>
      <c r="AN2" s="364">
        <f t="shared" si="2"/>
        <v>0</v>
      </c>
      <c r="AO2" s="364">
        <f t="shared" si="2"/>
        <v>0</v>
      </c>
      <c r="AP2" s="377">
        <f t="shared" si="2"/>
        <v>0</v>
      </c>
      <c r="AQ2" s="364">
        <f t="shared" si="2"/>
        <v>0</v>
      </c>
      <c r="AR2" s="364">
        <f t="shared" si="2"/>
        <v>0</v>
      </c>
      <c r="AS2" s="364">
        <f t="shared" si="2"/>
        <v>0</v>
      </c>
      <c r="AT2" s="364">
        <f t="shared" si="2"/>
        <v>0</v>
      </c>
      <c r="AU2" s="364">
        <f t="shared" si="2"/>
        <v>0</v>
      </c>
      <c r="AV2" s="364">
        <f t="shared" si="2"/>
        <v>0</v>
      </c>
      <c r="AW2" s="364">
        <f t="shared" si="2"/>
        <v>0</v>
      </c>
      <c r="AX2" s="364">
        <f t="shared" si="2"/>
        <v>0</v>
      </c>
      <c r="AY2" s="364">
        <f t="shared" si="2"/>
        <v>0</v>
      </c>
      <c r="BG2" s="4"/>
      <c r="BH2"/>
      <c r="BI2"/>
      <c r="BJ2"/>
      <c r="BK2"/>
      <c r="BL2"/>
      <c r="BM2"/>
    </row>
    <row r="3" spans="1:257" s="3" customFormat="1" ht="11.25" hidden="1">
      <c r="A3" s="2"/>
      <c r="B3" s="363"/>
      <c r="C3" s="15"/>
      <c r="D3" s="15"/>
      <c r="E3" s="15"/>
      <c r="F3" s="15"/>
      <c r="G3" s="362"/>
      <c r="H3" s="173"/>
      <c r="I3" s="173"/>
      <c r="J3" s="173"/>
      <c r="K3" s="173"/>
      <c r="L3" s="173"/>
      <c r="M3" s="173"/>
      <c r="N3" s="173"/>
      <c r="P3" s="5"/>
      <c r="Q3" s="5"/>
      <c r="R3" s="5"/>
      <c r="S3" s="5"/>
      <c r="Z3" s="176"/>
      <c r="AA3" s="176"/>
      <c r="AB3" s="176"/>
      <c r="AC3" s="176"/>
      <c r="AD3" s="176"/>
      <c r="AE3" s="361"/>
      <c r="AF3" s="176"/>
      <c r="AG3" s="176"/>
      <c r="AH3" s="176"/>
      <c r="AI3" s="176"/>
      <c r="AJ3" s="176"/>
      <c r="AK3" s="176"/>
      <c r="AL3" s="176"/>
      <c r="AM3" s="176"/>
      <c r="BG3" s="4"/>
      <c r="BH3"/>
      <c r="BI3"/>
      <c r="BJ3"/>
      <c r="BK3"/>
      <c r="BL3"/>
      <c r="BM3"/>
    </row>
    <row r="4" spans="1:257" s="3" customFormat="1" ht="11.25" hidden="1">
      <c r="A4" s="2"/>
      <c r="B4" s="359" t="s">
        <v>399</v>
      </c>
      <c r="C4" s="360">
        <v>2009</v>
      </c>
      <c r="D4" s="360">
        <v>2010</v>
      </c>
      <c r="E4" s="360">
        <v>2011</v>
      </c>
      <c r="F4" s="360">
        <v>2012</v>
      </c>
      <c r="G4" s="360">
        <v>2013</v>
      </c>
      <c r="H4" s="360">
        <v>2014</v>
      </c>
      <c r="I4" s="360">
        <v>2015</v>
      </c>
      <c r="J4" s="360">
        <v>2016</v>
      </c>
      <c r="K4" s="360">
        <v>2017</v>
      </c>
      <c r="L4" s="360">
        <v>2018</v>
      </c>
      <c r="M4" s="360">
        <f>+L4+1</f>
        <v>2019</v>
      </c>
      <c r="N4" s="360">
        <f>+M4+1</f>
        <v>2020</v>
      </c>
      <c r="O4" s="360"/>
      <c r="P4" s="360">
        <v>2012</v>
      </c>
      <c r="Q4" s="360">
        <v>2012</v>
      </c>
      <c r="R4" s="360">
        <v>2012</v>
      </c>
      <c r="S4" s="360">
        <v>2012</v>
      </c>
      <c r="T4" s="360">
        <f t="shared" ref="T4:AY4" si="3">P4+1</f>
        <v>2013</v>
      </c>
      <c r="U4" s="360">
        <f t="shared" si="3"/>
        <v>2013</v>
      </c>
      <c r="V4" s="360">
        <f t="shared" si="3"/>
        <v>2013</v>
      </c>
      <c r="W4" s="360">
        <f t="shared" si="3"/>
        <v>2013</v>
      </c>
      <c r="X4" s="360">
        <f t="shared" si="3"/>
        <v>2014</v>
      </c>
      <c r="Y4" s="360">
        <f t="shared" si="3"/>
        <v>2014</v>
      </c>
      <c r="Z4" s="360">
        <f t="shared" si="3"/>
        <v>2014</v>
      </c>
      <c r="AA4" s="360">
        <f t="shared" si="3"/>
        <v>2014</v>
      </c>
      <c r="AB4" s="360">
        <f t="shared" si="3"/>
        <v>2015</v>
      </c>
      <c r="AC4" s="360">
        <f t="shared" si="3"/>
        <v>2015</v>
      </c>
      <c r="AD4" s="360">
        <f t="shared" si="3"/>
        <v>2015</v>
      </c>
      <c r="AE4" s="360">
        <f t="shared" si="3"/>
        <v>2015</v>
      </c>
      <c r="AF4" s="360">
        <f t="shared" si="3"/>
        <v>2016</v>
      </c>
      <c r="AG4" s="360">
        <f t="shared" si="3"/>
        <v>2016</v>
      </c>
      <c r="AH4" s="360">
        <f t="shared" si="3"/>
        <v>2016</v>
      </c>
      <c r="AI4" s="360">
        <f t="shared" si="3"/>
        <v>2016</v>
      </c>
      <c r="AJ4" s="360">
        <f t="shared" si="3"/>
        <v>2017</v>
      </c>
      <c r="AK4" s="360">
        <f t="shared" si="3"/>
        <v>2017</v>
      </c>
      <c r="AL4" s="360">
        <f t="shared" si="3"/>
        <v>2017</v>
      </c>
      <c r="AM4" s="360">
        <f t="shared" si="3"/>
        <v>2017</v>
      </c>
      <c r="AN4" s="360">
        <f t="shared" si="3"/>
        <v>2018</v>
      </c>
      <c r="AO4" s="360">
        <f t="shared" si="3"/>
        <v>2018</v>
      </c>
      <c r="AP4" s="360">
        <f t="shared" si="3"/>
        <v>2018</v>
      </c>
      <c r="AQ4" s="360">
        <f t="shared" si="3"/>
        <v>2018</v>
      </c>
      <c r="AR4" s="360">
        <f t="shared" si="3"/>
        <v>2019</v>
      </c>
      <c r="AS4" s="360">
        <f t="shared" si="3"/>
        <v>2019</v>
      </c>
      <c r="AT4" s="360">
        <f t="shared" si="3"/>
        <v>2019</v>
      </c>
      <c r="AU4" s="360">
        <f t="shared" si="3"/>
        <v>2019</v>
      </c>
      <c r="AV4" s="360">
        <f t="shared" si="3"/>
        <v>2020</v>
      </c>
      <c r="AW4" s="360">
        <f t="shared" si="3"/>
        <v>2020</v>
      </c>
      <c r="AX4" s="360">
        <f t="shared" si="3"/>
        <v>2020</v>
      </c>
      <c r="AY4" s="360">
        <f t="shared" si="3"/>
        <v>2020</v>
      </c>
      <c r="BG4" s="4"/>
      <c r="BH4"/>
      <c r="BI4"/>
      <c r="BJ4"/>
      <c r="BK4"/>
      <c r="BL4"/>
      <c r="BM4"/>
    </row>
    <row r="5" spans="1:257" s="3" customFormat="1" ht="11.25" hidden="1">
      <c r="A5" s="2"/>
      <c r="B5" s="359" t="s">
        <v>398</v>
      </c>
      <c r="C5" s="358">
        <v>40178</v>
      </c>
      <c r="D5" s="358">
        <v>40543</v>
      </c>
      <c r="E5" s="358">
        <v>40908</v>
      </c>
      <c r="F5" s="358">
        <v>41274</v>
      </c>
      <c r="G5" s="358">
        <f t="shared" ref="G5:N5" si="4">EDATE(F5,12)</f>
        <v>41639</v>
      </c>
      <c r="H5" s="358">
        <f t="shared" si="4"/>
        <v>42004</v>
      </c>
      <c r="I5" s="358">
        <f t="shared" si="4"/>
        <v>42369</v>
      </c>
      <c r="J5" s="358">
        <f t="shared" si="4"/>
        <v>42735</v>
      </c>
      <c r="K5" s="358">
        <f t="shared" si="4"/>
        <v>43100</v>
      </c>
      <c r="L5" s="358">
        <f t="shared" si="4"/>
        <v>43465</v>
      </c>
      <c r="M5" s="358">
        <f t="shared" si="4"/>
        <v>43830</v>
      </c>
      <c r="N5" s="358">
        <f t="shared" si="4"/>
        <v>44196</v>
      </c>
      <c r="O5" s="358"/>
      <c r="P5" s="358">
        <v>40999</v>
      </c>
      <c r="Q5" s="358">
        <f t="shared" ref="Q5:AY5" si="5">EOMONTH(P5,3)</f>
        <v>41090</v>
      </c>
      <c r="R5" s="358">
        <f t="shared" si="5"/>
        <v>41182</v>
      </c>
      <c r="S5" s="358">
        <f t="shared" si="5"/>
        <v>41274</v>
      </c>
      <c r="T5" s="358">
        <f t="shared" si="5"/>
        <v>41364</v>
      </c>
      <c r="U5" s="358">
        <f t="shared" si="5"/>
        <v>41455</v>
      </c>
      <c r="V5" s="358">
        <f t="shared" si="5"/>
        <v>41547</v>
      </c>
      <c r="W5" s="358">
        <f t="shared" si="5"/>
        <v>41639</v>
      </c>
      <c r="X5" s="358">
        <f t="shared" si="5"/>
        <v>41729</v>
      </c>
      <c r="Y5" s="358">
        <f t="shared" si="5"/>
        <v>41820</v>
      </c>
      <c r="Z5" s="358">
        <f t="shared" si="5"/>
        <v>41912</v>
      </c>
      <c r="AA5" s="358">
        <f t="shared" si="5"/>
        <v>42004</v>
      </c>
      <c r="AB5" s="358">
        <f t="shared" si="5"/>
        <v>42094</v>
      </c>
      <c r="AC5" s="358">
        <f t="shared" si="5"/>
        <v>42185</v>
      </c>
      <c r="AD5" s="358">
        <f t="shared" si="5"/>
        <v>42277</v>
      </c>
      <c r="AE5" s="358">
        <f t="shared" si="5"/>
        <v>42369</v>
      </c>
      <c r="AF5" s="358">
        <f t="shared" si="5"/>
        <v>42460</v>
      </c>
      <c r="AG5" s="358">
        <f t="shared" si="5"/>
        <v>42551</v>
      </c>
      <c r="AH5" s="358">
        <f t="shared" si="5"/>
        <v>42643</v>
      </c>
      <c r="AI5" s="358">
        <f t="shared" si="5"/>
        <v>42735</v>
      </c>
      <c r="AJ5" s="358">
        <f t="shared" si="5"/>
        <v>42825</v>
      </c>
      <c r="AK5" s="358">
        <f t="shared" si="5"/>
        <v>42916</v>
      </c>
      <c r="AL5" s="358">
        <f t="shared" si="5"/>
        <v>43008</v>
      </c>
      <c r="AM5" s="358">
        <f t="shared" si="5"/>
        <v>43100</v>
      </c>
      <c r="AN5" s="358">
        <f t="shared" si="5"/>
        <v>43190</v>
      </c>
      <c r="AO5" s="358">
        <f t="shared" si="5"/>
        <v>43281</v>
      </c>
      <c r="AP5" s="358">
        <f t="shared" si="5"/>
        <v>43373</v>
      </c>
      <c r="AQ5" s="358">
        <f t="shared" si="5"/>
        <v>43465</v>
      </c>
      <c r="AR5" s="358">
        <f t="shared" si="5"/>
        <v>43555</v>
      </c>
      <c r="AS5" s="358">
        <f t="shared" si="5"/>
        <v>43646</v>
      </c>
      <c r="AT5" s="358">
        <f t="shared" si="5"/>
        <v>43738</v>
      </c>
      <c r="AU5" s="358">
        <f t="shared" si="5"/>
        <v>43830</v>
      </c>
      <c r="AV5" s="358">
        <f t="shared" si="5"/>
        <v>43921</v>
      </c>
      <c r="AW5" s="358">
        <f t="shared" si="5"/>
        <v>44012</v>
      </c>
      <c r="AX5" s="358">
        <f t="shared" si="5"/>
        <v>44104</v>
      </c>
      <c r="AY5" s="358">
        <f t="shared" si="5"/>
        <v>44196</v>
      </c>
      <c r="BG5" s="4"/>
      <c r="BH5"/>
      <c r="BI5"/>
      <c r="BJ5"/>
      <c r="BK5"/>
      <c r="BL5"/>
      <c r="BM5"/>
    </row>
    <row r="6" spans="1:257" s="5" customFormat="1" ht="11.25">
      <c r="A6" s="6"/>
      <c r="B6" s="378"/>
      <c r="C6" s="379"/>
      <c r="D6" s="379"/>
      <c r="E6" s="379"/>
      <c r="F6" s="379"/>
      <c r="G6" s="379"/>
      <c r="H6" s="379"/>
      <c r="I6" s="379"/>
      <c r="J6" s="379"/>
      <c r="K6" s="379"/>
      <c r="L6" s="379"/>
      <c r="M6" s="379"/>
      <c r="N6" s="379"/>
      <c r="O6" s="379"/>
      <c r="P6" s="379"/>
      <c r="Q6" s="379"/>
      <c r="R6" s="379"/>
      <c r="S6" s="379"/>
      <c r="T6" s="379"/>
      <c r="U6" s="379"/>
      <c r="V6" s="379"/>
      <c r="W6" s="379"/>
      <c r="X6" s="379"/>
      <c r="Y6" s="379"/>
      <c r="Z6" s="379"/>
      <c r="AA6" s="379"/>
      <c r="AB6" s="379"/>
      <c r="AC6" s="379"/>
      <c r="AD6" s="379"/>
      <c r="AE6" s="379"/>
      <c r="AF6" s="379"/>
      <c r="AG6" s="379"/>
      <c r="AH6" s="379"/>
      <c r="AI6" s="379"/>
      <c r="AJ6" s="379"/>
      <c r="AK6" s="379"/>
      <c r="AL6" s="379"/>
      <c r="AM6" s="379"/>
      <c r="AN6" s="379"/>
      <c r="AO6" s="379"/>
      <c r="AP6" s="380" t="s">
        <v>410</v>
      </c>
      <c r="AQ6" s="379"/>
      <c r="AR6" s="379"/>
      <c r="AS6" s="379"/>
      <c r="AT6" s="379"/>
      <c r="AU6" s="379"/>
      <c r="AV6" s="379"/>
      <c r="AW6" s="379"/>
      <c r="AX6" s="379"/>
      <c r="AY6" s="379"/>
      <c r="BH6"/>
      <c r="BI6"/>
      <c r="BJ6"/>
      <c r="BK6"/>
      <c r="BL6"/>
      <c r="BM6"/>
    </row>
    <row r="7" spans="1:257" s="133" customFormat="1" ht="11.25">
      <c r="A7" s="138"/>
      <c r="B7" s="357"/>
      <c r="C7" s="231">
        <v>2009</v>
      </c>
      <c r="D7" s="231">
        <v>2010</v>
      </c>
      <c r="E7" s="231">
        <v>2011</v>
      </c>
      <c r="F7" s="231">
        <v>2012</v>
      </c>
      <c r="G7" s="231">
        <v>2013</v>
      </c>
      <c r="H7" s="231">
        <v>2014</v>
      </c>
      <c r="I7" s="231">
        <v>2015</v>
      </c>
      <c r="J7" s="231">
        <v>2016</v>
      </c>
      <c r="K7" s="231">
        <v>2017</v>
      </c>
      <c r="L7" s="231" t="s">
        <v>397</v>
      </c>
      <c r="M7" s="231" t="s">
        <v>396</v>
      </c>
      <c r="N7" s="231" t="s">
        <v>395</v>
      </c>
      <c r="P7" s="224" t="s">
        <v>394</v>
      </c>
      <c r="Q7" s="224" t="s">
        <v>393</v>
      </c>
      <c r="R7" s="224" t="s">
        <v>392</v>
      </c>
      <c r="S7" s="224" t="s">
        <v>391</v>
      </c>
      <c r="T7" s="224" t="s">
        <v>390</v>
      </c>
      <c r="U7" s="224" t="s">
        <v>389</v>
      </c>
      <c r="V7" s="224" t="s">
        <v>388</v>
      </c>
      <c r="W7" s="224" t="s">
        <v>387</v>
      </c>
      <c r="X7" s="224" t="s">
        <v>386</v>
      </c>
      <c r="Y7" s="224" t="s">
        <v>385</v>
      </c>
      <c r="Z7" s="224" t="s">
        <v>384</v>
      </c>
      <c r="AA7" s="224" t="s">
        <v>383</v>
      </c>
      <c r="AB7" s="224" t="s">
        <v>382</v>
      </c>
      <c r="AC7" s="224" t="s">
        <v>381</v>
      </c>
      <c r="AD7" s="224" t="s">
        <v>380</v>
      </c>
      <c r="AE7" s="224" t="s">
        <v>379</v>
      </c>
      <c r="AF7" s="224" t="s">
        <v>378</v>
      </c>
      <c r="AG7" s="224" t="s">
        <v>377</v>
      </c>
      <c r="AH7" s="224" t="s">
        <v>376</v>
      </c>
      <c r="AI7" s="224" t="s">
        <v>375</v>
      </c>
      <c r="AJ7" s="224" t="s">
        <v>374</v>
      </c>
      <c r="AK7" s="224" t="s">
        <v>373</v>
      </c>
      <c r="AL7" s="224" t="s">
        <v>372</v>
      </c>
      <c r="AM7" s="224" t="s">
        <v>412</v>
      </c>
      <c r="AN7" s="224" t="s">
        <v>371</v>
      </c>
      <c r="AO7" s="224" t="s">
        <v>370</v>
      </c>
      <c r="AP7" s="376" t="s">
        <v>369</v>
      </c>
      <c r="AQ7" s="224" t="s">
        <v>368</v>
      </c>
      <c r="AR7" s="224" t="s">
        <v>367</v>
      </c>
      <c r="AS7" s="224" t="s">
        <v>366</v>
      </c>
      <c r="AT7" s="224" t="s">
        <v>365</v>
      </c>
      <c r="AU7" s="224" t="s">
        <v>364</v>
      </c>
      <c r="AV7" s="224" t="s">
        <v>363</v>
      </c>
      <c r="AW7" s="224" t="s">
        <v>362</v>
      </c>
      <c r="AX7" s="224" t="s">
        <v>361</v>
      </c>
      <c r="AY7" s="224" t="s">
        <v>360</v>
      </c>
      <c r="BG7" s="4">
        <v>1</v>
      </c>
      <c r="BH7"/>
      <c r="BI7"/>
      <c r="BJ7"/>
      <c r="BK7"/>
      <c r="BL7"/>
      <c r="BM7"/>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c r="HF7" s="3"/>
      <c r="HG7" s="3"/>
      <c r="HH7" s="3"/>
      <c r="HI7" s="3"/>
      <c r="HJ7" s="3"/>
      <c r="HK7" s="3"/>
      <c r="HL7" s="3"/>
      <c r="HM7" s="3"/>
      <c r="HN7" s="3"/>
      <c r="HO7" s="3"/>
      <c r="HP7" s="3"/>
      <c r="HQ7" s="3"/>
      <c r="HR7" s="3"/>
      <c r="HS7" s="3"/>
      <c r="HT7" s="3"/>
      <c r="HU7" s="3"/>
      <c r="HV7" s="3"/>
      <c r="HW7" s="3"/>
      <c r="HX7" s="3"/>
      <c r="HY7" s="3"/>
      <c r="HZ7" s="3"/>
      <c r="IA7" s="3"/>
      <c r="IB7" s="3"/>
      <c r="IC7" s="3"/>
      <c r="ID7" s="3"/>
      <c r="IE7" s="3"/>
      <c r="IF7" s="3"/>
      <c r="IG7" s="3"/>
      <c r="IH7" s="3"/>
      <c r="II7" s="3"/>
      <c r="IJ7" s="3"/>
      <c r="IK7" s="3"/>
      <c r="IL7" s="3"/>
      <c r="IM7" s="3"/>
      <c r="IN7" s="3"/>
      <c r="IO7" s="3"/>
      <c r="IP7" s="3"/>
      <c r="IQ7" s="3"/>
      <c r="IR7" s="3"/>
      <c r="IS7" s="3"/>
      <c r="IT7" s="3"/>
      <c r="IU7" s="3"/>
      <c r="IV7" s="3"/>
      <c r="IW7" s="3"/>
    </row>
    <row r="8" spans="1:257" s="3" customFormat="1" ht="11.25">
      <c r="A8" s="2" t="s">
        <v>0</v>
      </c>
      <c r="B8" s="112" t="s">
        <v>359</v>
      </c>
      <c r="C8" s="356"/>
      <c r="D8" s="356"/>
      <c r="E8" s="356"/>
      <c r="F8" s="356"/>
      <c r="G8" s="356"/>
      <c r="H8" s="356"/>
      <c r="I8" s="356"/>
      <c r="J8" s="356"/>
      <c r="K8" s="356"/>
      <c r="L8" s="356"/>
      <c r="M8" s="356"/>
      <c r="N8" s="356"/>
      <c r="P8" s="5"/>
      <c r="Q8" s="5"/>
      <c r="R8" s="5"/>
      <c r="S8" s="5"/>
      <c r="AG8" s="355"/>
      <c r="AP8" s="371"/>
      <c r="BG8" s="4">
        <v>2</v>
      </c>
      <c r="BH8"/>
      <c r="BI8"/>
      <c r="BJ8"/>
      <c r="BK8"/>
      <c r="BL8"/>
      <c r="BM8"/>
    </row>
    <row r="9" spans="1:257" s="3" customFormat="1" ht="11.25" outlineLevel="1">
      <c r="A9" s="2"/>
      <c r="B9" s="354" t="s">
        <v>147</v>
      </c>
      <c r="C9" s="86">
        <f t="shared" ref="C9:N9" si="6">C$7</f>
        <v>2009</v>
      </c>
      <c r="D9" s="86">
        <f t="shared" si="6"/>
        <v>2010</v>
      </c>
      <c r="E9" s="86">
        <f t="shared" si="6"/>
        <v>2011</v>
      </c>
      <c r="F9" s="86">
        <f t="shared" si="6"/>
        <v>2012</v>
      </c>
      <c r="G9" s="86">
        <f t="shared" si="6"/>
        <v>2013</v>
      </c>
      <c r="H9" s="86">
        <f t="shared" si="6"/>
        <v>2014</v>
      </c>
      <c r="I9" s="86">
        <f t="shared" si="6"/>
        <v>2015</v>
      </c>
      <c r="J9" s="86">
        <f t="shared" si="6"/>
        <v>2016</v>
      </c>
      <c r="K9" s="86">
        <f t="shared" si="6"/>
        <v>2017</v>
      </c>
      <c r="L9" s="86" t="str">
        <f t="shared" si="6"/>
        <v>2018E</v>
      </c>
      <c r="M9" s="86" t="str">
        <f t="shared" si="6"/>
        <v>2019E</v>
      </c>
      <c r="N9" s="86" t="str">
        <f t="shared" si="6"/>
        <v>2020E</v>
      </c>
      <c r="P9" s="87" t="str">
        <f t="shared" ref="P9:AY9" si="7">P$7</f>
        <v>1Q12</v>
      </c>
      <c r="Q9" s="87" t="str">
        <f t="shared" si="7"/>
        <v>2Q12</v>
      </c>
      <c r="R9" s="87" t="str">
        <f t="shared" si="7"/>
        <v>3Q12</v>
      </c>
      <c r="S9" s="87" t="str">
        <f t="shared" si="7"/>
        <v>4Q12</v>
      </c>
      <c r="T9" s="86" t="str">
        <f t="shared" si="7"/>
        <v>1Q13</v>
      </c>
      <c r="U9" s="86" t="str">
        <f t="shared" si="7"/>
        <v>2Q13</v>
      </c>
      <c r="V9" s="86" t="str">
        <f t="shared" si="7"/>
        <v>3Q13</v>
      </c>
      <c r="W9" s="86" t="str">
        <f t="shared" si="7"/>
        <v>4Q13</v>
      </c>
      <c r="X9" s="86" t="str">
        <f t="shared" si="7"/>
        <v>1Q14</v>
      </c>
      <c r="Y9" s="86" t="str">
        <f t="shared" si="7"/>
        <v>2Q14</v>
      </c>
      <c r="Z9" s="86" t="str">
        <f t="shared" si="7"/>
        <v>3Q14</v>
      </c>
      <c r="AA9" s="86" t="str">
        <f t="shared" si="7"/>
        <v>4Q14</v>
      </c>
      <c r="AB9" s="86" t="str">
        <f t="shared" si="7"/>
        <v>1Q15</v>
      </c>
      <c r="AC9" s="86" t="str">
        <f t="shared" si="7"/>
        <v>2Q15</v>
      </c>
      <c r="AD9" s="86" t="str">
        <f t="shared" si="7"/>
        <v>3Q15</v>
      </c>
      <c r="AE9" s="86" t="str">
        <f t="shared" si="7"/>
        <v>4Q15</v>
      </c>
      <c r="AF9" s="86" t="str">
        <f t="shared" si="7"/>
        <v>1Q16</v>
      </c>
      <c r="AG9" s="86" t="str">
        <f t="shared" si="7"/>
        <v>2Q16</v>
      </c>
      <c r="AH9" s="86" t="str">
        <f t="shared" si="7"/>
        <v>3Q16</v>
      </c>
      <c r="AI9" s="86" t="str">
        <f t="shared" si="7"/>
        <v>4Q16</v>
      </c>
      <c r="AJ9" s="86" t="str">
        <f t="shared" si="7"/>
        <v>1Q17</v>
      </c>
      <c r="AK9" s="86" t="str">
        <f t="shared" si="7"/>
        <v>2Q17</v>
      </c>
      <c r="AL9" s="86" t="str">
        <f t="shared" si="7"/>
        <v>3Q17</v>
      </c>
      <c r="AM9" s="86" t="str">
        <f t="shared" si="7"/>
        <v>4Q17</v>
      </c>
      <c r="AN9" s="86" t="str">
        <f t="shared" si="7"/>
        <v>1Q18E</v>
      </c>
      <c r="AO9" s="86" t="str">
        <f t="shared" si="7"/>
        <v>2Q18E</v>
      </c>
      <c r="AP9" s="381" t="str">
        <f t="shared" si="7"/>
        <v>3Q18E</v>
      </c>
      <c r="AQ9" s="86" t="str">
        <f t="shared" si="7"/>
        <v>4Q18E</v>
      </c>
      <c r="AR9" s="86" t="str">
        <f t="shared" si="7"/>
        <v>1Q19E</v>
      </c>
      <c r="AS9" s="86" t="str">
        <f t="shared" si="7"/>
        <v>2Q19E</v>
      </c>
      <c r="AT9" s="86" t="str">
        <f t="shared" si="7"/>
        <v>3Q19E</v>
      </c>
      <c r="AU9" s="86" t="str">
        <f t="shared" si="7"/>
        <v>4Q19E</v>
      </c>
      <c r="AV9" s="86" t="str">
        <f t="shared" si="7"/>
        <v>1Q20E</v>
      </c>
      <c r="AW9" s="86" t="str">
        <f t="shared" si="7"/>
        <v>2Q20E</v>
      </c>
      <c r="AX9" s="86" t="str">
        <f t="shared" si="7"/>
        <v>3Q20E</v>
      </c>
      <c r="AY9" s="86" t="str">
        <f t="shared" si="7"/>
        <v>4Q20E</v>
      </c>
      <c r="BG9" s="4">
        <v>3</v>
      </c>
      <c r="BH9"/>
      <c r="BI9"/>
      <c r="BJ9"/>
      <c r="BK9"/>
      <c r="BL9"/>
      <c r="BM9"/>
    </row>
    <row r="10" spans="1:257" s="3" customFormat="1" ht="11.25" outlineLevel="1">
      <c r="A10" s="2"/>
      <c r="B10" s="351" t="s">
        <v>358</v>
      </c>
      <c r="J10" s="77"/>
      <c r="P10" s="7"/>
      <c r="Q10" s="7"/>
      <c r="R10" s="7"/>
      <c r="S10" s="7"/>
      <c r="T10" s="12"/>
      <c r="U10" s="12"/>
      <c r="V10" s="12"/>
      <c r="W10" s="12"/>
      <c r="X10" s="12"/>
      <c r="Y10" s="12"/>
      <c r="AP10" s="371"/>
      <c r="BG10" s="4">
        <v>4</v>
      </c>
      <c r="BH10"/>
      <c r="BI10"/>
      <c r="BJ10"/>
      <c r="BK10"/>
      <c r="BL10"/>
      <c r="BM10"/>
    </row>
    <row r="11" spans="1:257" s="3" customFormat="1" ht="11.25" outlineLevel="1">
      <c r="A11" s="2"/>
      <c r="B11" s="213" t="s">
        <v>191</v>
      </c>
      <c r="C11" s="15">
        <v>325.54199999999997</v>
      </c>
      <c r="D11" s="15">
        <v>580.11699999999996</v>
      </c>
      <c r="E11" s="15">
        <v>807.84900000000005</v>
      </c>
      <c r="F11" s="15">
        <v>757.851</v>
      </c>
      <c r="G11" s="15">
        <v>856.21199999999999</v>
      </c>
      <c r="H11" s="15">
        <f t="shared" ref="H11:N12" si="8">SUMIF($P$4:$AZ$4,H$4,$P11:$AZ11)</f>
        <v>1232.2317603000001</v>
      </c>
      <c r="I11" s="15">
        <f t="shared" si="8"/>
        <v>710.08300000000008</v>
      </c>
      <c r="J11" s="15">
        <f t="shared" si="8"/>
        <v>416.14400000000001</v>
      </c>
      <c r="K11" s="15">
        <f t="shared" si="8"/>
        <v>834.74900000000002</v>
      </c>
      <c r="L11" s="15">
        <f t="shared" si="8"/>
        <v>1577.3962304538466</v>
      </c>
      <c r="M11" s="15">
        <f t="shared" si="8"/>
        <v>2009.3315074074064</v>
      </c>
      <c r="N11" s="15">
        <f t="shared" si="8"/>
        <v>2023.1890074074063</v>
      </c>
      <c r="P11" s="15"/>
      <c r="Q11" s="15"/>
      <c r="R11" s="15"/>
      <c r="S11" s="15"/>
      <c r="T11" s="306">
        <v>187.352</v>
      </c>
      <c r="U11" s="306">
        <f>378.286-T11</f>
        <v>190.934</v>
      </c>
      <c r="V11" s="306">
        <v>232.17599999999999</v>
      </c>
      <c r="W11" s="306">
        <v>245.75</v>
      </c>
      <c r="X11" s="306">
        <v>266.5</v>
      </c>
      <c r="Y11" s="307">
        <v>300.68476030000005</v>
      </c>
      <c r="Z11" s="306">
        <v>340.66699999999997</v>
      </c>
      <c r="AA11" s="306">
        <v>324.38</v>
      </c>
      <c r="AB11" s="306">
        <v>272.86900000000003</v>
      </c>
      <c r="AC11" s="306">
        <v>188.15</v>
      </c>
      <c r="AD11" s="306">
        <v>141.584</v>
      </c>
      <c r="AE11" s="306">
        <v>107.48</v>
      </c>
      <c r="AF11" s="306">
        <v>117.46299999999999</v>
      </c>
      <c r="AG11" s="306">
        <v>82.102000000000004</v>
      </c>
      <c r="AH11" s="306">
        <v>103.14</v>
      </c>
      <c r="AI11" s="306">
        <v>113.43899999999999</v>
      </c>
      <c r="AJ11" s="306">
        <v>140.99299999999999</v>
      </c>
      <c r="AK11" s="306">
        <v>198.81200000000001</v>
      </c>
      <c r="AL11" s="306">
        <v>249.751</v>
      </c>
      <c r="AM11" s="306">
        <v>245.19300000000001</v>
      </c>
      <c r="AN11" s="15">
        <f t="shared" ref="AN11:AY11" si="9">AN44/1000*AN45</f>
        <v>243.82493510538674</v>
      </c>
      <c r="AO11" s="15">
        <f t="shared" si="9"/>
        <v>254.21245249660822</v>
      </c>
      <c r="AP11" s="345">
        <f t="shared" si="9"/>
        <v>531.27659099999994</v>
      </c>
      <c r="AQ11" s="15">
        <f t="shared" si="9"/>
        <v>548.08225185185165</v>
      </c>
      <c r="AR11" s="15">
        <f t="shared" si="9"/>
        <v>518.18975185185161</v>
      </c>
      <c r="AS11" s="15">
        <f t="shared" si="9"/>
        <v>488.29725185185163</v>
      </c>
      <c r="AT11" s="15">
        <f t="shared" si="9"/>
        <v>497.04725185185157</v>
      </c>
      <c r="AU11" s="15">
        <f t="shared" si="9"/>
        <v>505.79725185185157</v>
      </c>
      <c r="AV11" s="15">
        <f t="shared" si="9"/>
        <v>505.79725185185157</v>
      </c>
      <c r="AW11" s="15">
        <f t="shared" si="9"/>
        <v>505.79725185185157</v>
      </c>
      <c r="AX11" s="15">
        <f t="shared" si="9"/>
        <v>505.79725185185157</v>
      </c>
      <c r="AY11" s="15">
        <f t="shared" si="9"/>
        <v>505.79725185185157</v>
      </c>
      <c r="BG11" s="4">
        <v>5</v>
      </c>
      <c r="BH11"/>
      <c r="BI11"/>
      <c r="BJ11"/>
      <c r="BK11"/>
      <c r="BL11"/>
      <c r="BM11"/>
    </row>
    <row r="12" spans="1:257" s="3" customFormat="1" ht="11.25" outlineLevel="1">
      <c r="A12" s="2"/>
      <c r="B12" s="213" t="s">
        <v>324</v>
      </c>
      <c r="C12" s="15">
        <v>73.117999999999995</v>
      </c>
      <c r="D12" s="15">
        <v>86.971999999999994</v>
      </c>
      <c r="E12" s="15">
        <v>101.893</v>
      </c>
      <c r="F12" s="15">
        <v>127.339</v>
      </c>
      <c r="G12" s="15">
        <v>132.17400000000001</v>
      </c>
      <c r="H12" s="15">
        <f t="shared" si="8"/>
        <v>124.22592</v>
      </c>
      <c r="I12" s="15">
        <f t="shared" si="8"/>
        <v>118.626</v>
      </c>
      <c r="J12" s="15">
        <f t="shared" si="8"/>
        <v>118.869</v>
      </c>
      <c r="K12" s="15">
        <f t="shared" si="8"/>
        <v>125.04599999999999</v>
      </c>
      <c r="L12" s="15">
        <f t="shared" si="8"/>
        <v>384.14380240000003</v>
      </c>
      <c r="M12" s="15">
        <f t="shared" si="8"/>
        <v>662.31791999999996</v>
      </c>
      <c r="N12" s="15">
        <f t="shared" si="8"/>
        <v>675.56427840000003</v>
      </c>
      <c r="P12" s="15"/>
      <c r="Q12" s="15"/>
      <c r="R12" s="15"/>
      <c r="S12" s="15"/>
      <c r="T12" s="306">
        <v>32.695</v>
      </c>
      <c r="U12" s="306">
        <f>69.955-T12</f>
        <v>37.26</v>
      </c>
      <c r="V12" s="306">
        <v>33.491</v>
      </c>
      <c r="W12" s="306">
        <v>28.728000000000002</v>
      </c>
      <c r="X12" s="306">
        <v>28.431999999999999</v>
      </c>
      <c r="Y12" s="307">
        <v>33.605919999999998</v>
      </c>
      <c r="Z12" s="306">
        <v>32.811999999999998</v>
      </c>
      <c r="AA12" s="306">
        <v>29.376000000000001</v>
      </c>
      <c r="AB12" s="306">
        <v>28.620999999999999</v>
      </c>
      <c r="AC12" s="306">
        <v>33.173000000000002</v>
      </c>
      <c r="AD12" s="306">
        <v>29.366</v>
      </c>
      <c r="AE12" s="306">
        <v>27.466000000000001</v>
      </c>
      <c r="AF12" s="306">
        <v>27.995000000000001</v>
      </c>
      <c r="AG12" s="306">
        <v>32.146999999999998</v>
      </c>
      <c r="AH12" s="306">
        <v>31.635000000000002</v>
      </c>
      <c r="AI12" s="306">
        <v>27.091999999999999</v>
      </c>
      <c r="AJ12" s="306">
        <v>31.59</v>
      </c>
      <c r="AK12" s="306">
        <v>34.414000000000001</v>
      </c>
      <c r="AL12" s="306">
        <v>30.298999999999999</v>
      </c>
      <c r="AM12" s="306">
        <v>28.742999999999999</v>
      </c>
      <c r="AN12" s="15">
        <f t="shared" ref="AN12:AY12" si="10">AN184/1000*AN185</f>
        <v>33.188454</v>
      </c>
      <c r="AO12" s="15">
        <f t="shared" si="10"/>
        <v>36.155348400000001</v>
      </c>
      <c r="AP12" s="345">
        <f t="shared" si="10"/>
        <v>167.2</v>
      </c>
      <c r="AQ12" s="15">
        <f t="shared" si="10"/>
        <v>147.6</v>
      </c>
      <c r="AR12" s="15">
        <f t="shared" si="10"/>
        <v>154.80000000000001</v>
      </c>
      <c r="AS12" s="15">
        <f t="shared" si="10"/>
        <v>180</v>
      </c>
      <c r="AT12" s="15">
        <f t="shared" si="10"/>
        <v>173.95488</v>
      </c>
      <c r="AU12" s="15">
        <f t="shared" si="10"/>
        <v>153.56304</v>
      </c>
      <c r="AV12" s="15">
        <f t="shared" si="10"/>
        <v>157.89600000000002</v>
      </c>
      <c r="AW12" s="15">
        <f t="shared" si="10"/>
        <v>183.6</v>
      </c>
      <c r="AX12" s="15">
        <f t="shared" si="10"/>
        <v>177.43397760000002</v>
      </c>
      <c r="AY12" s="15">
        <f t="shared" si="10"/>
        <v>156.63430080000001</v>
      </c>
      <c r="BG12" s="4">
        <v>6</v>
      </c>
      <c r="BH12"/>
      <c r="BI12"/>
      <c r="BJ12"/>
      <c r="BK12"/>
      <c r="BL12"/>
      <c r="BM12"/>
    </row>
    <row r="13" spans="1:257" s="3" customFormat="1" ht="11.25" outlineLevel="1">
      <c r="A13" s="2"/>
      <c r="B13" s="353" t="s">
        <v>357</v>
      </c>
      <c r="C13" s="343">
        <f t="shared" ref="C13:N13" si="11">SUM(C11:C12)</f>
        <v>398.65999999999997</v>
      </c>
      <c r="D13" s="343">
        <f t="shared" si="11"/>
        <v>667.08899999999994</v>
      </c>
      <c r="E13" s="343">
        <f t="shared" si="11"/>
        <v>909.74200000000008</v>
      </c>
      <c r="F13" s="343">
        <f t="shared" si="11"/>
        <v>885.19</v>
      </c>
      <c r="G13" s="343">
        <f t="shared" si="11"/>
        <v>988.38599999999997</v>
      </c>
      <c r="H13" s="343">
        <f t="shared" si="11"/>
        <v>1356.4576803000002</v>
      </c>
      <c r="I13" s="343">
        <f t="shared" si="11"/>
        <v>828.70900000000006</v>
      </c>
      <c r="J13" s="343">
        <f t="shared" si="11"/>
        <v>535.01300000000003</v>
      </c>
      <c r="K13" s="343">
        <f t="shared" si="11"/>
        <v>959.79500000000007</v>
      </c>
      <c r="L13" s="343">
        <f t="shared" si="11"/>
        <v>1961.5400328538467</v>
      </c>
      <c r="M13" s="343">
        <f t="shared" si="11"/>
        <v>2671.6494274074066</v>
      </c>
      <c r="N13" s="343">
        <f t="shared" si="11"/>
        <v>2698.7532858074064</v>
      </c>
      <c r="O13" s="170"/>
      <c r="P13" s="343"/>
      <c r="Q13" s="343"/>
      <c r="R13" s="343"/>
      <c r="S13" s="343"/>
      <c r="T13" s="343">
        <f t="shared" ref="T13:AY13" si="12">SUM(T11:T12)</f>
        <v>220.047</v>
      </c>
      <c r="U13" s="343">
        <f t="shared" si="12"/>
        <v>228.19399999999999</v>
      </c>
      <c r="V13" s="343">
        <f t="shared" si="12"/>
        <v>265.66699999999997</v>
      </c>
      <c r="W13" s="343">
        <f t="shared" si="12"/>
        <v>274.47800000000001</v>
      </c>
      <c r="X13" s="343">
        <f t="shared" si="12"/>
        <v>294.93200000000002</v>
      </c>
      <c r="Y13" s="343">
        <f t="shared" si="12"/>
        <v>334.29068030000008</v>
      </c>
      <c r="Z13" s="343">
        <f t="shared" si="12"/>
        <v>373.47899999999998</v>
      </c>
      <c r="AA13" s="343">
        <f t="shared" si="12"/>
        <v>353.75599999999997</v>
      </c>
      <c r="AB13" s="343">
        <f t="shared" si="12"/>
        <v>301.49</v>
      </c>
      <c r="AC13" s="343">
        <f t="shared" si="12"/>
        <v>221.32300000000001</v>
      </c>
      <c r="AD13" s="343">
        <f t="shared" si="12"/>
        <v>170.95</v>
      </c>
      <c r="AE13" s="343">
        <f t="shared" si="12"/>
        <v>134.946</v>
      </c>
      <c r="AF13" s="343">
        <f t="shared" si="12"/>
        <v>145.458</v>
      </c>
      <c r="AG13" s="343">
        <f t="shared" si="12"/>
        <v>114.249</v>
      </c>
      <c r="AH13" s="343">
        <f t="shared" si="12"/>
        <v>134.77500000000001</v>
      </c>
      <c r="AI13" s="343">
        <f t="shared" si="12"/>
        <v>140.53100000000001</v>
      </c>
      <c r="AJ13" s="343">
        <f t="shared" si="12"/>
        <v>172.583</v>
      </c>
      <c r="AK13" s="343">
        <f t="shared" si="12"/>
        <v>233.226</v>
      </c>
      <c r="AL13" s="343">
        <f t="shared" si="12"/>
        <v>280.05</v>
      </c>
      <c r="AM13" s="343">
        <f t="shared" si="12"/>
        <v>273.93600000000004</v>
      </c>
      <c r="AN13" s="343">
        <f t="shared" si="12"/>
        <v>277.01338910538675</v>
      </c>
      <c r="AO13" s="343">
        <f t="shared" si="12"/>
        <v>290.36780089660823</v>
      </c>
      <c r="AP13" s="346">
        <f t="shared" si="12"/>
        <v>698.47659099999987</v>
      </c>
      <c r="AQ13" s="343">
        <f t="shared" si="12"/>
        <v>695.68225185185167</v>
      </c>
      <c r="AR13" s="343">
        <f t="shared" si="12"/>
        <v>672.98975185185168</v>
      </c>
      <c r="AS13" s="343">
        <f t="shared" si="12"/>
        <v>668.29725185185157</v>
      </c>
      <c r="AT13" s="343">
        <f t="shared" si="12"/>
        <v>671.00213185185157</v>
      </c>
      <c r="AU13" s="343">
        <f t="shared" si="12"/>
        <v>659.36029185185157</v>
      </c>
      <c r="AV13" s="343">
        <f t="shared" si="12"/>
        <v>663.69325185185153</v>
      </c>
      <c r="AW13" s="343">
        <f t="shared" si="12"/>
        <v>689.39725185185159</v>
      </c>
      <c r="AX13" s="343">
        <f t="shared" si="12"/>
        <v>683.23122945185162</v>
      </c>
      <c r="AY13" s="343">
        <f t="shared" si="12"/>
        <v>662.43155265185158</v>
      </c>
      <c r="BG13" s="4">
        <v>7</v>
      </c>
      <c r="BH13"/>
      <c r="BI13"/>
      <c r="BJ13"/>
      <c r="BK13"/>
      <c r="BL13"/>
      <c r="BM13"/>
    </row>
    <row r="14" spans="1:257" s="3" customFormat="1" ht="5.0999999999999996" customHeight="1" outlineLevel="1">
      <c r="A14" s="2"/>
      <c r="B14" s="352"/>
      <c r="P14" s="5"/>
      <c r="Q14" s="5"/>
      <c r="R14" s="5"/>
      <c r="S14" s="5"/>
      <c r="AC14" s="338"/>
      <c r="AD14" s="338"/>
      <c r="AE14" s="338"/>
      <c r="AF14" s="338"/>
      <c r="AG14" s="338"/>
      <c r="AH14" s="338"/>
      <c r="AI14" s="338"/>
      <c r="AJ14" s="338"/>
      <c r="AK14" s="12"/>
      <c r="AL14" s="12"/>
      <c r="AM14" s="12"/>
      <c r="AN14" s="172"/>
      <c r="AO14" s="12"/>
      <c r="AP14" s="382"/>
      <c r="AQ14" s="172"/>
      <c r="AR14" s="172"/>
      <c r="AS14" s="172"/>
      <c r="AT14" s="172"/>
      <c r="AU14" s="172"/>
      <c r="AV14" s="172"/>
      <c r="AW14" s="172"/>
      <c r="AX14" s="172"/>
      <c r="AY14" s="172"/>
      <c r="BG14" s="4">
        <v>8</v>
      </c>
      <c r="BH14"/>
      <c r="BI14"/>
      <c r="BJ14"/>
      <c r="BK14"/>
      <c r="BL14"/>
      <c r="BM14"/>
    </row>
    <row r="15" spans="1:257" s="3" customFormat="1" ht="11.25" outlineLevel="1">
      <c r="A15" s="2"/>
      <c r="B15" s="351" t="s">
        <v>356</v>
      </c>
      <c r="H15" s="10"/>
      <c r="I15" s="10"/>
      <c r="J15" s="10"/>
      <c r="K15" s="10"/>
      <c r="L15" s="10"/>
      <c r="M15" s="10"/>
      <c r="N15" s="10"/>
      <c r="P15" s="49"/>
      <c r="Q15" s="49"/>
      <c r="R15" s="49"/>
      <c r="S15" s="49"/>
      <c r="T15" s="350"/>
      <c r="U15" s="350"/>
      <c r="V15" s="350"/>
      <c r="W15" s="350"/>
      <c r="X15" s="350"/>
      <c r="Y15" s="350"/>
      <c r="Z15" s="350"/>
      <c r="AA15" s="350"/>
      <c r="AB15" s="350"/>
      <c r="AC15" s="338"/>
      <c r="AD15" s="338"/>
      <c r="AE15" s="338"/>
      <c r="AF15" s="338"/>
      <c r="AG15" s="338"/>
      <c r="AH15" s="338"/>
      <c r="AI15" s="338"/>
      <c r="AJ15" s="338"/>
      <c r="AK15" s="12"/>
      <c r="AL15" s="12"/>
      <c r="AM15" s="12"/>
      <c r="AN15" s="172"/>
      <c r="AO15" s="12"/>
      <c r="AP15" s="382"/>
      <c r="AQ15" s="172"/>
      <c r="AR15" s="172"/>
      <c r="AS15" s="172"/>
      <c r="AT15" s="172"/>
      <c r="AU15" s="172"/>
      <c r="AV15" s="172"/>
      <c r="AW15" s="172"/>
      <c r="AX15" s="172"/>
      <c r="AY15" s="172"/>
      <c r="BG15" s="4">
        <v>9</v>
      </c>
      <c r="BH15"/>
      <c r="BI15"/>
      <c r="BJ15"/>
      <c r="BK15"/>
      <c r="BL15"/>
      <c r="BM15"/>
    </row>
    <row r="16" spans="1:257" s="3" customFormat="1" ht="11.25" outlineLevel="1">
      <c r="A16" s="2"/>
      <c r="B16" s="213" t="s">
        <v>191</v>
      </c>
      <c r="C16" s="349" t="s">
        <v>355</v>
      </c>
      <c r="D16" s="15">
        <v>248.18700000000001</v>
      </c>
      <c r="E16" s="15">
        <v>339.05</v>
      </c>
      <c r="F16" s="15">
        <v>316.25099999999998</v>
      </c>
      <c r="G16" s="15">
        <v>296.32100000000003</v>
      </c>
      <c r="H16" s="15">
        <f t="shared" ref="H16:N17" si="13">SUMIF($P$4:$AZ$4,H$4,$P16:$AZ16)</f>
        <v>430.78722399999998</v>
      </c>
      <c r="I16" s="15">
        <f t="shared" si="13"/>
        <v>153.15</v>
      </c>
      <c r="J16" s="15">
        <f t="shared" si="13"/>
        <v>28.848000000000003</v>
      </c>
      <c r="K16" s="15">
        <f t="shared" si="13"/>
        <v>244.04199999999997</v>
      </c>
      <c r="L16" s="15">
        <f t="shared" si="13"/>
        <v>556.26610740554804</v>
      </c>
      <c r="M16" s="15">
        <f t="shared" si="13"/>
        <v>638.83618599659906</v>
      </c>
      <c r="N16" s="15">
        <f t="shared" si="13"/>
        <v>642.49468599659906</v>
      </c>
      <c r="P16" s="15"/>
      <c r="Q16" s="15"/>
      <c r="R16" s="15"/>
      <c r="S16" s="15"/>
      <c r="T16" s="306">
        <v>74.369</v>
      </c>
      <c r="U16" s="306">
        <f>150.267-T16</f>
        <v>75.897999999999996</v>
      </c>
      <c r="V16" s="306">
        <v>82.444000000000003</v>
      </c>
      <c r="W16" s="306">
        <v>63.609000000000002</v>
      </c>
      <c r="X16" s="306">
        <v>89.02</v>
      </c>
      <c r="Y16" s="307">
        <v>103.916224</v>
      </c>
      <c r="Z16" s="306">
        <v>125.063</v>
      </c>
      <c r="AA16" s="306">
        <v>112.788</v>
      </c>
      <c r="AB16" s="306">
        <v>83.819000000000003</v>
      </c>
      <c r="AC16" s="306">
        <v>37.799999999999997</v>
      </c>
      <c r="AD16" s="306">
        <v>22.062000000000001</v>
      </c>
      <c r="AE16" s="306">
        <v>9.4689999999999994</v>
      </c>
      <c r="AF16" s="306">
        <f>12.608+0.076</f>
        <v>12.684000000000001</v>
      </c>
      <c r="AG16" s="306">
        <f>-17.174+9.9</f>
        <v>-7.2739999999999991</v>
      </c>
      <c r="AH16" s="348">
        <v>6.3559999999999999</v>
      </c>
      <c r="AI16" s="306">
        <v>17.082000000000001</v>
      </c>
      <c r="AJ16" s="306">
        <v>27.346</v>
      </c>
      <c r="AK16" s="306">
        <v>54.372999999999998</v>
      </c>
      <c r="AL16" s="306">
        <v>85.100999999999999</v>
      </c>
      <c r="AM16" s="306">
        <v>77.221999999999994</v>
      </c>
      <c r="AN16" s="15">
        <f t="shared" ref="AN16:AY16" si="14">AN44/1000*AN47</f>
        <v>75.786265129550074</v>
      </c>
      <c r="AO16" s="15">
        <f t="shared" si="14"/>
        <v>92.997660129550113</v>
      </c>
      <c r="AP16" s="345">
        <f t="shared" si="14"/>
        <v>188.18751064729807</v>
      </c>
      <c r="AQ16" s="15">
        <f t="shared" si="14"/>
        <v>199.29467149914979</v>
      </c>
      <c r="AR16" s="15">
        <f t="shared" si="14"/>
        <v>174.17317149914976</v>
      </c>
      <c r="AS16" s="15">
        <f t="shared" si="14"/>
        <v>149.1516714991497</v>
      </c>
      <c r="AT16" s="15">
        <f t="shared" si="14"/>
        <v>154.8876714991498</v>
      </c>
      <c r="AU16" s="15">
        <f t="shared" si="14"/>
        <v>160.62367149914976</v>
      </c>
      <c r="AV16" s="15">
        <f t="shared" si="14"/>
        <v>160.62367149914976</v>
      </c>
      <c r="AW16" s="15">
        <f t="shared" si="14"/>
        <v>160.62367149914976</v>
      </c>
      <c r="AX16" s="15">
        <f t="shared" si="14"/>
        <v>160.62367149914976</v>
      </c>
      <c r="AY16" s="15">
        <f t="shared" si="14"/>
        <v>160.62367149914976</v>
      </c>
      <c r="BG16" s="4">
        <v>10</v>
      </c>
      <c r="BH16"/>
      <c r="BI16"/>
      <c r="BJ16"/>
      <c r="BK16"/>
      <c r="BL16"/>
      <c r="BM16"/>
    </row>
    <row r="17" spans="1:65" s="3" customFormat="1" ht="11.25" outlineLevel="1">
      <c r="A17" s="2"/>
      <c r="B17" s="213" t="s">
        <v>324</v>
      </c>
      <c r="C17" s="349" t="s">
        <v>355</v>
      </c>
      <c r="D17" s="15">
        <v>20.904</v>
      </c>
      <c r="E17" s="15">
        <v>29.141999999999999</v>
      </c>
      <c r="F17" s="15">
        <v>37.837000000000003</v>
      </c>
      <c r="G17" s="15">
        <v>34.765000000000001</v>
      </c>
      <c r="H17" s="15">
        <f t="shared" si="13"/>
        <v>34.835196000000003</v>
      </c>
      <c r="I17" s="15">
        <f t="shared" si="13"/>
        <v>38.765000000000001</v>
      </c>
      <c r="J17" s="15">
        <f t="shared" si="13"/>
        <v>45.999000000000002</v>
      </c>
      <c r="K17" s="15">
        <f t="shared" si="13"/>
        <v>55.995000000000005</v>
      </c>
      <c r="L17" s="15">
        <f t="shared" si="13"/>
        <v>160.4796212</v>
      </c>
      <c r="M17" s="15">
        <f t="shared" si="13"/>
        <v>279.84392000000003</v>
      </c>
      <c r="N17" s="15">
        <f t="shared" si="13"/>
        <v>285.44079840000001</v>
      </c>
      <c r="O17" s="78"/>
      <c r="P17" s="15"/>
      <c r="Q17" s="15"/>
      <c r="R17" s="15"/>
      <c r="S17" s="15"/>
      <c r="T17" s="306">
        <v>7.2750000000000004</v>
      </c>
      <c r="U17" s="306">
        <f>17.002-T17</f>
        <v>9.7269999999999985</v>
      </c>
      <c r="V17" s="306">
        <v>10.086</v>
      </c>
      <c r="W17" s="306">
        <v>7.6769999999999996</v>
      </c>
      <c r="X17" s="306">
        <v>6.2850000000000001</v>
      </c>
      <c r="Y17" s="307">
        <v>10.912196000000002</v>
      </c>
      <c r="Z17" s="306">
        <v>10.048999999999999</v>
      </c>
      <c r="AA17" s="306">
        <v>7.5890000000000004</v>
      </c>
      <c r="AB17" s="306">
        <v>7.0759999999999996</v>
      </c>
      <c r="AC17" s="306">
        <v>11.2</v>
      </c>
      <c r="AD17" s="306">
        <v>11.03</v>
      </c>
      <c r="AE17" s="306">
        <v>9.4589999999999996</v>
      </c>
      <c r="AF17" s="306">
        <v>8.8460000000000001</v>
      </c>
      <c r="AG17" s="306">
        <f>12.006+0.4</f>
        <v>12.406000000000001</v>
      </c>
      <c r="AH17" s="348">
        <v>13.545999999999999</v>
      </c>
      <c r="AI17" s="306">
        <v>11.201000000000001</v>
      </c>
      <c r="AJ17" s="306">
        <v>13.484999999999999</v>
      </c>
      <c r="AK17" s="306">
        <v>15.717000000000001</v>
      </c>
      <c r="AL17" s="306">
        <v>14.367000000000001</v>
      </c>
      <c r="AM17" s="306">
        <v>12.426</v>
      </c>
      <c r="AN17" s="15">
        <f t="shared" ref="AN17:AY17" si="15">AN184/1000*AN187</f>
        <v>14.167341</v>
      </c>
      <c r="AO17" s="15">
        <f t="shared" si="15"/>
        <v>16.512280199999999</v>
      </c>
      <c r="AP17" s="345">
        <f t="shared" si="15"/>
        <v>72.2</v>
      </c>
      <c r="AQ17" s="15">
        <f t="shared" si="15"/>
        <v>57.6</v>
      </c>
      <c r="AR17" s="15">
        <f t="shared" si="15"/>
        <v>64.8</v>
      </c>
      <c r="AS17" s="15">
        <f t="shared" si="15"/>
        <v>80</v>
      </c>
      <c r="AT17" s="15">
        <f t="shared" si="15"/>
        <v>75.116879999999995</v>
      </c>
      <c r="AU17" s="15">
        <f t="shared" si="15"/>
        <v>59.927040000000005</v>
      </c>
      <c r="AV17" s="15">
        <f t="shared" si="15"/>
        <v>66.096000000000004</v>
      </c>
      <c r="AW17" s="15">
        <f t="shared" si="15"/>
        <v>81.599999999999994</v>
      </c>
      <c r="AX17" s="15">
        <f t="shared" si="15"/>
        <v>76.619217599999985</v>
      </c>
      <c r="AY17" s="15">
        <f t="shared" si="15"/>
        <v>61.125580800000002</v>
      </c>
      <c r="BG17" s="4">
        <v>11</v>
      </c>
      <c r="BH17"/>
      <c r="BI17"/>
      <c r="BJ17"/>
      <c r="BK17"/>
      <c r="BL17"/>
      <c r="BM17"/>
    </row>
    <row r="18" spans="1:65" s="3" customFormat="1" ht="11.25" outlineLevel="1">
      <c r="A18" s="2"/>
      <c r="B18" s="165" t="s">
        <v>354</v>
      </c>
      <c r="C18" s="347"/>
      <c r="D18" s="343">
        <f t="shared" ref="D18:N18" si="16">SUM(D16:D17)</f>
        <v>269.09100000000001</v>
      </c>
      <c r="E18" s="343">
        <f t="shared" si="16"/>
        <v>368.19200000000001</v>
      </c>
      <c r="F18" s="343">
        <f t="shared" si="16"/>
        <v>354.08799999999997</v>
      </c>
      <c r="G18" s="343">
        <f t="shared" si="16"/>
        <v>331.08600000000001</v>
      </c>
      <c r="H18" s="343">
        <f t="shared" si="16"/>
        <v>465.62241999999998</v>
      </c>
      <c r="I18" s="343">
        <f t="shared" si="16"/>
        <v>191.91500000000002</v>
      </c>
      <c r="J18" s="343">
        <f t="shared" si="16"/>
        <v>74.847000000000008</v>
      </c>
      <c r="K18" s="343">
        <f t="shared" si="16"/>
        <v>300.03699999999998</v>
      </c>
      <c r="L18" s="343">
        <f t="shared" si="16"/>
        <v>716.74572860554804</v>
      </c>
      <c r="M18" s="343">
        <f t="shared" si="16"/>
        <v>918.68010599659908</v>
      </c>
      <c r="N18" s="343">
        <f t="shared" si="16"/>
        <v>927.93548439659912</v>
      </c>
      <c r="O18" s="170"/>
      <c r="P18" s="343"/>
      <c r="Q18" s="343"/>
      <c r="R18" s="343"/>
      <c r="S18" s="343"/>
      <c r="T18" s="343">
        <f t="shared" ref="T18:AY18" si="17">SUM(T16:T17)</f>
        <v>81.644000000000005</v>
      </c>
      <c r="U18" s="343">
        <f t="shared" si="17"/>
        <v>85.625</v>
      </c>
      <c r="V18" s="343">
        <f t="shared" si="17"/>
        <v>92.53</v>
      </c>
      <c r="W18" s="343">
        <f t="shared" si="17"/>
        <v>71.286000000000001</v>
      </c>
      <c r="X18" s="343">
        <f t="shared" si="17"/>
        <v>95.304999999999993</v>
      </c>
      <c r="Y18" s="343">
        <f t="shared" si="17"/>
        <v>114.82841999999999</v>
      </c>
      <c r="Z18" s="343">
        <f t="shared" si="17"/>
        <v>135.11199999999999</v>
      </c>
      <c r="AA18" s="343">
        <f t="shared" si="17"/>
        <v>120.377</v>
      </c>
      <c r="AB18" s="343">
        <f t="shared" si="17"/>
        <v>90.894999999999996</v>
      </c>
      <c r="AC18" s="343">
        <f t="shared" si="17"/>
        <v>49</v>
      </c>
      <c r="AD18" s="343">
        <f t="shared" si="17"/>
        <v>33.091999999999999</v>
      </c>
      <c r="AE18" s="343">
        <f t="shared" si="17"/>
        <v>18.927999999999997</v>
      </c>
      <c r="AF18" s="343">
        <f t="shared" si="17"/>
        <v>21.53</v>
      </c>
      <c r="AG18" s="343">
        <f t="shared" si="17"/>
        <v>5.1320000000000014</v>
      </c>
      <c r="AH18" s="346">
        <f t="shared" si="17"/>
        <v>19.902000000000001</v>
      </c>
      <c r="AI18" s="343">
        <f t="shared" si="17"/>
        <v>28.283000000000001</v>
      </c>
      <c r="AJ18" s="343">
        <f t="shared" si="17"/>
        <v>40.831000000000003</v>
      </c>
      <c r="AK18" s="343">
        <f t="shared" si="17"/>
        <v>70.09</v>
      </c>
      <c r="AL18" s="343">
        <f t="shared" si="17"/>
        <v>99.468000000000004</v>
      </c>
      <c r="AM18" s="343">
        <f t="shared" si="17"/>
        <v>89.647999999999996</v>
      </c>
      <c r="AN18" s="343">
        <f t="shared" si="17"/>
        <v>89.953606129550082</v>
      </c>
      <c r="AO18" s="343">
        <f t="shared" si="17"/>
        <v>109.50994032955012</v>
      </c>
      <c r="AP18" s="346">
        <f t="shared" si="17"/>
        <v>260.38751064729809</v>
      </c>
      <c r="AQ18" s="343">
        <f t="shared" si="17"/>
        <v>256.89467149914981</v>
      </c>
      <c r="AR18" s="343">
        <f t="shared" si="17"/>
        <v>238.97317149914977</v>
      </c>
      <c r="AS18" s="343">
        <f t="shared" si="17"/>
        <v>229.1516714991497</v>
      </c>
      <c r="AT18" s="343">
        <f t="shared" si="17"/>
        <v>230.00455149914978</v>
      </c>
      <c r="AU18" s="343">
        <f t="shared" si="17"/>
        <v>220.55071149914977</v>
      </c>
      <c r="AV18" s="343">
        <f t="shared" si="17"/>
        <v>226.71967149914977</v>
      </c>
      <c r="AW18" s="343">
        <f t="shared" si="17"/>
        <v>242.22367149914976</v>
      </c>
      <c r="AX18" s="343">
        <f t="shared" si="17"/>
        <v>237.24288909914975</v>
      </c>
      <c r="AY18" s="343">
        <f t="shared" si="17"/>
        <v>221.74925229914976</v>
      </c>
      <c r="BG18" s="4">
        <v>12</v>
      </c>
      <c r="BH18"/>
      <c r="BI18"/>
      <c r="BJ18"/>
      <c r="BK18"/>
      <c r="BL18"/>
      <c r="BM18"/>
    </row>
    <row r="19" spans="1:65" s="3" customFormat="1" ht="11.25" outlineLevel="1">
      <c r="A19" s="2"/>
      <c r="B19" s="213" t="s">
        <v>353</v>
      </c>
      <c r="C19" s="15"/>
      <c r="D19" s="15"/>
      <c r="E19" s="15"/>
      <c r="F19" s="15">
        <f>F81</f>
        <v>-34.462000000000003</v>
      </c>
      <c r="G19" s="15">
        <f>G81</f>
        <v>-33.514000000000095</v>
      </c>
      <c r="H19" s="15">
        <f t="shared" ref="H19:N22" si="18">SUMIF($P$4:$AZ$4,H$4,$P19:$AZ19)</f>
        <v>-64.957739699999877</v>
      </c>
      <c r="I19" s="15">
        <f t="shared" si="18"/>
        <v>-52.411999999999978</v>
      </c>
      <c r="J19" s="345">
        <f t="shared" si="18"/>
        <v>-53.018000000000015</v>
      </c>
      <c r="K19" s="15">
        <f t="shared" si="18"/>
        <v>-96.334000000000003</v>
      </c>
      <c r="L19" s="15">
        <f t="shared" si="18"/>
        <v>-139.5</v>
      </c>
      <c r="M19" s="15">
        <f t="shared" si="18"/>
        <v>-180</v>
      </c>
      <c r="N19" s="15">
        <f t="shared" si="18"/>
        <v>-180</v>
      </c>
      <c r="P19" s="15"/>
      <c r="Q19" s="15"/>
      <c r="R19" s="15"/>
      <c r="S19" s="15"/>
      <c r="T19" s="15">
        <f t="shared" ref="T19:AM19" si="19">T81</f>
        <v>-10.524000000000004</v>
      </c>
      <c r="U19" s="15">
        <f t="shared" si="19"/>
        <v>-9.4909999999999943</v>
      </c>
      <c r="V19" s="15">
        <f t="shared" si="19"/>
        <v>-10.060000000000016</v>
      </c>
      <c r="W19" s="15">
        <f t="shared" si="19"/>
        <v>-9.8620000000000161</v>
      </c>
      <c r="X19" s="15">
        <f t="shared" si="19"/>
        <v>-13.210999999999977</v>
      </c>
      <c r="Y19" s="15">
        <f t="shared" si="19"/>
        <v>-16.911739699999931</v>
      </c>
      <c r="Z19" s="15">
        <f t="shared" si="19"/>
        <v>-17.152999999999988</v>
      </c>
      <c r="AA19" s="15">
        <f t="shared" si="19"/>
        <v>-17.681999999999988</v>
      </c>
      <c r="AB19" s="15">
        <f t="shared" si="19"/>
        <v>-15.649000000000013</v>
      </c>
      <c r="AC19" s="15">
        <f t="shared" si="19"/>
        <v>-12.010999999999967</v>
      </c>
      <c r="AD19" s="15">
        <f t="shared" si="19"/>
        <v>-12.134999999999991</v>
      </c>
      <c r="AE19" s="15">
        <f t="shared" si="19"/>
        <v>-12.617000000000001</v>
      </c>
      <c r="AF19" s="15">
        <f t="shared" si="19"/>
        <v>-11.161000000000001</v>
      </c>
      <c r="AG19" s="15">
        <f t="shared" si="19"/>
        <v>-10.53799999999999</v>
      </c>
      <c r="AH19" s="345">
        <f t="shared" si="19"/>
        <v>-15.442999999999998</v>
      </c>
      <c r="AI19" s="15">
        <f t="shared" si="19"/>
        <v>-15.876000000000023</v>
      </c>
      <c r="AJ19" s="15">
        <f t="shared" si="19"/>
        <v>-20.05400000000003</v>
      </c>
      <c r="AK19" s="15">
        <f t="shared" si="19"/>
        <v>-23.099999999999966</v>
      </c>
      <c r="AL19" s="15">
        <f t="shared" si="19"/>
        <v>-28.703000000000003</v>
      </c>
      <c r="AM19" s="15">
        <f t="shared" si="19"/>
        <v>-24.477000000000011</v>
      </c>
      <c r="AN19" s="307">
        <v>-21</v>
      </c>
      <c r="AO19" s="307">
        <v>-21</v>
      </c>
      <c r="AP19" s="383">
        <v>-50</v>
      </c>
      <c r="AQ19" s="307">
        <f>+AP19+2.5</f>
        <v>-47.5</v>
      </c>
      <c r="AR19" s="307">
        <f>+AQ19+2.5</f>
        <v>-45</v>
      </c>
      <c r="AS19" s="307">
        <f t="shared" ref="AS19:AY19" si="20">AR19</f>
        <v>-45</v>
      </c>
      <c r="AT19" s="307">
        <f t="shared" si="20"/>
        <v>-45</v>
      </c>
      <c r="AU19" s="307">
        <f t="shared" si="20"/>
        <v>-45</v>
      </c>
      <c r="AV19" s="307">
        <f t="shared" si="20"/>
        <v>-45</v>
      </c>
      <c r="AW19" s="307">
        <f t="shared" si="20"/>
        <v>-45</v>
      </c>
      <c r="AX19" s="307">
        <f t="shared" si="20"/>
        <v>-45</v>
      </c>
      <c r="AY19" s="307">
        <f t="shared" si="20"/>
        <v>-45</v>
      </c>
      <c r="BG19" s="4">
        <v>13</v>
      </c>
      <c r="BH19"/>
      <c r="BI19"/>
      <c r="BJ19"/>
      <c r="BK19"/>
      <c r="BL19"/>
      <c r="BM19"/>
    </row>
    <row r="20" spans="1:65" s="3" customFormat="1" ht="11.25" outlineLevel="1">
      <c r="A20" s="2"/>
      <c r="B20" s="213" t="s">
        <v>352</v>
      </c>
      <c r="C20" s="15">
        <v>-3.9060000000000001</v>
      </c>
      <c r="D20" s="15">
        <v>-23.277999999999999</v>
      </c>
      <c r="E20" s="15">
        <v>-17.539000000000001</v>
      </c>
      <c r="F20" s="15">
        <v>-11.433999999999999</v>
      </c>
      <c r="G20" s="15">
        <v>-10.132999999999999</v>
      </c>
      <c r="H20" s="15">
        <f t="shared" si="18"/>
        <v>-16.570999999999998</v>
      </c>
      <c r="I20" s="15">
        <f t="shared" si="18"/>
        <v>-4.0600000000000005</v>
      </c>
      <c r="J20" s="15">
        <f t="shared" si="18"/>
        <v>-8.8699999999999992</v>
      </c>
      <c r="K20" s="15">
        <f t="shared" si="18"/>
        <v>-10.071000000000002</v>
      </c>
      <c r="L20" s="15">
        <f t="shared" si="18"/>
        <v>-16</v>
      </c>
      <c r="M20" s="15">
        <f t="shared" si="18"/>
        <v>-20</v>
      </c>
      <c r="N20" s="15">
        <f t="shared" si="18"/>
        <v>-20</v>
      </c>
      <c r="P20" s="7"/>
      <c r="Q20" s="7"/>
      <c r="R20" s="7"/>
      <c r="S20" s="7"/>
      <c r="T20" s="23">
        <v>-1.839</v>
      </c>
      <c r="U20" s="23">
        <f>-3.709-T20</f>
        <v>-1.87</v>
      </c>
      <c r="V20" s="23">
        <v>-2.0219999999999998</v>
      </c>
      <c r="W20" s="23">
        <v>-4.4020000000000001</v>
      </c>
      <c r="X20" s="23">
        <v>-2.0939999999999999</v>
      </c>
      <c r="Y20" s="23">
        <v>-2.2189999999999999</v>
      </c>
      <c r="Z20" s="23">
        <v>-4.3609999999999998</v>
      </c>
      <c r="AA20" s="23">
        <v>-7.8970000000000002</v>
      </c>
      <c r="AB20" s="23">
        <v>-1.883</v>
      </c>
      <c r="AC20" s="23">
        <f>-2.618+0.465</f>
        <v>-2.153</v>
      </c>
      <c r="AD20" s="23">
        <v>-2.6789999999999998</v>
      </c>
      <c r="AE20" s="23">
        <v>2.6549999999999998</v>
      </c>
      <c r="AF20" s="23">
        <v>-1.653</v>
      </c>
      <c r="AG20" s="23">
        <v>-3.9140000000000001</v>
      </c>
      <c r="AH20" s="23">
        <v>-1.7989999999999999</v>
      </c>
      <c r="AI20" s="23">
        <f>-8.87-AH20-AG20-AF20</f>
        <v>-1.5039999999999996</v>
      </c>
      <c r="AJ20" s="23">
        <v>-2.4159999999999999</v>
      </c>
      <c r="AK20" s="23">
        <v>-2.7629999999999999</v>
      </c>
      <c r="AL20" s="23">
        <v>-2.4020000000000001</v>
      </c>
      <c r="AM20" s="23">
        <v>-2.4900000000000002</v>
      </c>
      <c r="AN20" s="23">
        <v>-3</v>
      </c>
      <c r="AO20" s="23">
        <v>-3</v>
      </c>
      <c r="AP20" s="384">
        <v>-5</v>
      </c>
      <c r="AQ20" s="23">
        <v>-5</v>
      </c>
      <c r="AR20" s="23">
        <v>-5</v>
      </c>
      <c r="AS20" s="23">
        <v>-5</v>
      </c>
      <c r="AT20" s="23">
        <v>-5</v>
      </c>
      <c r="AU20" s="23">
        <v>-5</v>
      </c>
      <c r="AV20" s="23">
        <v>-5</v>
      </c>
      <c r="AW20" s="23">
        <v>-5</v>
      </c>
      <c r="AX20" s="23">
        <v>-5</v>
      </c>
      <c r="AY20" s="23">
        <v>-5</v>
      </c>
      <c r="BG20" s="4">
        <v>14</v>
      </c>
      <c r="BH20"/>
      <c r="BI20"/>
      <c r="BJ20"/>
      <c r="BK20"/>
      <c r="BL20"/>
      <c r="BM20"/>
    </row>
    <row r="21" spans="1:65" s="3" customFormat="1" ht="11.25" outlineLevel="1">
      <c r="A21" s="2"/>
      <c r="B21" s="213" t="s">
        <v>351</v>
      </c>
      <c r="C21" s="15">
        <v>-19.062000000000001</v>
      </c>
      <c r="D21" s="15">
        <v>-24.331</v>
      </c>
      <c r="E21" s="15">
        <v>-21.622</v>
      </c>
      <c r="F21" s="15">
        <v>-27.69</v>
      </c>
      <c r="G21" s="15">
        <v>-37.771000000000001</v>
      </c>
      <c r="H21" s="15">
        <f t="shared" si="18"/>
        <v>-59.379000000000005</v>
      </c>
      <c r="I21" s="15">
        <f t="shared" si="18"/>
        <v>-66.753999999999991</v>
      </c>
      <c r="J21" s="15">
        <f t="shared" si="18"/>
        <v>-72.275999999999996</v>
      </c>
      <c r="K21" s="15">
        <f t="shared" si="18"/>
        <v>-79.143999999999991</v>
      </c>
      <c r="L21" s="15">
        <f t="shared" si="18"/>
        <v>-169.77449566283082</v>
      </c>
      <c r="M21" s="15">
        <f t="shared" si="18"/>
        <v>-249.73690879659557</v>
      </c>
      <c r="N21" s="15">
        <f t="shared" si="18"/>
        <v>-240.12406590986421</v>
      </c>
      <c r="P21" s="7"/>
      <c r="Q21" s="7"/>
      <c r="R21" s="7"/>
      <c r="S21" s="7"/>
      <c r="T21" s="23">
        <v>-7.3330000000000002</v>
      </c>
      <c r="U21" s="23">
        <f>-15.553-T21</f>
        <v>-8.2200000000000006</v>
      </c>
      <c r="V21" s="23">
        <v>-8.9570000000000007</v>
      </c>
      <c r="W21" s="23">
        <v>-13.260999999999999</v>
      </c>
      <c r="X21" s="23">
        <v>-12.938000000000001</v>
      </c>
      <c r="Y21" s="23">
        <v>-14.584</v>
      </c>
      <c r="Z21" s="23">
        <v>-15.27</v>
      </c>
      <c r="AA21" s="23">
        <v>-16.587</v>
      </c>
      <c r="AB21" s="23">
        <v>-16.222999999999999</v>
      </c>
      <c r="AC21" s="23">
        <v>-16.276</v>
      </c>
      <c r="AD21" s="23">
        <v>-15.26</v>
      </c>
      <c r="AE21" s="23">
        <v>-18.995000000000001</v>
      </c>
      <c r="AF21" s="23">
        <v>-18.585999999999999</v>
      </c>
      <c r="AG21" s="23">
        <v>-18.056000000000001</v>
      </c>
      <c r="AH21" s="23">
        <v>-17.759</v>
      </c>
      <c r="AI21" s="23">
        <v>-17.875</v>
      </c>
      <c r="AJ21" s="23">
        <v>-19.442</v>
      </c>
      <c r="AK21" s="23">
        <v>-19.846</v>
      </c>
      <c r="AL21" s="23">
        <v>-20.173999999999999</v>
      </c>
      <c r="AM21" s="23">
        <v>-19.681999999999999</v>
      </c>
      <c r="AN21" s="7">
        <f t="shared" ref="AN21:AY21" si="21">-AN69/4*AM291</f>
        <v>-20.146345706586327</v>
      </c>
      <c r="AO21" s="7">
        <f t="shared" si="21"/>
        <v>-20.61132373105697</v>
      </c>
      <c r="AP21" s="57">
        <f t="shared" si="21"/>
        <v>-64.993262448044177</v>
      </c>
      <c r="AQ21" s="7">
        <f t="shared" si="21"/>
        <v>-64.023563777143352</v>
      </c>
      <c r="AR21" s="7">
        <f t="shared" si="21"/>
        <v>-63.375796956321913</v>
      </c>
      <c r="AS21" s="7">
        <f t="shared" si="21"/>
        <v>-62.740175763390873</v>
      </c>
      <c r="AT21" s="7">
        <f t="shared" si="21"/>
        <v>-62.116472467827286</v>
      </c>
      <c r="AU21" s="7">
        <f t="shared" si="21"/>
        <v>-61.50446360905552</v>
      </c>
      <c r="AV21" s="7">
        <f t="shared" si="21"/>
        <v>-60.903929916385721</v>
      </c>
      <c r="AW21" s="7">
        <f t="shared" si="21"/>
        <v>-60.314656230453494</v>
      </c>
      <c r="AX21" s="7">
        <f t="shared" si="21"/>
        <v>-59.736431426132484</v>
      </c>
      <c r="AY21" s="7">
        <f t="shared" si="21"/>
        <v>-59.169048336892502</v>
      </c>
      <c r="BG21" s="4">
        <v>15</v>
      </c>
      <c r="BH21"/>
      <c r="BI21"/>
      <c r="BJ21"/>
      <c r="BK21"/>
      <c r="BL21"/>
      <c r="BM21"/>
    </row>
    <row r="22" spans="1:65" s="3" customFormat="1" ht="11.25" outlineLevel="1">
      <c r="A22" s="2"/>
      <c r="B22" s="213" t="s">
        <v>350</v>
      </c>
      <c r="C22" s="15"/>
      <c r="D22" s="15"/>
      <c r="E22" s="15"/>
      <c r="F22" s="15">
        <v>0.20699999999999999</v>
      </c>
      <c r="G22" s="15">
        <v>-2.8260000000000001</v>
      </c>
      <c r="H22" s="15">
        <f t="shared" si="18"/>
        <v>-3.1630000000000003</v>
      </c>
      <c r="I22" s="15">
        <f t="shared" si="18"/>
        <v>0.27799999999999991</v>
      </c>
      <c r="J22" s="15">
        <f t="shared" si="18"/>
        <v>0.90100000000000058</v>
      </c>
      <c r="K22" s="15">
        <f t="shared" si="18"/>
        <v>1.0720000000000003</v>
      </c>
      <c r="L22" s="15">
        <f t="shared" si="18"/>
        <v>0</v>
      </c>
      <c r="M22" s="15">
        <f t="shared" si="18"/>
        <v>0</v>
      </c>
      <c r="N22" s="15">
        <f t="shared" si="18"/>
        <v>0</v>
      </c>
      <c r="P22" s="7"/>
      <c r="Q22" s="7"/>
      <c r="R22" s="7"/>
      <c r="S22" s="7"/>
      <c r="T22" s="23">
        <v>-0.34100000000000003</v>
      </c>
      <c r="U22" s="23">
        <f>-0.672-T22</f>
        <v>-0.33100000000000002</v>
      </c>
      <c r="V22" s="23">
        <v>-6.8000000000000005E-2</v>
      </c>
      <c r="W22" s="23">
        <v>-2.0859999999999999</v>
      </c>
      <c r="X22" s="23">
        <v>6.5000000000000002E-2</v>
      </c>
      <c r="Y22" s="23">
        <v>0.26300000000000001</v>
      </c>
      <c r="Z22" s="23">
        <v>-0.94</v>
      </c>
      <c r="AA22" s="23">
        <v>-2.5510000000000002</v>
      </c>
      <c r="AB22" s="23">
        <v>0.313</v>
      </c>
      <c r="AC22" s="23">
        <f>-0.913</f>
        <v>-0.91300000000000003</v>
      </c>
      <c r="AD22" s="23">
        <f>0.878</f>
        <v>0.878</v>
      </c>
      <c r="AE22" s="23">
        <v>0</v>
      </c>
      <c r="AF22" s="23">
        <f>-0.33</f>
        <v>-0.33</v>
      </c>
      <c r="AG22" s="23">
        <f>0.426</f>
        <v>0.42599999999999999</v>
      </c>
      <c r="AH22" s="23">
        <f>-9.362+9.8</f>
        <v>0.43800000000000061</v>
      </c>
      <c r="AI22" s="23">
        <f>0.367</f>
        <v>0.36699999999999999</v>
      </c>
      <c r="AJ22" s="23">
        <v>1.06</v>
      </c>
      <c r="AK22" s="23">
        <v>-0.35499999999999998</v>
      </c>
      <c r="AL22" s="23">
        <v>1.5940000000000001</v>
      </c>
      <c r="AM22" s="23">
        <v>-1.2270000000000001</v>
      </c>
      <c r="AN22" s="23">
        <v>0</v>
      </c>
      <c r="AO22" s="23">
        <v>0</v>
      </c>
      <c r="AP22" s="384">
        <v>0</v>
      </c>
      <c r="AQ22" s="23">
        <v>0</v>
      </c>
      <c r="AR22" s="23">
        <v>0</v>
      </c>
      <c r="AS22" s="23">
        <v>0</v>
      </c>
      <c r="AT22" s="23">
        <v>0</v>
      </c>
      <c r="AU22" s="23">
        <v>0</v>
      </c>
      <c r="AV22" s="23">
        <v>0</v>
      </c>
      <c r="AW22" s="23">
        <v>0</v>
      </c>
      <c r="AX22" s="23">
        <v>0</v>
      </c>
      <c r="AY22" s="23">
        <v>0</v>
      </c>
      <c r="BG22" s="4">
        <v>16</v>
      </c>
      <c r="BH22"/>
      <c r="BI22"/>
      <c r="BJ22"/>
      <c r="BK22"/>
      <c r="BL22"/>
      <c r="BM22"/>
    </row>
    <row r="23" spans="1:65" s="3" customFormat="1" ht="11.25" outlineLevel="1">
      <c r="A23" s="2"/>
      <c r="B23" s="165" t="s">
        <v>45</v>
      </c>
      <c r="C23" s="343"/>
      <c r="D23" s="343"/>
      <c r="E23" s="343"/>
      <c r="F23" s="343">
        <f t="shared" ref="F23:N23" si="22">F18+SUM(F19:F22)</f>
        <v>280.70899999999995</v>
      </c>
      <c r="G23" s="343">
        <f t="shared" si="22"/>
        <v>246.84199999999993</v>
      </c>
      <c r="H23" s="343">
        <f t="shared" si="22"/>
        <v>321.5516803000001</v>
      </c>
      <c r="I23" s="343">
        <f t="shared" si="22"/>
        <v>68.967000000000056</v>
      </c>
      <c r="J23" s="343">
        <f t="shared" si="22"/>
        <v>-58.415999999999997</v>
      </c>
      <c r="K23" s="343">
        <f t="shared" si="22"/>
        <v>115.56</v>
      </c>
      <c r="L23" s="343">
        <f t="shared" si="22"/>
        <v>391.47123294271722</v>
      </c>
      <c r="M23" s="343">
        <f t="shared" si="22"/>
        <v>468.94319720000351</v>
      </c>
      <c r="N23" s="343">
        <f t="shared" si="22"/>
        <v>487.81141848673491</v>
      </c>
      <c r="P23" s="343"/>
      <c r="Q23" s="343"/>
      <c r="R23" s="343"/>
      <c r="S23" s="343"/>
      <c r="T23" s="343">
        <f t="shared" ref="T23:AY23" si="23">T18+SUM(T19:T22)</f>
        <v>61.606999999999999</v>
      </c>
      <c r="U23" s="343">
        <f t="shared" si="23"/>
        <v>65.713000000000008</v>
      </c>
      <c r="V23" s="343">
        <f t="shared" si="23"/>
        <v>71.422999999999988</v>
      </c>
      <c r="W23" s="343">
        <f t="shared" si="23"/>
        <v>41.674999999999983</v>
      </c>
      <c r="X23" s="343">
        <f t="shared" si="23"/>
        <v>67.12700000000001</v>
      </c>
      <c r="Y23" s="343">
        <f t="shared" si="23"/>
        <v>81.376680300000061</v>
      </c>
      <c r="Z23" s="343">
        <f t="shared" si="23"/>
        <v>97.388000000000005</v>
      </c>
      <c r="AA23" s="343">
        <f t="shared" si="23"/>
        <v>75.660000000000011</v>
      </c>
      <c r="AB23" s="343">
        <f t="shared" si="23"/>
        <v>57.452999999999989</v>
      </c>
      <c r="AC23" s="343">
        <f t="shared" si="23"/>
        <v>17.64700000000003</v>
      </c>
      <c r="AD23" s="343">
        <f t="shared" si="23"/>
        <v>3.8960000000000079</v>
      </c>
      <c r="AE23" s="343">
        <f t="shared" si="23"/>
        <v>-10.029000000000003</v>
      </c>
      <c r="AF23" s="343">
        <f t="shared" si="23"/>
        <v>-10.199999999999996</v>
      </c>
      <c r="AG23" s="343">
        <f t="shared" si="23"/>
        <v>-26.949999999999985</v>
      </c>
      <c r="AH23" s="343">
        <f t="shared" si="23"/>
        <v>-14.660999999999994</v>
      </c>
      <c r="AI23" s="343">
        <f t="shared" si="23"/>
        <v>-6.6050000000000253</v>
      </c>
      <c r="AJ23" s="343">
        <f t="shared" si="23"/>
        <v>-2.1000000000029218E-2</v>
      </c>
      <c r="AK23" s="343">
        <f t="shared" si="23"/>
        <v>24.026000000000046</v>
      </c>
      <c r="AL23" s="343">
        <f t="shared" si="23"/>
        <v>49.783000000000001</v>
      </c>
      <c r="AM23" s="343">
        <f t="shared" si="23"/>
        <v>41.771999999999984</v>
      </c>
      <c r="AN23" s="343">
        <f t="shared" si="23"/>
        <v>45.807260422963751</v>
      </c>
      <c r="AO23" s="343">
        <f t="shared" si="23"/>
        <v>64.898616598493149</v>
      </c>
      <c r="AP23" s="346">
        <f t="shared" si="23"/>
        <v>140.39424819925392</v>
      </c>
      <c r="AQ23" s="343">
        <f t="shared" si="23"/>
        <v>140.37110772200646</v>
      </c>
      <c r="AR23" s="343">
        <f t="shared" si="23"/>
        <v>125.59737454282785</v>
      </c>
      <c r="AS23" s="343">
        <f t="shared" si="23"/>
        <v>116.41149573575882</v>
      </c>
      <c r="AT23" s="343">
        <f t="shared" si="23"/>
        <v>117.88807903132249</v>
      </c>
      <c r="AU23" s="343">
        <f t="shared" si="23"/>
        <v>109.04624789009425</v>
      </c>
      <c r="AV23" s="343">
        <f t="shared" si="23"/>
        <v>115.81574158276405</v>
      </c>
      <c r="AW23" s="343">
        <f t="shared" si="23"/>
        <v>131.90901526869627</v>
      </c>
      <c r="AX23" s="343">
        <f t="shared" si="23"/>
        <v>127.50645767301727</v>
      </c>
      <c r="AY23" s="343">
        <f t="shared" si="23"/>
        <v>112.58020396225726</v>
      </c>
      <c r="BG23" s="4">
        <v>17</v>
      </c>
      <c r="BH23"/>
      <c r="BI23"/>
      <c r="BJ23"/>
      <c r="BK23"/>
      <c r="BL23"/>
      <c r="BM23"/>
    </row>
    <row r="24" spans="1:65" s="3" customFormat="1" ht="11.25" outlineLevel="1">
      <c r="A24" s="2"/>
      <c r="B24" s="213" t="s">
        <v>349</v>
      </c>
      <c r="C24" s="15">
        <v>-8.5389999999999997</v>
      </c>
      <c r="D24" s="15">
        <v>-22.927</v>
      </c>
      <c r="E24" s="15">
        <v>-64.665000000000006</v>
      </c>
      <c r="F24" s="15">
        <v>-56.713999999999999</v>
      </c>
      <c r="G24" s="15">
        <v>-61.926000000000002</v>
      </c>
      <c r="H24" s="15">
        <f t="shared" ref="H24:N25" si="24">SUMIF($P$4:$AZ$4,H$4,$P24:$AZ24)</f>
        <v>-60.841999999999999</v>
      </c>
      <c r="I24" s="15">
        <f t="shared" si="24"/>
        <v>-62.242000000000004</v>
      </c>
      <c r="J24" s="15">
        <f t="shared" si="24"/>
        <v>-65.367000000000004</v>
      </c>
      <c r="K24" s="15">
        <f t="shared" si="24"/>
        <v>-51.707999999999998</v>
      </c>
      <c r="L24" s="15">
        <f t="shared" si="24"/>
        <v>-91.799817461482647</v>
      </c>
      <c r="M24" s="15">
        <f t="shared" si="24"/>
        <v>-121.154478125</v>
      </c>
      <c r="N24" s="15">
        <f t="shared" si="24"/>
        <v>-118.01885312499999</v>
      </c>
      <c r="P24" s="15"/>
      <c r="Q24" s="15"/>
      <c r="R24" s="15"/>
      <c r="S24" s="15"/>
      <c r="T24" s="306">
        <v>-12.993</v>
      </c>
      <c r="U24" s="306">
        <f>-26.541-T24</f>
        <v>-13.548</v>
      </c>
      <c r="V24" s="306">
        <v>-16.224</v>
      </c>
      <c r="W24" s="306">
        <v>-19.161000000000001</v>
      </c>
      <c r="X24" s="306">
        <v>-17.905999999999999</v>
      </c>
      <c r="Y24" s="306">
        <v>-16.571999999999999</v>
      </c>
      <c r="Z24" s="306">
        <v>-16.567</v>
      </c>
      <c r="AA24" s="306">
        <v>-9.7970000000000006</v>
      </c>
      <c r="AB24" s="306">
        <v>-15.308</v>
      </c>
      <c r="AC24" s="306">
        <v>-14.894</v>
      </c>
      <c r="AD24" s="306">
        <v>-15.962999999999999</v>
      </c>
      <c r="AE24" s="306">
        <v>-16.077000000000002</v>
      </c>
      <c r="AF24" s="306">
        <v>-17.262</v>
      </c>
      <c r="AG24" s="306">
        <v>-16.606000000000002</v>
      </c>
      <c r="AH24" s="306">
        <v>-16.175000000000001</v>
      </c>
      <c r="AI24" s="306">
        <v>-15.324</v>
      </c>
      <c r="AJ24" s="306">
        <v>-12.537000000000001</v>
      </c>
      <c r="AK24" s="306">
        <v>-12.983000000000001</v>
      </c>
      <c r="AL24" s="306">
        <v>-12.11</v>
      </c>
      <c r="AM24" s="306">
        <f>-18.778+4.7</f>
        <v>-14.077999999999999</v>
      </c>
      <c r="AN24" s="15">
        <f t="shared" ref="AN24:AY24" si="25">-AN71/4*AM319</f>
        <v>-14.9786</v>
      </c>
      <c r="AO24" s="15">
        <f t="shared" si="25"/>
        <v>-15.068119023982641</v>
      </c>
      <c r="AP24" s="345">
        <f t="shared" si="25"/>
        <v>-30.9745375</v>
      </c>
      <c r="AQ24" s="15">
        <f t="shared" si="25"/>
        <v>-30.7785609375</v>
      </c>
      <c r="AR24" s="15">
        <f t="shared" si="25"/>
        <v>-30.582584375</v>
      </c>
      <c r="AS24" s="15">
        <f t="shared" si="25"/>
        <v>-30.386607812499999</v>
      </c>
      <c r="AT24" s="15">
        <f t="shared" si="25"/>
        <v>-30.190631249999999</v>
      </c>
      <c r="AU24" s="15">
        <f t="shared" si="25"/>
        <v>-29.994654687499999</v>
      </c>
      <c r="AV24" s="15">
        <f t="shared" si="25"/>
        <v>-29.798678124999999</v>
      </c>
      <c r="AW24" s="15">
        <f t="shared" si="25"/>
        <v>-29.602701562499998</v>
      </c>
      <c r="AX24" s="15">
        <f t="shared" si="25"/>
        <v>-29.406724999999998</v>
      </c>
      <c r="AY24" s="15">
        <f t="shared" si="25"/>
        <v>-29.210748437499998</v>
      </c>
      <c r="BG24" s="4">
        <v>18</v>
      </c>
      <c r="BH24"/>
      <c r="BI24"/>
      <c r="BJ24"/>
      <c r="BK24"/>
      <c r="BL24"/>
      <c r="BM24"/>
    </row>
    <row r="25" spans="1:65" s="3" customFormat="1" ht="11.25" outlineLevel="1">
      <c r="A25" s="2"/>
      <c r="B25" s="213" t="s">
        <v>348</v>
      </c>
      <c r="C25" s="15"/>
      <c r="D25" s="15"/>
      <c r="E25" s="15"/>
      <c r="F25" s="15">
        <v>-1.87</v>
      </c>
      <c r="G25" s="15">
        <v>-4.3940000000000001</v>
      </c>
      <c r="H25" s="15">
        <f t="shared" si="24"/>
        <v>-0.86499999999999988</v>
      </c>
      <c r="I25" s="15">
        <f t="shared" si="24"/>
        <v>-1.9410000000000138</v>
      </c>
      <c r="J25" s="15">
        <f t="shared" si="24"/>
        <v>0.01</v>
      </c>
      <c r="K25" s="15">
        <f t="shared" si="24"/>
        <v>0</v>
      </c>
      <c r="L25" s="15">
        <f t="shared" si="24"/>
        <v>0</v>
      </c>
      <c r="M25" s="15">
        <f t="shared" si="24"/>
        <v>0</v>
      </c>
      <c r="N25" s="15">
        <f t="shared" si="24"/>
        <v>0</v>
      </c>
      <c r="P25" s="15"/>
      <c r="Q25" s="15"/>
      <c r="R25" s="15"/>
      <c r="S25" s="15"/>
      <c r="T25" s="306">
        <v>-0.32</v>
      </c>
      <c r="U25" s="306">
        <f>-0.57-T25</f>
        <v>-0.24999999999999994</v>
      </c>
      <c r="V25" s="306">
        <v>0</v>
      </c>
      <c r="W25" s="306">
        <f>-1.787+6.424</f>
        <v>4.6370000000000005</v>
      </c>
      <c r="X25" s="306">
        <v>-0.29099999999999998</v>
      </c>
      <c r="Y25" s="306">
        <v>-0.25</v>
      </c>
      <c r="Z25" s="306">
        <f>-2.206+1.921</f>
        <v>-0.28499999999999992</v>
      </c>
      <c r="AA25" s="306">
        <v>-3.9E-2</v>
      </c>
      <c r="AB25" s="306">
        <v>-0.32400000000000001</v>
      </c>
      <c r="AC25" s="306">
        <v>0</v>
      </c>
      <c r="AD25" s="306">
        <v>-1E-3</v>
      </c>
      <c r="AE25" s="306">
        <f>-76.833+0.41-2.289-AE82</f>
        <v>-1.6160000000000139</v>
      </c>
      <c r="AF25" s="306">
        <v>5.0000000000000001E-3</v>
      </c>
      <c r="AG25" s="306">
        <v>0</v>
      </c>
      <c r="AH25" s="306">
        <v>0</v>
      </c>
      <c r="AI25" s="306">
        <f>0.005</f>
        <v>5.0000000000000001E-3</v>
      </c>
      <c r="AJ25" s="306">
        <v>0</v>
      </c>
      <c r="AK25" s="306">
        <v>0</v>
      </c>
      <c r="AL25" s="306">
        <v>0</v>
      </c>
      <c r="AM25" s="306">
        <v>0</v>
      </c>
      <c r="AN25" s="306">
        <v>0</v>
      </c>
      <c r="AO25" s="306">
        <v>0</v>
      </c>
      <c r="AP25" s="348">
        <v>0</v>
      </c>
      <c r="AQ25" s="306">
        <v>0</v>
      </c>
      <c r="AR25" s="306">
        <v>0</v>
      </c>
      <c r="AS25" s="306">
        <v>0</v>
      </c>
      <c r="AT25" s="306">
        <v>0</v>
      </c>
      <c r="AU25" s="306">
        <v>0</v>
      </c>
      <c r="AV25" s="306">
        <v>0</v>
      </c>
      <c r="AW25" s="306">
        <v>0</v>
      </c>
      <c r="AX25" s="306">
        <v>0</v>
      </c>
      <c r="AY25" s="306">
        <v>0</v>
      </c>
      <c r="BG25" s="4">
        <v>19</v>
      </c>
      <c r="BH25"/>
      <c r="BI25"/>
      <c r="BJ25"/>
      <c r="BK25"/>
      <c r="BL25"/>
      <c r="BM25"/>
    </row>
    <row r="26" spans="1:65" s="3" customFormat="1" ht="11.25" outlineLevel="1">
      <c r="A26" s="2"/>
      <c r="B26" s="109" t="s">
        <v>347</v>
      </c>
      <c r="C26" s="341"/>
      <c r="D26" s="341"/>
      <c r="E26" s="341"/>
      <c r="F26" s="341">
        <f t="shared" ref="F26:N26" si="26">F23+F24+F25</f>
        <v>222.12499999999994</v>
      </c>
      <c r="G26" s="341">
        <f t="shared" si="26"/>
        <v>180.52199999999993</v>
      </c>
      <c r="H26" s="341">
        <f t="shared" si="26"/>
        <v>259.84468030000011</v>
      </c>
      <c r="I26" s="341">
        <f t="shared" si="26"/>
        <v>4.7840000000000371</v>
      </c>
      <c r="J26" s="341">
        <f t="shared" si="26"/>
        <v>-123.773</v>
      </c>
      <c r="K26" s="341">
        <f t="shared" si="26"/>
        <v>63.852000000000004</v>
      </c>
      <c r="L26" s="341">
        <f t="shared" si="26"/>
        <v>299.67141548123459</v>
      </c>
      <c r="M26" s="341">
        <f t="shared" si="26"/>
        <v>347.78871907500354</v>
      </c>
      <c r="N26" s="341">
        <f t="shared" si="26"/>
        <v>369.79256536173489</v>
      </c>
      <c r="P26" s="341"/>
      <c r="Q26" s="341"/>
      <c r="R26" s="341"/>
      <c r="S26" s="341"/>
      <c r="T26" s="341">
        <f t="shared" ref="T26:AY26" si="27">T23+T24+T25</f>
        <v>48.293999999999997</v>
      </c>
      <c r="U26" s="341">
        <f t="shared" si="27"/>
        <v>51.915000000000006</v>
      </c>
      <c r="V26" s="341">
        <f t="shared" si="27"/>
        <v>55.198999999999984</v>
      </c>
      <c r="W26" s="341">
        <f t="shared" si="27"/>
        <v>27.150999999999982</v>
      </c>
      <c r="X26" s="341">
        <f t="shared" si="27"/>
        <v>48.930000000000014</v>
      </c>
      <c r="Y26" s="341">
        <f t="shared" si="27"/>
        <v>64.554680300000058</v>
      </c>
      <c r="Z26" s="341">
        <f t="shared" si="27"/>
        <v>80.536000000000001</v>
      </c>
      <c r="AA26" s="341">
        <f t="shared" si="27"/>
        <v>65.824000000000012</v>
      </c>
      <c r="AB26" s="341">
        <f t="shared" si="27"/>
        <v>41.820999999999991</v>
      </c>
      <c r="AC26" s="341">
        <f t="shared" si="27"/>
        <v>2.7530000000000303</v>
      </c>
      <c r="AD26" s="341">
        <f t="shared" si="27"/>
        <v>-12.067999999999991</v>
      </c>
      <c r="AE26" s="341">
        <f t="shared" si="27"/>
        <v>-27.722000000000019</v>
      </c>
      <c r="AF26" s="341">
        <f t="shared" si="27"/>
        <v>-27.456999999999997</v>
      </c>
      <c r="AG26" s="341">
        <f t="shared" si="27"/>
        <v>-43.555999999999983</v>
      </c>
      <c r="AH26" s="341">
        <f t="shared" si="27"/>
        <v>-30.835999999999995</v>
      </c>
      <c r="AI26" s="341">
        <f t="shared" si="27"/>
        <v>-21.924000000000024</v>
      </c>
      <c r="AJ26" s="341">
        <f t="shared" si="27"/>
        <v>-12.55800000000003</v>
      </c>
      <c r="AK26" s="341">
        <f t="shared" si="27"/>
        <v>11.043000000000045</v>
      </c>
      <c r="AL26" s="341">
        <f t="shared" si="27"/>
        <v>37.673000000000002</v>
      </c>
      <c r="AM26" s="341">
        <f t="shared" si="27"/>
        <v>27.693999999999985</v>
      </c>
      <c r="AN26" s="341">
        <f t="shared" si="27"/>
        <v>30.82866042296375</v>
      </c>
      <c r="AO26" s="341">
        <f t="shared" si="27"/>
        <v>49.83049757451051</v>
      </c>
      <c r="AP26" s="385">
        <f t="shared" si="27"/>
        <v>109.41971069925393</v>
      </c>
      <c r="AQ26" s="341">
        <f t="shared" si="27"/>
        <v>109.59254678450645</v>
      </c>
      <c r="AR26" s="341">
        <f t="shared" si="27"/>
        <v>95.014790167827854</v>
      </c>
      <c r="AS26" s="341">
        <f t="shared" si="27"/>
        <v>86.024887923258817</v>
      </c>
      <c r="AT26" s="341">
        <f t="shared" si="27"/>
        <v>87.697447781322495</v>
      </c>
      <c r="AU26" s="341">
        <f t="shared" si="27"/>
        <v>79.051593202594248</v>
      </c>
      <c r="AV26" s="341">
        <f t="shared" si="27"/>
        <v>86.017063457764053</v>
      </c>
      <c r="AW26" s="341">
        <f t="shared" si="27"/>
        <v>102.30631370619626</v>
      </c>
      <c r="AX26" s="341">
        <f t="shared" si="27"/>
        <v>98.099732673017272</v>
      </c>
      <c r="AY26" s="341">
        <f t="shared" si="27"/>
        <v>83.369455524757257</v>
      </c>
      <c r="BG26" s="4">
        <v>20</v>
      </c>
      <c r="BH26"/>
      <c r="BI26"/>
      <c r="BJ26"/>
      <c r="BK26"/>
      <c r="BL26"/>
      <c r="BM26"/>
    </row>
    <row r="27" spans="1:65" s="3" customFormat="1" ht="11.25" outlineLevel="1">
      <c r="A27" s="2"/>
      <c r="B27" s="213" t="s">
        <v>346</v>
      </c>
      <c r="C27" s="15">
        <f>-20.02-C85</f>
        <v>-20.897241600000001</v>
      </c>
      <c r="D27" s="15">
        <f>-46.108-D85</f>
        <v>-54.259548799999997</v>
      </c>
      <c r="E27" s="15">
        <f>-71.757-E85</f>
        <v>-71.953348800000001</v>
      </c>
      <c r="F27" s="15">
        <f>-70.369-F85</f>
        <v>-71.194532800000005</v>
      </c>
      <c r="G27" s="15">
        <f>-45.219-G85</f>
        <v>-52.508996000000003</v>
      </c>
      <c r="H27" s="15">
        <f t="shared" ref="H27:N27" si="28">SUMIF($P$4:$AZ$4,H$4,$P27:$AZ27)</f>
        <v>-81.334750000000014</v>
      </c>
      <c r="I27" s="15">
        <f t="shared" si="28"/>
        <v>5.342000000000013</v>
      </c>
      <c r="J27" s="15">
        <f t="shared" si="28"/>
        <v>59.310499999999998</v>
      </c>
      <c r="K27" s="15">
        <f t="shared" si="28"/>
        <v>-0.74637500000000045</v>
      </c>
      <c r="L27" s="15">
        <f t="shared" si="28"/>
        <v>-11.986856619249387</v>
      </c>
      <c r="M27" s="15">
        <f t="shared" si="28"/>
        <v>-73.035631005750702</v>
      </c>
      <c r="N27" s="15">
        <f t="shared" si="28"/>
        <v>-77.656438725964307</v>
      </c>
      <c r="P27" s="15"/>
      <c r="Q27" s="15"/>
      <c r="R27" s="15"/>
      <c r="S27" s="15"/>
      <c r="T27" s="306">
        <f>-14.504-T85</f>
        <v>-14.580041999999999</v>
      </c>
      <c r="U27" s="306">
        <f>-29.694+14.504-U85</f>
        <v>-15.769772</v>
      </c>
      <c r="V27" s="306">
        <f>-11.032-V85</f>
        <v>-16.585999999999999</v>
      </c>
      <c r="W27" s="306">
        <f>-4.493-W85</f>
        <v>-9.0340000000000007</v>
      </c>
      <c r="X27" s="306">
        <f>-14.266-X85</f>
        <v>-14.285500000000001</v>
      </c>
      <c r="Y27" s="306">
        <f>-18.146-Y85</f>
        <v>-18.97325</v>
      </c>
      <c r="Z27" s="306">
        <f>-21.436-Z85</f>
        <v>-22.666</v>
      </c>
      <c r="AA27" s="306">
        <f>-23.565-AA85</f>
        <v>-25.410000000000004</v>
      </c>
      <c r="AB27" s="306">
        <f>-10.617-AB85</f>
        <v>-10.747000000000002</v>
      </c>
      <c r="AC27" s="306">
        <f>26.677-AC85</f>
        <v>0.14099999999999824</v>
      </c>
      <c r="AD27" s="306">
        <f>-28.117-AD85</f>
        <v>4.8559999999999981</v>
      </c>
      <c r="AE27" s="306">
        <f>13.996-AE85</f>
        <v>11.092000000000018</v>
      </c>
      <c r="AF27" s="306">
        <f>15.754-AF85</f>
        <v>15.7255</v>
      </c>
      <c r="AG27" s="306">
        <f>63.019-AG85</f>
        <v>25.785999999999994</v>
      </c>
      <c r="AH27" s="306">
        <f>20.013-AH85</f>
        <v>16.613</v>
      </c>
      <c r="AI27" s="306">
        <f>0.655-AI85</f>
        <v>1.1859999999999999</v>
      </c>
      <c r="AJ27" s="306">
        <v>1.1479999999999999</v>
      </c>
      <c r="AK27" s="306">
        <v>-0.52</v>
      </c>
      <c r="AL27" s="306">
        <v>-2.754</v>
      </c>
      <c r="AM27" s="306">
        <f>6.792-(6.835+2.898+4.7)*0.375</f>
        <v>1.3796249999999999</v>
      </c>
      <c r="AN27" s="15">
        <f t="shared" ref="AN27:AY27" si="29">-AN72*AN26</f>
        <v>-1.23314641691855</v>
      </c>
      <c r="AO27" s="15">
        <f t="shared" si="29"/>
        <v>-1.9932199029804205</v>
      </c>
      <c r="AP27" s="345">
        <f t="shared" si="29"/>
        <v>-4.3767884279701574</v>
      </c>
      <c r="AQ27" s="15">
        <f t="shared" si="29"/>
        <v>-4.383701871380258</v>
      </c>
      <c r="AR27" s="15">
        <f t="shared" si="29"/>
        <v>-19.953105935243848</v>
      </c>
      <c r="AS27" s="15">
        <f t="shared" si="29"/>
        <v>-18.06522646388435</v>
      </c>
      <c r="AT27" s="15">
        <f t="shared" si="29"/>
        <v>-18.416464034077723</v>
      </c>
      <c r="AU27" s="15">
        <f t="shared" si="29"/>
        <v>-16.600834572544791</v>
      </c>
      <c r="AV27" s="15">
        <f t="shared" si="29"/>
        <v>-18.063583326130452</v>
      </c>
      <c r="AW27" s="15">
        <f t="shared" si="29"/>
        <v>-21.484325878301213</v>
      </c>
      <c r="AX27" s="15">
        <f t="shared" si="29"/>
        <v>-20.600943861333626</v>
      </c>
      <c r="AY27" s="15">
        <f t="shared" si="29"/>
        <v>-17.507585660199023</v>
      </c>
      <c r="BG27" s="4">
        <v>21</v>
      </c>
      <c r="BH27"/>
      <c r="BI27"/>
      <c r="BJ27"/>
      <c r="BK27"/>
      <c r="BL27"/>
      <c r="BM27"/>
    </row>
    <row r="28" spans="1:65" s="170" customFormat="1" ht="11.25" outlineLevel="1">
      <c r="A28" s="344"/>
      <c r="B28" s="165" t="s">
        <v>345</v>
      </c>
      <c r="C28" s="343"/>
      <c r="D28" s="343"/>
      <c r="E28" s="343"/>
      <c r="F28" s="343">
        <f t="shared" ref="F28:N28" si="30">F26+F27</f>
        <v>150.93046719999995</v>
      </c>
      <c r="G28" s="343">
        <f t="shared" si="30"/>
        <v>128.01300399999994</v>
      </c>
      <c r="H28" s="343">
        <f t="shared" si="30"/>
        <v>178.50993030000009</v>
      </c>
      <c r="I28" s="343">
        <f t="shared" si="30"/>
        <v>10.126000000000051</v>
      </c>
      <c r="J28" s="343">
        <f t="shared" si="30"/>
        <v>-64.462500000000006</v>
      </c>
      <c r="K28" s="343">
        <f t="shared" si="30"/>
        <v>63.105625000000003</v>
      </c>
      <c r="L28" s="343">
        <f t="shared" si="30"/>
        <v>287.68455886198518</v>
      </c>
      <c r="M28" s="343">
        <f t="shared" si="30"/>
        <v>274.75308806925284</v>
      </c>
      <c r="N28" s="343">
        <f t="shared" si="30"/>
        <v>292.13612663577055</v>
      </c>
      <c r="P28" s="343"/>
      <c r="Q28" s="343"/>
      <c r="R28" s="343"/>
      <c r="S28" s="343"/>
      <c r="T28" s="343">
        <f t="shared" ref="T28:AY28" si="31">T26+T27</f>
        <v>33.713957999999998</v>
      </c>
      <c r="U28" s="343">
        <f t="shared" si="31"/>
        <v>36.145228000000003</v>
      </c>
      <c r="V28" s="343">
        <f t="shared" si="31"/>
        <v>38.612999999999985</v>
      </c>
      <c r="W28" s="343">
        <f t="shared" si="31"/>
        <v>18.116999999999983</v>
      </c>
      <c r="X28" s="343">
        <f t="shared" si="31"/>
        <v>34.644500000000015</v>
      </c>
      <c r="Y28" s="343">
        <f t="shared" si="31"/>
        <v>45.581430300000058</v>
      </c>
      <c r="Z28" s="343">
        <f t="shared" si="31"/>
        <v>57.870000000000005</v>
      </c>
      <c r="AA28" s="343">
        <f t="shared" si="31"/>
        <v>40.414000000000009</v>
      </c>
      <c r="AB28" s="343">
        <f t="shared" si="31"/>
        <v>31.073999999999991</v>
      </c>
      <c r="AC28" s="343">
        <f t="shared" si="31"/>
        <v>2.8940000000000285</v>
      </c>
      <c r="AD28" s="343">
        <f t="shared" si="31"/>
        <v>-7.2119999999999926</v>
      </c>
      <c r="AE28" s="343">
        <f t="shared" si="31"/>
        <v>-16.630000000000003</v>
      </c>
      <c r="AF28" s="343">
        <f t="shared" si="31"/>
        <v>-11.731499999999997</v>
      </c>
      <c r="AG28" s="343">
        <f t="shared" si="31"/>
        <v>-17.769999999999989</v>
      </c>
      <c r="AH28" s="343">
        <f t="shared" si="31"/>
        <v>-14.222999999999995</v>
      </c>
      <c r="AI28" s="343">
        <f t="shared" si="31"/>
        <v>-20.738000000000024</v>
      </c>
      <c r="AJ28" s="343">
        <f t="shared" si="31"/>
        <v>-11.41000000000003</v>
      </c>
      <c r="AK28" s="343">
        <f t="shared" si="31"/>
        <v>10.523000000000046</v>
      </c>
      <c r="AL28" s="343">
        <f t="shared" si="31"/>
        <v>34.919000000000004</v>
      </c>
      <c r="AM28" s="343">
        <f t="shared" si="31"/>
        <v>29.073624999999986</v>
      </c>
      <c r="AN28" s="343">
        <f t="shared" si="31"/>
        <v>29.5955140060452</v>
      </c>
      <c r="AO28" s="343">
        <f t="shared" si="31"/>
        <v>47.837277671530089</v>
      </c>
      <c r="AP28" s="346">
        <f t="shared" si="31"/>
        <v>105.04292227128377</v>
      </c>
      <c r="AQ28" s="343">
        <f t="shared" si="31"/>
        <v>105.2088449131262</v>
      </c>
      <c r="AR28" s="343">
        <f t="shared" si="31"/>
        <v>75.061684232584014</v>
      </c>
      <c r="AS28" s="343">
        <f t="shared" si="31"/>
        <v>67.959661459374473</v>
      </c>
      <c r="AT28" s="343">
        <f t="shared" si="31"/>
        <v>69.280983747244775</v>
      </c>
      <c r="AU28" s="343">
        <f t="shared" si="31"/>
        <v>62.450758630049457</v>
      </c>
      <c r="AV28" s="343">
        <f t="shared" si="31"/>
        <v>67.953480131633597</v>
      </c>
      <c r="AW28" s="343">
        <f t="shared" si="31"/>
        <v>80.821987827895043</v>
      </c>
      <c r="AX28" s="343">
        <f t="shared" si="31"/>
        <v>77.498788811683653</v>
      </c>
      <c r="AY28" s="343">
        <f t="shared" si="31"/>
        <v>65.86186986455823</v>
      </c>
      <c r="BG28" s="4">
        <v>22</v>
      </c>
      <c r="BH28"/>
      <c r="BI28"/>
      <c r="BJ28"/>
      <c r="BK28"/>
      <c r="BL28"/>
      <c r="BM28"/>
    </row>
    <row r="29" spans="1:65" s="3" customFormat="1" ht="11.25" outlineLevel="1">
      <c r="A29" s="2"/>
      <c r="B29" s="126" t="s">
        <v>126</v>
      </c>
      <c r="C29" s="15"/>
      <c r="D29" s="15"/>
      <c r="E29" s="15"/>
      <c r="F29" s="15">
        <v>-0.58699999999999997</v>
      </c>
      <c r="G29" s="15">
        <v>-0.69599999999999995</v>
      </c>
      <c r="H29" s="15">
        <f t="shared" ref="H29:N29" si="32">SUMIF($P$4:$AZ$4,H$4,$P29:$AZ29)</f>
        <v>-0.17299999999999999</v>
      </c>
      <c r="I29" s="15">
        <f t="shared" si="32"/>
        <v>-0.20500000000000002</v>
      </c>
      <c r="J29" s="15">
        <f t="shared" si="32"/>
        <v>-6.7000000000000004E-2</v>
      </c>
      <c r="K29" s="15">
        <f t="shared" si="32"/>
        <v>-0.29699999999999999</v>
      </c>
      <c r="L29" s="15">
        <f t="shared" si="32"/>
        <v>-0.41599999999999998</v>
      </c>
      <c r="M29" s="15">
        <f t="shared" si="32"/>
        <v>-0.41599999999999998</v>
      </c>
      <c r="N29" s="15">
        <f t="shared" si="32"/>
        <v>-0.41599999999999998</v>
      </c>
      <c r="P29" s="15"/>
      <c r="Q29" s="15"/>
      <c r="R29" s="15"/>
      <c r="S29" s="15"/>
      <c r="T29" s="306">
        <v>-3.5999999999999997E-2</v>
      </c>
      <c r="U29" s="306">
        <f>-0.252-T29</f>
        <v>-0.216</v>
      </c>
      <c r="V29" s="306">
        <v>-0.26900000000000002</v>
      </c>
      <c r="W29" s="306">
        <v>-0.17499999999999999</v>
      </c>
      <c r="X29" s="306">
        <v>-7.2999999999999995E-2</v>
      </c>
      <c r="Y29" s="306">
        <v>-0.28199999999999997</v>
      </c>
      <c r="Z29" s="306">
        <v>-8.5000000000000006E-2</v>
      </c>
      <c r="AA29" s="306">
        <v>0.26700000000000002</v>
      </c>
      <c r="AB29" s="306">
        <v>-0.121</v>
      </c>
      <c r="AC29" s="306">
        <v>-4.0000000000000001E-3</v>
      </c>
      <c r="AD29" s="306">
        <v>-7.0999999999999994E-2</v>
      </c>
      <c r="AE29" s="306">
        <v>-8.9999999999999993E-3</v>
      </c>
      <c r="AF29" s="306">
        <v>3.0000000000000001E-3</v>
      </c>
      <c r="AG29" s="306">
        <v>-1.6E-2</v>
      </c>
      <c r="AH29" s="306">
        <v>-2E-3</v>
      </c>
      <c r="AI29" s="306">
        <v>-5.1999999999999998E-2</v>
      </c>
      <c r="AJ29" s="306">
        <v>-0.17799999999999999</v>
      </c>
      <c r="AK29" s="306">
        <v>-0.04</v>
      </c>
      <c r="AL29" s="306">
        <v>2.5000000000000001E-2</v>
      </c>
      <c r="AM29" s="306">
        <v>-0.104</v>
      </c>
      <c r="AN29" s="306">
        <f t="shared" ref="AN29:AY29" si="33">AM29</f>
        <v>-0.104</v>
      </c>
      <c r="AO29" s="306">
        <f t="shared" si="33"/>
        <v>-0.104</v>
      </c>
      <c r="AP29" s="348">
        <f t="shared" si="33"/>
        <v>-0.104</v>
      </c>
      <c r="AQ29" s="306">
        <f t="shared" si="33"/>
        <v>-0.104</v>
      </c>
      <c r="AR29" s="306">
        <f t="shared" si="33"/>
        <v>-0.104</v>
      </c>
      <c r="AS29" s="306">
        <f t="shared" si="33"/>
        <v>-0.104</v>
      </c>
      <c r="AT29" s="306">
        <f t="shared" si="33"/>
        <v>-0.104</v>
      </c>
      <c r="AU29" s="306">
        <f t="shared" si="33"/>
        <v>-0.104</v>
      </c>
      <c r="AV29" s="306">
        <f t="shared" si="33"/>
        <v>-0.104</v>
      </c>
      <c r="AW29" s="306">
        <f t="shared" si="33"/>
        <v>-0.104</v>
      </c>
      <c r="AX29" s="306">
        <f t="shared" si="33"/>
        <v>-0.104</v>
      </c>
      <c r="AY29" s="306">
        <f t="shared" si="33"/>
        <v>-0.104</v>
      </c>
      <c r="BG29" s="4">
        <v>23</v>
      </c>
      <c r="BH29"/>
      <c r="BI29"/>
      <c r="BJ29"/>
      <c r="BK29"/>
      <c r="BL29"/>
      <c r="BM29"/>
    </row>
    <row r="30" spans="1:65" s="3" customFormat="1" ht="11.25" outlineLevel="1">
      <c r="A30" s="2"/>
      <c r="B30" s="165" t="s">
        <v>344</v>
      </c>
      <c r="C30" s="343">
        <f>C32-C31</f>
        <v>50.4497584</v>
      </c>
      <c r="D30" s="343">
        <f>D32-D31</f>
        <v>113.8454512</v>
      </c>
      <c r="E30" s="343">
        <f>E32-E31</f>
        <v>158.21165120000001</v>
      </c>
      <c r="F30" s="343">
        <f t="shared" ref="F30:N30" si="34">F28+F29</f>
        <v>150.34346719999996</v>
      </c>
      <c r="G30" s="343">
        <f t="shared" si="34"/>
        <v>127.31700399999994</v>
      </c>
      <c r="H30" s="343">
        <f t="shared" si="34"/>
        <v>178.33693030000009</v>
      </c>
      <c r="I30" s="343">
        <f t="shared" si="34"/>
        <v>9.9210000000000509</v>
      </c>
      <c r="J30" s="343">
        <f t="shared" si="34"/>
        <v>-64.529499999999999</v>
      </c>
      <c r="K30" s="343">
        <f t="shared" si="34"/>
        <v>62.808625000000006</v>
      </c>
      <c r="L30" s="343">
        <f t="shared" si="34"/>
        <v>287.26855886198518</v>
      </c>
      <c r="M30" s="343">
        <f t="shared" si="34"/>
        <v>274.33708806925284</v>
      </c>
      <c r="N30" s="343">
        <f t="shared" si="34"/>
        <v>291.72012663577055</v>
      </c>
      <c r="O30" s="170"/>
      <c r="P30" s="343"/>
      <c r="Q30" s="343"/>
      <c r="R30" s="343"/>
      <c r="S30" s="343"/>
      <c r="T30" s="343">
        <f t="shared" ref="T30:AY30" si="35">T28+T29</f>
        <v>33.677957999999997</v>
      </c>
      <c r="U30" s="343">
        <f t="shared" si="35"/>
        <v>35.929228000000002</v>
      </c>
      <c r="V30" s="343">
        <f t="shared" si="35"/>
        <v>38.343999999999987</v>
      </c>
      <c r="W30" s="343">
        <f t="shared" si="35"/>
        <v>17.941999999999982</v>
      </c>
      <c r="X30" s="343">
        <f t="shared" si="35"/>
        <v>34.571500000000015</v>
      </c>
      <c r="Y30" s="343">
        <f t="shared" si="35"/>
        <v>45.299430300000061</v>
      </c>
      <c r="Z30" s="343">
        <f t="shared" si="35"/>
        <v>57.785000000000004</v>
      </c>
      <c r="AA30" s="343">
        <f t="shared" si="35"/>
        <v>40.681000000000012</v>
      </c>
      <c r="AB30" s="343">
        <f t="shared" si="35"/>
        <v>30.952999999999992</v>
      </c>
      <c r="AC30" s="343">
        <f t="shared" si="35"/>
        <v>2.8900000000000285</v>
      </c>
      <c r="AD30" s="343">
        <f t="shared" si="35"/>
        <v>-7.2829999999999924</v>
      </c>
      <c r="AE30" s="343">
        <f t="shared" si="35"/>
        <v>-16.639000000000003</v>
      </c>
      <c r="AF30" s="343">
        <f t="shared" si="35"/>
        <v>-11.728499999999997</v>
      </c>
      <c r="AG30" s="343">
        <f t="shared" si="35"/>
        <v>-17.785999999999987</v>
      </c>
      <c r="AH30" s="343">
        <f t="shared" si="35"/>
        <v>-14.224999999999996</v>
      </c>
      <c r="AI30" s="343">
        <f t="shared" si="35"/>
        <v>-20.790000000000024</v>
      </c>
      <c r="AJ30" s="343">
        <f t="shared" si="35"/>
        <v>-11.588000000000031</v>
      </c>
      <c r="AK30" s="343">
        <f t="shared" si="35"/>
        <v>10.483000000000047</v>
      </c>
      <c r="AL30" s="343">
        <f t="shared" si="35"/>
        <v>34.944000000000003</v>
      </c>
      <c r="AM30" s="343">
        <f t="shared" si="35"/>
        <v>28.969624999999986</v>
      </c>
      <c r="AN30" s="343">
        <f t="shared" si="35"/>
        <v>29.4915140060452</v>
      </c>
      <c r="AO30" s="343">
        <f t="shared" si="35"/>
        <v>47.733277671530089</v>
      </c>
      <c r="AP30" s="346">
        <f t="shared" si="35"/>
        <v>104.93892227128377</v>
      </c>
      <c r="AQ30" s="343">
        <f t="shared" si="35"/>
        <v>105.1048449131262</v>
      </c>
      <c r="AR30" s="343">
        <f t="shared" si="35"/>
        <v>74.957684232584015</v>
      </c>
      <c r="AS30" s="343">
        <f t="shared" si="35"/>
        <v>67.855661459374474</v>
      </c>
      <c r="AT30" s="343">
        <f t="shared" si="35"/>
        <v>69.176983747244776</v>
      </c>
      <c r="AU30" s="343">
        <f t="shared" si="35"/>
        <v>62.346758630049457</v>
      </c>
      <c r="AV30" s="343">
        <f t="shared" si="35"/>
        <v>67.849480131633598</v>
      </c>
      <c r="AW30" s="343">
        <f t="shared" si="35"/>
        <v>80.717987827895044</v>
      </c>
      <c r="AX30" s="343">
        <f t="shared" si="35"/>
        <v>77.394788811683654</v>
      </c>
      <c r="AY30" s="343">
        <f t="shared" si="35"/>
        <v>65.757869864558231</v>
      </c>
      <c r="BG30" s="4">
        <v>24</v>
      </c>
      <c r="BH30"/>
      <c r="BI30"/>
      <c r="BJ30"/>
      <c r="BK30"/>
      <c r="BL30"/>
      <c r="BM30"/>
    </row>
    <row r="31" spans="1:65" s="3" customFormat="1" ht="11.25" outlineLevel="1">
      <c r="A31" s="2"/>
      <c r="B31" s="342" t="s">
        <v>343</v>
      </c>
      <c r="C31" s="15">
        <f>C84</f>
        <v>-1.5487584000000003</v>
      </c>
      <c r="D31" s="15">
        <f>D84</f>
        <v>-14.391451200000001</v>
      </c>
      <c r="E31" s="15">
        <f>E84</f>
        <v>-13.028651200000001</v>
      </c>
      <c r="F31" s="15">
        <f>F84</f>
        <v>-1.4574672000000002</v>
      </c>
      <c r="G31" s="15">
        <f>G84</f>
        <v>-23.356003999999999</v>
      </c>
      <c r="H31" s="15">
        <f t="shared" ref="H31:N31" si="36">SUMIF($P$4:$AZ$4,H$4,$P31:$AZ31)</f>
        <v>-7.8872499999999999</v>
      </c>
      <c r="I31" s="15">
        <f t="shared" si="36"/>
        <v>-102.05600000000001</v>
      </c>
      <c r="J31" s="15">
        <f t="shared" si="36"/>
        <v>-75.662499999999994</v>
      </c>
      <c r="K31" s="15">
        <f t="shared" si="36"/>
        <v>-9.020624999999999</v>
      </c>
      <c r="L31" s="15">
        <f t="shared" si="36"/>
        <v>0</v>
      </c>
      <c r="M31" s="15">
        <f t="shared" si="36"/>
        <v>0</v>
      </c>
      <c r="N31" s="15">
        <f t="shared" si="36"/>
        <v>0</v>
      </c>
      <c r="P31" s="15"/>
      <c r="Q31" s="15"/>
      <c r="R31" s="15"/>
      <c r="S31" s="15"/>
      <c r="T31" s="15">
        <f t="shared" ref="T31:AY31" si="37">T84</f>
        <v>-0.12095800000000001</v>
      </c>
      <c r="U31" s="15">
        <f t="shared" si="37"/>
        <v>-0.92222799999999994</v>
      </c>
      <c r="V31" s="15">
        <f t="shared" si="37"/>
        <v>-13.597</v>
      </c>
      <c r="W31" s="15">
        <f t="shared" si="37"/>
        <v>-7.2919999999999998</v>
      </c>
      <c r="X31" s="15">
        <f t="shared" si="37"/>
        <v>-3.2500000000000001E-2</v>
      </c>
      <c r="Y31" s="15">
        <f t="shared" si="37"/>
        <v>-1.3787499999999999</v>
      </c>
      <c r="Z31" s="15">
        <f t="shared" si="37"/>
        <v>-3.7080000000000002</v>
      </c>
      <c r="AA31" s="15">
        <f t="shared" si="37"/>
        <v>-2.7679999999999998</v>
      </c>
      <c r="AB31" s="15">
        <f t="shared" si="37"/>
        <v>-0.19400000000000001</v>
      </c>
      <c r="AC31" s="15">
        <f t="shared" si="37"/>
        <v>11.247000000000002</v>
      </c>
      <c r="AD31" s="15">
        <f t="shared" si="37"/>
        <v>-38.917000000000002</v>
      </c>
      <c r="AE31" s="15">
        <f t="shared" si="37"/>
        <v>-74.192000000000007</v>
      </c>
      <c r="AF31" s="15">
        <f t="shared" si="37"/>
        <v>-4.7500000000000001E-2</v>
      </c>
      <c r="AG31" s="15">
        <f t="shared" si="37"/>
        <v>-70.099999999999994</v>
      </c>
      <c r="AH31" s="15">
        <f t="shared" si="37"/>
        <v>-6.4</v>
      </c>
      <c r="AI31" s="15">
        <f t="shared" si="37"/>
        <v>0.88500000000000012</v>
      </c>
      <c r="AJ31" s="15">
        <f t="shared" si="37"/>
        <v>0</v>
      </c>
      <c r="AK31" s="15">
        <f t="shared" si="37"/>
        <v>0</v>
      </c>
      <c r="AL31" s="15">
        <f t="shared" si="37"/>
        <v>0</v>
      </c>
      <c r="AM31" s="15">
        <f t="shared" si="37"/>
        <v>-9.020624999999999</v>
      </c>
      <c r="AN31" s="15">
        <f t="shared" si="37"/>
        <v>0</v>
      </c>
      <c r="AO31" s="15">
        <f t="shared" si="37"/>
        <v>0</v>
      </c>
      <c r="AP31" s="345">
        <f t="shared" si="37"/>
        <v>0</v>
      </c>
      <c r="AQ31" s="15">
        <f t="shared" si="37"/>
        <v>0</v>
      </c>
      <c r="AR31" s="15">
        <f t="shared" si="37"/>
        <v>0</v>
      </c>
      <c r="AS31" s="15">
        <f t="shared" si="37"/>
        <v>0</v>
      </c>
      <c r="AT31" s="15">
        <f t="shared" si="37"/>
        <v>0</v>
      </c>
      <c r="AU31" s="15">
        <f t="shared" si="37"/>
        <v>0</v>
      </c>
      <c r="AV31" s="15">
        <f t="shared" si="37"/>
        <v>0</v>
      </c>
      <c r="AW31" s="15">
        <f t="shared" si="37"/>
        <v>0</v>
      </c>
      <c r="AX31" s="15">
        <f t="shared" si="37"/>
        <v>0</v>
      </c>
      <c r="AY31" s="15">
        <f t="shared" si="37"/>
        <v>0</v>
      </c>
      <c r="BG31" s="4">
        <v>25</v>
      </c>
      <c r="BH31"/>
      <c r="BI31"/>
      <c r="BJ31"/>
      <c r="BK31"/>
      <c r="BL31"/>
      <c r="BM31"/>
    </row>
    <row r="32" spans="1:65" s="3" customFormat="1" ht="11.25" outlineLevel="1">
      <c r="A32" s="2"/>
      <c r="B32" s="109" t="s">
        <v>342</v>
      </c>
      <c r="C32" s="341">
        <v>48.901000000000003</v>
      </c>
      <c r="D32" s="341">
        <v>99.453999999999994</v>
      </c>
      <c r="E32" s="341">
        <v>145.18299999999999</v>
      </c>
      <c r="F32" s="341">
        <f t="shared" ref="F32:N32" si="38">F30+F31</f>
        <v>148.88599999999997</v>
      </c>
      <c r="G32" s="341">
        <f t="shared" si="38"/>
        <v>103.96099999999994</v>
      </c>
      <c r="H32" s="341">
        <f t="shared" si="38"/>
        <v>170.4496803000001</v>
      </c>
      <c r="I32" s="341">
        <f t="shared" si="38"/>
        <v>-92.134999999999962</v>
      </c>
      <c r="J32" s="341">
        <f t="shared" si="38"/>
        <v>-140.19200000000001</v>
      </c>
      <c r="K32" s="341">
        <f t="shared" si="38"/>
        <v>53.788000000000011</v>
      </c>
      <c r="L32" s="341">
        <f t="shared" si="38"/>
        <v>287.26855886198518</v>
      </c>
      <c r="M32" s="341">
        <f t="shared" si="38"/>
        <v>274.33708806925284</v>
      </c>
      <c r="N32" s="341">
        <f t="shared" si="38"/>
        <v>291.72012663577055</v>
      </c>
      <c r="O32" s="12"/>
      <c r="P32" s="341"/>
      <c r="Q32" s="341"/>
      <c r="R32" s="341"/>
      <c r="S32" s="341"/>
      <c r="T32" s="341">
        <f t="shared" ref="T32:AY32" si="39">T30+T31</f>
        <v>33.556999999999995</v>
      </c>
      <c r="U32" s="341">
        <f t="shared" si="39"/>
        <v>35.007000000000005</v>
      </c>
      <c r="V32" s="341">
        <f t="shared" si="39"/>
        <v>24.746999999999986</v>
      </c>
      <c r="W32" s="341">
        <f t="shared" si="39"/>
        <v>10.649999999999983</v>
      </c>
      <c r="X32" s="341">
        <f t="shared" si="39"/>
        <v>34.539000000000016</v>
      </c>
      <c r="Y32" s="341">
        <f t="shared" si="39"/>
        <v>43.920680300000065</v>
      </c>
      <c r="Z32" s="341">
        <f t="shared" si="39"/>
        <v>54.077000000000005</v>
      </c>
      <c r="AA32" s="341">
        <f t="shared" si="39"/>
        <v>37.913000000000011</v>
      </c>
      <c r="AB32" s="341">
        <f t="shared" si="39"/>
        <v>30.758999999999993</v>
      </c>
      <c r="AC32" s="341">
        <f t="shared" si="39"/>
        <v>14.137000000000031</v>
      </c>
      <c r="AD32" s="341">
        <f t="shared" si="39"/>
        <v>-46.199999999999996</v>
      </c>
      <c r="AE32" s="341">
        <f t="shared" si="39"/>
        <v>-90.831000000000017</v>
      </c>
      <c r="AF32" s="341">
        <f t="shared" si="39"/>
        <v>-11.775999999999996</v>
      </c>
      <c r="AG32" s="341">
        <f t="shared" si="39"/>
        <v>-87.885999999999981</v>
      </c>
      <c r="AH32" s="341">
        <f t="shared" si="39"/>
        <v>-20.624999999999996</v>
      </c>
      <c r="AI32" s="341">
        <f t="shared" si="39"/>
        <v>-19.905000000000022</v>
      </c>
      <c r="AJ32" s="341">
        <f t="shared" si="39"/>
        <v>-11.588000000000031</v>
      </c>
      <c r="AK32" s="341">
        <f t="shared" si="39"/>
        <v>10.483000000000047</v>
      </c>
      <c r="AL32" s="341">
        <f t="shared" si="39"/>
        <v>34.944000000000003</v>
      </c>
      <c r="AM32" s="341">
        <f t="shared" si="39"/>
        <v>19.948999999999987</v>
      </c>
      <c r="AN32" s="341">
        <f t="shared" si="39"/>
        <v>29.4915140060452</v>
      </c>
      <c r="AO32" s="341">
        <f t="shared" si="39"/>
        <v>47.733277671530089</v>
      </c>
      <c r="AP32" s="385">
        <f t="shared" si="39"/>
        <v>104.93892227128377</v>
      </c>
      <c r="AQ32" s="341">
        <f t="shared" si="39"/>
        <v>105.1048449131262</v>
      </c>
      <c r="AR32" s="341">
        <f t="shared" si="39"/>
        <v>74.957684232584015</v>
      </c>
      <c r="AS32" s="341">
        <f t="shared" si="39"/>
        <v>67.855661459374474</v>
      </c>
      <c r="AT32" s="341">
        <f t="shared" si="39"/>
        <v>69.176983747244776</v>
      </c>
      <c r="AU32" s="341">
        <f t="shared" si="39"/>
        <v>62.346758630049457</v>
      </c>
      <c r="AV32" s="341">
        <f t="shared" si="39"/>
        <v>67.849480131633598</v>
      </c>
      <c r="AW32" s="341">
        <f t="shared" si="39"/>
        <v>80.717987827895044</v>
      </c>
      <c r="AX32" s="341">
        <f t="shared" si="39"/>
        <v>77.394788811683654</v>
      </c>
      <c r="AY32" s="341">
        <f t="shared" si="39"/>
        <v>65.757869864558231</v>
      </c>
      <c r="BG32" s="4">
        <v>26</v>
      </c>
      <c r="BH32"/>
      <c r="BI32"/>
      <c r="BJ32"/>
      <c r="BK32"/>
      <c r="BL32"/>
      <c r="BM32"/>
    </row>
    <row r="33" spans="1:257" s="3" customFormat="1" ht="11.25" outlineLevel="1">
      <c r="A33" s="2"/>
      <c r="B33" s="126"/>
      <c r="C33" s="15"/>
      <c r="D33" s="15"/>
      <c r="E33" s="15"/>
      <c r="F33" s="15"/>
      <c r="G33" s="15"/>
      <c r="H33" s="15"/>
      <c r="I33" s="15"/>
      <c r="J33" s="15"/>
      <c r="K33" s="14"/>
      <c r="L33" s="193"/>
      <c r="M33" s="85"/>
      <c r="N33" s="14"/>
      <c r="P33" s="5"/>
      <c r="Q33" s="5"/>
      <c r="R33" s="5"/>
      <c r="S33" s="5"/>
      <c r="V33" s="340"/>
      <c r="AP33" s="371"/>
      <c r="BG33" s="4">
        <v>27</v>
      </c>
      <c r="BH33"/>
      <c r="BI33"/>
      <c r="BJ33"/>
      <c r="BK33"/>
      <c r="BL33"/>
      <c r="BM33"/>
    </row>
    <row r="34" spans="1:257" s="3" customFormat="1" ht="11.25" outlineLevel="1">
      <c r="A34" s="2"/>
      <c r="B34" s="165" t="s">
        <v>341</v>
      </c>
      <c r="C34" s="339"/>
      <c r="D34" s="339"/>
      <c r="E34" s="339">
        <f t="shared" ref="E34:N34" si="40">E30/E37</f>
        <v>0.98076555850202862</v>
      </c>
      <c r="F34" s="339">
        <f t="shared" si="40"/>
        <v>0.9148968573427424</v>
      </c>
      <c r="G34" s="339">
        <f t="shared" si="40"/>
        <v>0.77331690678543452</v>
      </c>
      <c r="H34" s="339">
        <f t="shared" si="40"/>
        <v>1.0725283615834518</v>
      </c>
      <c r="I34" s="339">
        <f t="shared" si="40"/>
        <v>6.0496430470501059E-2</v>
      </c>
      <c r="J34" s="339">
        <f t="shared" si="40"/>
        <v>-0.358835125298545</v>
      </c>
      <c r="K34" s="339">
        <f t="shared" si="40"/>
        <v>0.27712795000910034</v>
      </c>
      <c r="L34" s="339">
        <f t="shared" si="40"/>
        <v>0.64775644673601962</v>
      </c>
      <c r="M34" s="339">
        <f t="shared" si="40"/>
        <v>0.41413494053081001</v>
      </c>
      <c r="N34" s="339">
        <f t="shared" si="40"/>
        <v>0.43600514296541715</v>
      </c>
      <c r="O34" s="170"/>
      <c r="P34" s="339"/>
      <c r="Q34" s="339"/>
      <c r="R34" s="339"/>
      <c r="S34" s="339"/>
      <c r="T34" s="339">
        <f t="shared" ref="T34:AY34" si="41">T30/T37</f>
        <v>0.20460867178781542</v>
      </c>
      <c r="U34" s="339">
        <f t="shared" si="41"/>
        <v>0.21834974076777042</v>
      </c>
      <c r="V34" s="339">
        <f t="shared" si="41"/>
        <v>0.23302483593578427</v>
      </c>
      <c r="W34" s="339">
        <f t="shared" si="41"/>
        <v>0.10903744018255368</v>
      </c>
      <c r="X34" s="339">
        <f t="shared" si="41"/>
        <v>0.20942525408747717</v>
      </c>
      <c r="Y34" s="339">
        <f t="shared" si="41"/>
        <v>0.26291021648287904</v>
      </c>
      <c r="Z34" s="339">
        <f t="shared" si="41"/>
        <v>0.34620148402739531</v>
      </c>
      <c r="AA34" s="339">
        <f t="shared" si="41"/>
        <v>0.24356172559168876</v>
      </c>
      <c r="AB34" s="339">
        <f t="shared" si="41"/>
        <v>0.18608433641756308</v>
      </c>
      <c r="AC34" s="339">
        <f t="shared" si="41"/>
        <v>1.7327413921005199E-2</v>
      </c>
      <c r="AD34" s="339">
        <f t="shared" si="41"/>
        <v>-4.5120266419096396E-2</v>
      </c>
      <c r="AE34" s="339">
        <f t="shared" si="41"/>
        <v>-0.10307046538517273</v>
      </c>
      <c r="AF34" s="339">
        <f t="shared" si="41"/>
        <v>-7.2646581519517348E-2</v>
      </c>
      <c r="AG34" s="339">
        <f t="shared" si="41"/>
        <v>-0.11002987992353702</v>
      </c>
      <c r="AH34" s="339">
        <f t="shared" si="41"/>
        <v>-7.7469774534364419E-2</v>
      </c>
      <c r="AI34" s="339">
        <f t="shared" si="41"/>
        <v>-9.7785136094897321E-2</v>
      </c>
      <c r="AJ34" s="339">
        <f t="shared" si="41"/>
        <v>-5.1792490357067969E-2</v>
      </c>
      <c r="AK34" s="339">
        <f t="shared" si="41"/>
        <v>4.5940994986502323E-2</v>
      </c>
      <c r="AL34" s="339">
        <f t="shared" si="41"/>
        <v>0.15434628975265019</v>
      </c>
      <c r="AM34" s="339">
        <f t="shared" ref="AM34" si="42">AM30/AM37</f>
        <v>0.12692504008902825</v>
      </c>
      <c r="AN34" s="339">
        <f t="shared" si="41"/>
        <v>0.12868043617603253</v>
      </c>
      <c r="AO34" s="339">
        <f t="shared" si="41"/>
        <v>0.20775540503057988</v>
      </c>
      <c r="AP34" s="386">
        <f t="shared" si="41"/>
        <v>0.15980373381201987</v>
      </c>
      <c r="AQ34" s="339">
        <f t="shared" si="41"/>
        <v>0.15965751052514154</v>
      </c>
      <c r="AR34" s="339">
        <f t="shared" si="41"/>
        <v>0.11357944615450091</v>
      </c>
      <c r="AS34" s="339">
        <f t="shared" si="41"/>
        <v>0.10256203787914177</v>
      </c>
      <c r="AT34" s="339">
        <f t="shared" si="41"/>
        <v>0.10429875939386242</v>
      </c>
      <c r="AU34" s="339">
        <f t="shared" si="41"/>
        <v>9.3766642989563997E-2</v>
      </c>
      <c r="AV34" s="339">
        <f t="shared" si="41"/>
        <v>0.10178832784518327</v>
      </c>
      <c r="AW34" s="339">
        <f t="shared" si="41"/>
        <v>0.1207921607470491</v>
      </c>
      <c r="AX34" s="339">
        <f t="shared" si="41"/>
        <v>0.11553062157387352</v>
      </c>
      <c r="AY34" s="339">
        <f t="shared" si="41"/>
        <v>9.791519524478412E-2</v>
      </c>
      <c r="BG34" s="4">
        <v>28</v>
      </c>
      <c r="BH34"/>
      <c r="BI34"/>
      <c r="BJ34"/>
      <c r="BK34"/>
      <c r="BL34"/>
      <c r="BM34"/>
    </row>
    <row r="35" spans="1:257" s="3" customFormat="1" ht="11.25" outlineLevel="1">
      <c r="A35" s="2"/>
      <c r="B35" s="109" t="s">
        <v>340</v>
      </c>
      <c r="C35" s="176"/>
      <c r="D35" s="176"/>
      <c r="E35" s="176">
        <v>0.9</v>
      </c>
      <c r="F35" s="176">
        <f t="shared" ref="F35:N35" si="43">F32/F37</f>
        <v>0.90602761822118971</v>
      </c>
      <c r="G35" s="176">
        <f t="shared" si="43"/>
        <v>0.63145374475133387</v>
      </c>
      <c r="H35" s="176">
        <f t="shared" si="43"/>
        <v>1.0250939950410383</v>
      </c>
      <c r="I35" s="176">
        <f t="shared" si="43"/>
        <v>-0.56182225797798446</v>
      </c>
      <c r="J35" s="176">
        <f t="shared" si="43"/>
        <v>-0.77957854757674594</v>
      </c>
      <c r="K35" s="176">
        <f t="shared" si="43"/>
        <v>0.23732661199141822</v>
      </c>
      <c r="L35" s="176">
        <f t="shared" si="43"/>
        <v>0.64775644673601962</v>
      </c>
      <c r="M35" s="176">
        <f t="shared" si="43"/>
        <v>0.41413494053081001</v>
      </c>
      <c r="N35" s="176">
        <f t="shared" si="43"/>
        <v>0.43600514296541715</v>
      </c>
      <c r="P35" s="176"/>
      <c r="Q35" s="176"/>
      <c r="R35" s="176"/>
      <c r="S35" s="176"/>
      <c r="T35" s="176">
        <f t="shared" ref="T35:AY35" si="44">T32/T37</f>
        <v>0.20387379778737538</v>
      </c>
      <c r="U35" s="176">
        <f t="shared" si="44"/>
        <v>0.21274516043198424</v>
      </c>
      <c r="V35" s="176">
        <f t="shared" si="44"/>
        <v>0.15039290671038108</v>
      </c>
      <c r="W35" s="176">
        <f t="shared" si="44"/>
        <v>6.4722368629149263E-2</v>
      </c>
      <c r="X35" s="176">
        <f t="shared" si="44"/>
        <v>0.20922837744753262</v>
      </c>
      <c r="Y35" s="176">
        <f t="shared" si="44"/>
        <v>0.25490818514219421</v>
      </c>
      <c r="Z35" s="176">
        <f t="shared" si="44"/>
        <v>0.3239861149389886</v>
      </c>
      <c r="AA35" s="176">
        <f t="shared" si="44"/>
        <v>0.22698939805702159</v>
      </c>
      <c r="AB35" s="176">
        <f t="shared" si="44"/>
        <v>0.18491804037953746</v>
      </c>
      <c r="AC35" s="176">
        <f t="shared" si="44"/>
        <v>8.4760432733996069E-2</v>
      </c>
      <c r="AD35" s="176">
        <f t="shared" si="44"/>
        <v>-0.28622220356477485</v>
      </c>
      <c r="AE35" s="176">
        <f t="shared" si="44"/>
        <v>-0.56265361147909276</v>
      </c>
      <c r="AF35" s="176">
        <f t="shared" si="44"/>
        <v>-7.2940797542212235E-2</v>
      </c>
      <c r="AG35" s="176">
        <f t="shared" si="44"/>
        <v>-0.5436908819835814</v>
      </c>
      <c r="AH35" s="176">
        <f t="shared" si="44"/>
        <v>-0.11232436553752312</v>
      </c>
      <c r="AI35" s="176">
        <f t="shared" si="44"/>
        <v>-9.3622565366470942E-2</v>
      </c>
      <c r="AJ35" s="176">
        <f t="shared" si="44"/>
        <v>-5.1792490357067969E-2</v>
      </c>
      <c r="AK35" s="176">
        <f t="shared" si="44"/>
        <v>4.5940994986502323E-2</v>
      </c>
      <c r="AL35" s="176">
        <f t="shared" si="44"/>
        <v>0.15434628975265019</v>
      </c>
      <c r="AM35" s="176">
        <f t="shared" ref="AM35" si="45">AM32/AM37</f>
        <v>8.7402844349418543E-2</v>
      </c>
      <c r="AN35" s="176">
        <f t="shared" si="44"/>
        <v>0.12868043617603253</v>
      </c>
      <c r="AO35" s="176">
        <f t="shared" si="44"/>
        <v>0.20775540503057988</v>
      </c>
      <c r="AP35" s="387">
        <f t="shared" si="44"/>
        <v>0.15980373381201987</v>
      </c>
      <c r="AQ35" s="176">
        <f t="shared" si="44"/>
        <v>0.15965751052514154</v>
      </c>
      <c r="AR35" s="176">
        <f t="shared" si="44"/>
        <v>0.11357944615450091</v>
      </c>
      <c r="AS35" s="176">
        <f t="shared" si="44"/>
        <v>0.10256203787914177</v>
      </c>
      <c r="AT35" s="176">
        <f t="shared" si="44"/>
        <v>0.10429875939386242</v>
      </c>
      <c r="AU35" s="176">
        <f t="shared" si="44"/>
        <v>9.3766642989563997E-2</v>
      </c>
      <c r="AV35" s="176">
        <f t="shared" si="44"/>
        <v>0.10178832784518327</v>
      </c>
      <c r="AW35" s="176">
        <f t="shared" si="44"/>
        <v>0.1207921607470491</v>
      </c>
      <c r="AX35" s="176">
        <f t="shared" si="44"/>
        <v>0.11553062157387352</v>
      </c>
      <c r="AY35" s="176">
        <f t="shared" si="44"/>
        <v>9.791519524478412E-2</v>
      </c>
      <c r="BG35" s="4">
        <v>29</v>
      </c>
      <c r="BH35"/>
      <c r="BI35"/>
      <c r="BJ35"/>
      <c r="BK35"/>
      <c r="BL35"/>
      <c r="BM35"/>
    </row>
    <row r="36" spans="1:257" s="3" customFormat="1" ht="11.25" outlineLevel="1">
      <c r="A36" s="2"/>
      <c r="B36" s="109" t="s">
        <v>339</v>
      </c>
      <c r="C36" s="176"/>
      <c r="D36" s="176"/>
      <c r="E36" s="176">
        <f t="shared" ref="E36:N36" si="46">(E30-E21)/E37</f>
        <v>1.1148019126206239</v>
      </c>
      <c r="F36" s="176">
        <f t="shared" si="46"/>
        <v>1.0834009796144453</v>
      </c>
      <c r="G36" s="176">
        <f t="shared" si="46"/>
        <v>1.0027360100357174</v>
      </c>
      <c r="H36" s="176">
        <f t="shared" si="46"/>
        <v>1.4296370180761433</v>
      </c>
      <c r="I36" s="176">
        <f t="shared" si="46"/>
        <v>0.46755002583667443</v>
      </c>
      <c r="J36" s="176">
        <f t="shared" si="46"/>
        <v>4.3076674980050647E-2</v>
      </c>
      <c r="K36" s="176">
        <f t="shared" si="46"/>
        <v>0.62633181294226015</v>
      </c>
      <c r="L36" s="176">
        <f t="shared" si="46"/>
        <v>1.0305777498838873</v>
      </c>
      <c r="M36" s="176">
        <f t="shared" si="46"/>
        <v>0.79113383849504793</v>
      </c>
      <c r="N36" s="176">
        <f t="shared" si="46"/>
        <v>0.79489477082159088</v>
      </c>
      <c r="P36" s="176"/>
      <c r="Q36" s="176"/>
      <c r="R36" s="176"/>
      <c r="S36" s="176"/>
      <c r="T36" s="176">
        <f t="shared" ref="T36:AY36" si="47">(T30-T21)/T37</f>
        <v>0.24915992962298611</v>
      </c>
      <c r="U36" s="176">
        <f t="shared" si="47"/>
        <v>0.26830447035759275</v>
      </c>
      <c r="V36" s="176">
        <f t="shared" si="47"/>
        <v>0.28745847497909793</v>
      </c>
      <c r="W36" s="176">
        <f t="shared" si="47"/>
        <v>0.18962742425684004</v>
      </c>
      <c r="X36" s="176">
        <f t="shared" si="47"/>
        <v>0.28780033001371058</v>
      </c>
      <c r="Y36" s="176">
        <f t="shared" si="47"/>
        <v>0.34755328090539789</v>
      </c>
      <c r="Z36" s="176">
        <f t="shared" si="47"/>
        <v>0.43768710592059124</v>
      </c>
      <c r="AA36" s="176">
        <f t="shared" si="47"/>
        <v>0.34286996143616999</v>
      </c>
      <c r="AB36" s="176">
        <f t="shared" si="47"/>
        <v>0.28361433963864424</v>
      </c>
      <c r="AC36" s="176">
        <f t="shared" si="47"/>
        <v>0.11491253121452695</v>
      </c>
      <c r="AD36" s="176">
        <f t="shared" si="47"/>
        <v>4.9419794758359559E-2</v>
      </c>
      <c r="AE36" s="176">
        <f t="shared" si="47"/>
        <v>1.4594267470849612E-2</v>
      </c>
      <c r="AF36" s="176">
        <f t="shared" si="47"/>
        <v>4.2475502644847202E-2</v>
      </c>
      <c r="AG36" s="176">
        <f t="shared" si="47"/>
        <v>1.6703062846821395E-3</v>
      </c>
      <c r="AH36" s="176">
        <f t="shared" si="47"/>
        <v>1.9246269469556716E-2</v>
      </c>
      <c r="AI36" s="176">
        <f t="shared" si="47"/>
        <v>-1.3710614320184111E-2</v>
      </c>
      <c r="AJ36" s="176">
        <f t="shared" si="47"/>
        <v>3.5103401731481632E-2</v>
      </c>
      <c r="AK36" s="176">
        <f t="shared" si="47"/>
        <v>0.13291466535778165</v>
      </c>
      <c r="AL36" s="176">
        <f t="shared" si="47"/>
        <v>0.2434540636042403</v>
      </c>
      <c r="AM36" s="176">
        <f t="shared" ref="AM36" si="48">(AM30-AM21)/AM37</f>
        <v>0.21315807344835738</v>
      </c>
      <c r="AN36" s="176">
        <f t="shared" si="47"/>
        <v>0.21658506366803812</v>
      </c>
      <c r="AO36" s="176">
        <f t="shared" si="47"/>
        <v>0.29746459993290597</v>
      </c>
      <c r="AP36" s="387">
        <f t="shared" si="47"/>
        <v>0.25877717271367079</v>
      </c>
      <c r="AQ36" s="176">
        <f t="shared" si="47"/>
        <v>0.2569112842789123</v>
      </c>
      <c r="AR36" s="176">
        <f t="shared" si="47"/>
        <v>0.20960946617972073</v>
      </c>
      <c r="AS36" s="176">
        <f t="shared" si="47"/>
        <v>0.19739215440584351</v>
      </c>
      <c r="AT36" s="176">
        <f t="shared" si="47"/>
        <v>0.19795232254990902</v>
      </c>
      <c r="AU36" s="176">
        <f t="shared" si="47"/>
        <v>0.18626651320279056</v>
      </c>
      <c r="AV36" s="176">
        <f t="shared" si="47"/>
        <v>0.19315688620940302</v>
      </c>
      <c r="AW36" s="176">
        <f t="shared" si="47"/>
        <v>0.21105131916816822</v>
      </c>
      <c r="AX36" s="176">
        <f t="shared" si="47"/>
        <v>0.20470183270100192</v>
      </c>
      <c r="AY36" s="176">
        <f t="shared" si="47"/>
        <v>0.18601946219089865</v>
      </c>
      <c r="BG36" s="4">
        <v>30</v>
      </c>
      <c r="BH36"/>
      <c r="BI36"/>
      <c r="BJ36"/>
      <c r="BK36"/>
      <c r="BL36"/>
      <c r="BM36"/>
    </row>
    <row r="37" spans="1:257" s="3" customFormat="1" ht="11.25" outlineLevel="1">
      <c r="A37" s="2"/>
      <c r="B37" s="126" t="s">
        <v>338</v>
      </c>
      <c r="C37" s="15"/>
      <c r="D37" s="15"/>
      <c r="E37" s="15">
        <f>E32/E35</f>
        <v>161.31444444444443</v>
      </c>
      <c r="F37" s="15">
        <f>4.833186*34</f>
        <v>164.32832400000001</v>
      </c>
      <c r="G37" s="15">
        <f>4.842281*34</f>
        <v>164.63755399999999</v>
      </c>
      <c r="H37" s="80">
        <f t="shared" ref="H37:N37" si="49">H407</f>
        <v>166.27712299999999</v>
      </c>
      <c r="I37" s="80">
        <f t="shared" si="49"/>
        <v>163.99314674999999</v>
      </c>
      <c r="J37" s="80">
        <f t="shared" si="49"/>
        <v>179.8305</v>
      </c>
      <c r="K37" s="80">
        <f t="shared" si="49"/>
        <v>226.64124999999999</v>
      </c>
      <c r="L37" s="80">
        <f t="shared" si="49"/>
        <v>443.48236178814261</v>
      </c>
      <c r="M37" s="80">
        <f t="shared" si="49"/>
        <v>662.43405523239892</v>
      </c>
      <c r="N37" s="80">
        <f t="shared" si="49"/>
        <v>669.07496698705017</v>
      </c>
      <c r="O37" s="338"/>
      <c r="P37" s="50"/>
      <c r="Q37" s="50"/>
      <c r="R37" s="50"/>
      <c r="S37" s="50"/>
      <c r="T37" s="81">
        <f>4.841086*34</f>
        <v>164.596924</v>
      </c>
      <c r="U37" s="23">
        <v>164.54898399999999</v>
      </c>
      <c r="V37" s="81">
        <f>U37</f>
        <v>164.54898399999999</v>
      </c>
      <c r="W37" s="81">
        <f>V37</f>
        <v>164.54898399999999</v>
      </c>
      <c r="X37" s="81">
        <f>4.855235*34</f>
        <v>165.07799</v>
      </c>
      <c r="Y37" s="80">
        <f t="shared" ref="Y37:AY37" si="50">Y407</f>
        <v>172.3</v>
      </c>
      <c r="Z37" s="80">
        <f t="shared" si="50"/>
        <v>166.911474</v>
      </c>
      <c r="AA37" s="80">
        <f t="shared" si="50"/>
        <v>167.02542199999999</v>
      </c>
      <c r="AB37" s="80">
        <f t="shared" si="50"/>
        <v>166.33855700000001</v>
      </c>
      <c r="AC37" s="80">
        <f t="shared" si="50"/>
        <v>166.78772799999999</v>
      </c>
      <c r="AD37" s="80">
        <f t="shared" si="50"/>
        <v>161.41305399999999</v>
      </c>
      <c r="AE37" s="80">
        <f t="shared" si="50"/>
        <v>161.43324799999999</v>
      </c>
      <c r="AF37" s="80">
        <f t="shared" si="50"/>
        <v>161.446</v>
      </c>
      <c r="AG37" s="80">
        <f t="shared" si="50"/>
        <v>161.64699999999999</v>
      </c>
      <c r="AH37" s="80">
        <f t="shared" si="50"/>
        <v>183.62</v>
      </c>
      <c r="AI37" s="80">
        <f t="shared" si="50"/>
        <v>212.60900000000001</v>
      </c>
      <c r="AJ37" s="80">
        <f t="shared" si="50"/>
        <v>223.739</v>
      </c>
      <c r="AK37" s="80">
        <f t="shared" si="50"/>
        <v>228.184</v>
      </c>
      <c r="AL37" s="80">
        <f t="shared" si="50"/>
        <v>226.4</v>
      </c>
      <c r="AM37" s="80">
        <f t="shared" si="50"/>
        <v>228.24199999999999</v>
      </c>
      <c r="AN37" s="80">
        <f t="shared" si="50"/>
        <v>229.18413150000001</v>
      </c>
      <c r="AO37" s="80">
        <f t="shared" si="50"/>
        <v>229.75709182874999</v>
      </c>
      <c r="AP37" s="388">
        <f t="shared" si="50"/>
        <v>656.67378207023239</v>
      </c>
      <c r="AQ37" s="80">
        <f t="shared" si="50"/>
        <v>658.31444175358831</v>
      </c>
      <c r="AR37" s="80">
        <f t="shared" si="50"/>
        <v>659.95817703336809</v>
      </c>
      <c r="AS37" s="80">
        <f t="shared" si="50"/>
        <v>661.60601780685181</v>
      </c>
      <c r="AT37" s="80">
        <f t="shared" si="50"/>
        <v>663.25797305040214</v>
      </c>
      <c r="AU37" s="80">
        <f t="shared" si="50"/>
        <v>664.91405303897363</v>
      </c>
      <c r="AV37" s="80">
        <f t="shared" si="50"/>
        <v>666.57426807158527</v>
      </c>
      <c r="AW37" s="80">
        <f t="shared" si="50"/>
        <v>668.23862847297357</v>
      </c>
      <c r="AX37" s="80">
        <f t="shared" si="50"/>
        <v>669.90714459365438</v>
      </c>
      <c r="AY37" s="80">
        <f t="shared" si="50"/>
        <v>671.57982680998748</v>
      </c>
      <c r="BG37" s="4">
        <v>31</v>
      </c>
      <c r="BH37"/>
      <c r="BI37"/>
      <c r="BJ37"/>
      <c r="BK37"/>
      <c r="BL37"/>
      <c r="BM37"/>
    </row>
    <row r="38" spans="1:257" s="3" customFormat="1" ht="3" customHeight="1" outlineLevel="1">
      <c r="A38" s="2"/>
      <c r="B38" s="16"/>
      <c r="G38" s="15"/>
      <c r="H38" s="15"/>
      <c r="I38" s="15"/>
      <c r="J38" s="15"/>
      <c r="K38" s="15"/>
      <c r="L38" s="15"/>
      <c r="M38" s="15"/>
      <c r="N38" s="15"/>
      <c r="P38" s="5"/>
      <c r="Q38" s="5"/>
      <c r="R38" s="5"/>
      <c r="S38" s="5"/>
      <c r="AP38" s="371"/>
      <c r="BG38" s="4">
        <v>32</v>
      </c>
      <c r="BH38"/>
      <c r="BI38"/>
      <c r="BJ38"/>
      <c r="BK38"/>
      <c r="BL38"/>
      <c r="BM38"/>
    </row>
    <row r="39" spans="1:257" s="334" customFormat="1" ht="11.25" outlineLevel="1">
      <c r="A39" s="337"/>
      <c r="B39" s="336" t="s">
        <v>337</v>
      </c>
      <c r="C39" s="335"/>
      <c r="D39" s="335"/>
      <c r="E39" s="335"/>
      <c r="F39" s="335">
        <f t="shared" ref="F39:N39" si="51">+F23-F21</f>
        <v>308.39899999999994</v>
      </c>
      <c r="G39" s="335">
        <f t="shared" si="51"/>
        <v>284.61299999999994</v>
      </c>
      <c r="H39" s="335">
        <f t="shared" si="51"/>
        <v>380.93068030000012</v>
      </c>
      <c r="I39" s="335">
        <f t="shared" si="51"/>
        <v>135.72100000000006</v>
      </c>
      <c r="J39" s="335">
        <f t="shared" si="51"/>
        <v>13.86</v>
      </c>
      <c r="K39" s="335">
        <f t="shared" si="51"/>
        <v>194.70400000000001</v>
      </c>
      <c r="L39" s="335">
        <f t="shared" si="51"/>
        <v>561.24572860554804</v>
      </c>
      <c r="M39" s="335">
        <f t="shared" si="51"/>
        <v>718.68010599659908</v>
      </c>
      <c r="N39" s="335">
        <f t="shared" si="51"/>
        <v>727.93548439659912</v>
      </c>
      <c r="O39" s="17"/>
      <c r="P39" s="335"/>
      <c r="Q39" s="335"/>
      <c r="R39" s="335"/>
      <c r="S39" s="335"/>
      <c r="T39" s="335">
        <f t="shared" ref="T39:AY39" si="52">+T23-T21</f>
        <v>68.94</v>
      </c>
      <c r="U39" s="335">
        <f t="shared" si="52"/>
        <v>73.933000000000007</v>
      </c>
      <c r="V39" s="335">
        <f t="shared" si="52"/>
        <v>80.38</v>
      </c>
      <c r="W39" s="335">
        <f t="shared" si="52"/>
        <v>54.935999999999979</v>
      </c>
      <c r="X39" s="335">
        <f t="shared" si="52"/>
        <v>80.065000000000012</v>
      </c>
      <c r="Y39" s="335">
        <f t="shared" si="52"/>
        <v>95.960680300000064</v>
      </c>
      <c r="Z39" s="335">
        <f t="shared" si="52"/>
        <v>112.658</v>
      </c>
      <c r="AA39" s="335">
        <f t="shared" si="52"/>
        <v>92.247000000000014</v>
      </c>
      <c r="AB39" s="335">
        <f t="shared" si="52"/>
        <v>73.675999999999988</v>
      </c>
      <c r="AC39" s="335">
        <f t="shared" si="52"/>
        <v>33.92300000000003</v>
      </c>
      <c r="AD39" s="335">
        <f t="shared" si="52"/>
        <v>19.156000000000006</v>
      </c>
      <c r="AE39" s="335">
        <f t="shared" si="52"/>
        <v>8.9659999999999975</v>
      </c>
      <c r="AF39" s="335">
        <f t="shared" si="52"/>
        <v>8.3860000000000028</v>
      </c>
      <c r="AG39" s="335">
        <f t="shared" si="52"/>
        <v>-8.8939999999999841</v>
      </c>
      <c r="AH39" s="335">
        <f t="shared" si="52"/>
        <v>3.0980000000000061</v>
      </c>
      <c r="AI39" s="335">
        <f t="shared" si="52"/>
        <v>11.269999999999975</v>
      </c>
      <c r="AJ39" s="335">
        <f t="shared" si="52"/>
        <v>19.420999999999971</v>
      </c>
      <c r="AK39" s="335">
        <f t="shared" si="52"/>
        <v>43.872000000000043</v>
      </c>
      <c r="AL39" s="335">
        <f t="shared" si="52"/>
        <v>69.956999999999994</v>
      </c>
      <c r="AM39" s="335">
        <f t="shared" ref="AM39" si="53">+AM23-AM21</f>
        <v>61.453999999999979</v>
      </c>
      <c r="AN39" s="335">
        <f t="shared" si="52"/>
        <v>65.953606129550082</v>
      </c>
      <c r="AO39" s="335">
        <f t="shared" si="52"/>
        <v>85.509940329550119</v>
      </c>
      <c r="AP39" s="389">
        <f t="shared" si="52"/>
        <v>205.38751064729809</v>
      </c>
      <c r="AQ39" s="335">
        <f t="shared" si="52"/>
        <v>204.39467149914981</v>
      </c>
      <c r="AR39" s="335">
        <f t="shared" si="52"/>
        <v>188.97317149914977</v>
      </c>
      <c r="AS39" s="335">
        <f t="shared" si="52"/>
        <v>179.1516714991497</v>
      </c>
      <c r="AT39" s="335">
        <f t="shared" si="52"/>
        <v>180.00455149914978</v>
      </c>
      <c r="AU39" s="335">
        <f t="shared" si="52"/>
        <v>170.55071149914977</v>
      </c>
      <c r="AV39" s="335">
        <f t="shared" si="52"/>
        <v>176.71967149914977</v>
      </c>
      <c r="AW39" s="335">
        <f t="shared" si="52"/>
        <v>192.22367149914976</v>
      </c>
      <c r="AX39" s="335">
        <f t="shared" si="52"/>
        <v>187.24288909914975</v>
      </c>
      <c r="AY39" s="335">
        <f t="shared" si="52"/>
        <v>171.74925229914976</v>
      </c>
      <c r="AZ39" s="17"/>
      <c r="BA39" s="17"/>
      <c r="BB39" s="17"/>
      <c r="BC39" s="17"/>
      <c r="BD39" s="17"/>
      <c r="BE39" s="17"/>
      <c r="BF39" s="17"/>
      <c r="BG39" s="4">
        <v>33</v>
      </c>
      <c r="BH39"/>
      <c r="BI39"/>
      <c r="BJ39"/>
      <c r="BK39"/>
      <c r="BL39"/>
      <c r="BM39"/>
    </row>
    <row r="40" spans="1:257" s="3" customFormat="1" ht="11.25" outlineLevel="1">
      <c r="A40" s="6"/>
      <c r="B40" s="34" t="s">
        <v>336</v>
      </c>
      <c r="C40" s="154">
        <f t="shared" ref="C40:N40" si="54">C214</f>
        <v>102.85400000000001</v>
      </c>
      <c r="D40" s="154">
        <f t="shared" si="54"/>
        <v>239.14399999999998</v>
      </c>
      <c r="E40" s="154">
        <f t="shared" si="54"/>
        <v>335.11000000000007</v>
      </c>
      <c r="F40" s="154">
        <f t="shared" si="54"/>
        <v>318.64999999999998</v>
      </c>
      <c r="G40" s="154">
        <f t="shared" si="54"/>
        <v>292.58399999999995</v>
      </c>
      <c r="H40" s="154">
        <f t="shared" si="54"/>
        <v>397.2896803000001</v>
      </c>
      <c r="I40" s="154">
        <f t="shared" si="54"/>
        <v>137.63499999999999</v>
      </c>
      <c r="J40" s="154">
        <f t="shared" si="54"/>
        <v>21.653000000000006</v>
      </c>
      <c r="K40" s="154">
        <f t="shared" si="54"/>
        <v>204.86700000000002</v>
      </c>
      <c r="L40" s="154">
        <f t="shared" si="54"/>
        <v>576.8297286055481</v>
      </c>
      <c r="M40" s="154">
        <f t="shared" si="54"/>
        <v>738.26410599659903</v>
      </c>
      <c r="N40" s="154">
        <f t="shared" si="54"/>
        <v>747.51948439659907</v>
      </c>
      <c r="O40" s="5"/>
      <c r="P40" s="25"/>
      <c r="Q40" s="25"/>
      <c r="R40" s="25"/>
      <c r="S40" s="25"/>
      <c r="T40" s="154">
        <f t="shared" ref="T40:AY40" si="55">T214</f>
        <v>70.742999999999995</v>
      </c>
      <c r="U40" s="154">
        <f t="shared" si="55"/>
        <v>75.587000000000003</v>
      </c>
      <c r="V40" s="154">
        <f t="shared" si="55"/>
        <v>82.132999999999981</v>
      </c>
      <c r="W40" s="154">
        <f t="shared" si="55"/>
        <v>64.120999999999981</v>
      </c>
      <c r="X40" s="154">
        <f t="shared" si="55"/>
        <v>82.086000000000013</v>
      </c>
      <c r="Y40" s="154">
        <f t="shared" si="55"/>
        <v>97.897680300000061</v>
      </c>
      <c r="Z40" s="154">
        <f t="shared" si="55"/>
        <v>116.93400000000001</v>
      </c>
      <c r="AA40" s="154">
        <f t="shared" si="55"/>
        <v>100.37200000000001</v>
      </c>
      <c r="AB40" s="154">
        <f t="shared" si="55"/>
        <v>75.11399999999999</v>
      </c>
      <c r="AC40" s="154">
        <f t="shared" si="55"/>
        <v>36.072000000000031</v>
      </c>
      <c r="AD40" s="154">
        <f t="shared" si="55"/>
        <v>21.763000000000005</v>
      </c>
      <c r="AE40" s="154">
        <f t="shared" si="55"/>
        <v>4.6859999999999786</v>
      </c>
      <c r="AF40" s="154">
        <f t="shared" si="55"/>
        <v>10.047000000000004</v>
      </c>
      <c r="AG40" s="154">
        <f t="shared" si="55"/>
        <v>-4.9959999999999809</v>
      </c>
      <c r="AH40" s="154">
        <f t="shared" si="55"/>
        <v>4.8950000000000067</v>
      </c>
      <c r="AI40" s="154">
        <f t="shared" si="55"/>
        <v>11.706999999999978</v>
      </c>
      <c r="AJ40" s="154">
        <f t="shared" si="55"/>
        <v>21.65899999999997</v>
      </c>
      <c r="AK40" s="154">
        <f t="shared" si="55"/>
        <v>46.984000000000052</v>
      </c>
      <c r="AL40" s="154">
        <f t="shared" si="55"/>
        <v>72.384</v>
      </c>
      <c r="AM40" s="154">
        <f t="shared" ref="AM40" si="56">AM214</f>
        <v>63.839999999999989</v>
      </c>
      <c r="AN40" s="154">
        <f t="shared" si="55"/>
        <v>68.849606129550082</v>
      </c>
      <c r="AO40" s="154">
        <f t="shared" si="55"/>
        <v>88.40594032955012</v>
      </c>
      <c r="AP40" s="390">
        <f t="shared" si="55"/>
        <v>210.2835106472981</v>
      </c>
      <c r="AQ40" s="154">
        <f t="shared" si="55"/>
        <v>209.29067149914979</v>
      </c>
      <c r="AR40" s="154">
        <f t="shared" si="55"/>
        <v>193.86917149914979</v>
      </c>
      <c r="AS40" s="154">
        <f t="shared" si="55"/>
        <v>184.04767149914971</v>
      </c>
      <c r="AT40" s="154">
        <f t="shared" si="55"/>
        <v>184.90055149914977</v>
      </c>
      <c r="AU40" s="154">
        <f t="shared" si="55"/>
        <v>175.44671149914979</v>
      </c>
      <c r="AV40" s="154">
        <f t="shared" si="55"/>
        <v>181.61567149914976</v>
      </c>
      <c r="AW40" s="154">
        <f t="shared" si="55"/>
        <v>197.11967149914975</v>
      </c>
      <c r="AX40" s="154">
        <f t="shared" si="55"/>
        <v>192.13888909914976</v>
      </c>
      <c r="AY40" s="154">
        <f t="shared" si="55"/>
        <v>176.64525229914977</v>
      </c>
      <c r="AZ40" s="5"/>
      <c r="BA40" s="5"/>
      <c r="BB40" s="5"/>
      <c r="BC40" s="5"/>
      <c r="BD40" s="5"/>
      <c r="BE40" s="5"/>
      <c r="BF40" s="5"/>
      <c r="BG40" s="4">
        <v>34</v>
      </c>
      <c r="BH40"/>
      <c r="BI40"/>
      <c r="BJ40"/>
      <c r="BK40"/>
      <c r="BL40"/>
      <c r="BM40"/>
    </row>
    <row r="41" spans="1:257" s="3" customFormat="1" ht="11.25" outlineLevel="1">
      <c r="A41" s="6"/>
      <c r="B41" s="16"/>
      <c r="C41" s="25"/>
      <c r="D41" s="25"/>
      <c r="E41" s="25"/>
      <c r="F41" s="25"/>
      <c r="G41" s="25"/>
      <c r="H41" s="25"/>
      <c r="I41" s="25"/>
      <c r="J41" s="25"/>
      <c r="K41" s="155"/>
      <c r="L41" s="159"/>
      <c r="M41" s="25"/>
      <c r="N41" s="25"/>
      <c r="O41" s="5"/>
      <c r="P41" s="25"/>
      <c r="Q41" s="25"/>
      <c r="R41" s="25"/>
      <c r="S41" s="25"/>
      <c r="T41" s="25"/>
      <c r="U41" s="25"/>
      <c r="V41" s="25"/>
      <c r="W41" s="25"/>
      <c r="X41" s="25"/>
      <c r="Y41" s="25"/>
      <c r="Z41" s="25"/>
      <c r="AA41" s="25"/>
      <c r="AB41" s="25"/>
      <c r="AC41" s="25"/>
      <c r="AD41" s="25"/>
      <c r="AE41" s="25"/>
      <c r="AF41" s="25"/>
      <c r="AG41" s="25"/>
      <c r="AH41" s="25"/>
      <c r="AI41" s="25"/>
      <c r="AJ41" s="25"/>
      <c r="AK41" s="25"/>
      <c r="AN41" s="172"/>
      <c r="AO41" s="172"/>
      <c r="AP41" s="382"/>
      <c r="AQ41" s="172"/>
      <c r="AR41" s="172"/>
      <c r="AS41" s="172"/>
      <c r="AT41" s="172"/>
      <c r="AU41" s="172"/>
      <c r="AV41" s="172"/>
      <c r="AW41" s="172"/>
      <c r="AX41" s="172"/>
      <c r="AY41" s="172"/>
      <c r="AZ41" s="5"/>
      <c r="BA41" s="5"/>
      <c r="BB41" s="5"/>
      <c r="BC41" s="5"/>
      <c r="BD41" s="5"/>
      <c r="BE41" s="5"/>
      <c r="BF41" s="5"/>
      <c r="BG41" s="4">
        <v>35</v>
      </c>
      <c r="BH41"/>
      <c r="BI41"/>
      <c r="BJ41"/>
      <c r="BK41"/>
      <c r="BL41"/>
      <c r="BM41"/>
    </row>
    <row r="42" spans="1:257" s="3" customFormat="1" ht="12.75" customHeight="1">
      <c r="A42" s="2" t="s">
        <v>0</v>
      </c>
      <c r="B42" s="316" t="s">
        <v>335</v>
      </c>
      <c r="C42" s="86">
        <f t="shared" ref="C42:N42" si="57">C$7</f>
        <v>2009</v>
      </c>
      <c r="D42" s="86">
        <f t="shared" si="57"/>
        <v>2010</v>
      </c>
      <c r="E42" s="86">
        <f t="shared" si="57"/>
        <v>2011</v>
      </c>
      <c r="F42" s="86">
        <f t="shared" si="57"/>
        <v>2012</v>
      </c>
      <c r="G42" s="86">
        <f t="shared" si="57"/>
        <v>2013</v>
      </c>
      <c r="H42" s="86">
        <f t="shared" si="57"/>
        <v>2014</v>
      </c>
      <c r="I42" s="86">
        <f t="shared" si="57"/>
        <v>2015</v>
      </c>
      <c r="J42" s="86">
        <f t="shared" si="57"/>
        <v>2016</v>
      </c>
      <c r="K42" s="86">
        <f t="shared" si="57"/>
        <v>2017</v>
      </c>
      <c r="L42" s="86" t="str">
        <f t="shared" si="57"/>
        <v>2018E</v>
      </c>
      <c r="M42" s="86" t="str">
        <f t="shared" si="57"/>
        <v>2019E</v>
      </c>
      <c r="N42" s="86" t="str">
        <f t="shared" si="57"/>
        <v>2020E</v>
      </c>
      <c r="P42" s="87" t="str">
        <f t="shared" ref="P42:AY42" si="58">P$7</f>
        <v>1Q12</v>
      </c>
      <c r="Q42" s="87" t="str">
        <f t="shared" si="58"/>
        <v>2Q12</v>
      </c>
      <c r="R42" s="87" t="str">
        <f t="shared" si="58"/>
        <v>3Q12</v>
      </c>
      <c r="S42" s="87" t="str">
        <f t="shared" si="58"/>
        <v>4Q12</v>
      </c>
      <c r="T42" s="86" t="str">
        <f t="shared" si="58"/>
        <v>1Q13</v>
      </c>
      <c r="U42" s="86" t="str">
        <f t="shared" si="58"/>
        <v>2Q13</v>
      </c>
      <c r="V42" s="86" t="str">
        <f t="shared" si="58"/>
        <v>3Q13</v>
      </c>
      <c r="W42" s="86" t="str">
        <f t="shared" si="58"/>
        <v>4Q13</v>
      </c>
      <c r="X42" s="86" t="str">
        <f t="shared" si="58"/>
        <v>1Q14</v>
      </c>
      <c r="Y42" s="86" t="str">
        <f t="shared" si="58"/>
        <v>2Q14</v>
      </c>
      <c r="Z42" s="86" t="str">
        <f t="shared" si="58"/>
        <v>3Q14</v>
      </c>
      <c r="AA42" s="86" t="str">
        <f t="shared" si="58"/>
        <v>4Q14</v>
      </c>
      <c r="AB42" s="86" t="str">
        <f t="shared" si="58"/>
        <v>1Q15</v>
      </c>
      <c r="AC42" s="86" t="str">
        <f t="shared" si="58"/>
        <v>2Q15</v>
      </c>
      <c r="AD42" s="86" t="str">
        <f t="shared" si="58"/>
        <v>3Q15</v>
      </c>
      <c r="AE42" s="86" t="str">
        <f t="shared" si="58"/>
        <v>4Q15</v>
      </c>
      <c r="AF42" s="86" t="str">
        <f t="shared" si="58"/>
        <v>1Q16</v>
      </c>
      <c r="AG42" s="86" t="str">
        <f t="shared" si="58"/>
        <v>2Q16</v>
      </c>
      <c r="AH42" s="86" t="str">
        <f t="shared" si="58"/>
        <v>3Q16</v>
      </c>
      <c r="AI42" s="86" t="str">
        <f t="shared" si="58"/>
        <v>4Q16</v>
      </c>
      <c r="AJ42" s="86" t="str">
        <f t="shared" si="58"/>
        <v>1Q17</v>
      </c>
      <c r="AK42" s="86" t="str">
        <f t="shared" si="58"/>
        <v>2Q17</v>
      </c>
      <c r="AL42" s="86" t="str">
        <f t="shared" si="58"/>
        <v>3Q17</v>
      </c>
      <c r="AM42" s="86" t="str">
        <f t="shared" si="58"/>
        <v>4Q17</v>
      </c>
      <c r="AN42" s="86" t="str">
        <f t="shared" si="58"/>
        <v>1Q18E</v>
      </c>
      <c r="AO42" s="86" t="str">
        <f t="shared" si="58"/>
        <v>2Q18E</v>
      </c>
      <c r="AP42" s="381" t="str">
        <f t="shared" si="58"/>
        <v>3Q18E</v>
      </c>
      <c r="AQ42" s="86" t="str">
        <f t="shared" si="58"/>
        <v>4Q18E</v>
      </c>
      <c r="AR42" s="86" t="str">
        <f t="shared" si="58"/>
        <v>1Q19E</v>
      </c>
      <c r="AS42" s="86" t="str">
        <f t="shared" si="58"/>
        <v>2Q19E</v>
      </c>
      <c r="AT42" s="86" t="str">
        <f t="shared" si="58"/>
        <v>3Q19E</v>
      </c>
      <c r="AU42" s="86" t="str">
        <f t="shared" si="58"/>
        <v>4Q19E</v>
      </c>
      <c r="AV42" s="86" t="str">
        <f t="shared" si="58"/>
        <v>1Q20E</v>
      </c>
      <c r="AW42" s="86" t="str">
        <f t="shared" si="58"/>
        <v>2Q20E</v>
      </c>
      <c r="AX42" s="86" t="str">
        <f t="shared" si="58"/>
        <v>3Q20E</v>
      </c>
      <c r="AY42" s="86" t="str">
        <f t="shared" si="58"/>
        <v>4Q20E</v>
      </c>
      <c r="BG42" s="4">
        <v>36</v>
      </c>
      <c r="BH42"/>
      <c r="BI42"/>
      <c r="BJ42"/>
      <c r="BK42"/>
      <c r="BL42"/>
      <c r="BM42"/>
    </row>
    <row r="43" spans="1:257" s="3" customFormat="1" ht="12.75" customHeight="1" outlineLevel="1">
      <c r="A43" s="6"/>
      <c r="B43" s="179" t="s">
        <v>334</v>
      </c>
      <c r="C43" s="310"/>
      <c r="D43" s="310"/>
      <c r="E43" s="310"/>
      <c r="F43" s="310"/>
      <c r="G43" s="310"/>
      <c r="H43" s="310"/>
      <c r="I43" s="310"/>
      <c r="J43" s="310"/>
      <c r="K43" s="310"/>
      <c r="L43" s="310"/>
      <c r="M43" s="310"/>
      <c r="N43" s="310"/>
      <c r="O43" s="5"/>
      <c r="P43" s="5"/>
      <c r="Q43" s="5"/>
      <c r="R43" s="5"/>
      <c r="S43" s="5"/>
      <c r="T43" s="177"/>
      <c r="U43" s="5"/>
      <c r="V43" s="5"/>
      <c r="W43" s="5"/>
      <c r="X43" s="5"/>
      <c r="Y43" s="5"/>
      <c r="Z43" s="5"/>
      <c r="AA43" s="5"/>
      <c r="AB43" s="5"/>
      <c r="AC43" s="5"/>
      <c r="AD43" s="5"/>
      <c r="AE43" s="5"/>
      <c r="AF43" s="19"/>
      <c r="AG43" s="19"/>
      <c r="AH43" s="19"/>
      <c r="AI43" s="19"/>
      <c r="AJ43" s="19"/>
      <c r="AK43" s="19"/>
      <c r="AL43" s="19"/>
      <c r="AM43" s="19"/>
      <c r="AN43" s="5"/>
      <c r="AO43" s="5"/>
      <c r="AP43" s="369"/>
      <c r="AQ43" s="5"/>
      <c r="AR43" s="5"/>
      <c r="AS43" s="5"/>
      <c r="AT43" s="5"/>
      <c r="AU43" s="5"/>
      <c r="AV43" s="5"/>
      <c r="AW43" s="5"/>
      <c r="AX43" s="5"/>
      <c r="AY43" s="5"/>
      <c r="AZ43" s="5"/>
      <c r="BA43" s="5"/>
      <c r="BB43" s="5"/>
      <c r="BC43" s="5"/>
      <c r="BD43" s="5"/>
      <c r="BE43" s="5"/>
      <c r="BF43" s="5"/>
      <c r="BG43" s="4">
        <v>37</v>
      </c>
      <c r="BH43"/>
      <c r="BI43"/>
      <c r="BJ43"/>
      <c r="BK43"/>
      <c r="BL43"/>
      <c r="BM43"/>
    </row>
    <row r="44" spans="1:257" s="3" customFormat="1" ht="12.75" customHeight="1" outlineLevel="1">
      <c r="A44" s="6"/>
      <c r="B44" s="329" t="s">
        <v>333</v>
      </c>
      <c r="C44" s="200">
        <v>1730</v>
      </c>
      <c r="D44" s="200">
        <v>2609</v>
      </c>
      <c r="E44" s="200">
        <v>3402</v>
      </c>
      <c r="F44" s="178">
        <v>3765</v>
      </c>
      <c r="G44" s="178">
        <v>5117</v>
      </c>
      <c r="H44" s="181">
        <f t="shared" ref="H44:N44" si="59">SUMIF($P$4:$AZ$4,H$4,$P44:$AZ44)</f>
        <v>7186.4996500000007</v>
      </c>
      <c r="I44" s="181">
        <f t="shared" si="59"/>
        <v>6203.7580000000007</v>
      </c>
      <c r="J44" s="181">
        <f t="shared" si="59"/>
        <v>6414.933</v>
      </c>
      <c r="K44" s="181">
        <f t="shared" si="59"/>
        <v>10277.960999999999</v>
      </c>
      <c r="L44" s="181">
        <f t="shared" si="59"/>
        <v>19775</v>
      </c>
      <c r="M44" s="181">
        <f t="shared" si="59"/>
        <v>29350</v>
      </c>
      <c r="N44" s="181">
        <f t="shared" si="59"/>
        <v>29500</v>
      </c>
      <c r="O44" s="177"/>
      <c r="P44" s="178"/>
      <c r="Q44" s="178"/>
      <c r="R44" s="178"/>
      <c r="S44" s="178"/>
      <c r="T44" s="200">
        <v>1008</v>
      </c>
      <c r="U44" s="200">
        <f>2134-T44</f>
        <v>1126</v>
      </c>
      <c r="V44" s="333">
        <f t="shared" ref="V44:AY44" si="60">V90</f>
        <v>1525.136</v>
      </c>
      <c r="W44" s="333">
        <f t="shared" si="60"/>
        <v>1593.2619999999999</v>
      </c>
      <c r="X44" s="333">
        <f t="shared" si="60"/>
        <v>1583.3833</v>
      </c>
      <c r="Y44" s="333">
        <f t="shared" si="60"/>
        <v>1767.1313500000003</v>
      </c>
      <c r="Z44" s="333">
        <f t="shared" si="60"/>
        <v>1944.6669999999999</v>
      </c>
      <c r="AA44" s="333">
        <f t="shared" si="60"/>
        <v>1891.318</v>
      </c>
      <c r="AB44" s="333">
        <f t="shared" si="60"/>
        <v>1777.982</v>
      </c>
      <c r="AC44" s="333">
        <f t="shared" si="60"/>
        <v>1593.7750000000001</v>
      </c>
      <c r="AD44" s="333">
        <f t="shared" si="60"/>
        <v>1464.3300000000002</v>
      </c>
      <c r="AE44" s="333">
        <f t="shared" si="60"/>
        <v>1367.671</v>
      </c>
      <c r="AF44" s="333">
        <f t="shared" si="60"/>
        <v>1525.952</v>
      </c>
      <c r="AG44" s="333">
        <f t="shared" si="60"/>
        <v>1289.903</v>
      </c>
      <c r="AH44" s="333">
        <f t="shared" si="60"/>
        <v>1754.3309999999999</v>
      </c>
      <c r="AI44" s="333">
        <f t="shared" si="60"/>
        <v>1844.7470000000001</v>
      </c>
      <c r="AJ44" s="333">
        <f t="shared" si="60"/>
        <v>2082.3310000000001</v>
      </c>
      <c r="AK44" s="333">
        <f t="shared" si="60"/>
        <v>2586.8890000000001</v>
      </c>
      <c r="AL44" s="333">
        <f t="shared" si="60"/>
        <v>2831.5309999999999</v>
      </c>
      <c r="AM44" s="333">
        <f t="shared" ref="AM44" si="61">AM90</f>
        <v>2777.21</v>
      </c>
      <c r="AN44" s="198">
        <f t="shared" si="60"/>
        <v>2625</v>
      </c>
      <c r="AO44" s="198">
        <f t="shared" si="60"/>
        <v>2875</v>
      </c>
      <c r="AP44" s="372">
        <f t="shared" si="60"/>
        <v>7000</v>
      </c>
      <c r="AQ44" s="198">
        <f t="shared" si="60"/>
        <v>7275</v>
      </c>
      <c r="AR44" s="198">
        <f t="shared" si="60"/>
        <v>7300</v>
      </c>
      <c r="AS44" s="198">
        <f t="shared" si="60"/>
        <v>7325</v>
      </c>
      <c r="AT44" s="198">
        <f t="shared" si="60"/>
        <v>7350</v>
      </c>
      <c r="AU44" s="198">
        <f t="shared" si="60"/>
        <v>7375</v>
      </c>
      <c r="AV44" s="198">
        <f t="shared" si="60"/>
        <v>7375</v>
      </c>
      <c r="AW44" s="198">
        <f t="shared" si="60"/>
        <v>7375</v>
      </c>
      <c r="AX44" s="198">
        <f t="shared" si="60"/>
        <v>7375</v>
      </c>
      <c r="AY44" s="198">
        <f t="shared" si="60"/>
        <v>7375</v>
      </c>
      <c r="AZ44" s="5"/>
      <c r="BA44" s="5"/>
      <c r="BB44" s="5"/>
      <c r="BC44" s="5"/>
      <c r="BD44" s="5"/>
      <c r="BE44" s="5"/>
      <c r="BF44" s="5"/>
      <c r="BG44" s="4">
        <v>38</v>
      </c>
      <c r="BH44"/>
      <c r="BI44"/>
      <c r="BJ44"/>
      <c r="BK44"/>
      <c r="BL44"/>
      <c r="BM44"/>
    </row>
    <row r="45" spans="1:257" s="32" customFormat="1" ht="12.75" customHeight="1" outlineLevel="1">
      <c r="A45" s="326"/>
      <c r="B45" s="329" t="s">
        <v>211</v>
      </c>
      <c r="C45" s="327">
        <f t="shared" ref="C45:N45" si="62">C11/C44*1000</f>
        <v>188.17456647398842</v>
      </c>
      <c r="D45" s="327">
        <f t="shared" si="62"/>
        <v>222.35224223840549</v>
      </c>
      <c r="E45" s="327">
        <f t="shared" si="62"/>
        <v>237.46296296296299</v>
      </c>
      <c r="F45" s="327">
        <f t="shared" si="62"/>
        <v>201.28844621513943</v>
      </c>
      <c r="G45" s="327">
        <f t="shared" si="62"/>
        <v>167.32694938440494</v>
      </c>
      <c r="H45" s="327">
        <f t="shared" si="62"/>
        <v>171.46480488592243</v>
      </c>
      <c r="I45" s="327">
        <f t="shared" si="62"/>
        <v>114.46013851604141</v>
      </c>
      <c r="J45" s="327">
        <f t="shared" si="62"/>
        <v>64.871137391458333</v>
      </c>
      <c r="K45" s="327">
        <f t="shared" si="62"/>
        <v>81.217373757304586</v>
      </c>
      <c r="L45" s="327">
        <f t="shared" si="62"/>
        <v>79.767192437615506</v>
      </c>
      <c r="M45" s="327">
        <f t="shared" si="62"/>
        <v>68.461039434664613</v>
      </c>
      <c r="N45" s="327">
        <f t="shared" si="62"/>
        <v>68.582678217200211</v>
      </c>
      <c r="O45" s="204"/>
      <c r="P45" s="327"/>
      <c r="Q45" s="327"/>
      <c r="R45" s="327"/>
      <c r="S45" s="327"/>
      <c r="T45" s="331">
        <f>T11*1000/T44</f>
        <v>185.86507936507937</v>
      </c>
      <c r="U45" s="331">
        <f>U11*1000/U44</f>
        <v>169.56838365896979</v>
      </c>
      <c r="V45" s="331">
        <f>V11*1000/V44</f>
        <v>152.23298118987421</v>
      </c>
      <c r="W45" s="331">
        <f>W11*1000/W44</f>
        <v>154.24330712713916</v>
      </c>
      <c r="X45" s="331">
        <f>X11*1000/X44</f>
        <v>168.31047794933798</v>
      </c>
      <c r="Y45" s="332">
        <v>170.15416556330123</v>
      </c>
      <c r="Z45" s="331">
        <f t="shared" ref="Z45:AL45" si="63">Z11*1000/Z44</f>
        <v>175.18012081245789</v>
      </c>
      <c r="AA45" s="331">
        <f t="shared" si="63"/>
        <v>171.51002634141906</v>
      </c>
      <c r="AB45" s="331">
        <f t="shared" si="63"/>
        <v>153.47118249791055</v>
      </c>
      <c r="AC45" s="331">
        <f t="shared" si="63"/>
        <v>118.05305014823296</v>
      </c>
      <c r="AD45" s="331">
        <f t="shared" si="63"/>
        <v>96.688587954900868</v>
      </c>
      <c r="AE45" s="331">
        <f t="shared" si="63"/>
        <v>78.586151201568214</v>
      </c>
      <c r="AF45" s="331">
        <f t="shared" si="63"/>
        <v>76.976864278823967</v>
      </c>
      <c r="AG45" s="331">
        <f t="shared" si="63"/>
        <v>63.649747306580416</v>
      </c>
      <c r="AH45" s="331">
        <f t="shared" si="63"/>
        <v>58.79164194214205</v>
      </c>
      <c r="AI45" s="331">
        <f t="shared" si="63"/>
        <v>61.492985216943026</v>
      </c>
      <c r="AJ45" s="331">
        <f t="shared" si="63"/>
        <v>67.709216258126105</v>
      </c>
      <c r="AK45" s="331">
        <f t="shared" si="63"/>
        <v>76.853703425233931</v>
      </c>
      <c r="AL45" s="331">
        <f t="shared" si="63"/>
        <v>88.203519580043448</v>
      </c>
      <c r="AM45" s="331">
        <f t="shared" ref="AM45" si="64">AM11*1000/AM44</f>
        <v>88.287525970308323</v>
      </c>
      <c r="AN45" s="330">
        <f t="shared" ref="AN45:AY45" si="65">AN94</f>
        <v>92.885689563956859</v>
      </c>
      <c r="AO45" s="330">
        <f t="shared" si="65"/>
        <v>88.421722607515903</v>
      </c>
      <c r="AP45" s="373">
        <f t="shared" si="65"/>
        <v>75.896655857142846</v>
      </c>
      <c r="AQ45" s="330">
        <f t="shared" si="65"/>
        <v>75.337766577574101</v>
      </c>
      <c r="AR45" s="330">
        <f t="shared" si="65"/>
        <v>70.984897513952276</v>
      </c>
      <c r="AS45" s="330">
        <f t="shared" si="65"/>
        <v>66.661740867146975</v>
      </c>
      <c r="AT45" s="330">
        <f t="shared" si="65"/>
        <v>67.625476442428791</v>
      </c>
      <c r="AU45" s="330">
        <f t="shared" si="65"/>
        <v>68.582678217200211</v>
      </c>
      <c r="AV45" s="330">
        <f t="shared" si="65"/>
        <v>68.582678217200211</v>
      </c>
      <c r="AW45" s="330">
        <f t="shared" si="65"/>
        <v>68.582678217200211</v>
      </c>
      <c r="AX45" s="330">
        <f t="shared" si="65"/>
        <v>68.582678217200211</v>
      </c>
      <c r="AY45" s="330">
        <f t="shared" si="65"/>
        <v>68.582678217200211</v>
      </c>
      <c r="AZ45" s="204"/>
      <c r="BA45" s="204"/>
      <c r="BB45" s="204"/>
      <c r="BC45" s="204"/>
      <c r="BD45" s="204"/>
      <c r="BE45" s="204"/>
      <c r="BF45" s="204"/>
      <c r="BG45" s="4">
        <v>39</v>
      </c>
      <c r="BH45"/>
      <c r="BI45"/>
      <c r="BJ45"/>
      <c r="BK45"/>
      <c r="BL45"/>
      <c r="BM45"/>
    </row>
    <row r="46" spans="1:257" s="32" customFormat="1" ht="12.75" customHeight="1" outlineLevel="1">
      <c r="A46" s="326"/>
      <c r="B46" s="329" t="s">
        <v>210</v>
      </c>
      <c r="C46" s="327"/>
      <c r="D46" s="327">
        <f t="shared" ref="D46:N46" si="66">(D11-D16)/D44*1000</f>
        <v>127.22499041778457</v>
      </c>
      <c r="E46" s="327">
        <f t="shared" si="66"/>
        <v>137.80099941211051</v>
      </c>
      <c r="F46" s="327">
        <f t="shared" si="66"/>
        <v>117.29083665338646</v>
      </c>
      <c r="G46" s="327">
        <f t="shared" si="66"/>
        <v>109.41782294313074</v>
      </c>
      <c r="H46" s="327">
        <f t="shared" si="66"/>
        <v>111.52084816423809</v>
      </c>
      <c r="I46" s="327">
        <f t="shared" si="66"/>
        <v>89.773488907852311</v>
      </c>
      <c r="J46" s="327">
        <f t="shared" si="66"/>
        <v>60.37413017407976</v>
      </c>
      <c r="K46" s="327">
        <f t="shared" si="66"/>
        <v>57.473170018839348</v>
      </c>
      <c r="L46" s="327">
        <f t="shared" si="66"/>
        <v>51.637427208510672</v>
      </c>
      <c r="M46" s="327">
        <f t="shared" si="66"/>
        <v>46.694900218426142</v>
      </c>
      <c r="N46" s="327">
        <f t="shared" si="66"/>
        <v>46.803197335959574</v>
      </c>
      <c r="O46" s="204"/>
      <c r="P46" s="327"/>
      <c r="Q46" s="327"/>
      <c r="R46" s="327"/>
      <c r="S46" s="327"/>
      <c r="T46" s="327">
        <f t="shared" ref="T46:AY46" si="67">T45-T47</f>
        <v>112.08630952380953</v>
      </c>
      <c r="U46" s="327">
        <f t="shared" si="67"/>
        <v>102.1634103019538</v>
      </c>
      <c r="V46" s="327">
        <f t="shared" si="67"/>
        <v>98.176162650412806</v>
      </c>
      <c r="W46" s="327">
        <f t="shared" si="67"/>
        <v>114.31955321849136</v>
      </c>
      <c r="X46" s="327">
        <f t="shared" si="67"/>
        <v>112.08909428310884</v>
      </c>
      <c r="Y46" s="327">
        <f t="shared" si="67"/>
        <v>111.34912880131975</v>
      </c>
      <c r="Z46" s="327">
        <f t="shared" si="67"/>
        <v>110.86936735183968</v>
      </c>
      <c r="AA46" s="327">
        <f t="shared" si="67"/>
        <v>111.87542232453771</v>
      </c>
      <c r="AB46" s="327">
        <f t="shared" si="67"/>
        <v>106.32841052384106</v>
      </c>
      <c r="AC46" s="327">
        <f t="shared" si="67"/>
        <v>94.335775125096063</v>
      </c>
      <c r="AD46" s="327">
        <f t="shared" si="67"/>
        <v>81.622311910566594</v>
      </c>
      <c r="AE46" s="327">
        <f t="shared" si="67"/>
        <v>71.662702506670101</v>
      </c>
      <c r="AF46" s="327">
        <f t="shared" si="67"/>
        <v>68.664676215241357</v>
      </c>
      <c r="AG46" s="327">
        <f t="shared" si="67"/>
        <v>69.288931028147076</v>
      </c>
      <c r="AH46" s="328">
        <f t="shared" si="67"/>
        <v>55.168608432502189</v>
      </c>
      <c r="AI46" s="327">
        <f t="shared" si="67"/>
        <v>52.233178858672758</v>
      </c>
      <c r="AJ46" s="327">
        <f t="shared" si="67"/>
        <v>54.576817998675523</v>
      </c>
      <c r="AK46" s="327">
        <f t="shared" si="67"/>
        <v>55.835020366161814</v>
      </c>
      <c r="AL46" s="327">
        <f t="shared" si="67"/>
        <v>58.148754154554553</v>
      </c>
      <c r="AM46" s="327">
        <f t="shared" ref="AM46" si="68">AM45-AM47</f>
        <v>60.481922504960011</v>
      </c>
      <c r="AN46" s="327">
        <f t="shared" si="67"/>
        <v>64.014731419366356</v>
      </c>
      <c r="AO46" s="327">
        <f t="shared" si="67"/>
        <v>56.074710388541952</v>
      </c>
      <c r="AP46" s="374">
        <f t="shared" si="67"/>
        <v>49.012725764671693</v>
      </c>
      <c r="AQ46" s="327">
        <f t="shared" si="67"/>
        <v>47.943310014117088</v>
      </c>
      <c r="AR46" s="327">
        <f t="shared" si="67"/>
        <v>47.12555895242491</v>
      </c>
      <c r="AS46" s="327">
        <f t="shared" si="67"/>
        <v>46.299737932109473</v>
      </c>
      <c r="AT46" s="327">
        <f t="shared" si="67"/>
        <v>46.552323857510451</v>
      </c>
      <c r="AU46" s="327">
        <f t="shared" si="67"/>
        <v>46.803197335959567</v>
      </c>
      <c r="AV46" s="327">
        <f t="shared" si="67"/>
        <v>46.803197335959567</v>
      </c>
      <c r="AW46" s="327">
        <f t="shared" si="67"/>
        <v>46.803197335959567</v>
      </c>
      <c r="AX46" s="327">
        <f t="shared" si="67"/>
        <v>46.803197335959567</v>
      </c>
      <c r="AY46" s="327">
        <f t="shared" si="67"/>
        <v>46.803197335959567</v>
      </c>
      <c r="AZ46" s="204"/>
      <c r="BA46" s="204"/>
      <c r="BB46" s="204"/>
      <c r="BC46" s="204"/>
      <c r="BD46" s="204"/>
      <c r="BE46" s="204"/>
      <c r="BF46" s="204"/>
      <c r="BG46" s="4">
        <v>40</v>
      </c>
      <c r="BH46"/>
      <c r="BI46"/>
      <c r="BJ46"/>
      <c r="BK46"/>
      <c r="BL46"/>
      <c r="BM46"/>
    </row>
    <row r="47" spans="1:257" s="32" customFormat="1" ht="12.75" customHeight="1" outlineLevel="1">
      <c r="A47" s="326"/>
      <c r="B47" s="325" t="s">
        <v>221</v>
      </c>
      <c r="C47" s="323"/>
      <c r="D47" s="323">
        <f t="shared" ref="D47:N47" si="69">D16*1000/D44</f>
        <v>95.127251820620927</v>
      </c>
      <c r="E47" s="323">
        <f t="shared" si="69"/>
        <v>99.661963550852434</v>
      </c>
      <c r="F47" s="323">
        <f t="shared" si="69"/>
        <v>83.997609561752995</v>
      </c>
      <c r="G47" s="323">
        <f t="shared" si="69"/>
        <v>57.909126441274182</v>
      </c>
      <c r="H47" s="323">
        <f t="shared" si="69"/>
        <v>59.94395672168438</v>
      </c>
      <c r="I47" s="323">
        <f t="shared" si="69"/>
        <v>24.686649608189096</v>
      </c>
      <c r="J47" s="323">
        <f t="shared" si="69"/>
        <v>4.4970072173785764</v>
      </c>
      <c r="K47" s="323">
        <f t="shared" si="69"/>
        <v>23.744203738465245</v>
      </c>
      <c r="L47" s="323">
        <f t="shared" si="69"/>
        <v>28.12976522910483</v>
      </c>
      <c r="M47" s="323">
        <f t="shared" si="69"/>
        <v>21.766139216238468</v>
      </c>
      <c r="N47" s="323">
        <f t="shared" si="69"/>
        <v>21.779480881240644</v>
      </c>
      <c r="O47" s="324"/>
      <c r="P47" s="323"/>
      <c r="Q47" s="323"/>
      <c r="R47" s="323"/>
      <c r="S47" s="323"/>
      <c r="T47" s="321">
        <f>T16*1000/T44</f>
        <v>73.778769841269835</v>
      </c>
      <c r="U47" s="321">
        <f>U16*1000/U44</f>
        <v>67.40497335701599</v>
      </c>
      <c r="V47" s="321">
        <f>V16*1000/V44</f>
        <v>54.056818539461403</v>
      </c>
      <c r="W47" s="321">
        <f>W16*1000/W44</f>
        <v>39.923753908647797</v>
      </c>
      <c r="X47" s="321">
        <f>X16*1000/X44</f>
        <v>56.221383666229144</v>
      </c>
      <c r="Y47" s="322">
        <v>58.805036761981491</v>
      </c>
      <c r="Z47" s="321">
        <f t="shared" ref="Z47:AL47" si="70">Z16*1000/Z44</f>
        <v>64.310753460618201</v>
      </c>
      <c r="AA47" s="321">
        <f t="shared" si="70"/>
        <v>59.634604016881347</v>
      </c>
      <c r="AB47" s="321">
        <f t="shared" si="70"/>
        <v>47.142771974069483</v>
      </c>
      <c r="AC47" s="321">
        <f t="shared" si="70"/>
        <v>23.717275023136892</v>
      </c>
      <c r="AD47" s="321">
        <f t="shared" si="70"/>
        <v>15.066276044334268</v>
      </c>
      <c r="AE47" s="321">
        <f t="shared" si="70"/>
        <v>6.9234486948981147</v>
      </c>
      <c r="AF47" s="321">
        <f t="shared" si="70"/>
        <v>8.3121880635826049</v>
      </c>
      <c r="AG47" s="321">
        <f t="shared" si="70"/>
        <v>-5.6391837215666598</v>
      </c>
      <c r="AH47" s="321">
        <f t="shared" si="70"/>
        <v>3.6230335096398574</v>
      </c>
      <c r="AI47" s="321">
        <f t="shared" si="70"/>
        <v>9.2598063582702661</v>
      </c>
      <c r="AJ47" s="321">
        <f t="shared" si="70"/>
        <v>13.132398259450586</v>
      </c>
      <c r="AK47" s="321">
        <f t="shared" si="70"/>
        <v>21.018683059072114</v>
      </c>
      <c r="AL47" s="321">
        <f t="shared" si="70"/>
        <v>30.054765425488895</v>
      </c>
      <c r="AM47" s="321">
        <f t="shared" ref="AM47" si="71">AM16*1000/AM44</f>
        <v>27.805603465348316</v>
      </c>
      <c r="AN47" s="320">
        <f t="shared" ref="AN47:AY47" si="72">AN150</f>
        <v>28.870958144590503</v>
      </c>
      <c r="AO47" s="320">
        <f t="shared" si="72"/>
        <v>32.347012218973951</v>
      </c>
      <c r="AP47" s="375">
        <f t="shared" si="72"/>
        <v>26.883930092471154</v>
      </c>
      <c r="AQ47" s="320">
        <f t="shared" si="72"/>
        <v>27.394456563457013</v>
      </c>
      <c r="AR47" s="320">
        <f t="shared" si="72"/>
        <v>23.859338561527366</v>
      </c>
      <c r="AS47" s="320">
        <f t="shared" si="72"/>
        <v>20.362002935037502</v>
      </c>
      <c r="AT47" s="320">
        <f t="shared" si="72"/>
        <v>21.07315258491834</v>
      </c>
      <c r="AU47" s="320">
        <f t="shared" si="72"/>
        <v>21.779480881240644</v>
      </c>
      <c r="AV47" s="320">
        <f t="shared" si="72"/>
        <v>21.779480881240644</v>
      </c>
      <c r="AW47" s="320">
        <f t="shared" si="72"/>
        <v>21.779480881240644</v>
      </c>
      <c r="AX47" s="320">
        <f t="shared" si="72"/>
        <v>21.779480881240644</v>
      </c>
      <c r="AY47" s="320">
        <f t="shared" si="72"/>
        <v>21.779480881240644</v>
      </c>
      <c r="AZ47" s="204"/>
      <c r="BA47" s="204"/>
      <c r="BB47" s="204"/>
      <c r="BC47" s="204"/>
      <c r="BD47" s="204"/>
      <c r="BE47" s="204"/>
      <c r="BF47" s="204"/>
      <c r="BG47" s="4">
        <v>41</v>
      </c>
      <c r="BH47"/>
      <c r="BI47"/>
      <c r="BJ47"/>
      <c r="BK47"/>
      <c r="BL47"/>
      <c r="BM47"/>
    </row>
    <row r="48" spans="1:257" s="229" customFormat="1" ht="12.75" customHeight="1" outlineLevel="1">
      <c r="A48" s="233"/>
      <c r="B48" s="3"/>
      <c r="C48" s="319"/>
      <c r="D48" s="319"/>
      <c r="E48" s="319"/>
      <c r="F48" s="3"/>
      <c r="G48" s="10"/>
      <c r="H48" s="10"/>
      <c r="I48" s="10"/>
      <c r="J48" s="10"/>
      <c r="K48" s="10"/>
      <c r="L48" s="10"/>
      <c r="M48" s="10"/>
      <c r="N48" s="10"/>
      <c r="O48" s="3"/>
      <c r="P48" s="3"/>
      <c r="Q48" s="3"/>
      <c r="R48" s="3"/>
      <c r="S48" s="3"/>
      <c r="T48" s="3"/>
      <c r="U48" s="3"/>
      <c r="V48" s="3"/>
      <c r="W48" s="3"/>
      <c r="X48" s="10"/>
      <c r="Y48" s="10"/>
      <c r="Z48" s="10"/>
      <c r="AA48" s="10"/>
      <c r="AB48" s="77"/>
      <c r="AC48" s="77"/>
      <c r="AD48" s="77"/>
      <c r="AE48" s="77"/>
      <c r="AF48" s="77"/>
      <c r="AG48" s="10"/>
      <c r="AH48" s="10"/>
      <c r="AI48" s="120"/>
      <c r="AJ48" s="120"/>
      <c r="AK48" s="120"/>
      <c r="AL48" s="120"/>
      <c r="AM48" s="120"/>
      <c r="AN48" s="19"/>
      <c r="AO48" s="19"/>
      <c r="AP48" s="19"/>
      <c r="AQ48" s="19"/>
      <c r="AR48" s="19"/>
      <c r="AS48" s="19"/>
      <c r="AT48" s="19"/>
      <c r="AU48" s="19"/>
      <c r="AV48" s="19"/>
      <c r="AW48" s="19"/>
      <c r="AX48" s="19"/>
      <c r="AY48" s="19"/>
      <c r="BG48" s="4">
        <v>42</v>
      </c>
      <c r="BH48"/>
      <c r="BI48"/>
      <c r="BJ48"/>
      <c r="BK48"/>
      <c r="BL48"/>
      <c r="BM48"/>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c r="IS48" s="3"/>
      <c r="IT48" s="3"/>
      <c r="IU48" s="3"/>
      <c r="IV48" s="3"/>
      <c r="IW48" s="3"/>
    </row>
    <row r="49" spans="1:257" s="229" customFormat="1" ht="12.75" customHeight="1" outlineLevel="1">
      <c r="A49" s="233"/>
      <c r="B49" s="3" t="s">
        <v>218</v>
      </c>
      <c r="C49" s="319"/>
      <c r="D49" s="10">
        <f t="shared" ref="D49:N49" si="73">D44/C44-1</f>
        <v>0.50809248554913289</v>
      </c>
      <c r="E49" s="10">
        <f t="shared" si="73"/>
        <v>0.30394787274817947</v>
      </c>
      <c r="F49" s="10">
        <f t="shared" si="73"/>
        <v>0.10670194003527333</v>
      </c>
      <c r="G49" s="10">
        <f t="shared" si="73"/>
        <v>0.35909694555112881</v>
      </c>
      <c r="H49" s="10">
        <f t="shared" si="73"/>
        <v>0.40443612468243129</v>
      </c>
      <c r="I49" s="10">
        <f t="shared" si="73"/>
        <v>-0.13674830555373363</v>
      </c>
      <c r="J49" s="10">
        <f t="shared" si="73"/>
        <v>3.4039851328823367E-2</v>
      </c>
      <c r="K49" s="10">
        <f t="shared" si="73"/>
        <v>0.60219303927258472</v>
      </c>
      <c r="L49" s="10">
        <f t="shared" si="73"/>
        <v>0.92401975450189022</v>
      </c>
      <c r="M49" s="10">
        <f t="shared" si="73"/>
        <v>0.48419721871049304</v>
      </c>
      <c r="N49" s="10">
        <f t="shared" si="73"/>
        <v>5.110732538330387E-3</v>
      </c>
      <c r="O49" s="3"/>
      <c r="P49" s="3"/>
      <c r="Q49" s="3"/>
      <c r="R49" s="3"/>
      <c r="S49" s="3"/>
      <c r="T49" s="3"/>
      <c r="U49" s="10">
        <f t="shared" ref="U49:AY49" si="74">U44/T44-1</f>
        <v>0.11706349206349209</v>
      </c>
      <c r="V49" s="10">
        <f t="shared" si="74"/>
        <v>0.35447246891651862</v>
      </c>
      <c r="W49" s="10">
        <f t="shared" si="74"/>
        <v>4.4668803306721516E-2</v>
      </c>
      <c r="X49" s="10">
        <f t="shared" si="74"/>
        <v>-6.2002985070879202E-3</v>
      </c>
      <c r="Y49" s="10">
        <f t="shared" si="74"/>
        <v>0.11604773777770694</v>
      </c>
      <c r="Z49" s="10">
        <f t="shared" si="74"/>
        <v>0.10046545210122582</v>
      </c>
      <c r="AA49" s="10">
        <f t="shared" si="74"/>
        <v>-2.7433488612703338E-2</v>
      </c>
      <c r="AB49" s="10">
        <f t="shared" si="74"/>
        <v>-5.9924349051825199E-2</v>
      </c>
      <c r="AC49" s="10">
        <f t="shared" si="74"/>
        <v>-0.10360453592893515</v>
      </c>
      <c r="AD49" s="10">
        <f t="shared" si="74"/>
        <v>-8.1219118131480195E-2</v>
      </c>
      <c r="AE49" s="10">
        <f t="shared" si="74"/>
        <v>-6.6009028019640481E-2</v>
      </c>
      <c r="AF49" s="10">
        <f t="shared" si="74"/>
        <v>0.11573031818324719</v>
      </c>
      <c r="AG49" s="10">
        <f t="shared" si="74"/>
        <v>-0.15468966258440631</v>
      </c>
      <c r="AH49" s="10">
        <f t="shared" si="74"/>
        <v>0.3600487788616662</v>
      </c>
      <c r="AI49" s="10">
        <f t="shared" si="74"/>
        <v>5.153873470855852E-2</v>
      </c>
      <c r="AJ49" s="10">
        <f t="shared" si="74"/>
        <v>0.12878947628048731</v>
      </c>
      <c r="AK49" s="10">
        <f t="shared" si="74"/>
        <v>0.24230441750134823</v>
      </c>
      <c r="AL49" s="10">
        <f t="shared" si="74"/>
        <v>9.4569964153854214E-2</v>
      </c>
      <c r="AM49" s="10">
        <f t="shared" si="74"/>
        <v>-1.918432113227786E-2</v>
      </c>
      <c r="AN49" s="10">
        <f t="shared" si="74"/>
        <v>-5.4806802510433128E-2</v>
      </c>
      <c r="AO49" s="10">
        <f t="shared" si="74"/>
        <v>9.5238095238095344E-2</v>
      </c>
      <c r="AP49" s="10">
        <f t="shared" si="74"/>
        <v>1.4347826086956523</v>
      </c>
      <c r="AQ49" s="10">
        <f t="shared" si="74"/>
        <v>3.9285714285714368E-2</v>
      </c>
      <c r="AR49" s="10">
        <f t="shared" si="74"/>
        <v>3.4364261168384758E-3</v>
      </c>
      <c r="AS49" s="10">
        <f t="shared" si="74"/>
        <v>3.424657534246478E-3</v>
      </c>
      <c r="AT49" s="10">
        <f t="shared" si="74"/>
        <v>3.4129692832765013E-3</v>
      </c>
      <c r="AU49" s="10">
        <f t="shared" si="74"/>
        <v>3.4013605442175798E-3</v>
      </c>
      <c r="AV49" s="10">
        <f t="shared" si="74"/>
        <v>0</v>
      </c>
      <c r="AW49" s="10">
        <f t="shared" si="74"/>
        <v>0</v>
      </c>
      <c r="AX49" s="10">
        <f t="shared" si="74"/>
        <v>0</v>
      </c>
      <c r="AY49" s="10">
        <f t="shared" si="74"/>
        <v>0</v>
      </c>
      <c r="BG49" s="4">
        <v>43</v>
      </c>
      <c r="BH49"/>
      <c r="BI49"/>
      <c r="BJ49"/>
      <c r="BK49"/>
      <c r="BL49"/>
      <c r="BM49"/>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c r="IS49" s="3"/>
      <c r="IT49" s="3"/>
      <c r="IU49" s="3"/>
      <c r="IV49" s="3"/>
      <c r="IW49" s="3"/>
    </row>
    <row r="50" spans="1:257" s="229" customFormat="1" ht="12.75" customHeight="1" outlineLevel="1">
      <c r="A50" s="233"/>
      <c r="B50" s="3" t="s">
        <v>332</v>
      </c>
      <c r="C50" s="319"/>
      <c r="D50" s="318">
        <f t="shared" ref="D50:N50" si="75">IFERROR(D44/D170,0)</f>
        <v>0</v>
      </c>
      <c r="E50" s="318">
        <f t="shared" si="75"/>
        <v>0</v>
      </c>
      <c r="F50" s="318">
        <f t="shared" si="75"/>
        <v>0</v>
      </c>
      <c r="G50" s="318">
        <f t="shared" si="75"/>
        <v>0</v>
      </c>
      <c r="H50" s="318">
        <f t="shared" si="75"/>
        <v>0.81664768750000005</v>
      </c>
      <c r="I50" s="318">
        <f t="shared" si="75"/>
        <v>0.6513131758530184</v>
      </c>
      <c r="J50" s="318">
        <f t="shared" si="75"/>
        <v>0.52260146639511207</v>
      </c>
      <c r="K50" s="318">
        <f t="shared" si="75"/>
        <v>0.78607732313575518</v>
      </c>
      <c r="L50" s="318">
        <f t="shared" si="75"/>
        <v>0.68013757523645746</v>
      </c>
      <c r="M50" s="318">
        <f t="shared" si="75"/>
        <v>0.84582132564841495</v>
      </c>
      <c r="N50" s="318">
        <f t="shared" si="75"/>
        <v>0.85014409221902021</v>
      </c>
      <c r="O50" s="3"/>
      <c r="P50" s="3"/>
      <c r="Q50" s="3"/>
      <c r="R50" s="3"/>
      <c r="S50" s="3"/>
      <c r="T50" s="3"/>
      <c r="U50" s="318">
        <f t="shared" ref="U50:AN50" si="76">IFERROR(U44*4/U170,0)</f>
        <v>0</v>
      </c>
      <c r="V50" s="318">
        <f t="shared" si="76"/>
        <v>0</v>
      </c>
      <c r="W50" s="318">
        <f t="shared" si="76"/>
        <v>0</v>
      </c>
      <c r="X50" s="318">
        <f t="shared" si="76"/>
        <v>0</v>
      </c>
      <c r="Y50" s="318">
        <f t="shared" si="76"/>
        <v>0.80324152272727289</v>
      </c>
      <c r="Z50" s="318">
        <f t="shared" si="76"/>
        <v>0.88393954545454545</v>
      </c>
      <c r="AA50" s="318">
        <f t="shared" si="76"/>
        <v>0.85968999999999995</v>
      </c>
      <c r="AB50" s="318">
        <f t="shared" si="76"/>
        <v>0.75658808510638298</v>
      </c>
      <c r="AC50" s="318">
        <f t="shared" si="76"/>
        <v>0.7774512195121952</v>
      </c>
      <c r="AD50" s="318">
        <f t="shared" si="76"/>
        <v>0.92973333333333341</v>
      </c>
      <c r="AE50" s="318">
        <f t="shared" si="76"/>
        <v>0.86836253968253974</v>
      </c>
      <c r="AF50" s="318">
        <f t="shared" si="76"/>
        <v>0.83613808219178087</v>
      </c>
      <c r="AG50" s="318">
        <f t="shared" si="76"/>
        <v>0.60701317647058828</v>
      </c>
      <c r="AH50" s="318">
        <f t="shared" si="76"/>
        <v>0.77113450549450546</v>
      </c>
      <c r="AI50" s="318">
        <f t="shared" si="76"/>
        <v>0.81087780219780226</v>
      </c>
      <c r="AJ50" s="318">
        <f t="shared" si="76"/>
        <v>0.73064245614035095</v>
      </c>
      <c r="AK50" s="318">
        <f t="shared" si="76"/>
        <v>0.90768035087719301</v>
      </c>
      <c r="AL50" s="318">
        <f t="shared" si="76"/>
        <v>0.89889873015873012</v>
      </c>
      <c r="AM50" s="318">
        <f t="shared" ref="AM50" si="77">IFERROR(AM44*4/AM170,0)</f>
        <v>0.90315772357723578</v>
      </c>
      <c r="AN50" s="318">
        <f t="shared" si="76"/>
        <v>0.81395348837209303</v>
      </c>
      <c r="AO50" s="391">
        <f>IFERROR(AO44*4/AN170,0)</f>
        <v>0.89147286821705429</v>
      </c>
      <c r="AP50" s="318">
        <f t="shared" ref="AP50:AY50" si="78">IFERROR(AP44*4/AP170,0)</f>
        <v>0.82595870206489674</v>
      </c>
      <c r="AQ50" s="318">
        <f t="shared" si="78"/>
        <v>0.8584070796460177</v>
      </c>
      <c r="AR50" s="318">
        <f t="shared" si="78"/>
        <v>0.86135693215339237</v>
      </c>
      <c r="AS50" s="318">
        <f t="shared" si="78"/>
        <v>0.86430678466076694</v>
      </c>
      <c r="AT50" s="318">
        <f t="shared" si="78"/>
        <v>0.86725663716814161</v>
      </c>
      <c r="AU50" s="318">
        <f t="shared" si="78"/>
        <v>0.87020648967551617</v>
      </c>
      <c r="AV50" s="318">
        <f t="shared" si="78"/>
        <v>0.87020648967551617</v>
      </c>
      <c r="AW50" s="318">
        <f t="shared" si="78"/>
        <v>0.87020648967551617</v>
      </c>
      <c r="AX50" s="318">
        <f t="shared" si="78"/>
        <v>0.87020648967551617</v>
      </c>
      <c r="AY50" s="318">
        <f t="shared" si="78"/>
        <v>0.87020648967551617</v>
      </c>
      <c r="BG50" s="4">
        <v>44</v>
      </c>
      <c r="BH50"/>
      <c r="BI50"/>
      <c r="BJ50"/>
      <c r="BK50"/>
      <c r="BL50"/>
      <c r="BM50"/>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c r="IS50" s="3"/>
      <c r="IT50" s="3"/>
      <c r="IU50" s="3"/>
      <c r="IV50" s="3"/>
      <c r="IW50" s="3"/>
    </row>
    <row r="51" spans="1:257" s="3" customFormat="1" ht="12.75" customHeight="1" outlineLevel="1">
      <c r="A51" s="6"/>
      <c r="B51" s="34" t="s">
        <v>331</v>
      </c>
      <c r="C51" s="25"/>
      <c r="D51" s="25">
        <f t="shared" ref="D51:N51" si="79">D45/C45-1</f>
        <v>0.18162749836408687</v>
      </c>
      <c r="E51" s="25">
        <f t="shared" si="79"/>
        <v>6.7958481427661255E-2</v>
      </c>
      <c r="F51" s="25">
        <f t="shared" si="79"/>
        <v>-0.15233751106468629</v>
      </c>
      <c r="G51" s="25">
        <f t="shared" si="79"/>
        <v>-0.16872054740010289</v>
      </c>
      <c r="H51" s="25">
        <f t="shared" si="79"/>
        <v>2.4729163573116164E-2</v>
      </c>
      <c r="I51" s="25">
        <f t="shared" si="79"/>
        <v>-0.33245695177973633</v>
      </c>
      <c r="J51" s="25">
        <f t="shared" si="79"/>
        <v>-0.43324253987018591</v>
      </c>
      <c r="K51" s="25">
        <f t="shared" si="79"/>
        <v>0.25198011046432778</v>
      </c>
      <c r="L51" s="25">
        <f t="shared" si="79"/>
        <v>-1.785555543845263E-2</v>
      </c>
      <c r="M51" s="25">
        <f t="shared" si="79"/>
        <v>-0.14173938755326299</v>
      </c>
      <c r="N51" s="25">
        <f t="shared" si="79"/>
        <v>1.7767592128319354E-3</v>
      </c>
      <c r="O51" s="5"/>
      <c r="P51" s="25"/>
      <c r="Q51" s="25"/>
      <c r="R51" s="25"/>
      <c r="S51" s="25"/>
      <c r="T51" s="25"/>
      <c r="U51" s="155">
        <f t="shared" ref="U51:AY51" si="80">U45/T45-1</f>
        <v>-8.7680245056142692E-2</v>
      </c>
      <c r="V51" s="155">
        <f t="shared" si="80"/>
        <v>-0.10223251584422699</v>
      </c>
      <c r="W51" s="155">
        <f t="shared" si="80"/>
        <v>1.3205587393427809E-2</v>
      </c>
      <c r="X51" s="155">
        <f t="shared" si="80"/>
        <v>9.1201174846462507E-2</v>
      </c>
      <c r="Y51" s="155">
        <f t="shared" si="80"/>
        <v>1.0954086973231858E-2</v>
      </c>
      <c r="Z51" s="155">
        <f t="shared" si="80"/>
        <v>2.9537656233792786E-2</v>
      </c>
      <c r="AA51" s="155">
        <f t="shared" si="80"/>
        <v>-2.0950404954725999E-2</v>
      </c>
      <c r="AB51" s="155">
        <f t="shared" si="80"/>
        <v>-0.10517661403420941</v>
      </c>
      <c r="AC51" s="155">
        <f t="shared" si="80"/>
        <v>-0.23078034438263217</v>
      </c>
      <c r="AD51" s="155">
        <f t="shared" si="80"/>
        <v>-0.18097340277532736</v>
      </c>
      <c r="AE51" s="155">
        <f t="shared" si="80"/>
        <v>-0.18722412992292636</v>
      </c>
      <c r="AF51" s="155">
        <f t="shared" si="80"/>
        <v>-2.0477996417161748E-2</v>
      </c>
      <c r="AG51" s="155">
        <f t="shared" si="80"/>
        <v>-0.17313146095390886</v>
      </c>
      <c r="AH51" s="155">
        <f t="shared" si="80"/>
        <v>-7.6325603321540814E-2</v>
      </c>
      <c r="AI51" s="155">
        <f t="shared" si="80"/>
        <v>4.5947743345209124E-2</v>
      </c>
      <c r="AJ51" s="155">
        <f t="shared" si="80"/>
        <v>0.10108845780136777</v>
      </c>
      <c r="AK51" s="155">
        <f t="shared" si="80"/>
        <v>0.13505528010022338</v>
      </c>
      <c r="AL51" s="155">
        <f t="shared" si="80"/>
        <v>0.14768079674717338</v>
      </c>
      <c r="AM51" s="155">
        <f t="shared" si="80"/>
        <v>9.5241539866952607E-4</v>
      </c>
      <c r="AN51" s="155">
        <f t="shared" si="80"/>
        <v>5.2081690398651848E-2</v>
      </c>
      <c r="AO51" s="155">
        <f t="shared" si="80"/>
        <v>-4.8058715797843932E-2</v>
      </c>
      <c r="AP51" s="155">
        <f t="shared" si="80"/>
        <v>-0.14165146732063805</v>
      </c>
      <c r="AQ51" s="155">
        <f t="shared" si="80"/>
        <v>-7.3638195682919072E-3</v>
      </c>
      <c r="AR51" s="155">
        <f t="shared" si="80"/>
        <v>-5.7778047602987326E-2</v>
      </c>
      <c r="AS51" s="155">
        <f t="shared" si="80"/>
        <v>-6.0902484869483353E-2</v>
      </c>
      <c r="AT51" s="155">
        <f t="shared" si="80"/>
        <v>1.4457101821005347E-2</v>
      </c>
      <c r="AU51" s="155">
        <f t="shared" si="80"/>
        <v>1.4154455171732527E-2</v>
      </c>
      <c r="AV51" s="155">
        <f t="shared" si="80"/>
        <v>0</v>
      </c>
      <c r="AW51" s="155">
        <f t="shared" si="80"/>
        <v>0</v>
      </c>
      <c r="AX51" s="155">
        <f t="shared" si="80"/>
        <v>0</v>
      </c>
      <c r="AY51" s="155">
        <f t="shared" si="80"/>
        <v>0</v>
      </c>
      <c r="AZ51" s="5"/>
      <c r="BA51" s="5"/>
      <c r="BB51" s="5"/>
      <c r="BC51" s="5"/>
      <c r="BD51" s="5"/>
      <c r="BE51" s="5"/>
      <c r="BF51" s="5"/>
      <c r="BG51" s="4">
        <v>45</v>
      </c>
      <c r="BH51"/>
      <c r="BI51"/>
      <c r="BJ51"/>
      <c r="BK51"/>
      <c r="BL51"/>
      <c r="BM51"/>
    </row>
    <row r="52" spans="1:257" s="3" customFormat="1" ht="12.75" customHeight="1" outlineLevel="1">
      <c r="A52" s="6"/>
      <c r="B52" s="34" t="s">
        <v>330</v>
      </c>
      <c r="C52" s="25"/>
      <c r="D52" s="25"/>
      <c r="E52" s="25">
        <f t="shared" ref="E52:N52" si="81">E46/D46-1</f>
        <v>8.3128392932836359E-2</v>
      </c>
      <c r="F52" s="25">
        <f t="shared" si="81"/>
        <v>-0.14883899860106187</v>
      </c>
      <c r="G52" s="25">
        <f t="shared" si="81"/>
        <v>-6.7123860097628607E-2</v>
      </c>
      <c r="H52" s="25">
        <f t="shared" si="81"/>
        <v>1.9220134019668711E-2</v>
      </c>
      <c r="I52" s="25">
        <f t="shared" si="81"/>
        <v>-0.19500711852870933</v>
      </c>
      <c r="J52" s="25">
        <f t="shared" si="81"/>
        <v>-0.32748374928314772</v>
      </c>
      <c r="K52" s="25">
        <f t="shared" si="81"/>
        <v>-4.8049721741347251E-2</v>
      </c>
      <c r="L52" s="25">
        <f t="shared" si="81"/>
        <v>-0.10153855805092626</v>
      </c>
      <c r="M52" s="25">
        <f t="shared" si="81"/>
        <v>-9.5715980777406395E-2</v>
      </c>
      <c r="N52" s="25">
        <f t="shared" si="81"/>
        <v>2.3192493618542365E-3</v>
      </c>
      <c r="O52" s="5"/>
      <c r="P52" s="25"/>
      <c r="Q52" s="25"/>
      <c r="R52" s="25"/>
      <c r="S52" s="25"/>
      <c r="T52" s="25"/>
      <c r="U52" s="155">
        <f t="shared" ref="U52:AY52" si="82">U46/T46-1</f>
        <v>-8.8529092125634645E-2</v>
      </c>
      <c r="V52" s="155">
        <f t="shared" si="82"/>
        <v>-3.9028137762397552E-2</v>
      </c>
      <c r="W52" s="155">
        <f t="shared" si="82"/>
        <v>0.16443289422058793</v>
      </c>
      <c r="X52" s="155">
        <f t="shared" si="82"/>
        <v>-1.9510738737052336E-2</v>
      </c>
      <c r="Y52" s="155">
        <f t="shared" si="82"/>
        <v>-6.6015832005932307E-3</v>
      </c>
      <c r="Z52" s="155">
        <f t="shared" si="82"/>
        <v>-4.3086232882530995E-3</v>
      </c>
      <c r="AA52" s="155">
        <f t="shared" si="82"/>
        <v>9.0742375168908485E-3</v>
      </c>
      <c r="AB52" s="155">
        <f t="shared" si="82"/>
        <v>-4.9582041215499584E-2</v>
      </c>
      <c r="AC52" s="155">
        <f t="shared" si="82"/>
        <v>-0.1127886266677145</v>
      </c>
      <c r="AD52" s="155">
        <f t="shared" si="82"/>
        <v>-0.13476820641660592</v>
      </c>
      <c r="AE52" s="155">
        <f t="shared" si="82"/>
        <v>-0.12202067266618488</v>
      </c>
      <c r="AF52" s="155">
        <f t="shared" si="82"/>
        <v>-4.1835239065254326E-2</v>
      </c>
      <c r="AG52" s="155">
        <f t="shared" si="82"/>
        <v>9.0913530408107679E-3</v>
      </c>
      <c r="AH52" s="155">
        <f t="shared" si="82"/>
        <v>-0.20378900909741016</v>
      </c>
      <c r="AI52" s="155">
        <f t="shared" si="82"/>
        <v>-5.3208330919219726E-2</v>
      </c>
      <c r="AJ52" s="155">
        <f t="shared" si="82"/>
        <v>4.4868782471462199E-2</v>
      </c>
      <c r="AK52" s="155">
        <f t="shared" si="82"/>
        <v>2.3053787553477756E-2</v>
      </c>
      <c r="AL52" s="155">
        <f t="shared" si="82"/>
        <v>4.1438756057031068E-2</v>
      </c>
      <c r="AM52" s="155">
        <f t="shared" si="82"/>
        <v>4.0124133084675995E-2</v>
      </c>
      <c r="AN52" s="155">
        <f t="shared" si="82"/>
        <v>5.8410989070604158E-2</v>
      </c>
      <c r="AO52" s="155">
        <f t="shared" si="82"/>
        <v>-0.12403427859141669</v>
      </c>
      <c r="AP52" s="155">
        <f t="shared" si="82"/>
        <v>-0.12593885148826867</v>
      </c>
      <c r="AQ52" s="155">
        <f t="shared" si="82"/>
        <v>-2.1819144597043372E-2</v>
      </c>
      <c r="AR52" s="155">
        <f t="shared" si="82"/>
        <v>-1.7056625031759087E-2</v>
      </c>
      <c r="AS52" s="155">
        <f t="shared" si="82"/>
        <v>-1.7523845630120549E-2</v>
      </c>
      <c r="AT52" s="155">
        <f t="shared" si="82"/>
        <v>5.4554504341115528E-3</v>
      </c>
      <c r="AU52" s="155">
        <f t="shared" si="82"/>
        <v>5.3890645549081739E-3</v>
      </c>
      <c r="AV52" s="155">
        <f t="shared" si="82"/>
        <v>0</v>
      </c>
      <c r="AW52" s="155">
        <f t="shared" si="82"/>
        <v>0</v>
      </c>
      <c r="AX52" s="155">
        <f t="shared" si="82"/>
        <v>0</v>
      </c>
      <c r="AY52" s="155">
        <f t="shared" si="82"/>
        <v>0</v>
      </c>
      <c r="AZ52" s="5"/>
      <c r="BA52" s="5"/>
      <c r="BB52" s="5"/>
      <c r="BC52" s="5"/>
      <c r="BD52" s="5"/>
      <c r="BE52" s="5"/>
      <c r="BF52" s="5"/>
      <c r="BG52" s="4">
        <v>46</v>
      </c>
      <c r="BH52"/>
      <c r="BI52"/>
      <c r="BJ52"/>
      <c r="BK52"/>
      <c r="BL52"/>
      <c r="BM52"/>
    </row>
    <row r="53" spans="1:257" s="3" customFormat="1" ht="12.75" customHeight="1" outlineLevel="1">
      <c r="A53" s="6"/>
      <c r="B53" s="34" t="s">
        <v>329</v>
      </c>
      <c r="C53" s="25"/>
      <c r="D53" s="25"/>
      <c r="E53" s="25">
        <f t="shared" ref="E53:N53" si="83">E47/D47-1</f>
        <v>4.7669954124003322E-2</v>
      </c>
      <c r="F53" s="25">
        <f t="shared" si="83"/>
        <v>-0.15717484816669014</v>
      </c>
      <c r="G53" s="25">
        <f t="shared" si="83"/>
        <v>-0.31058601853781564</v>
      </c>
      <c r="H53" s="25">
        <f t="shared" si="83"/>
        <v>3.5138334930224335E-2</v>
      </c>
      <c r="I53" s="25">
        <f t="shared" si="83"/>
        <v>-0.58817116923383139</v>
      </c>
      <c r="J53" s="25">
        <f t="shared" si="83"/>
        <v>-0.81783647077459953</v>
      </c>
      <c r="K53" s="25">
        <f t="shared" si="83"/>
        <v>4.2800012521008064</v>
      </c>
      <c r="L53" s="25">
        <f t="shared" si="83"/>
        <v>0.18470029734183258</v>
      </c>
      <c r="M53" s="25">
        <f t="shared" si="83"/>
        <v>-0.22622392903166333</v>
      </c>
      <c r="N53" s="25">
        <f t="shared" si="83"/>
        <v>6.1295505232372705E-4</v>
      </c>
      <c r="O53" s="5"/>
      <c r="P53" s="25"/>
      <c r="Q53" s="25"/>
      <c r="R53" s="25"/>
      <c r="S53" s="25"/>
      <c r="T53" s="25"/>
      <c r="U53" s="155">
        <f t="shared" ref="U53:AY53" si="84">U47/T47-1</f>
        <v>-8.6390658152292965E-2</v>
      </c>
      <c r="V53" s="155">
        <f t="shared" si="84"/>
        <v>-0.19802922770779818</v>
      </c>
      <c r="W53" s="155">
        <f t="shared" si="84"/>
        <v>-0.26144832442361532</v>
      </c>
      <c r="X53" s="155">
        <f t="shared" si="84"/>
        <v>0.4082188712733037</v>
      </c>
      <c r="Y53" s="155">
        <f t="shared" si="84"/>
        <v>4.5954989494580545E-2</v>
      </c>
      <c r="Z53" s="155">
        <f t="shared" si="84"/>
        <v>9.3626617749115182E-2</v>
      </c>
      <c r="AA53" s="155">
        <f t="shared" si="84"/>
        <v>-7.2711781344629633E-2</v>
      </c>
      <c r="AB53" s="155">
        <f t="shared" si="84"/>
        <v>-0.20947287650766788</v>
      </c>
      <c r="AC53" s="155">
        <f t="shared" si="84"/>
        <v>-0.49690537849190552</v>
      </c>
      <c r="AD53" s="155">
        <f t="shared" si="84"/>
        <v>-0.36475518247198813</v>
      </c>
      <c r="AE53" s="155">
        <f t="shared" si="84"/>
        <v>-0.54046715495421283</v>
      </c>
      <c r="AF53" s="155">
        <f t="shared" si="84"/>
        <v>0.20058491510276544</v>
      </c>
      <c r="AG53" s="155">
        <f t="shared" si="84"/>
        <v>-1.6784235003383858</v>
      </c>
      <c r="AH53" s="155">
        <f t="shared" si="84"/>
        <v>-1.6424748134705776</v>
      </c>
      <c r="AI53" s="155">
        <f t="shared" si="84"/>
        <v>1.5558158194321323</v>
      </c>
      <c r="AJ53" s="155">
        <f t="shared" si="84"/>
        <v>0.41821521437341591</v>
      </c>
      <c r="AK53" s="155">
        <f t="shared" si="84"/>
        <v>0.60052129426902279</v>
      </c>
      <c r="AL53" s="155">
        <f t="shared" si="84"/>
        <v>0.42990716121563177</v>
      </c>
      <c r="AM53" s="155">
        <f t="shared" si="84"/>
        <v>-7.4835452158715121E-2</v>
      </c>
      <c r="AN53" s="155">
        <f t="shared" si="84"/>
        <v>3.831438798189879E-2</v>
      </c>
      <c r="AO53" s="155">
        <f t="shared" si="84"/>
        <v>0.12039967835410237</v>
      </c>
      <c r="AP53" s="155">
        <f t="shared" si="84"/>
        <v>-0.16888985262441925</v>
      </c>
      <c r="AQ53" s="155">
        <f t="shared" si="84"/>
        <v>1.8990023751357388E-2</v>
      </c>
      <c r="AR53" s="155">
        <f t="shared" si="84"/>
        <v>-0.12904501294781434</v>
      </c>
      <c r="AS53" s="155">
        <f t="shared" si="84"/>
        <v>-0.14658141580375728</v>
      </c>
      <c r="AT53" s="155">
        <f t="shared" si="84"/>
        <v>3.4925328915317078E-2</v>
      </c>
      <c r="AU53" s="155">
        <f t="shared" si="84"/>
        <v>3.3517922554587853E-2</v>
      </c>
      <c r="AV53" s="155">
        <f t="shared" si="84"/>
        <v>0</v>
      </c>
      <c r="AW53" s="155">
        <f t="shared" si="84"/>
        <v>0</v>
      </c>
      <c r="AX53" s="155">
        <f t="shared" si="84"/>
        <v>0</v>
      </c>
      <c r="AY53" s="155">
        <f t="shared" si="84"/>
        <v>0</v>
      </c>
      <c r="AZ53" s="5"/>
      <c r="BA53" s="5"/>
      <c r="BB53" s="5"/>
      <c r="BC53" s="5"/>
      <c r="BD53" s="5"/>
      <c r="BE53" s="5"/>
      <c r="BF53" s="5"/>
      <c r="BG53" s="4">
        <v>47</v>
      </c>
      <c r="BH53"/>
      <c r="BI53"/>
      <c r="BJ53"/>
      <c r="BK53"/>
      <c r="BL53"/>
      <c r="BM53"/>
    </row>
    <row r="54" spans="1:257" s="3" customFormat="1" ht="12.75" customHeight="1" outlineLevel="1">
      <c r="A54" s="6"/>
      <c r="B54" s="34" t="s">
        <v>328</v>
      </c>
      <c r="C54" s="25"/>
      <c r="D54" s="25"/>
      <c r="E54" s="25"/>
      <c r="F54" s="25">
        <f t="shared" ref="F54:N54" si="85">+F47/F45</f>
        <v>0.41729970667057253</v>
      </c>
      <c r="G54" s="25">
        <f t="shared" si="85"/>
        <v>0.34608368021004138</v>
      </c>
      <c r="H54" s="25">
        <f t="shared" si="85"/>
        <v>0.3495991889505593</v>
      </c>
      <c r="I54" s="25">
        <f t="shared" si="85"/>
        <v>0.21567901217181648</v>
      </c>
      <c r="J54" s="25">
        <f t="shared" si="85"/>
        <v>6.9322157714637248E-2</v>
      </c>
      <c r="K54" s="25">
        <f t="shared" si="85"/>
        <v>0.29235374945043358</v>
      </c>
      <c r="L54" s="25">
        <f t="shared" si="85"/>
        <v>0.35264830526791596</v>
      </c>
      <c r="M54" s="25">
        <f t="shared" si="85"/>
        <v>0.31793468804999453</v>
      </c>
      <c r="N54" s="25">
        <f t="shared" si="85"/>
        <v>0.3175653305965303</v>
      </c>
      <c r="O54" s="5"/>
      <c r="P54" s="25"/>
      <c r="Q54" s="25"/>
      <c r="R54" s="25"/>
      <c r="S54" s="25"/>
      <c r="T54" s="25"/>
      <c r="U54" s="25">
        <f t="shared" ref="U54:AY54" si="86">+U47/U45</f>
        <v>0.39750908690961279</v>
      </c>
      <c r="V54" s="25">
        <f t="shared" si="86"/>
        <v>0.35509268830542351</v>
      </c>
      <c r="W54" s="25">
        <f t="shared" si="86"/>
        <v>0.25883621566632758</v>
      </c>
      <c r="X54" s="25">
        <f t="shared" si="86"/>
        <v>0.33403377110694182</v>
      </c>
      <c r="Y54" s="25">
        <f t="shared" si="86"/>
        <v>0.34559857272553623</v>
      </c>
      <c r="Z54" s="25">
        <f t="shared" si="86"/>
        <v>0.36711216525228452</v>
      </c>
      <c r="AA54" s="25">
        <f t="shared" si="86"/>
        <v>0.34770331093162338</v>
      </c>
      <c r="AB54" s="25">
        <f t="shared" si="86"/>
        <v>0.30717670383957141</v>
      </c>
      <c r="AC54" s="25">
        <f t="shared" si="86"/>
        <v>0.20090353441403139</v>
      </c>
      <c r="AD54" s="25">
        <f t="shared" si="86"/>
        <v>0.15582269182958527</v>
      </c>
      <c r="AE54" s="25">
        <f t="shared" si="86"/>
        <v>8.8100111648678814E-2</v>
      </c>
      <c r="AF54" s="25">
        <f t="shared" si="86"/>
        <v>0.10798293930854826</v>
      </c>
      <c r="AG54" s="25">
        <f t="shared" si="86"/>
        <v>-8.8597110910818247E-2</v>
      </c>
      <c r="AH54" s="25">
        <f t="shared" si="86"/>
        <v>6.1624975761101417E-2</v>
      </c>
      <c r="AI54" s="25">
        <f t="shared" si="86"/>
        <v>0.15058313278502103</v>
      </c>
      <c r="AJ54" s="25">
        <f t="shared" si="86"/>
        <v>0.19395289127829041</v>
      </c>
      <c r="AK54" s="25">
        <f t="shared" si="86"/>
        <v>0.27348952779510294</v>
      </c>
      <c r="AL54" s="25">
        <f t="shared" si="86"/>
        <v>0.34074338040688523</v>
      </c>
      <c r="AM54" s="25">
        <f t="shared" ref="AM54" si="87">+AM47/AM45</f>
        <v>0.31494373819807253</v>
      </c>
      <c r="AN54" s="25">
        <f t="shared" si="86"/>
        <v>0.31082245586077362</v>
      </c>
      <c r="AO54" s="25">
        <f t="shared" si="86"/>
        <v>0.36582653294999745</v>
      </c>
      <c r="AP54" s="25">
        <f t="shared" si="86"/>
        <v>0.35421758427767447</v>
      </c>
      <c r="AQ54" s="25">
        <f t="shared" si="86"/>
        <v>0.36362183016468075</v>
      </c>
      <c r="AR54" s="25">
        <f t="shared" si="86"/>
        <v>0.33611851812334798</v>
      </c>
      <c r="AS54" s="25">
        <f t="shared" si="86"/>
        <v>0.30545261300057863</v>
      </c>
      <c r="AT54" s="25">
        <f t="shared" si="86"/>
        <v>0.3116155876973144</v>
      </c>
      <c r="AU54" s="25">
        <f t="shared" si="86"/>
        <v>0.3175653305965303</v>
      </c>
      <c r="AV54" s="25">
        <f t="shared" si="86"/>
        <v>0.3175653305965303</v>
      </c>
      <c r="AW54" s="25">
        <f t="shared" si="86"/>
        <v>0.3175653305965303</v>
      </c>
      <c r="AX54" s="25">
        <f t="shared" si="86"/>
        <v>0.3175653305965303</v>
      </c>
      <c r="AY54" s="25">
        <f t="shared" si="86"/>
        <v>0.3175653305965303</v>
      </c>
      <c r="AZ54" s="5"/>
      <c r="BA54" s="5"/>
      <c r="BB54" s="5"/>
      <c r="BC54" s="5"/>
      <c r="BD54" s="5"/>
      <c r="BE54" s="5"/>
      <c r="BF54" s="5"/>
      <c r="BG54" s="4">
        <v>48</v>
      </c>
      <c r="BH54"/>
      <c r="BI54"/>
      <c r="BJ54"/>
      <c r="BK54"/>
      <c r="BL54"/>
      <c r="BM54"/>
    </row>
    <row r="55" spans="1:257" s="296" customFormat="1" ht="12.75" customHeight="1" outlineLevel="1">
      <c r="A55" s="6"/>
      <c r="B55" s="317"/>
      <c r="C55" s="303"/>
      <c r="D55" s="303"/>
      <c r="E55" s="303"/>
      <c r="F55" s="300"/>
      <c r="G55" s="300"/>
      <c r="H55" s="300"/>
      <c r="I55" s="300"/>
      <c r="J55" s="300"/>
      <c r="K55" s="300"/>
      <c r="L55" s="300"/>
      <c r="M55" s="300"/>
      <c r="N55" s="300"/>
      <c r="O55" s="301"/>
      <c r="P55" s="300"/>
      <c r="Q55" s="300"/>
      <c r="R55" s="300"/>
      <c r="S55" s="300"/>
      <c r="T55" s="300"/>
      <c r="U55" s="300"/>
      <c r="V55" s="300"/>
      <c r="W55" s="300"/>
      <c r="X55" s="300"/>
      <c r="Y55" s="300"/>
      <c r="Z55" s="300"/>
      <c r="AA55" s="300"/>
      <c r="AB55" s="300"/>
      <c r="AC55" s="300"/>
      <c r="AD55" s="300"/>
      <c r="AE55" s="300"/>
      <c r="AF55" s="300"/>
      <c r="AG55" s="300"/>
      <c r="AH55" s="300"/>
      <c r="AI55" s="300"/>
      <c r="AJ55" s="300"/>
      <c r="AK55" s="300"/>
      <c r="AL55" s="300"/>
      <c r="AM55" s="300"/>
      <c r="AN55" s="297"/>
      <c r="AO55" s="297"/>
      <c r="AP55" s="297"/>
      <c r="AQ55" s="297"/>
      <c r="AR55" s="297"/>
      <c r="AS55" s="297"/>
      <c r="AT55" s="297"/>
      <c r="AU55" s="297"/>
      <c r="AV55" s="297"/>
      <c r="AW55" s="297"/>
      <c r="AX55" s="297"/>
      <c r="AY55" s="297"/>
      <c r="AZ55" s="297"/>
      <c r="BA55" s="297"/>
      <c r="BB55" s="297"/>
      <c r="BC55" s="297"/>
      <c r="BD55" s="297"/>
      <c r="BE55" s="297"/>
      <c r="BF55" s="297"/>
      <c r="BG55" s="4">
        <v>49</v>
      </c>
      <c r="BH55"/>
      <c r="BI55"/>
      <c r="BJ55"/>
      <c r="BK55"/>
      <c r="BL55"/>
      <c r="BM55"/>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c r="IS55" s="3"/>
      <c r="IT55" s="3"/>
      <c r="IU55" s="3"/>
      <c r="IV55" s="3"/>
      <c r="IW55" s="3"/>
    </row>
    <row r="56" spans="1:257" s="3" customFormat="1" ht="12.75" customHeight="1">
      <c r="A56" s="2" t="s">
        <v>0</v>
      </c>
      <c r="B56" s="316" t="s">
        <v>327</v>
      </c>
      <c r="C56" s="86">
        <f t="shared" ref="C56:N56" si="88">C$7</f>
        <v>2009</v>
      </c>
      <c r="D56" s="86">
        <f t="shared" si="88"/>
        <v>2010</v>
      </c>
      <c r="E56" s="86">
        <f t="shared" si="88"/>
        <v>2011</v>
      </c>
      <c r="F56" s="86">
        <f t="shared" si="88"/>
        <v>2012</v>
      </c>
      <c r="G56" s="86">
        <f t="shared" si="88"/>
        <v>2013</v>
      </c>
      <c r="H56" s="86">
        <f t="shared" si="88"/>
        <v>2014</v>
      </c>
      <c r="I56" s="86">
        <f t="shared" si="88"/>
        <v>2015</v>
      </c>
      <c r="J56" s="86">
        <f t="shared" si="88"/>
        <v>2016</v>
      </c>
      <c r="K56" s="86">
        <f t="shared" si="88"/>
        <v>2017</v>
      </c>
      <c r="L56" s="86" t="str">
        <f t="shared" si="88"/>
        <v>2018E</v>
      </c>
      <c r="M56" s="86" t="str">
        <f t="shared" si="88"/>
        <v>2019E</v>
      </c>
      <c r="N56" s="86" t="str">
        <f t="shared" si="88"/>
        <v>2020E</v>
      </c>
      <c r="O56" s="86"/>
      <c r="P56" s="87" t="str">
        <f t="shared" ref="P56:AY56" si="89">P$7</f>
        <v>1Q12</v>
      </c>
      <c r="Q56" s="87" t="str">
        <f t="shared" si="89"/>
        <v>2Q12</v>
      </c>
      <c r="R56" s="87" t="str">
        <f t="shared" si="89"/>
        <v>3Q12</v>
      </c>
      <c r="S56" s="87" t="str">
        <f t="shared" si="89"/>
        <v>4Q12</v>
      </c>
      <c r="T56" s="87" t="str">
        <f t="shared" si="89"/>
        <v>1Q13</v>
      </c>
      <c r="U56" s="87" t="str">
        <f t="shared" si="89"/>
        <v>2Q13</v>
      </c>
      <c r="V56" s="87" t="str">
        <f t="shared" si="89"/>
        <v>3Q13</v>
      </c>
      <c r="W56" s="87" t="str">
        <f t="shared" si="89"/>
        <v>4Q13</v>
      </c>
      <c r="X56" s="87" t="str">
        <f t="shared" si="89"/>
        <v>1Q14</v>
      </c>
      <c r="Y56" s="87" t="str">
        <f t="shared" si="89"/>
        <v>2Q14</v>
      </c>
      <c r="Z56" s="87" t="str">
        <f t="shared" si="89"/>
        <v>3Q14</v>
      </c>
      <c r="AA56" s="87" t="str">
        <f t="shared" si="89"/>
        <v>4Q14</v>
      </c>
      <c r="AB56" s="87" t="str">
        <f t="shared" si="89"/>
        <v>1Q15</v>
      </c>
      <c r="AC56" s="87" t="str">
        <f t="shared" si="89"/>
        <v>2Q15</v>
      </c>
      <c r="AD56" s="87" t="str">
        <f t="shared" si="89"/>
        <v>3Q15</v>
      </c>
      <c r="AE56" s="87" t="str">
        <f t="shared" si="89"/>
        <v>4Q15</v>
      </c>
      <c r="AF56" s="87" t="str">
        <f t="shared" si="89"/>
        <v>1Q16</v>
      </c>
      <c r="AG56" s="87" t="str">
        <f t="shared" si="89"/>
        <v>2Q16</v>
      </c>
      <c r="AH56" s="87" t="str">
        <f t="shared" si="89"/>
        <v>3Q16</v>
      </c>
      <c r="AI56" s="87" t="str">
        <f t="shared" si="89"/>
        <v>4Q16</v>
      </c>
      <c r="AJ56" s="87" t="str">
        <f t="shared" si="89"/>
        <v>1Q17</v>
      </c>
      <c r="AK56" s="87" t="str">
        <f t="shared" si="89"/>
        <v>2Q17</v>
      </c>
      <c r="AL56" s="87" t="str">
        <f t="shared" si="89"/>
        <v>3Q17</v>
      </c>
      <c r="AM56" s="87" t="str">
        <f t="shared" si="89"/>
        <v>4Q17</v>
      </c>
      <c r="AN56" s="86" t="str">
        <f t="shared" si="89"/>
        <v>1Q18E</v>
      </c>
      <c r="AO56" s="86" t="str">
        <f t="shared" si="89"/>
        <v>2Q18E</v>
      </c>
      <c r="AP56" s="86" t="str">
        <f t="shared" si="89"/>
        <v>3Q18E</v>
      </c>
      <c r="AQ56" s="86" t="str">
        <f t="shared" si="89"/>
        <v>4Q18E</v>
      </c>
      <c r="AR56" s="86" t="str">
        <f t="shared" si="89"/>
        <v>1Q19E</v>
      </c>
      <c r="AS56" s="86" t="str">
        <f t="shared" si="89"/>
        <v>2Q19E</v>
      </c>
      <c r="AT56" s="86" t="str">
        <f t="shared" si="89"/>
        <v>3Q19E</v>
      </c>
      <c r="AU56" s="86" t="str">
        <f t="shared" si="89"/>
        <v>4Q19E</v>
      </c>
      <c r="AV56" s="86" t="str">
        <f t="shared" si="89"/>
        <v>1Q20E</v>
      </c>
      <c r="AW56" s="86" t="str">
        <f t="shared" si="89"/>
        <v>2Q20E</v>
      </c>
      <c r="AX56" s="86" t="str">
        <f t="shared" si="89"/>
        <v>3Q20E</v>
      </c>
      <c r="AY56" s="86" t="str">
        <f t="shared" si="89"/>
        <v>4Q20E</v>
      </c>
      <c r="BG56" s="4">
        <v>50</v>
      </c>
      <c r="BH56"/>
      <c r="BI56"/>
      <c r="BJ56"/>
      <c r="BK56"/>
      <c r="BL56"/>
      <c r="BM56"/>
    </row>
    <row r="57" spans="1:257" s="3" customFormat="1" ht="12.75" customHeight="1" outlineLevel="1">
      <c r="A57" s="6"/>
      <c r="B57" s="5" t="s">
        <v>326</v>
      </c>
      <c r="C57" s="25"/>
      <c r="D57" s="25">
        <f t="shared" ref="D57:N57" si="90">D13/C13-1</f>
        <v>0.6733281493001555</v>
      </c>
      <c r="E57" s="25">
        <f t="shared" si="90"/>
        <v>0.36374906496734338</v>
      </c>
      <c r="F57" s="25">
        <f t="shared" si="90"/>
        <v>-2.698787128658453E-2</v>
      </c>
      <c r="G57" s="25">
        <f t="shared" si="90"/>
        <v>0.11658062110959211</v>
      </c>
      <c r="H57" s="25">
        <f t="shared" si="90"/>
        <v>0.37239669552179033</v>
      </c>
      <c r="I57" s="25">
        <f t="shared" si="90"/>
        <v>-0.38906387421042199</v>
      </c>
      <c r="J57" s="25">
        <f t="shared" si="90"/>
        <v>-0.35440184672786224</v>
      </c>
      <c r="K57" s="25">
        <f t="shared" si="90"/>
        <v>0.79396575410317127</v>
      </c>
      <c r="L57" s="25">
        <f t="shared" si="90"/>
        <v>1.0437072842157402</v>
      </c>
      <c r="M57" s="25">
        <f t="shared" si="90"/>
        <v>0.36201626408838616</v>
      </c>
      <c r="N57" s="25">
        <f t="shared" si="90"/>
        <v>1.0144990627120487E-2</v>
      </c>
      <c r="O57" s="11"/>
      <c r="P57" s="25"/>
      <c r="Q57" s="25"/>
      <c r="R57" s="25"/>
      <c r="S57" s="25"/>
      <c r="T57" s="25"/>
      <c r="U57" s="25">
        <f t="shared" ref="U57:AY57" si="91">U13/T13-1</f>
        <v>3.7023908528632576E-2</v>
      </c>
      <c r="V57" s="25">
        <f t="shared" si="91"/>
        <v>0.16421553590366078</v>
      </c>
      <c r="W57" s="25">
        <f t="shared" si="91"/>
        <v>3.3165579466023498E-2</v>
      </c>
      <c r="X57" s="25">
        <f t="shared" si="91"/>
        <v>7.4519633631839444E-2</v>
      </c>
      <c r="Y57" s="25">
        <f t="shared" si="91"/>
        <v>0.13345001661399936</v>
      </c>
      <c r="Z57" s="25">
        <f t="shared" si="91"/>
        <v>0.11722827470042363</v>
      </c>
      <c r="AA57" s="25">
        <f t="shared" si="91"/>
        <v>-5.2808859400394703E-2</v>
      </c>
      <c r="AB57" s="25">
        <f t="shared" si="91"/>
        <v>-0.14774590395639919</v>
      </c>
      <c r="AC57" s="25">
        <f t="shared" si="91"/>
        <v>-0.26590268333941425</v>
      </c>
      <c r="AD57" s="25">
        <f t="shared" si="91"/>
        <v>-0.22759948130108487</v>
      </c>
      <c r="AE57" s="25">
        <f t="shared" si="91"/>
        <v>-0.21061128985083355</v>
      </c>
      <c r="AF57" s="25">
        <f t="shared" si="91"/>
        <v>7.7897825796985565E-2</v>
      </c>
      <c r="AG57" s="25">
        <f t="shared" si="91"/>
        <v>-0.21455677927649219</v>
      </c>
      <c r="AH57" s="25">
        <f t="shared" si="91"/>
        <v>0.17966021584434011</v>
      </c>
      <c r="AI57" s="25">
        <f t="shared" si="91"/>
        <v>4.2708217399369364E-2</v>
      </c>
      <c r="AJ57" s="25">
        <f t="shared" si="91"/>
        <v>0.22807779066540479</v>
      </c>
      <c r="AK57" s="25">
        <f t="shared" si="91"/>
        <v>0.35138455120145085</v>
      </c>
      <c r="AL57" s="25">
        <f t="shared" si="91"/>
        <v>0.20076663836793496</v>
      </c>
      <c r="AM57" s="25">
        <f t="shared" si="91"/>
        <v>-2.1831815747187955E-2</v>
      </c>
      <c r="AN57" s="25">
        <f t="shared" si="91"/>
        <v>1.1233971093199457E-2</v>
      </c>
      <c r="AO57" s="25">
        <f t="shared" si="91"/>
        <v>4.8208542678566779E-2</v>
      </c>
      <c r="AP57" s="25">
        <f t="shared" si="91"/>
        <v>1.4054891377185021</v>
      </c>
      <c r="AQ57" s="25">
        <f t="shared" si="91"/>
        <v>-4.0006196115285331E-3</v>
      </c>
      <c r="AR57" s="25">
        <f t="shared" si="91"/>
        <v>-3.2619058398563938E-2</v>
      </c>
      <c r="AS57" s="25">
        <f t="shared" si="91"/>
        <v>-6.9726173200822528E-3</v>
      </c>
      <c r="AT57" s="25">
        <f t="shared" si="91"/>
        <v>4.0474205041316491E-3</v>
      </c>
      <c r="AU57" s="25">
        <f t="shared" si="91"/>
        <v>-1.7349929973948797E-2</v>
      </c>
      <c r="AV57" s="25">
        <f t="shared" si="91"/>
        <v>6.5714603283595352E-3</v>
      </c>
      <c r="AW57" s="25">
        <f t="shared" si="91"/>
        <v>3.8728734891126493E-2</v>
      </c>
      <c r="AX57" s="25">
        <f t="shared" si="91"/>
        <v>-8.9440774291409397E-3</v>
      </c>
      <c r="AY57" s="25">
        <f t="shared" si="91"/>
        <v>-3.044310023224106E-2</v>
      </c>
      <c r="AZ57" s="5"/>
      <c r="BA57" s="5"/>
      <c r="BB57" s="5"/>
      <c r="BC57" s="5"/>
      <c r="BD57" s="5"/>
      <c r="BE57" s="5"/>
      <c r="BF57" s="5"/>
      <c r="BG57" s="4">
        <v>51</v>
      </c>
      <c r="BH57"/>
      <c r="BI57"/>
      <c r="BJ57"/>
      <c r="BK57"/>
      <c r="BL57"/>
      <c r="BM57"/>
    </row>
    <row r="58" spans="1:257" s="3" customFormat="1" ht="12.75" customHeight="1" outlineLevel="1">
      <c r="A58" s="6"/>
      <c r="B58" s="213" t="s">
        <v>191</v>
      </c>
      <c r="C58" s="25"/>
      <c r="D58" s="25">
        <f t="shared" ref="D58:N58" si="92">D11/C11-1</f>
        <v>0.78200355100109964</v>
      </c>
      <c r="E58" s="25">
        <f t="shared" si="92"/>
        <v>0.39256219004097459</v>
      </c>
      <c r="F58" s="25">
        <f t="shared" si="92"/>
        <v>-6.1890279000159754E-2</v>
      </c>
      <c r="G58" s="25">
        <f t="shared" si="92"/>
        <v>0.12978936492793447</v>
      </c>
      <c r="H58" s="25">
        <f t="shared" si="92"/>
        <v>0.43916665533769694</v>
      </c>
      <c r="I58" s="25">
        <f t="shared" si="92"/>
        <v>-0.42374233250803184</v>
      </c>
      <c r="J58" s="25">
        <f t="shared" si="92"/>
        <v>-0.41395020018786544</v>
      </c>
      <c r="K58" s="25">
        <f t="shared" si="92"/>
        <v>1.0059138182936675</v>
      </c>
      <c r="L58" s="25">
        <f t="shared" si="92"/>
        <v>0.88966531311070329</v>
      </c>
      <c r="M58" s="25">
        <f t="shared" si="92"/>
        <v>0.27382801392221157</v>
      </c>
      <c r="N58" s="25">
        <f t="shared" si="92"/>
        <v>6.8965722922842421E-3</v>
      </c>
      <c r="O58" s="5"/>
      <c r="P58" s="25"/>
      <c r="Q58" s="25"/>
      <c r="R58" s="25"/>
      <c r="S58" s="25"/>
      <c r="T58" s="25"/>
      <c r="U58" s="25">
        <f t="shared" ref="U58:AY58" si="93">U11/T11-1</f>
        <v>1.9119091336094574E-2</v>
      </c>
      <c r="V58" s="25">
        <f t="shared" si="93"/>
        <v>0.21600134077744126</v>
      </c>
      <c r="W58" s="25">
        <f t="shared" si="93"/>
        <v>5.846426848597619E-2</v>
      </c>
      <c r="X58" s="25">
        <f t="shared" si="93"/>
        <v>8.4435401831129298E-2</v>
      </c>
      <c r="Y58" s="25">
        <f t="shared" si="93"/>
        <v>0.12827302176360234</v>
      </c>
      <c r="Z58" s="25">
        <f t="shared" si="93"/>
        <v>0.13297062232255707</v>
      </c>
      <c r="AA58" s="25">
        <f t="shared" si="93"/>
        <v>-4.7809150871672257E-2</v>
      </c>
      <c r="AB58" s="25">
        <f t="shared" si="93"/>
        <v>-0.15879832295455942</v>
      </c>
      <c r="AC58" s="25">
        <f t="shared" si="93"/>
        <v>-0.31047498983028488</v>
      </c>
      <c r="AD58" s="25">
        <f t="shared" si="93"/>
        <v>-0.24749402072814242</v>
      </c>
      <c r="AE58" s="25">
        <f t="shared" si="93"/>
        <v>-0.24087467510453153</v>
      </c>
      <c r="AF58" s="25">
        <f t="shared" si="93"/>
        <v>9.2882396724971894E-2</v>
      </c>
      <c r="AG58" s="25">
        <f t="shared" si="93"/>
        <v>-0.30103947626060967</v>
      </c>
      <c r="AH58" s="25">
        <f t="shared" si="93"/>
        <v>0.25624223526832468</v>
      </c>
      <c r="AI58" s="25">
        <f t="shared" si="93"/>
        <v>9.9854566608493345E-2</v>
      </c>
      <c r="AJ58" s="25">
        <f t="shared" si="93"/>
        <v>0.24289706362009533</v>
      </c>
      <c r="AK58" s="25">
        <f t="shared" si="93"/>
        <v>0.4100841885767379</v>
      </c>
      <c r="AL58" s="25">
        <f t="shared" si="93"/>
        <v>0.25621692855562039</v>
      </c>
      <c r="AM58" s="25">
        <f t="shared" si="93"/>
        <v>-1.8250177176467708E-2</v>
      </c>
      <c r="AN58" s="25">
        <f t="shared" si="93"/>
        <v>-5.5795430318699157E-3</v>
      </c>
      <c r="AO58" s="25">
        <f t="shared" si="93"/>
        <v>4.2602358888075731E-2</v>
      </c>
      <c r="AP58" s="25">
        <f t="shared" si="93"/>
        <v>1.0898920795671425</v>
      </c>
      <c r="AQ58" s="25">
        <f t="shared" si="93"/>
        <v>3.1632601805811067E-2</v>
      </c>
      <c r="AR58" s="25">
        <f t="shared" si="93"/>
        <v>-5.4540171477911792E-2</v>
      </c>
      <c r="AS58" s="25">
        <f t="shared" si="93"/>
        <v>-5.7686397488899255E-2</v>
      </c>
      <c r="AT58" s="25">
        <f t="shared" si="93"/>
        <v>1.7919412748721886E-2</v>
      </c>
      <c r="AU58" s="25">
        <f t="shared" si="93"/>
        <v>1.7603960121296502E-2</v>
      </c>
      <c r="AV58" s="25">
        <f t="shared" si="93"/>
        <v>0</v>
      </c>
      <c r="AW58" s="25">
        <f t="shared" si="93"/>
        <v>0</v>
      </c>
      <c r="AX58" s="25">
        <f t="shared" si="93"/>
        <v>0</v>
      </c>
      <c r="AY58" s="25">
        <f t="shared" si="93"/>
        <v>0</v>
      </c>
      <c r="AZ58" s="5"/>
      <c r="BA58" s="5"/>
      <c r="BB58" s="5"/>
      <c r="BC58" s="5"/>
      <c r="BD58" s="5"/>
      <c r="BE58" s="5"/>
      <c r="BF58" s="5"/>
      <c r="BG58" s="4">
        <v>52</v>
      </c>
      <c r="BH58"/>
      <c r="BI58"/>
      <c r="BJ58"/>
      <c r="BK58"/>
      <c r="BL58"/>
      <c r="BM58"/>
    </row>
    <row r="59" spans="1:257" s="3" customFormat="1" ht="12.75" customHeight="1" outlineLevel="1">
      <c r="A59" s="6"/>
      <c r="B59" s="213" t="s">
        <v>324</v>
      </c>
      <c r="C59" s="25"/>
      <c r="D59" s="25">
        <f t="shared" ref="D59:N59" si="94">D12/C12-1</f>
        <v>0.18947454799091878</v>
      </c>
      <c r="E59" s="25">
        <f t="shared" si="94"/>
        <v>0.17156096214873751</v>
      </c>
      <c r="F59" s="25">
        <f t="shared" si="94"/>
        <v>0.24973256259016807</v>
      </c>
      <c r="G59" s="25">
        <f t="shared" si="94"/>
        <v>3.7969514445692187E-2</v>
      </c>
      <c r="H59" s="25">
        <f t="shared" si="94"/>
        <v>-6.0133460438512865E-2</v>
      </c>
      <c r="I59" s="25">
        <f t="shared" si="94"/>
        <v>-4.5078515015223863E-2</v>
      </c>
      <c r="J59" s="25">
        <f t="shared" si="94"/>
        <v>2.0484548075463405E-3</v>
      </c>
      <c r="K59" s="25">
        <f t="shared" si="94"/>
        <v>5.1964767937813905E-2</v>
      </c>
      <c r="L59" s="25">
        <f t="shared" si="94"/>
        <v>2.07201991587096</v>
      </c>
      <c r="M59" s="25">
        <f t="shared" si="94"/>
        <v>0.72414058449482321</v>
      </c>
      <c r="N59" s="25">
        <f t="shared" si="94"/>
        <v>2.0000000000000018E-2</v>
      </c>
      <c r="O59" s="5"/>
      <c r="P59" s="25"/>
      <c r="Q59" s="25"/>
      <c r="R59" s="25"/>
      <c r="S59" s="25"/>
      <c r="T59" s="25"/>
      <c r="U59" s="25">
        <f t="shared" ref="U59:AY59" si="95">U12/T12-1</f>
        <v>0.13962379568741401</v>
      </c>
      <c r="V59" s="25">
        <f t="shared" si="95"/>
        <v>-0.10115405260332788</v>
      </c>
      <c r="W59" s="25">
        <f t="shared" si="95"/>
        <v>-0.14221731211370214</v>
      </c>
      <c r="X59" s="25">
        <f t="shared" si="95"/>
        <v>-1.0303536619326148E-2</v>
      </c>
      <c r="Y59" s="25">
        <f t="shared" si="95"/>
        <v>0.18197523916713565</v>
      </c>
      <c r="Z59" s="25">
        <f t="shared" si="95"/>
        <v>-2.3624409032694249E-2</v>
      </c>
      <c r="AA59" s="25">
        <f t="shared" si="95"/>
        <v>-0.1047177861757892</v>
      </c>
      <c r="AB59" s="25">
        <f t="shared" si="95"/>
        <v>-2.5701252723311585E-2</v>
      </c>
      <c r="AC59" s="25">
        <f t="shared" si="95"/>
        <v>0.1590440585584012</v>
      </c>
      <c r="AD59" s="25">
        <f t="shared" si="95"/>
        <v>-0.11476200524522961</v>
      </c>
      <c r="AE59" s="25">
        <f t="shared" si="95"/>
        <v>-6.4700674249131618E-2</v>
      </c>
      <c r="AF59" s="25">
        <f t="shared" si="95"/>
        <v>1.9260176217869462E-2</v>
      </c>
      <c r="AG59" s="25">
        <f t="shared" si="95"/>
        <v>0.14831219860689404</v>
      </c>
      <c r="AH59" s="25">
        <f t="shared" si="95"/>
        <v>-1.5926836096680774E-2</v>
      </c>
      <c r="AI59" s="25">
        <f t="shared" si="95"/>
        <v>-0.14360676465939637</v>
      </c>
      <c r="AJ59" s="25">
        <f t="shared" si="95"/>
        <v>0.16602687140115169</v>
      </c>
      <c r="AK59" s="25">
        <f t="shared" si="95"/>
        <v>8.9395378284267135E-2</v>
      </c>
      <c r="AL59" s="25">
        <f t="shared" si="95"/>
        <v>-0.1195734294182601</v>
      </c>
      <c r="AM59" s="25">
        <f t="shared" si="95"/>
        <v>-5.1354830192415601E-2</v>
      </c>
      <c r="AN59" s="25">
        <f t="shared" si="95"/>
        <v>0.15466214382632293</v>
      </c>
      <c r="AO59" s="25">
        <f t="shared" si="95"/>
        <v>8.9395378284267135E-2</v>
      </c>
      <c r="AP59" s="25">
        <f t="shared" si="95"/>
        <v>3.6244886966709462</v>
      </c>
      <c r="AQ59" s="25">
        <f t="shared" si="95"/>
        <v>-0.11722488038277512</v>
      </c>
      <c r="AR59" s="25">
        <f t="shared" si="95"/>
        <v>4.8780487804878092E-2</v>
      </c>
      <c r="AS59" s="25">
        <f t="shared" si="95"/>
        <v>0.16279069767441845</v>
      </c>
      <c r="AT59" s="25">
        <f t="shared" si="95"/>
        <v>-3.3583999999999947E-2</v>
      </c>
      <c r="AU59" s="25">
        <f t="shared" si="95"/>
        <v>-0.11722488038277512</v>
      </c>
      <c r="AV59" s="25">
        <f t="shared" si="95"/>
        <v>2.8216164514586417E-2</v>
      </c>
      <c r="AW59" s="25">
        <f t="shared" si="95"/>
        <v>0.16279069767441845</v>
      </c>
      <c r="AX59" s="25">
        <f t="shared" si="95"/>
        <v>-3.3583999999999836E-2</v>
      </c>
      <c r="AY59" s="25">
        <f t="shared" si="95"/>
        <v>-0.11722488038277523</v>
      </c>
      <c r="AZ59" s="5"/>
      <c r="BA59" s="5"/>
      <c r="BB59" s="5"/>
      <c r="BC59" s="5"/>
      <c r="BD59" s="5"/>
      <c r="BE59" s="5"/>
      <c r="BF59" s="5"/>
      <c r="BG59" s="4">
        <v>53</v>
      </c>
      <c r="BH59"/>
      <c r="BI59"/>
      <c r="BJ59"/>
      <c r="BK59"/>
      <c r="BL59"/>
      <c r="BM59"/>
    </row>
    <row r="60" spans="1:257" s="3" customFormat="1" ht="5.0999999999999996" customHeight="1" outlineLevel="1">
      <c r="A60" s="6"/>
      <c r="B60" s="161"/>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4">
        <v>54</v>
      </c>
      <c r="BH60"/>
      <c r="BI60"/>
      <c r="BJ60"/>
      <c r="BK60"/>
      <c r="BL60"/>
      <c r="BM60"/>
    </row>
    <row r="61" spans="1:257" s="3" customFormat="1" ht="12.75" customHeight="1" outlineLevel="1">
      <c r="A61" s="6"/>
      <c r="B61" s="5" t="s">
        <v>325</v>
      </c>
      <c r="C61" s="25"/>
      <c r="D61" s="25">
        <f t="shared" ref="D61:N61" si="96">D18/D13</f>
        <v>0.40338095816300379</v>
      </c>
      <c r="E61" s="25">
        <f t="shared" si="96"/>
        <v>0.40472133857731091</v>
      </c>
      <c r="F61" s="25">
        <f t="shared" si="96"/>
        <v>0.40001355641161779</v>
      </c>
      <c r="G61" s="25">
        <f t="shared" si="96"/>
        <v>0.33497641609654533</v>
      </c>
      <c r="H61" s="25">
        <f t="shared" si="96"/>
        <v>0.34326350667793842</v>
      </c>
      <c r="I61" s="25">
        <f t="shared" si="96"/>
        <v>0.23158310094375711</v>
      </c>
      <c r="J61" s="25">
        <f t="shared" si="96"/>
        <v>0.13989753520007925</v>
      </c>
      <c r="K61" s="25">
        <f t="shared" si="96"/>
        <v>0.31260529592256675</v>
      </c>
      <c r="L61" s="25">
        <f t="shared" si="96"/>
        <v>0.36539949050275256</v>
      </c>
      <c r="M61" s="25">
        <f t="shared" si="96"/>
        <v>0.34386252049846777</v>
      </c>
      <c r="N61" s="25">
        <f t="shared" si="96"/>
        <v>0.34383857512154231</v>
      </c>
      <c r="O61" s="5"/>
      <c r="P61" s="25"/>
      <c r="Q61" s="25"/>
      <c r="R61" s="25"/>
      <c r="S61" s="25"/>
      <c r="T61" s="25">
        <f t="shared" ref="T61:AY61" si="97">T18/T13</f>
        <v>0.37102982544638197</v>
      </c>
      <c r="U61" s="25">
        <f t="shared" si="97"/>
        <v>0.3752289718397504</v>
      </c>
      <c r="V61" s="25">
        <f t="shared" si="97"/>
        <v>0.34829316399853955</v>
      </c>
      <c r="W61" s="25">
        <f t="shared" si="97"/>
        <v>0.25971480410087511</v>
      </c>
      <c r="X61" s="25">
        <f t="shared" si="97"/>
        <v>0.32314228364504355</v>
      </c>
      <c r="Y61" s="25">
        <f t="shared" si="97"/>
        <v>0.34349871763385792</v>
      </c>
      <c r="Z61" s="25">
        <f t="shared" si="97"/>
        <v>0.36176598952016042</v>
      </c>
      <c r="AA61" s="25">
        <f t="shared" si="97"/>
        <v>0.3402825676454958</v>
      </c>
      <c r="AB61" s="25">
        <f t="shared" si="97"/>
        <v>0.3014859530996053</v>
      </c>
      <c r="AC61" s="25">
        <f t="shared" si="97"/>
        <v>0.22139587842203476</v>
      </c>
      <c r="AD61" s="25">
        <f t="shared" si="97"/>
        <v>0.19357706931851418</v>
      </c>
      <c r="AE61" s="25">
        <f t="shared" si="97"/>
        <v>0.14026351281253241</v>
      </c>
      <c r="AF61" s="25">
        <f t="shared" si="97"/>
        <v>0.14801523463817734</v>
      </c>
      <c r="AG61" s="25">
        <f t="shared" si="97"/>
        <v>4.4919430367005415E-2</v>
      </c>
      <c r="AH61" s="25">
        <f t="shared" si="97"/>
        <v>0.14766833611574848</v>
      </c>
      <c r="AI61" s="25">
        <f t="shared" si="97"/>
        <v>0.20125808540464382</v>
      </c>
      <c r="AJ61" s="25">
        <f t="shared" si="97"/>
        <v>0.23658761291668359</v>
      </c>
      <c r="AK61" s="25">
        <f t="shared" si="97"/>
        <v>0.30052395530515469</v>
      </c>
      <c r="AL61" s="25">
        <f t="shared" si="97"/>
        <v>0.35517943224424209</v>
      </c>
      <c r="AM61" s="25">
        <f t="shared" ref="AM61" si="98">AM18/AM13</f>
        <v>0.32725892179195137</v>
      </c>
      <c r="AN61" s="25">
        <f t="shared" si="97"/>
        <v>0.32472656437313291</v>
      </c>
      <c r="AO61" s="25">
        <f t="shared" si="97"/>
        <v>0.37714216242779453</v>
      </c>
      <c r="AP61" s="25">
        <f t="shared" si="97"/>
        <v>0.37279346795932655</v>
      </c>
      <c r="AQ61" s="25">
        <f t="shared" si="97"/>
        <v>0.36927012413399407</v>
      </c>
      <c r="AR61" s="25">
        <f t="shared" si="97"/>
        <v>0.35509184328821108</v>
      </c>
      <c r="AS61" s="25">
        <f t="shared" si="97"/>
        <v>0.34288884304726747</v>
      </c>
      <c r="AT61" s="25">
        <f t="shared" si="97"/>
        <v>0.34277767622641736</v>
      </c>
      <c r="AU61" s="25">
        <f t="shared" si="97"/>
        <v>0.33449195261625525</v>
      </c>
      <c r="AV61" s="25">
        <f t="shared" si="97"/>
        <v>0.34160309882095613</v>
      </c>
      <c r="AW61" s="25">
        <f t="shared" si="97"/>
        <v>0.35135572537965754</v>
      </c>
      <c r="AX61" s="25">
        <f t="shared" si="97"/>
        <v>0.34723659995677736</v>
      </c>
      <c r="AY61" s="25">
        <f t="shared" si="97"/>
        <v>0.33475043785496222</v>
      </c>
      <c r="AZ61" s="5"/>
      <c r="BA61" s="5"/>
      <c r="BB61" s="5"/>
      <c r="BC61" s="5"/>
      <c r="BD61" s="5"/>
      <c r="BE61" s="5"/>
      <c r="BF61" s="5"/>
      <c r="BG61" s="4">
        <v>55</v>
      </c>
      <c r="BH61"/>
      <c r="BI61"/>
      <c r="BJ61"/>
      <c r="BK61"/>
      <c r="BL61"/>
      <c r="BM61"/>
    </row>
    <row r="62" spans="1:257" s="3" customFormat="1" ht="12.75" customHeight="1" outlineLevel="1">
      <c r="A62" s="6"/>
      <c r="B62" s="213" t="s">
        <v>191</v>
      </c>
      <c r="C62" s="25"/>
      <c r="D62" s="25">
        <f t="shared" ref="D62:N62" si="99">D16/D11</f>
        <v>0.42782231860124775</v>
      </c>
      <c r="E62" s="25">
        <f t="shared" si="99"/>
        <v>0.41969476969087044</v>
      </c>
      <c r="F62" s="25">
        <f t="shared" si="99"/>
        <v>0.41729970667057242</v>
      </c>
      <c r="G62" s="25">
        <f t="shared" si="99"/>
        <v>0.34608368021004149</v>
      </c>
      <c r="H62" s="25">
        <f t="shared" si="99"/>
        <v>0.34959918895055925</v>
      </c>
      <c r="I62" s="25">
        <f t="shared" si="99"/>
        <v>0.21567901217181651</v>
      </c>
      <c r="J62" s="25">
        <f t="shared" si="99"/>
        <v>6.9322157714637248E-2</v>
      </c>
      <c r="K62" s="25">
        <f t="shared" si="99"/>
        <v>0.29235374945043358</v>
      </c>
      <c r="L62" s="25">
        <f t="shared" si="99"/>
        <v>0.35264830526791596</v>
      </c>
      <c r="M62" s="25">
        <f t="shared" si="99"/>
        <v>0.31793468804999453</v>
      </c>
      <c r="N62" s="25">
        <f t="shared" si="99"/>
        <v>0.31756533059653036</v>
      </c>
      <c r="O62" s="5"/>
      <c r="P62" s="25"/>
      <c r="Q62" s="25"/>
      <c r="R62" s="25"/>
      <c r="S62" s="25"/>
      <c r="T62" s="25">
        <f t="shared" ref="T62:AY62" si="100">T16/T11</f>
        <v>0.39694799094752126</v>
      </c>
      <c r="U62" s="25">
        <f t="shared" si="100"/>
        <v>0.39750908690961273</v>
      </c>
      <c r="V62" s="25">
        <f t="shared" si="100"/>
        <v>0.35509268830542351</v>
      </c>
      <c r="W62" s="25">
        <f t="shared" si="100"/>
        <v>0.25883621566632758</v>
      </c>
      <c r="X62" s="25">
        <f t="shared" si="100"/>
        <v>0.33403377110694182</v>
      </c>
      <c r="Y62" s="25">
        <f t="shared" si="100"/>
        <v>0.34559857272553623</v>
      </c>
      <c r="Z62" s="25">
        <f t="shared" si="100"/>
        <v>0.36711216525228452</v>
      </c>
      <c r="AA62" s="25">
        <f t="shared" si="100"/>
        <v>0.34770331093162338</v>
      </c>
      <c r="AB62" s="25">
        <f t="shared" si="100"/>
        <v>0.30717670383957135</v>
      </c>
      <c r="AC62" s="25">
        <f t="shared" si="100"/>
        <v>0.20090353441403133</v>
      </c>
      <c r="AD62" s="25">
        <f t="shared" si="100"/>
        <v>0.15582269182958527</v>
      </c>
      <c r="AE62" s="25">
        <f t="shared" si="100"/>
        <v>8.8100111648678814E-2</v>
      </c>
      <c r="AF62" s="25">
        <f t="shared" si="100"/>
        <v>0.10798293930854824</v>
      </c>
      <c r="AG62" s="25">
        <f t="shared" si="100"/>
        <v>-8.8597110910818233E-2</v>
      </c>
      <c r="AH62" s="25">
        <f t="shared" si="100"/>
        <v>6.1624975761101417E-2</v>
      </c>
      <c r="AI62" s="25">
        <f t="shared" si="100"/>
        <v>0.15058313278502103</v>
      </c>
      <c r="AJ62" s="25">
        <f t="shared" si="100"/>
        <v>0.19395289127829041</v>
      </c>
      <c r="AK62" s="25">
        <f t="shared" si="100"/>
        <v>0.27348952779510288</v>
      </c>
      <c r="AL62" s="25">
        <f t="shared" si="100"/>
        <v>0.34074338040688523</v>
      </c>
      <c r="AM62" s="25">
        <f t="shared" ref="AM62" si="101">AM16/AM11</f>
        <v>0.31494373819807248</v>
      </c>
      <c r="AN62" s="25">
        <f t="shared" si="100"/>
        <v>0.31082245586077367</v>
      </c>
      <c r="AO62" s="25">
        <f t="shared" si="100"/>
        <v>0.36582653294999745</v>
      </c>
      <c r="AP62" s="25">
        <f t="shared" si="100"/>
        <v>0.35421758427767447</v>
      </c>
      <c r="AQ62" s="25">
        <f t="shared" si="100"/>
        <v>0.36362183016468075</v>
      </c>
      <c r="AR62" s="25">
        <f t="shared" si="100"/>
        <v>0.33611851812334792</v>
      </c>
      <c r="AS62" s="25">
        <f t="shared" si="100"/>
        <v>0.30545261300057863</v>
      </c>
      <c r="AT62" s="25">
        <f t="shared" si="100"/>
        <v>0.31161558769731446</v>
      </c>
      <c r="AU62" s="25">
        <f t="shared" si="100"/>
        <v>0.31756533059653036</v>
      </c>
      <c r="AV62" s="25">
        <f t="shared" si="100"/>
        <v>0.31756533059653036</v>
      </c>
      <c r="AW62" s="25">
        <f t="shared" si="100"/>
        <v>0.31756533059653036</v>
      </c>
      <c r="AX62" s="25">
        <f t="shared" si="100"/>
        <v>0.31756533059653036</v>
      </c>
      <c r="AY62" s="25">
        <f t="shared" si="100"/>
        <v>0.31756533059653036</v>
      </c>
      <c r="AZ62" s="5"/>
      <c r="BA62" s="5"/>
      <c r="BB62" s="5"/>
      <c r="BC62" s="5"/>
      <c r="BD62" s="5"/>
      <c r="BE62" s="5"/>
      <c r="BF62" s="5"/>
      <c r="BG62" s="4">
        <v>56</v>
      </c>
      <c r="BH62"/>
      <c r="BI62"/>
      <c r="BJ62"/>
      <c r="BK62"/>
      <c r="BL62"/>
      <c r="BM62"/>
    </row>
    <row r="63" spans="1:257" s="3" customFormat="1" ht="12.75" customHeight="1" outlineLevel="1">
      <c r="A63" s="6"/>
      <c r="B63" s="213" t="s">
        <v>324</v>
      </c>
      <c r="C63" s="25"/>
      <c r="D63" s="25">
        <f t="shared" ref="D63:N63" si="102">D17/D12</f>
        <v>0.24035321712735136</v>
      </c>
      <c r="E63" s="25">
        <f t="shared" si="102"/>
        <v>0.28600590815855848</v>
      </c>
      <c r="F63" s="25">
        <f t="shared" si="102"/>
        <v>0.29713599133022878</v>
      </c>
      <c r="G63" s="25">
        <f t="shared" si="102"/>
        <v>0.26302449801019867</v>
      </c>
      <c r="H63" s="25">
        <f t="shared" si="102"/>
        <v>0.28041809631999509</v>
      </c>
      <c r="I63" s="25">
        <f t="shared" si="102"/>
        <v>0.32678333586228986</v>
      </c>
      <c r="J63" s="25">
        <f t="shared" si="102"/>
        <v>0.38697221310854807</v>
      </c>
      <c r="K63" s="25">
        <f t="shared" si="102"/>
        <v>0.44779521136221878</v>
      </c>
      <c r="L63" s="25">
        <f t="shared" si="102"/>
        <v>0.41775923546697308</v>
      </c>
      <c r="M63" s="25">
        <f t="shared" si="102"/>
        <v>0.42252204198249693</v>
      </c>
      <c r="N63" s="25">
        <f t="shared" si="102"/>
        <v>0.42252204198249688</v>
      </c>
      <c r="O63" s="5"/>
      <c r="P63" s="25"/>
      <c r="Q63" s="25"/>
      <c r="R63" s="25"/>
      <c r="S63" s="25"/>
      <c r="T63" s="25">
        <f t="shared" ref="T63:AY63" si="103">T17/T12</f>
        <v>0.22251108732222052</v>
      </c>
      <c r="U63" s="25">
        <f t="shared" si="103"/>
        <v>0.26105743424583999</v>
      </c>
      <c r="V63" s="25">
        <f t="shared" si="103"/>
        <v>0.30115553432265385</v>
      </c>
      <c r="W63" s="25">
        <f t="shared" si="103"/>
        <v>0.26723057644110271</v>
      </c>
      <c r="X63" s="25">
        <f t="shared" si="103"/>
        <v>0.22105374226223976</v>
      </c>
      <c r="Y63" s="25">
        <f t="shared" si="103"/>
        <v>0.324710527192828</v>
      </c>
      <c r="Z63" s="25">
        <f t="shared" si="103"/>
        <v>0.30625990491283678</v>
      </c>
      <c r="AA63" s="25">
        <f t="shared" si="103"/>
        <v>0.25834014161220042</v>
      </c>
      <c r="AB63" s="25">
        <f t="shared" si="103"/>
        <v>0.24723105412109989</v>
      </c>
      <c r="AC63" s="25">
        <f t="shared" si="103"/>
        <v>0.33762397130196242</v>
      </c>
      <c r="AD63" s="25">
        <f t="shared" si="103"/>
        <v>0.37560444050943265</v>
      </c>
      <c r="AE63" s="25">
        <f t="shared" si="103"/>
        <v>0.34438942692783803</v>
      </c>
      <c r="AF63" s="25">
        <f t="shared" si="103"/>
        <v>0.31598499732095015</v>
      </c>
      <c r="AG63" s="25">
        <f t="shared" si="103"/>
        <v>0.38591470432699787</v>
      </c>
      <c r="AH63" s="25">
        <f t="shared" si="103"/>
        <v>0.42819661767030182</v>
      </c>
      <c r="AI63" s="25">
        <f t="shared" si="103"/>
        <v>0.41344308282887943</v>
      </c>
      <c r="AJ63" s="25">
        <f t="shared" si="103"/>
        <v>0.42687559354226018</v>
      </c>
      <c r="AK63" s="25">
        <f t="shared" si="103"/>
        <v>0.45670366711222177</v>
      </c>
      <c r="AL63" s="25">
        <f t="shared" si="103"/>
        <v>0.47417406515066507</v>
      </c>
      <c r="AM63" s="25">
        <f t="shared" ref="AM63" si="104">AM17/AM12</f>
        <v>0.43231395470201445</v>
      </c>
      <c r="AN63" s="25">
        <f t="shared" si="103"/>
        <v>0.42687559354226023</v>
      </c>
      <c r="AO63" s="25">
        <f t="shared" si="103"/>
        <v>0.45670366711222171</v>
      </c>
      <c r="AP63" s="25">
        <f t="shared" si="103"/>
        <v>0.43181818181818188</v>
      </c>
      <c r="AQ63" s="25">
        <f t="shared" si="103"/>
        <v>0.3902439024390244</v>
      </c>
      <c r="AR63" s="25">
        <f t="shared" si="103"/>
        <v>0.41860465116279066</v>
      </c>
      <c r="AS63" s="25">
        <f t="shared" si="103"/>
        <v>0.44444444444444442</v>
      </c>
      <c r="AT63" s="25">
        <f t="shared" si="103"/>
        <v>0.43181818181818177</v>
      </c>
      <c r="AU63" s="25">
        <f t="shared" si="103"/>
        <v>0.3902439024390244</v>
      </c>
      <c r="AV63" s="25">
        <f t="shared" si="103"/>
        <v>0.41860465116279066</v>
      </c>
      <c r="AW63" s="25">
        <f t="shared" si="103"/>
        <v>0.44444444444444442</v>
      </c>
      <c r="AX63" s="25">
        <f t="shared" si="103"/>
        <v>0.43181818181818166</v>
      </c>
      <c r="AY63" s="25">
        <f t="shared" si="103"/>
        <v>0.3902439024390244</v>
      </c>
      <c r="AZ63" s="5"/>
      <c r="BA63" s="5"/>
      <c r="BB63" s="5"/>
      <c r="BC63" s="5"/>
      <c r="BD63" s="5"/>
      <c r="BE63" s="5"/>
      <c r="BF63" s="5"/>
      <c r="BG63" s="4">
        <v>57</v>
      </c>
      <c r="BH63"/>
      <c r="BI63"/>
      <c r="BJ63"/>
      <c r="BK63"/>
      <c r="BL63"/>
      <c r="BM63"/>
    </row>
    <row r="64" spans="1:257" s="3" customFormat="1" ht="5.0999999999999996" customHeight="1" outlineLevel="1">
      <c r="A64" s="6"/>
      <c r="B64" s="5"/>
      <c r="C64" s="25"/>
      <c r="D64" s="25"/>
      <c r="E64" s="25"/>
      <c r="F64" s="25"/>
      <c r="G64" s="25"/>
      <c r="H64" s="25"/>
      <c r="I64" s="25"/>
      <c r="J64" s="25"/>
      <c r="K64" s="25"/>
      <c r="L64" s="25"/>
      <c r="M64" s="25"/>
      <c r="N64" s="25"/>
      <c r="O64" s="5"/>
      <c r="P64" s="25"/>
      <c r="Q64" s="25"/>
      <c r="R64" s="25"/>
      <c r="S64" s="25"/>
      <c r="T64" s="25"/>
      <c r="U64" s="25"/>
      <c r="V64" s="25"/>
      <c r="W64" s="25"/>
      <c r="X64" s="25"/>
      <c r="Y64" s="25"/>
      <c r="Z64" s="25"/>
      <c r="AA64" s="25"/>
      <c r="AB64" s="25"/>
      <c r="AC64" s="25"/>
      <c r="AD64" s="25"/>
      <c r="AE64" s="25"/>
      <c r="AF64" s="25"/>
      <c r="AG64" s="25"/>
      <c r="AH64" s="25"/>
      <c r="AI64" s="25"/>
      <c r="AJ64" s="25"/>
      <c r="AK64" s="25"/>
      <c r="AL64" s="25"/>
      <c r="AM64" s="25"/>
      <c r="AN64" s="311"/>
      <c r="AO64" s="311"/>
      <c r="AP64" s="311"/>
      <c r="AQ64" s="311"/>
      <c r="AR64" s="311"/>
      <c r="AS64" s="311"/>
      <c r="AT64" s="311"/>
      <c r="AU64" s="311"/>
      <c r="AV64" s="311"/>
      <c r="AW64" s="311"/>
      <c r="AX64" s="311"/>
      <c r="AY64" s="311"/>
      <c r="AZ64" s="5"/>
      <c r="BA64" s="5"/>
      <c r="BB64" s="5"/>
      <c r="BC64" s="5"/>
      <c r="BD64" s="5"/>
      <c r="BE64" s="5"/>
      <c r="BF64" s="5"/>
      <c r="BG64" s="4">
        <v>58</v>
      </c>
      <c r="BH64"/>
      <c r="BI64"/>
      <c r="BJ64"/>
      <c r="BK64"/>
      <c r="BL64"/>
      <c r="BM64"/>
    </row>
    <row r="65" spans="1:65" s="3" customFormat="1" ht="12.75" customHeight="1" outlineLevel="1">
      <c r="A65" s="6"/>
      <c r="B65" s="5" t="s">
        <v>323</v>
      </c>
      <c r="C65" s="15"/>
      <c r="D65" s="15"/>
      <c r="E65" s="15"/>
      <c r="F65" s="15">
        <f t="shared" ref="F65:N65" si="105">F13+F75</f>
        <v>382.77300000000008</v>
      </c>
      <c r="G65" s="15">
        <f t="shared" si="105"/>
        <v>360.54399999999998</v>
      </c>
      <c r="H65" s="15">
        <f t="shared" si="105"/>
        <v>505.00368030000027</v>
      </c>
      <c r="I65" s="15">
        <f t="shared" si="105"/>
        <v>219.86400000000003</v>
      </c>
      <c r="J65" s="15">
        <f t="shared" si="105"/>
        <v>75.299000000000035</v>
      </c>
      <c r="K65" s="15">
        <f t="shared" si="105"/>
        <v>300.03700000000003</v>
      </c>
      <c r="L65" s="15">
        <f t="shared" si="105"/>
        <v>716.74572860554827</v>
      </c>
      <c r="M65" s="15">
        <f t="shared" si="105"/>
        <v>918.6801059965992</v>
      </c>
      <c r="N65" s="15">
        <f t="shared" si="105"/>
        <v>927.93548439659889</v>
      </c>
      <c r="O65" s="5"/>
      <c r="P65" s="15"/>
      <c r="Q65" s="15"/>
      <c r="R65" s="15"/>
      <c r="S65" s="15"/>
      <c r="T65" s="15">
        <f t="shared" ref="T65:AY65" si="106">T13+T75</f>
        <v>87.913999999999987</v>
      </c>
      <c r="U65" s="15">
        <f t="shared" si="106"/>
        <v>93.920999999999992</v>
      </c>
      <c r="V65" s="15">
        <f t="shared" si="106"/>
        <v>100.00099999999998</v>
      </c>
      <c r="W65" s="15">
        <f t="shared" si="106"/>
        <v>78.707999999999998</v>
      </c>
      <c r="X65" s="15">
        <f t="shared" si="106"/>
        <v>103.82000000000002</v>
      </c>
      <c r="Y65" s="15">
        <f t="shared" si="106"/>
        <v>123.10068030000008</v>
      </c>
      <c r="Z65" s="15">
        <f t="shared" si="106"/>
        <v>144.89599999999999</v>
      </c>
      <c r="AA65" s="15">
        <f t="shared" si="106"/>
        <v>133.18699999999998</v>
      </c>
      <c r="AB65" s="15">
        <f t="shared" si="106"/>
        <v>98.942000000000007</v>
      </c>
      <c r="AC65" s="15">
        <f t="shared" si="106"/>
        <v>56.193000000000012</v>
      </c>
      <c r="AD65" s="15">
        <f t="shared" si="106"/>
        <v>39.270999999999987</v>
      </c>
      <c r="AE65" s="15">
        <f t="shared" si="106"/>
        <v>25.457999999999998</v>
      </c>
      <c r="AF65" s="15">
        <f t="shared" si="106"/>
        <v>26.994</v>
      </c>
      <c r="AG65" s="15">
        <f t="shared" si="106"/>
        <v>0.11999999999999034</v>
      </c>
      <c r="AH65" s="15">
        <f t="shared" si="106"/>
        <v>19.902000000000001</v>
      </c>
      <c r="AI65" s="15">
        <f t="shared" si="106"/>
        <v>28.283000000000001</v>
      </c>
      <c r="AJ65" s="15">
        <f t="shared" si="106"/>
        <v>40.830999999999989</v>
      </c>
      <c r="AK65" s="15">
        <f t="shared" si="106"/>
        <v>70.09</v>
      </c>
      <c r="AL65" s="15">
        <f t="shared" si="106"/>
        <v>99.468000000000018</v>
      </c>
      <c r="AM65" s="15">
        <f t="shared" ref="AM65" si="107">AM13+AM75</f>
        <v>89.648000000000025</v>
      </c>
      <c r="AN65" s="15">
        <f t="shared" si="106"/>
        <v>89.953606129550053</v>
      </c>
      <c r="AO65" s="15">
        <f t="shared" si="106"/>
        <v>109.50994032955009</v>
      </c>
      <c r="AP65" s="15">
        <f t="shared" si="106"/>
        <v>260.38751064729797</v>
      </c>
      <c r="AQ65" s="15">
        <f t="shared" si="106"/>
        <v>256.89467149914981</v>
      </c>
      <c r="AR65" s="15">
        <f t="shared" si="106"/>
        <v>238.97317149914983</v>
      </c>
      <c r="AS65" s="15">
        <f t="shared" si="106"/>
        <v>229.15167149914964</v>
      </c>
      <c r="AT65" s="15">
        <f t="shared" si="106"/>
        <v>230.00455149914978</v>
      </c>
      <c r="AU65" s="15">
        <f t="shared" si="106"/>
        <v>220.55071149914977</v>
      </c>
      <c r="AV65" s="15">
        <f t="shared" si="106"/>
        <v>226.71967149914968</v>
      </c>
      <c r="AW65" s="15">
        <f t="shared" si="106"/>
        <v>242.22367149914976</v>
      </c>
      <c r="AX65" s="15">
        <f t="shared" si="106"/>
        <v>237.24288909914975</v>
      </c>
      <c r="AY65" s="15">
        <f t="shared" si="106"/>
        <v>221.7492522991497</v>
      </c>
      <c r="AZ65" s="5"/>
      <c r="BA65" s="5"/>
      <c r="BB65" s="5"/>
      <c r="BC65" s="5"/>
      <c r="BD65" s="5"/>
      <c r="BE65" s="5"/>
      <c r="BF65" s="5"/>
      <c r="BG65" s="4">
        <v>59</v>
      </c>
      <c r="BH65"/>
      <c r="BI65"/>
      <c r="BJ65"/>
      <c r="BK65"/>
      <c r="BL65"/>
      <c r="BM65"/>
    </row>
    <row r="66" spans="1:65" s="3" customFormat="1" ht="12.75" customHeight="1" outlineLevel="1">
      <c r="A66" s="6"/>
      <c r="B66" s="5" t="s">
        <v>185</v>
      </c>
      <c r="C66" s="25"/>
      <c r="D66" s="25"/>
      <c r="E66" s="25"/>
      <c r="F66" s="25">
        <f t="shared" ref="F66:N66" si="108">F65/F13</f>
        <v>0.43241902868310766</v>
      </c>
      <c r="G66" s="25">
        <f t="shared" si="108"/>
        <v>0.36478056144057081</v>
      </c>
      <c r="H66" s="25">
        <f t="shared" si="108"/>
        <v>0.37229593494454721</v>
      </c>
      <c r="I66" s="25">
        <f t="shared" si="108"/>
        <v>0.26530905299689034</v>
      </c>
      <c r="J66" s="25">
        <f t="shared" si="108"/>
        <v>0.14074237448435839</v>
      </c>
      <c r="K66" s="25">
        <f t="shared" si="108"/>
        <v>0.31260529592256681</v>
      </c>
      <c r="L66" s="25">
        <f t="shared" si="108"/>
        <v>0.36539949050275267</v>
      </c>
      <c r="M66" s="25">
        <f t="shared" si="108"/>
        <v>0.34386252049846783</v>
      </c>
      <c r="N66" s="25">
        <f t="shared" si="108"/>
        <v>0.34383857512154226</v>
      </c>
      <c r="O66" s="5"/>
      <c r="P66" s="25"/>
      <c r="Q66" s="25"/>
      <c r="R66" s="25"/>
      <c r="S66" s="25"/>
      <c r="T66" s="25">
        <f t="shared" ref="T66:AY66" si="109">T65/T13</f>
        <v>0.39952373811049452</v>
      </c>
      <c r="U66" s="25">
        <f t="shared" si="109"/>
        <v>0.41158400308509424</v>
      </c>
      <c r="V66" s="25">
        <f t="shared" si="109"/>
        <v>0.37641483511313029</v>
      </c>
      <c r="W66" s="25">
        <f t="shared" si="109"/>
        <v>0.2867552226407945</v>
      </c>
      <c r="X66" s="25">
        <f t="shared" si="109"/>
        <v>0.35201334544912055</v>
      </c>
      <c r="Y66" s="25">
        <f t="shared" si="109"/>
        <v>0.3682444278420407</v>
      </c>
      <c r="Z66" s="25">
        <f t="shared" si="109"/>
        <v>0.3879629108999435</v>
      </c>
      <c r="AA66" s="25">
        <f t="shared" si="109"/>
        <v>0.37649396759348247</v>
      </c>
      <c r="AB66" s="25">
        <f t="shared" si="109"/>
        <v>0.32817672227934591</v>
      </c>
      <c r="AC66" s="25">
        <f t="shared" si="109"/>
        <v>0.25389588971774291</v>
      </c>
      <c r="AD66" s="25">
        <f t="shared" si="109"/>
        <v>0.22972214097689375</v>
      </c>
      <c r="AE66" s="25">
        <f t="shared" si="109"/>
        <v>0.18865323907340714</v>
      </c>
      <c r="AF66" s="25">
        <f t="shared" si="109"/>
        <v>0.18557934249061586</v>
      </c>
      <c r="AG66" s="25">
        <f t="shared" si="109"/>
        <v>1.0503374208963784E-3</v>
      </c>
      <c r="AH66" s="25">
        <f t="shared" si="109"/>
        <v>0.14766833611574848</v>
      </c>
      <c r="AI66" s="25">
        <f t="shared" si="109"/>
        <v>0.20125808540464382</v>
      </c>
      <c r="AJ66" s="25">
        <f t="shared" si="109"/>
        <v>0.23658761291668351</v>
      </c>
      <c r="AK66" s="25">
        <f t="shared" si="109"/>
        <v>0.30052395530515469</v>
      </c>
      <c r="AL66" s="25">
        <f t="shared" si="109"/>
        <v>0.35517943224424214</v>
      </c>
      <c r="AM66" s="25">
        <f t="shared" ref="AM66" si="110">AM65/AM13</f>
        <v>0.32725892179195143</v>
      </c>
      <c r="AN66" s="25">
        <f t="shared" si="109"/>
        <v>0.3247265643731328</v>
      </c>
      <c r="AO66" s="25">
        <f t="shared" si="109"/>
        <v>0.37714216242779441</v>
      </c>
      <c r="AP66" s="25">
        <f t="shared" si="109"/>
        <v>0.37279346795932639</v>
      </c>
      <c r="AQ66" s="25">
        <f t="shared" si="109"/>
        <v>0.36927012413399407</v>
      </c>
      <c r="AR66" s="25">
        <f t="shared" si="109"/>
        <v>0.35509184328821114</v>
      </c>
      <c r="AS66" s="25">
        <f t="shared" si="109"/>
        <v>0.34288884304726736</v>
      </c>
      <c r="AT66" s="25">
        <f t="shared" si="109"/>
        <v>0.34277767622641736</v>
      </c>
      <c r="AU66" s="25">
        <f t="shared" si="109"/>
        <v>0.33449195261625525</v>
      </c>
      <c r="AV66" s="25">
        <f t="shared" si="109"/>
        <v>0.34160309882095602</v>
      </c>
      <c r="AW66" s="25">
        <f t="shared" si="109"/>
        <v>0.35135572537965754</v>
      </c>
      <c r="AX66" s="25">
        <f t="shared" si="109"/>
        <v>0.34723659995677736</v>
      </c>
      <c r="AY66" s="25">
        <f t="shared" si="109"/>
        <v>0.33475043785496211</v>
      </c>
      <c r="AZ66" s="5"/>
      <c r="BA66" s="5"/>
      <c r="BB66" s="5"/>
      <c r="BC66" s="5"/>
      <c r="BD66" s="5"/>
      <c r="BE66" s="5"/>
      <c r="BF66" s="5"/>
      <c r="BG66" s="4">
        <v>60</v>
      </c>
      <c r="BH66"/>
      <c r="BI66"/>
      <c r="BJ66"/>
      <c r="BK66"/>
      <c r="BL66"/>
      <c r="BM66"/>
    </row>
    <row r="67" spans="1:65" s="3" customFormat="1" ht="12.75" customHeight="1" outlineLevel="1">
      <c r="A67" s="6"/>
      <c r="B67" s="5" t="s">
        <v>322</v>
      </c>
      <c r="C67" s="25"/>
      <c r="D67" s="25"/>
      <c r="E67" s="25"/>
      <c r="F67" s="25">
        <f t="shared" ref="F67:N67" si="111">-F76/F13</f>
        <v>7.3916334346298532E-2</v>
      </c>
      <c r="G67" s="25">
        <f t="shared" si="111"/>
        <v>8.281986996982961E-2</v>
      </c>
      <c r="H67" s="25">
        <f t="shared" si="111"/>
        <v>8.4209777908247796E-2</v>
      </c>
      <c r="I67" s="25">
        <f t="shared" si="111"/>
        <v>9.7339355551828197E-2</v>
      </c>
      <c r="J67" s="25">
        <f t="shared" si="111"/>
        <v>0.13134260289002325</v>
      </c>
      <c r="K67" s="25">
        <f t="shared" si="111"/>
        <v>0.10749066206846253</v>
      </c>
      <c r="L67" s="25">
        <f t="shared" si="111"/>
        <v>7.1117590089171567E-2</v>
      </c>
      <c r="M67" s="25">
        <f t="shared" si="111"/>
        <v>6.7374109100337184E-2</v>
      </c>
      <c r="N67" s="25">
        <f t="shared" si="111"/>
        <v>6.6697463953674457E-2</v>
      </c>
      <c r="O67" s="5"/>
      <c r="P67" s="25"/>
      <c r="Q67" s="25"/>
      <c r="R67" s="25"/>
      <c r="S67" s="25"/>
      <c r="T67" s="25">
        <f t="shared" ref="T67:AY67" si="112">-T76/T13</f>
        <v>7.7215322181170387E-2</v>
      </c>
      <c r="U67" s="25">
        <f t="shared" si="112"/>
        <v>8.4528953434358498E-2</v>
      </c>
      <c r="V67" s="25">
        <f t="shared" si="112"/>
        <v>8.6141673598903901E-2</v>
      </c>
      <c r="W67" s="25">
        <f t="shared" si="112"/>
        <v>8.267693585642566E-2</v>
      </c>
      <c r="X67" s="25">
        <f t="shared" si="112"/>
        <v>7.3840749732141636E-2</v>
      </c>
      <c r="Y67" s="25">
        <f t="shared" si="112"/>
        <v>8.1934680247201602E-2</v>
      </c>
      <c r="Z67" s="25">
        <f t="shared" si="112"/>
        <v>8.0202635221792926E-2</v>
      </c>
      <c r="AA67" s="25">
        <f t="shared" si="112"/>
        <v>9.9235065977679532E-2</v>
      </c>
      <c r="AB67" s="25">
        <f t="shared" si="112"/>
        <v>7.9670967527944545E-2</v>
      </c>
      <c r="AC67" s="25">
        <f t="shared" si="112"/>
        <v>8.6769111208505223E-2</v>
      </c>
      <c r="AD67" s="25">
        <f t="shared" si="112"/>
        <v>0.10713073998245101</v>
      </c>
      <c r="AE67" s="25">
        <f t="shared" si="112"/>
        <v>0.14174558712373839</v>
      </c>
      <c r="AF67" s="25">
        <f t="shared" si="112"/>
        <v>0.11429416051368781</v>
      </c>
      <c r="AG67" s="25">
        <f t="shared" si="112"/>
        <v>0.18491190294882232</v>
      </c>
      <c r="AH67" s="25">
        <f t="shared" si="112"/>
        <v>0.11458356520126135</v>
      </c>
      <c r="AI67" s="25">
        <f t="shared" si="112"/>
        <v>0.12151055638969338</v>
      </c>
      <c r="AJ67" s="25">
        <f t="shared" si="112"/>
        <v>0.11619916214227356</v>
      </c>
      <c r="AK67" s="25">
        <f t="shared" si="112"/>
        <v>9.9045560958040707E-2</v>
      </c>
      <c r="AL67" s="25">
        <f t="shared" si="112"/>
        <v>0.10249241206927334</v>
      </c>
      <c r="AM67" s="25">
        <f t="shared" ref="AM67" si="113">-AM76/AM13</f>
        <v>0.11430407102388877</v>
      </c>
      <c r="AN67" s="25">
        <f t="shared" si="112"/>
        <v>7.5808610074117308E-2</v>
      </c>
      <c r="AO67" s="25">
        <f t="shared" si="112"/>
        <v>7.2322068546014529E-2</v>
      </c>
      <c r="AP67" s="25">
        <f t="shared" si="112"/>
        <v>7.1584360369780831E-2</v>
      </c>
      <c r="AQ67" s="25">
        <f t="shared" si="112"/>
        <v>6.8278297848707106E-2</v>
      </c>
      <c r="AR67" s="25">
        <f t="shared" si="112"/>
        <v>6.6865802749855333E-2</v>
      </c>
      <c r="AS67" s="25">
        <f t="shared" si="112"/>
        <v>6.7335306071220569E-2</v>
      </c>
      <c r="AT67" s="25">
        <f t="shared" si="112"/>
        <v>6.7063870387129271E-2</v>
      </c>
      <c r="AU67" s="25">
        <f t="shared" si="112"/>
        <v>6.8247967850194463E-2</v>
      </c>
      <c r="AV67" s="25">
        <f t="shared" si="112"/>
        <v>6.7802407022280256E-2</v>
      </c>
      <c r="AW67" s="25">
        <f t="shared" si="112"/>
        <v>6.5274411638748892E-2</v>
      </c>
      <c r="AX67" s="25">
        <f t="shared" si="112"/>
        <v>6.586349988144273E-2</v>
      </c>
      <c r="AY67" s="25">
        <f t="shared" si="112"/>
        <v>6.7931546768651971E-2</v>
      </c>
      <c r="AZ67" s="5"/>
      <c r="BA67" s="5"/>
      <c r="BB67" s="5"/>
      <c r="BC67" s="5"/>
      <c r="BD67" s="5"/>
      <c r="BE67" s="5"/>
      <c r="BF67" s="5"/>
      <c r="BG67" s="4">
        <v>61</v>
      </c>
      <c r="BH67"/>
      <c r="BI67"/>
      <c r="BJ67"/>
      <c r="BK67"/>
      <c r="BL67"/>
      <c r="BM67"/>
    </row>
    <row r="68" spans="1:65" s="3" customFormat="1" ht="12.75" customHeight="1" outlineLevel="1">
      <c r="A68" s="6"/>
      <c r="B68" s="5" t="s">
        <v>321</v>
      </c>
      <c r="C68" s="25"/>
      <c r="D68" s="25"/>
      <c r="E68" s="25"/>
      <c r="F68" s="25">
        <f t="shared" ref="F68:N68" si="114">+F39/F13</f>
        <v>0.34839864887764199</v>
      </c>
      <c r="G68" s="25">
        <f t="shared" si="114"/>
        <v>0.28795733650618277</v>
      </c>
      <c r="H68" s="25">
        <f t="shared" si="114"/>
        <v>0.28082754503314233</v>
      </c>
      <c r="I68" s="25">
        <f t="shared" si="114"/>
        <v>0.16377401476272135</v>
      </c>
      <c r="J68" s="25">
        <f t="shared" si="114"/>
        <v>2.5905912566610529E-2</v>
      </c>
      <c r="K68" s="25">
        <f t="shared" si="114"/>
        <v>0.2028599857261186</v>
      </c>
      <c r="L68" s="25">
        <f t="shared" si="114"/>
        <v>0.28612504420263657</v>
      </c>
      <c r="M68" s="25">
        <f t="shared" si="114"/>
        <v>0.26900239927587088</v>
      </c>
      <c r="N68" s="25">
        <f t="shared" si="114"/>
        <v>0.26973028183968184</v>
      </c>
      <c r="O68" s="5"/>
      <c r="P68" s="25"/>
      <c r="Q68" s="25"/>
      <c r="R68" s="25"/>
      <c r="S68" s="25"/>
      <c r="T68" s="25">
        <f t="shared" ref="T68:AY68" si="115">+T39/T13</f>
        <v>0.31329670479488475</v>
      </c>
      <c r="U68" s="25">
        <f t="shared" si="115"/>
        <v>0.32399186656967321</v>
      </c>
      <c r="V68" s="25">
        <f t="shared" si="115"/>
        <v>0.30255921887174547</v>
      </c>
      <c r="W68" s="25">
        <f t="shared" si="115"/>
        <v>0.20014718848140825</v>
      </c>
      <c r="X68" s="25">
        <f t="shared" si="115"/>
        <v>0.27146935564808161</v>
      </c>
      <c r="Y68" s="25">
        <f t="shared" si="115"/>
        <v>0.28705759973291139</v>
      </c>
      <c r="Z68" s="25">
        <f t="shared" si="115"/>
        <v>0.30164480466103855</v>
      </c>
      <c r="AA68" s="25">
        <f t="shared" si="115"/>
        <v>0.26076448173317207</v>
      </c>
      <c r="AB68" s="25">
        <f t="shared" si="115"/>
        <v>0.24437294769312409</v>
      </c>
      <c r="AC68" s="25">
        <f t="shared" si="115"/>
        <v>0.15327372211654472</v>
      </c>
      <c r="AD68" s="25">
        <f t="shared" si="115"/>
        <v>0.11205615677098571</v>
      </c>
      <c r="AE68" s="25">
        <f t="shared" si="115"/>
        <v>6.6441391371363345E-2</v>
      </c>
      <c r="AF68" s="25">
        <f t="shared" si="115"/>
        <v>5.7652380755957064E-2</v>
      </c>
      <c r="AG68" s="25">
        <f t="shared" si="115"/>
        <v>-7.7847508512109378E-2</v>
      </c>
      <c r="AH68" s="25">
        <f t="shared" si="115"/>
        <v>2.2986458913003199E-2</v>
      </c>
      <c r="AI68" s="25">
        <f t="shared" si="115"/>
        <v>8.0195828678369718E-2</v>
      </c>
      <c r="AJ68" s="25">
        <f t="shared" si="115"/>
        <v>0.11253136172160624</v>
      </c>
      <c r="AK68" s="25">
        <f t="shared" si="115"/>
        <v>0.18810938746108943</v>
      </c>
      <c r="AL68" s="25">
        <f t="shared" si="115"/>
        <v>0.24980182110337437</v>
      </c>
      <c r="AM68" s="25">
        <f t="shared" ref="AM68" si="116">+AM39/AM13</f>
        <v>0.22433707143274331</v>
      </c>
      <c r="AN68" s="25">
        <f t="shared" si="115"/>
        <v>0.23808815285985596</v>
      </c>
      <c r="AO68" s="25">
        <f t="shared" si="115"/>
        <v>0.29448836980377791</v>
      </c>
      <c r="AP68" s="25">
        <f t="shared" si="115"/>
        <v>0.29405067155256764</v>
      </c>
      <c r="AQ68" s="25">
        <f t="shared" si="115"/>
        <v>0.29380463703805465</v>
      </c>
      <c r="AR68" s="25">
        <f t="shared" si="115"/>
        <v>0.28079650689948293</v>
      </c>
      <c r="AS68" s="25">
        <f t="shared" si="115"/>
        <v>0.2680718363014668</v>
      </c>
      <c r="AT68" s="25">
        <f t="shared" si="115"/>
        <v>0.26826226468516262</v>
      </c>
      <c r="AU68" s="25">
        <f t="shared" si="115"/>
        <v>0.25866087722715031</v>
      </c>
      <c r="AV68" s="25">
        <f t="shared" si="115"/>
        <v>0.2662670910184225</v>
      </c>
      <c r="AW68" s="25">
        <f t="shared" si="115"/>
        <v>0.2788286013366032</v>
      </c>
      <c r="AX68" s="25">
        <f t="shared" si="115"/>
        <v>0.27405493342184095</v>
      </c>
      <c r="AY68" s="25">
        <f t="shared" si="115"/>
        <v>0.2592709414453489</v>
      </c>
      <c r="AZ68" s="5"/>
      <c r="BA68" s="5"/>
      <c r="BB68" s="5"/>
      <c r="BC68" s="5"/>
      <c r="BD68" s="5"/>
      <c r="BE68" s="5"/>
      <c r="BF68" s="5"/>
      <c r="BG68" s="4">
        <v>62</v>
      </c>
      <c r="BH68"/>
      <c r="BI68"/>
      <c r="BJ68"/>
      <c r="BK68"/>
      <c r="BL68"/>
      <c r="BM68"/>
    </row>
    <row r="69" spans="1:65" s="3" customFormat="1" ht="12.75" customHeight="1" outlineLevel="1">
      <c r="A69" s="6"/>
      <c r="B69" s="5" t="s">
        <v>320</v>
      </c>
      <c r="C69" s="25"/>
      <c r="D69" s="25"/>
      <c r="E69" s="25"/>
      <c r="F69" s="25"/>
      <c r="G69" s="25">
        <f t="shared" ref="G69:N69" si="117">-G21/F291</f>
        <v>0.1006791732638167</v>
      </c>
      <c r="H69" s="25">
        <f t="shared" si="117"/>
        <v>7.929485416071301E-2</v>
      </c>
      <c r="I69" s="25">
        <f t="shared" si="117"/>
        <v>7.9348702087548156E-2</v>
      </c>
      <c r="J69" s="25">
        <f t="shared" si="117"/>
        <v>8.2980768016422554E-2</v>
      </c>
      <c r="K69" s="25">
        <f t="shared" si="117"/>
        <v>0.10875387331927143</v>
      </c>
      <c r="L69" s="25">
        <f t="shared" si="117"/>
        <v>0.21613199993231277</v>
      </c>
      <c r="M69" s="25">
        <f t="shared" si="117"/>
        <v>7.3885730275918327E-2</v>
      </c>
      <c r="N69" s="25">
        <f t="shared" si="117"/>
        <v>7.3925052816643258E-2</v>
      </c>
      <c r="O69" s="5"/>
      <c r="P69" s="25"/>
      <c r="Q69" s="25"/>
      <c r="R69" s="25"/>
      <c r="S69" s="25"/>
      <c r="T69" s="25"/>
      <c r="U69" s="25"/>
      <c r="V69" s="25"/>
      <c r="W69" s="25"/>
      <c r="X69" s="25">
        <f t="shared" ref="X69:AM69" si="118">-X21*4/W291</f>
        <v>6.9109740691578145E-2</v>
      </c>
      <c r="Y69" s="25">
        <f t="shared" si="118"/>
        <v>7.6050326501718876E-2</v>
      </c>
      <c r="Z69" s="25">
        <f t="shared" si="118"/>
        <v>7.766052129688493E-2</v>
      </c>
      <c r="AA69" s="25">
        <f t="shared" si="118"/>
        <v>8.3095686283350428E-2</v>
      </c>
      <c r="AB69" s="25">
        <f t="shared" si="118"/>
        <v>7.713539227409856E-2</v>
      </c>
      <c r="AC69" s="25">
        <f t="shared" si="118"/>
        <v>7.5708487900177923E-2</v>
      </c>
      <c r="AD69" s="25">
        <f t="shared" si="118"/>
        <v>7.0502573390129636E-2</v>
      </c>
      <c r="AE69" s="25">
        <f t="shared" si="118"/>
        <v>8.7208935300335966E-2</v>
      </c>
      <c r="AF69" s="25">
        <f t="shared" si="118"/>
        <v>8.5355058628215713E-2</v>
      </c>
      <c r="AG69" s="25">
        <f t="shared" si="118"/>
        <v>8.3764775742730432E-2</v>
      </c>
      <c r="AH69" s="25">
        <f t="shared" si="118"/>
        <v>9.3878149766811206E-2</v>
      </c>
      <c r="AI69" s="25">
        <f t="shared" si="118"/>
        <v>9.6102279707365193E-2</v>
      </c>
      <c r="AJ69" s="25">
        <f t="shared" si="118"/>
        <v>0.10686307515785279</v>
      </c>
      <c r="AK69" s="25">
        <f t="shared" si="118"/>
        <v>0.10987997968056407</v>
      </c>
      <c r="AL69" s="25">
        <f t="shared" si="118"/>
        <v>0.1126469578230001</v>
      </c>
      <c r="AM69" s="25">
        <f t="shared" si="118"/>
        <v>0.1025894960698872</v>
      </c>
      <c r="AN69" s="315">
        <f>AM69</f>
        <v>0.1025894960698872</v>
      </c>
      <c r="AO69" s="315">
        <f>AN69</f>
        <v>0.1025894960698872</v>
      </c>
      <c r="AP69" s="315">
        <v>7.4999999999999997E-2</v>
      </c>
      <c r="AQ69" s="315">
        <f t="shared" ref="AQ69:AY69" si="119">AP69</f>
        <v>7.4999999999999997E-2</v>
      </c>
      <c r="AR69" s="315">
        <f t="shared" si="119"/>
        <v>7.4999999999999997E-2</v>
      </c>
      <c r="AS69" s="315">
        <f t="shared" si="119"/>
        <v>7.4999999999999997E-2</v>
      </c>
      <c r="AT69" s="315">
        <f t="shared" si="119"/>
        <v>7.4999999999999997E-2</v>
      </c>
      <c r="AU69" s="315">
        <f t="shared" si="119"/>
        <v>7.4999999999999997E-2</v>
      </c>
      <c r="AV69" s="315">
        <f t="shared" si="119"/>
        <v>7.4999999999999997E-2</v>
      </c>
      <c r="AW69" s="315">
        <f t="shared" si="119"/>
        <v>7.4999999999999997E-2</v>
      </c>
      <c r="AX69" s="315">
        <f t="shared" si="119"/>
        <v>7.4999999999999997E-2</v>
      </c>
      <c r="AY69" s="315">
        <f t="shared" si="119"/>
        <v>7.4999999999999997E-2</v>
      </c>
      <c r="AZ69" s="5"/>
      <c r="BA69" s="5"/>
      <c r="BB69" s="5"/>
      <c r="BC69" s="5"/>
      <c r="BD69" s="5"/>
      <c r="BE69" s="5"/>
      <c r="BF69" s="5"/>
      <c r="BG69" s="4">
        <v>63</v>
      </c>
      <c r="BH69"/>
      <c r="BI69"/>
      <c r="BJ69"/>
      <c r="BK69"/>
      <c r="BL69"/>
      <c r="BM69"/>
    </row>
    <row r="70" spans="1:65" s="3" customFormat="1" ht="12.75" customHeight="1" outlineLevel="1">
      <c r="A70" s="6"/>
      <c r="B70" s="5" t="s">
        <v>319</v>
      </c>
      <c r="C70" s="14"/>
      <c r="D70" s="14"/>
      <c r="E70" s="14"/>
      <c r="F70" s="14">
        <f t="shared" ref="F70:N70" si="120">F23/F13</f>
        <v>0.31711722906946521</v>
      </c>
      <c r="G70" s="14">
        <f t="shared" si="120"/>
        <v>0.24974250950539559</v>
      </c>
      <c r="H70" s="14">
        <f t="shared" si="120"/>
        <v>0.23705249708113585</v>
      </c>
      <c r="I70" s="14">
        <f t="shared" si="120"/>
        <v>8.3222216725050716E-2</v>
      </c>
      <c r="J70" s="14">
        <f t="shared" si="120"/>
        <v>-0.10918613192576627</v>
      </c>
      <c r="K70" s="14">
        <f t="shared" si="120"/>
        <v>0.12040071056840262</v>
      </c>
      <c r="L70" s="14">
        <f t="shared" si="120"/>
        <v>0.19957340986467928</v>
      </c>
      <c r="M70" s="14">
        <f t="shared" si="120"/>
        <v>0.17552572294452207</v>
      </c>
      <c r="N70" s="14">
        <f t="shared" si="120"/>
        <v>0.18075435833727671</v>
      </c>
      <c r="O70" s="5"/>
      <c r="P70" s="15"/>
      <c r="Q70" s="15"/>
      <c r="R70" s="15"/>
      <c r="S70" s="15"/>
      <c r="T70" s="14">
        <f t="shared" ref="T70:AY70" si="121">T23/T13</f>
        <v>0.27997200598054051</v>
      </c>
      <c r="U70" s="14">
        <f t="shared" si="121"/>
        <v>0.28796988527305717</v>
      </c>
      <c r="V70" s="14">
        <f t="shared" si="121"/>
        <v>0.26884407924205866</v>
      </c>
      <c r="W70" s="14">
        <f t="shared" si="121"/>
        <v>0.15183366244289154</v>
      </c>
      <c r="X70" s="14">
        <f t="shared" si="121"/>
        <v>0.22760161664383657</v>
      </c>
      <c r="Y70" s="14">
        <f t="shared" si="121"/>
        <v>0.24343089740632545</v>
      </c>
      <c r="Z70" s="14">
        <f t="shared" si="121"/>
        <v>0.2607589717226404</v>
      </c>
      <c r="AA70" s="14">
        <f t="shared" si="121"/>
        <v>0.213876231074526</v>
      </c>
      <c r="AB70" s="14">
        <f t="shared" si="121"/>
        <v>0.19056353444558688</v>
      </c>
      <c r="AC70" s="14">
        <f t="shared" si="121"/>
        <v>7.9734144214564373E-2</v>
      </c>
      <c r="AD70" s="14">
        <f t="shared" si="121"/>
        <v>2.2790289558350444E-2</v>
      </c>
      <c r="AE70" s="14">
        <f t="shared" si="121"/>
        <v>-7.4318616335423082E-2</v>
      </c>
      <c r="AF70" s="14">
        <f t="shared" si="121"/>
        <v>-7.0123334570803914E-2</v>
      </c>
      <c r="AG70" s="14">
        <f t="shared" si="121"/>
        <v>-0.23588827910966387</v>
      </c>
      <c r="AH70" s="14">
        <f t="shared" si="121"/>
        <v>-0.10878130217028376</v>
      </c>
      <c r="AI70" s="14">
        <f t="shared" si="121"/>
        <v>-4.7000305982310128E-2</v>
      </c>
      <c r="AJ70" s="14">
        <f t="shared" si="121"/>
        <v>-1.216805826763309E-4</v>
      </c>
      <c r="AK70" s="14">
        <f t="shared" si="121"/>
        <v>0.10301595876960565</v>
      </c>
      <c r="AL70" s="14">
        <f t="shared" si="121"/>
        <v>0.17776468487770042</v>
      </c>
      <c r="AM70" s="14">
        <f t="shared" ref="AM70" si="122">AM23/AM13</f>
        <v>0.1524881724198352</v>
      </c>
      <c r="AN70" s="14">
        <f t="shared" si="121"/>
        <v>0.1653611782841907</v>
      </c>
      <c r="AO70" s="14">
        <f t="shared" si="121"/>
        <v>0.22350486657989227</v>
      </c>
      <c r="AP70" s="14">
        <f t="shared" si="121"/>
        <v>0.20100064913879689</v>
      </c>
      <c r="AQ70" s="14">
        <f t="shared" si="121"/>
        <v>0.2017747432083391</v>
      </c>
      <c r="AR70" s="14">
        <f t="shared" si="121"/>
        <v>0.18662598382400952</v>
      </c>
      <c r="AS70" s="14">
        <f t="shared" si="121"/>
        <v>0.17419119323502016</v>
      </c>
      <c r="AT70" s="14">
        <f t="shared" si="121"/>
        <v>0.17568957449653919</v>
      </c>
      <c r="AU70" s="14">
        <f t="shared" si="121"/>
        <v>0.16538188489305528</v>
      </c>
      <c r="AV70" s="14">
        <f t="shared" si="121"/>
        <v>0.1745019122307066</v>
      </c>
      <c r="AW70" s="14">
        <f t="shared" si="121"/>
        <v>0.19133963025579762</v>
      </c>
      <c r="AX70" s="14">
        <f t="shared" si="121"/>
        <v>0.18662270132955455</v>
      </c>
      <c r="AY70" s="14">
        <f t="shared" si="121"/>
        <v>0.16994994201525462</v>
      </c>
      <c r="AZ70" s="5"/>
      <c r="BA70" s="5"/>
      <c r="BB70" s="5"/>
      <c r="BC70" s="5"/>
      <c r="BD70" s="5"/>
      <c r="BE70" s="5"/>
      <c r="BF70" s="5"/>
      <c r="BG70" s="4">
        <v>64</v>
      </c>
      <c r="BH70"/>
      <c r="BI70"/>
      <c r="BJ70"/>
      <c r="BK70"/>
      <c r="BL70"/>
      <c r="BM70"/>
    </row>
    <row r="71" spans="1:65" s="3" customFormat="1" ht="12.75" customHeight="1" outlineLevel="1">
      <c r="A71" s="6"/>
      <c r="B71" s="314" t="s">
        <v>318</v>
      </c>
      <c r="C71" s="25"/>
      <c r="D71" s="25">
        <f t="shared" ref="D71:N71" si="123">-D24/C319</f>
        <v>9.7392198259199952E-2</v>
      </c>
      <c r="E71" s="25">
        <f t="shared" si="123"/>
        <v>9.1087086664084244E-2</v>
      </c>
      <c r="F71" s="25">
        <f t="shared" si="123"/>
        <v>5.9859812738865606E-2</v>
      </c>
      <c r="G71" s="25">
        <f t="shared" si="123"/>
        <v>7.4502373089347262E-2</v>
      </c>
      <c r="H71" s="25">
        <f t="shared" si="123"/>
        <v>4.820519971540535E-2</v>
      </c>
      <c r="I71" s="25">
        <f t="shared" si="123"/>
        <v>4.9688697222424014E-2</v>
      </c>
      <c r="J71" s="25">
        <f t="shared" si="123"/>
        <v>5.2808333387191639E-2</v>
      </c>
      <c r="K71" s="25">
        <f t="shared" si="123"/>
        <v>6.1337132404838353E-2</v>
      </c>
      <c r="L71" s="25">
        <f t="shared" si="123"/>
        <v>0.12257462975375889</v>
      </c>
      <c r="M71" s="25">
        <f t="shared" si="123"/>
        <v>7.1803118045533881E-2</v>
      </c>
      <c r="N71" s="25">
        <f t="shared" si="123"/>
        <v>7.1784785349119404E-2</v>
      </c>
      <c r="O71" s="5"/>
      <c r="P71" s="25"/>
      <c r="Q71" s="25"/>
      <c r="R71" s="25"/>
      <c r="S71" s="25"/>
      <c r="T71" s="25"/>
      <c r="U71" s="25"/>
      <c r="V71" s="25"/>
      <c r="W71" s="25"/>
      <c r="X71" s="25">
        <f t="shared" ref="X71:AM71" si="124">-X24*4/W319</f>
        <v>5.6747793044544768E-2</v>
      </c>
      <c r="Y71" s="25">
        <f t="shared" si="124"/>
        <v>5.2525691138983734E-2</v>
      </c>
      <c r="Z71" s="25">
        <f t="shared" si="124"/>
        <v>5.2386930303595654E-2</v>
      </c>
      <c r="AA71" s="25">
        <f t="shared" si="124"/>
        <v>3.1313274981182311E-2</v>
      </c>
      <c r="AB71" s="25">
        <f t="shared" si="124"/>
        <v>4.8882399478221573E-2</v>
      </c>
      <c r="AC71" s="25">
        <f t="shared" si="124"/>
        <v>4.7629516933278215E-2</v>
      </c>
      <c r="AD71" s="25">
        <f t="shared" si="124"/>
        <v>5.1227372611503293E-2</v>
      </c>
      <c r="AE71" s="25">
        <f t="shared" si="124"/>
        <v>5.1798296909887021E-2</v>
      </c>
      <c r="AF71" s="25">
        <f t="shared" si="124"/>
        <v>5.5782119474946198E-2</v>
      </c>
      <c r="AG71" s="25">
        <f t="shared" si="124"/>
        <v>5.4450186244163479E-2</v>
      </c>
      <c r="AH71" s="25">
        <f t="shared" si="124"/>
        <v>5.6429963176614459E-2</v>
      </c>
      <c r="AI71" s="25">
        <f t="shared" si="124"/>
        <v>5.3576579301134006E-2</v>
      </c>
      <c r="AJ71" s="25">
        <f t="shared" si="124"/>
        <v>5.9486627133863892E-2</v>
      </c>
      <c r="AK71" s="25">
        <f t="shared" si="124"/>
        <v>6.1450061471360506E-2</v>
      </c>
      <c r="AL71" s="25">
        <f t="shared" si="124"/>
        <v>6.0845251583307995E-2</v>
      </c>
      <c r="AM71" s="25">
        <f t="shared" si="124"/>
        <v>7.0876656845062405E-2</v>
      </c>
      <c r="AN71" s="313">
        <v>0.08</v>
      </c>
      <c r="AO71" s="313">
        <f>AN71</f>
        <v>0.08</v>
      </c>
      <c r="AP71" s="313">
        <v>7.2499999999999995E-2</v>
      </c>
      <c r="AQ71" s="313">
        <f t="shared" ref="AQ71:AY71" si="125">AP71</f>
        <v>7.2499999999999995E-2</v>
      </c>
      <c r="AR71" s="313">
        <f t="shared" si="125"/>
        <v>7.2499999999999995E-2</v>
      </c>
      <c r="AS71" s="313">
        <f t="shared" si="125"/>
        <v>7.2499999999999995E-2</v>
      </c>
      <c r="AT71" s="313">
        <f t="shared" si="125"/>
        <v>7.2499999999999995E-2</v>
      </c>
      <c r="AU71" s="313">
        <f t="shared" si="125"/>
        <v>7.2499999999999995E-2</v>
      </c>
      <c r="AV71" s="313">
        <f t="shared" si="125"/>
        <v>7.2499999999999995E-2</v>
      </c>
      <c r="AW71" s="313">
        <f t="shared" si="125"/>
        <v>7.2499999999999995E-2</v>
      </c>
      <c r="AX71" s="313">
        <f t="shared" si="125"/>
        <v>7.2499999999999995E-2</v>
      </c>
      <c r="AY71" s="313">
        <f t="shared" si="125"/>
        <v>7.2499999999999995E-2</v>
      </c>
      <c r="AZ71" s="5"/>
      <c r="BA71" s="5"/>
      <c r="BB71" s="5"/>
      <c r="BC71" s="5"/>
      <c r="BD71" s="5"/>
      <c r="BE71" s="5"/>
      <c r="BF71" s="5"/>
      <c r="BG71" s="4">
        <v>65</v>
      </c>
      <c r="BH71"/>
      <c r="BI71"/>
      <c r="BJ71"/>
      <c r="BK71"/>
      <c r="BL71"/>
      <c r="BM71"/>
    </row>
    <row r="72" spans="1:65" s="3" customFormat="1" ht="11.25" outlineLevel="1">
      <c r="A72" s="2"/>
      <c r="B72" s="16" t="s">
        <v>317</v>
      </c>
      <c r="C72" s="25"/>
      <c r="D72" s="25"/>
      <c r="E72" s="25"/>
      <c r="F72" s="25">
        <f t="shared" ref="F72:N72" si="126">-F27/F26</f>
        <v>0.32051562318514359</v>
      </c>
      <c r="G72" s="25">
        <f t="shared" si="126"/>
        <v>0.29087311241843111</v>
      </c>
      <c r="H72" s="25">
        <f t="shared" si="126"/>
        <v>0.31301295029821696</v>
      </c>
      <c r="I72" s="25">
        <f t="shared" si="126"/>
        <v>-1.1166387959866162</v>
      </c>
      <c r="J72" s="25">
        <f t="shared" si="126"/>
        <v>0.47918770652727172</v>
      </c>
      <c r="K72" s="25">
        <f t="shared" si="126"/>
        <v>1.1689140512435012E-2</v>
      </c>
      <c r="L72" s="25">
        <f t="shared" si="126"/>
        <v>4.0000000000000015E-2</v>
      </c>
      <c r="M72" s="25">
        <f t="shared" si="126"/>
        <v>0.20999999999999988</v>
      </c>
      <c r="N72" s="25">
        <f t="shared" si="126"/>
        <v>0.20999999999999994</v>
      </c>
      <c r="P72" s="25"/>
      <c r="Q72" s="25"/>
      <c r="R72" s="25"/>
      <c r="S72" s="25"/>
      <c r="T72" s="25">
        <f t="shared" ref="T72:AL72" si="127">-T27/T26</f>
        <v>0.30190172692259909</v>
      </c>
      <c r="U72" s="25">
        <f t="shared" si="127"/>
        <v>0.30376137917750162</v>
      </c>
      <c r="V72" s="25">
        <f t="shared" si="127"/>
        <v>0.30047645790684618</v>
      </c>
      <c r="W72" s="25">
        <f t="shared" si="127"/>
        <v>0.33273175941954281</v>
      </c>
      <c r="X72" s="25">
        <f t="shared" si="127"/>
        <v>0.29195789903944402</v>
      </c>
      <c r="Y72" s="25">
        <f t="shared" si="127"/>
        <v>0.29390975080082588</v>
      </c>
      <c r="Z72" s="25">
        <f t="shared" si="127"/>
        <v>0.28143935631270489</v>
      </c>
      <c r="AA72" s="25">
        <f t="shared" si="127"/>
        <v>0.38602941176470584</v>
      </c>
      <c r="AB72" s="25">
        <f t="shared" si="127"/>
        <v>0.25697616030224057</v>
      </c>
      <c r="AC72" s="25">
        <f t="shared" si="127"/>
        <v>-5.1216854340718009E-2</v>
      </c>
      <c r="AD72" s="25">
        <f t="shared" si="127"/>
        <v>0.40238647663241645</v>
      </c>
      <c r="AE72" s="25">
        <f t="shared" si="127"/>
        <v>0.40011543178702874</v>
      </c>
      <c r="AF72" s="25">
        <f t="shared" si="127"/>
        <v>0.57273190807444374</v>
      </c>
      <c r="AG72" s="25">
        <f t="shared" si="127"/>
        <v>0.59201946918908999</v>
      </c>
      <c r="AH72" s="25">
        <f t="shared" si="127"/>
        <v>0.53875340511090941</v>
      </c>
      <c r="AI72" s="25">
        <f t="shared" si="127"/>
        <v>5.4095967889071277E-2</v>
      </c>
      <c r="AJ72" s="25">
        <f t="shared" si="127"/>
        <v>9.1415830546265106E-2</v>
      </c>
      <c r="AK72" s="25">
        <f t="shared" si="127"/>
        <v>4.7088653445621471E-2</v>
      </c>
      <c r="AL72" s="25">
        <f t="shared" si="127"/>
        <v>7.3102752634512783E-2</v>
      </c>
      <c r="AM72" s="25">
        <f t="shared" ref="AM72" si="128">-AM27/AM26</f>
        <v>-4.9816747309886639E-2</v>
      </c>
      <c r="AN72" s="312">
        <v>0.04</v>
      </c>
      <c r="AO72" s="312">
        <v>0.04</v>
      </c>
      <c r="AP72" s="312">
        <v>0.04</v>
      </c>
      <c r="AQ72" s="312">
        <v>0.04</v>
      </c>
      <c r="AR72" s="312">
        <v>0.21</v>
      </c>
      <c r="AS72" s="312">
        <v>0.21</v>
      </c>
      <c r="AT72" s="312">
        <v>0.21</v>
      </c>
      <c r="AU72" s="312">
        <v>0.21</v>
      </c>
      <c r="AV72" s="312">
        <v>0.21</v>
      </c>
      <c r="AW72" s="312">
        <v>0.21</v>
      </c>
      <c r="AX72" s="312">
        <v>0.21</v>
      </c>
      <c r="AY72" s="312">
        <v>0.21</v>
      </c>
      <c r="BG72" s="4">
        <v>66</v>
      </c>
      <c r="BH72"/>
      <c r="BI72"/>
      <c r="BJ72"/>
      <c r="BK72"/>
      <c r="BL72"/>
      <c r="BM72"/>
    </row>
    <row r="73" spans="1:65" s="3" customFormat="1" ht="12.75" customHeight="1" outlineLevel="1">
      <c r="A73" s="6"/>
      <c r="B73" s="5"/>
      <c r="C73" s="25"/>
      <c r="D73" s="25"/>
      <c r="E73" s="25"/>
      <c r="F73" s="25"/>
      <c r="G73" s="25"/>
      <c r="H73" s="25"/>
      <c r="I73" s="25"/>
      <c r="J73" s="25"/>
      <c r="K73" s="25"/>
      <c r="L73" s="25"/>
      <c r="M73" s="25"/>
      <c r="N73" s="25"/>
      <c r="O73" s="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5"/>
      <c r="AO73" s="5"/>
      <c r="AP73" s="5"/>
      <c r="AQ73" s="5"/>
      <c r="AR73" s="5"/>
      <c r="AS73" s="5"/>
      <c r="AT73" s="5"/>
      <c r="AU73" s="5"/>
      <c r="AV73" s="5"/>
      <c r="AW73" s="5"/>
      <c r="AX73" s="5"/>
      <c r="AY73" s="5"/>
      <c r="AZ73" s="5"/>
      <c r="BA73" s="5"/>
      <c r="BB73" s="5"/>
      <c r="BC73" s="5"/>
      <c r="BD73" s="5"/>
      <c r="BE73" s="5"/>
      <c r="BF73" s="5"/>
      <c r="BG73" s="4">
        <v>67</v>
      </c>
      <c r="BH73"/>
      <c r="BI73"/>
      <c r="BJ73"/>
      <c r="BK73"/>
      <c r="BL73"/>
      <c r="BM73"/>
    </row>
    <row r="74" spans="1:65" s="3" customFormat="1" ht="12.75" customHeight="1" outlineLevel="2">
      <c r="A74" s="2"/>
      <c r="B74" s="174" t="s">
        <v>316</v>
      </c>
      <c r="C74" s="86">
        <f>C$7</f>
        <v>2009</v>
      </c>
      <c r="D74" s="86">
        <f>D$7</f>
        <v>2010</v>
      </c>
      <c r="E74" s="86">
        <f>E$7</f>
        <v>2011</v>
      </c>
      <c r="F74" s="309"/>
      <c r="G74" s="309"/>
      <c r="H74" s="309"/>
      <c r="I74" s="309"/>
      <c r="J74" s="309"/>
      <c r="K74" s="309"/>
      <c r="L74" s="309"/>
      <c r="M74" s="309"/>
      <c r="N74" s="309"/>
      <c r="O74" s="309"/>
      <c r="P74" s="310"/>
      <c r="Q74" s="310"/>
      <c r="R74" s="310"/>
      <c r="S74" s="310"/>
      <c r="T74" s="310"/>
      <c r="U74" s="310"/>
      <c r="V74" s="310"/>
      <c r="W74" s="310"/>
      <c r="X74" s="310"/>
      <c r="Y74" s="310"/>
      <c r="Z74" s="310"/>
      <c r="AA74" s="310"/>
      <c r="AB74" s="310"/>
      <c r="AC74" s="310"/>
      <c r="AD74" s="310"/>
      <c r="AE74" s="310"/>
      <c r="AF74" s="310"/>
      <c r="AG74" s="310"/>
      <c r="AH74" s="310"/>
      <c r="AI74" s="310"/>
      <c r="AJ74" s="310"/>
      <c r="AK74" s="310"/>
      <c r="AL74" s="310"/>
      <c r="AM74" s="310"/>
      <c r="AN74" s="309"/>
      <c r="AO74" s="309"/>
      <c r="AP74" s="309"/>
      <c r="AQ74" s="309"/>
      <c r="AR74" s="309"/>
      <c r="AS74" s="309"/>
      <c r="AT74" s="309"/>
      <c r="AU74" s="309"/>
      <c r="AV74" s="309"/>
      <c r="AW74" s="309"/>
      <c r="AX74" s="309"/>
      <c r="AY74" s="309"/>
      <c r="AZ74" s="133"/>
      <c r="BG74" s="4">
        <v>68</v>
      </c>
      <c r="BH74"/>
      <c r="BI74"/>
      <c r="BJ74"/>
      <c r="BK74"/>
      <c r="BL74"/>
      <c r="BM74"/>
    </row>
    <row r="75" spans="1:65" s="3" customFormat="1" ht="12.75" customHeight="1" outlineLevel="2">
      <c r="A75" s="2"/>
      <c r="B75" s="16" t="s">
        <v>315</v>
      </c>
      <c r="C75" s="306"/>
      <c r="D75" s="306"/>
      <c r="E75" s="306"/>
      <c r="F75" s="306">
        <v>-502.41699999999997</v>
      </c>
      <c r="G75" s="306">
        <v>-627.84199999999998</v>
      </c>
      <c r="H75" s="15">
        <f t="shared" ref="H75:N85" si="129">SUMIF($P$4:$AZ$4,H$4,$P75:$AZ75)</f>
        <v>-851.45399999999995</v>
      </c>
      <c r="I75" s="15">
        <f t="shared" si="129"/>
        <v>-608.84500000000003</v>
      </c>
      <c r="J75" s="15">
        <f t="shared" si="129"/>
        <v>-459.714</v>
      </c>
      <c r="K75" s="15">
        <f t="shared" si="129"/>
        <v>-659.75800000000004</v>
      </c>
      <c r="L75" s="15">
        <f t="shared" si="129"/>
        <v>-1244.7943042482984</v>
      </c>
      <c r="M75" s="15">
        <f t="shared" si="129"/>
        <v>-1752.9693214108074</v>
      </c>
      <c r="N75" s="15">
        <f t="shared" si="129"/>
        <v>-1770.8178014108075</v>
      </c>
      <c r="P75" s="15"/>
      <c r="Q75" s="15"/>
      <c r="R75" s="15"/>
      <c r="S75" s="15"/>
      <c r="T75" s="306">
        <v>-132.13300000000001</v>
      </c>
      <c r="U75" s="306">
        <f>-266.406-T75</f>
        <v>-134.273</v>
      </c>
      <c r="V75" s="306">
        <v>-165.666</v>
      </c>
      <c r="W75" s="306">
        <v>-195.77</v>
      </c>
      <c r="X75" s="306">
        <v>-191.11199999999999</v>
      </c>
      <c r="Y75" s="306">
        <v>-211.19</v>
      </c>
      <c r="Z75" s="306">
        <v>-228.583</v>
      </c>
      <c r="AA75" s="306">
        <v>-220.56899999999999</v>
      </c>
      <c r="AB75" s="306">
        <v>-202.548</v>
      </c>
      <c r="AC75" s="306">
        <v>-165.13</v>
      </c>
      <c r="AD75" s="306">
        <v>-131.679</v>
      </c>
      <c r="AE75" s="306">
        <v>-109.488</v>
      </c>
      <c r="AF75" s="306">
        <v>-118.464</v>
      </c>
      <c r="AG75" s="306">
        <v>-114.129</v>
      </c>
      <c r="AH75" s="306">
        <v>-114.873</v>
      </c>
      <c r="AI75" s="306">
        <v>-112.248</v>
      </c>
      <c r="AJ75" s="306">
        <v>-131.75200000000001</v>
      </c>
      <c r="AK75" s="306">
        <v>-163.136</v>
      </c>
      <c r="AL75" s="306">
        <v>-180.58199999999999</v>
      </c>
      <c r="AM75" s="306">
        <v>-184.28800000000001</v>
      </c>
      <c r="AN75" s="15">
        <f t="shared" ref="AN75:AY75" si="130">SUM(AN77:AN79)-AN76</f>
        <v>-187.0597829758367</v>
      </c>
      <c r="AO75" s="15">
        <f t="shared" si="130"/>
        <v>-180.85786056705814</v>
      </c>
      <c r="AP75" s="15">
        <f t="shared" si="130"/>
        <v>-438.0890803527019</v>
      </c>
      <c r="AQ75" s="15">
        <f t="shared" si="130"/>
        <v>-438.78758035270187</v>
      </c>
      <c r="AR75" s="15">
        <f t="shared" si="130"/>
        <v>-434.01658035270185</v>
      </c>
      <c r="AS75" s="15">
        <f t="shared" si="130"/>
        <v>-439.14558035270193</v>
      </c>
      <c r="AT75" s="15">
        <f t="shared" si="130"/>
        <v>-440.99758035270179</v>
      </c>
      <c r="AU75" s="15">
        <f t="shared" si="130"/>
        <v>-438.8095803527018</v>
      </c>
      <c r="AV75" s="15">
        <f t="shared" si="130"/>
        <v>-436.97358035270184</v>
      </c>
      <c r="AW75" s="15">
        <f t="shared" si="130"/>
        <v>-447.17358035270183</v>
      </c>
      <c r="AX75" s="15">
        <f t="shared" si="130"/>
        <v>-445.98834035270187</v>
      </c>
      <c r="AY75" s="15">
        <f t="shared" si="130"/>
        <v>-440.68230035270187</v>
      </c>
      <c r="BG75" s="4">
        <v>69</v>
      </c>
      <c r="BH75"/>
      <c r="BI75"/>
      <c r="BJ75"/>
      <c r="BK75"/>
      <c r="BL75"/>
      <c r="BM75"/>
    </row>
    <row r="76" spans="1:65" s="3" customFormat="1" ht="12.75" customHeight="1" outlineLevel="2">
      <c r="A76" s="2"/>
      <c r="B76" s="16" t="s">
        <v>314</v>
      </c>
      <c r="C76" s="306"/>
      <c r="D76" s="306"/>
      <c r="E76" s="306"/>
      <c r="F76" s="306">
        <v>-65.430000000000007</v>
      </c>
      <c r="G76" s="306">
        <v>-81.858000000000004</v>
      </c>
      <c r="H76" s="15">
        <f t="shared" si="129"/>
        <v>-114.227</v>
      </c>
      <c r="I76" s="15">
        <f t="shared" si="129"/>
        <v>-80.665999999999997</v>
      </c>
      <c r="J76" s="15">
        <f t="shared" si="129"/>
        <v>-70.27000000000001</v>
      </c>
      <c r="K76" s="15">
        <f t="shared" si="129"/>
        <v>-103.169</v>
      </c>
      <c r="L76" s="15">
        <f t="shared" si="129"/>
        <v>-139.5</v>
      </c>
      <c r="M76" s="15">
        <f t="shared" si="129"/>
        <v>-180</v>
      </c>
      <c r="N76" s="15">
        <f t="shared" si="129"/>
        <v>-180</v>
      </c>
      <c r="P76" s="15"/>
      <c r="Q76" s="15"/>
      <c r="R76" s="15"/>
      <c r="S76" s="15"/>
      <c r="T76" s="306">
        <v>-16.991</v>
      </c>
      <c r="U76" s="306">
        <f>-36.28-T76</f>
        <v>-19.289000000000001</v>
      </c>
      <c r="V76" s="306">
        <v>-22.885000000000002</v>
      </c>
      <c r="W76" s="306">
        <v>-22.693000000000001</v>
      </c>
      <c r="X76" s="306">
        <v>-21.777999999999999</v>
      </c>
      <c r="Y76" s="306">
        <v>-27.39</v>
      </c>
      <c r="Z76" s="306">
        <v>-29.954000000000001</v>
      </c>
      <c r="AA76" s="306">
        <v>-35.104999999999997</v>
      </c>
      <c r="AB76" s="306">
        <v>-24.02</v>
      </c>
      <c r="AC76" s="306">
        <v>-19.204000000000001</v>
      </c>
      <c r="AD76" s="306">
        <v>-18.314</v>
      </c>
      <c r="AE76" s="306">
        <v>-19.128</v>
      </c>
      <c r="AF76" s="306">
        <v>-16.625</v>
      </c>
      <c r="AG76" s="306">
        <v>-21.126000000000001</v>
      </c>
      <c r="AH76" s="306">
        <v>-15.443</v>
      </c>
      <c r="AI76" s="306">
        <f>-18.58-AI20</f>
        <v>-17.076000000000001</v>
      </c>
      <c r="AJ76" s="306">
        <f>-22.47+2.416</f>
        <v>-20.053999999999998</v>
      </c>
      <c r="AK76" s="306">
        <f>-25.863+2.763</f>
        <v>-23.1</v>
      </c>
      <c r="AL76" s="306">
        <f>-31.105+2.402</f>
        <v>-28.702999999999999</v>
      </c>
      <c r="AM76" s="306">
        <f>-33.802+2.49</f>
        <v>-31.311999999999998</v>
      </c>
      <c r="AN76" s="15">
        <f t="shared" ref="AN76:AY76" si="131">AN19</f>
        <v>-21</v>
      </c>
      <c r="AO76" s="15">
        <f t="shared" si="131"/>
        <v>-21</v>
      </c>
      <c r="AP76" s="15">
        <f t="shared" si="131"/>
        <v>-50</v>
      </c>
      <c r="AQ76" s="15">
        <f t="shared" si="131"/>
        <v>-47.5</v>
      </c>
      <c r="AR76" s="15">
        <f t="shared" si="131"/>
        <v>-45</v>
      </c>
      <c r="AS76" s="15">
        <f t="shared" si="131"/>
        <v>-45</v>
      </c>
      <c r="AT76" s="15">
        <f t="shared" si="131"/>
        <v>-45</v>
      </c>
      <c r="AU76" s="15">
        <f t="shared" si="131"/>
        <v>-45</v>
      </c>
      <c r="AV76" s="15">
        <f t="shared" si="131"/>
        <v>-45</v>
      </c>
      <c r="AW76" s="15">
        <f t="shared" si="131"/>
        <v>-45</v>
      </c>
      <c r="AX76" s="15">
        <f t="shared" si="131"/>
        <v>-45</v>
      </c>
      <c r="AY76" s="15">
        <f t="shared" si="131"/>
        <v>-45</v>
      </c>
      <c r="BG76" s="4">
        <v>70</v>
      </c>
      <c r="BH76"/>
      <c r="BI76"/>
      <c r="BJ76"/>
      <c r="BK76"/>
      <c r="BL76"/>
      <c r="BM76"/>
    </row>
    <row r="77" spans="1:65" s="3" customFormat="1" ht="12.75" customHeight="1" outlineLevel="2">
      <c r="A77" s="2"/>
      <c r="B77" s="16" t="s">
        <v>313</v>
      </c>
      <c r="C77" s="15"/>
      <c r="D77" s="15">
        <f t="shared" ref="D77:G78" si="132">-(D11-D16)</f>
        <v>-331.92999999999995</v>
      </c>
      <c r="E77" s="15">
        <f t="shared" si="132"/>
        <v>-468.79900000000004</v>
      </c>
      <c r="F77" s="15">
        <f t="shared" si="132"/>
        <v>-441.6</v>
      </c>
      <c r="G77" s="15">
        <f t="shared" si="132"/>
        <v>-559.89099999999996</v>
      </c>
      <c r="H77" s="15">
        <f t="shared" si="129"/>
        <v>-801.4445363000001</v>
      </c>
      <c r="I77" s="15">
        <f t="shared" si="129"/>
        <v>-556.93299999999999</v>
      </c>
      <c r="J77" s="15">
        <f t="shared" si="129"/>
        <v>-387.29600000000005</v>
      </c>
      <c r="K77" s="15">
        <f t="shared" si="129"/>
        <v>-590.70699999999999</v>
      </c>
      <c r="L77" s="15">
        <f t="shared" si="129"/>
        <v>-1021.1301230482985</v>
      </c>
      <c r="M77" s="15">
        <f t="shared" si="129"/>
        <v>-1370.4953214108073</v>
      </c>
      <c r="N77" s="15">
        <f t="shared" si="129"/>
        <v>-1380.6943214108073</v>
      </c>
      <c r="P77" s="15"/>
      <c r="Q77" s="15"/>
      <c r="R77" s="15"/>
      <c r="S77" s="15"/>
      <c r="T77" s="15">
        <f t="shared" ref="T77:AY77" si="133">-(T11-T16)</f>
        <v>-112.983</v>
      </c>
      <c r="U77" s="15">
        <f t="shared" si="133"/>
        <v>-115.036</v>
      </c>
      <c r="V77" s="15">
        <f t="shared" si="133"/>
        <v>-149.73199999999997</v>
      </c>
      <c r="W77" s="15">
        <f t="shared" si="133"/>
        <v>-182.14099999999999</v>
      </c>
      <c r="X77" s="15">
        <f t="shared" si="133"/>
        <v>-177.48000000000002</v>
      </c>
      <c r="Y77" s="15">
        <f t="shared" si="133"/>
        <v>-196.76853630000005</v>
      </c>
      <c r="Z77" s="15">
        <f t="shared" si="133"/>
        <v>-215.60399999999998</v>
      </c>
      <c r="AA77" s="15">
        <f t="shared" si="133"/>
        <v>-211.59199999999998</v>
      </c>
      <c r="AB77" s="15">
        <f t="shared" si="133"/>
        <v>-189.05</v>
      </c>
      <c r="AC77" s="15">
        <f t="shared" si="133"/>
        <v>-150.35000000000002</v>
      </c>
      <c r="AD77" s="15">
        <f t="shared" si="133"/>
        <v>-119.52200000000001</v>
      </c>
      <c r="AE77" s="15">
        <f t="shared" si="133"/>
        <v>-98.01100000000001</v>
      </c>
      <c r="AF77" s="15">
        <f t="shared" si="133"/>
        <v>-104.779</v>
      </c>
      <c r="AG77" s="15">
        <f t="shared" si="133"/>
        <v>-89.376000000000005</v>
      </c>
      <c r="AH77" s="15">
        <f t="shared" si="133"/>
        <v>-96.784000000000006</v>
      </c>
      <c r="AI77" s="15">
        <f t="shared" si="133"/>
        <v>-96.356999999999999</v>
      </c>
      <c r="AJ77" s="15">
        <f t="shared" si="133"/>
        <v>-113.64699999999999</v>
      </c>
      <c r="AK77" s="15">
        <f t="shared" si="133"/>
        <v>-144.43900000000002</v>
      </c>
      <c r="AL77" s="15">
        <f t="shared" si="133"/>
        <v>-164.65</v>
      </c>
      <c r="AM77" s="15">
        <f t="shared" ref="AM77" si="134">-(AM11-AM16)</f>
        <v>-167.971</v>
      </c>
      <c r="AN77" s="15">
        <f t="shared" si="133"/>
        <v>-168.03866997583668</v>
      </c>
      <c r="AO77" s="15">
        <f t="shared" si="133"/>
        <v>-161.21479236705812</v>
      </c>
      <c r="AP77" s="15">
        <f t="shared" si="133"/>
        <v>-343.0890803527019</v>
      </c>
      <c r="AQ77" s="15">
        <f t="shared" si="133"/>
        <v>-348.78758035270187</v>
      </c>
      <c r="AR77" s="15">
        <f t="shared" si="133"/>
        <v>-344.01658035270185</v>
      </c>
      <c r="AS77" s="15">
        <f t="shared" si="133"/>
        <v>-339.14558035270193</v>
      </c>
      <c r="AT77" s="15">
        <f t="shared" si="133"/>
        <v>-342.15958035270177</v>
      </c>
      <c r="AU77" s="15">
        <f t="shared" si="133"/>
        <v>-345.17358035270183</v>
      </c>
      <c r="AV77" s="15">
        <f t="shared" si="133"/>
        <v>-345.17358035270183</v>
      </c>
      <c r="AW77" s="15">
        <f t="shared" si="133"/>
        <v>-345.17358035270183</v>
      </c>
      <c r="AX77" s="15">
        <f t="shared" si="133"/>
        <v>-345.17358035270183</v>
      </c>
      <c r="AY77" s="15">
        <f t="shared" si="133"/>
        <v>-345.17358035270183</v>
      </c>
      <c r="BG77" s="4">
        <v>71</v>
      </c>
      <c r="BH77"/>
      <c r="BI77"/>
      <c r="BJ77"/>
      <c r="BK77"/>
      <c r="BL77"/>
      <c r="BM77"/>
    </row>
    <row r="78" spans="1:65" s="3" customFormat="1" ht="12.75" customHeight="1" outlineLevel="2">
      <c r="A78" s="2"/>
      <c r="B78" s="16" t="s">
        <v>312</v>
      </c>
      <c r="C78" s="15"/>
      <c r="D78" s="15">
        <f t="shared" si="132"/>
        <v>-66.067999999999998</v>
      </c>
      <c r="E78" s="15">
        <f t="shared" si="132"/>
        <v>-72.751000000000005</v>
      </c>
      <c r="F78" s="15">
        <f t="shared" si="132"/>
        <v>-89.501999999999995</v>
      </c>
      <c r="G78" s="15">
        <f t="shared" si="132"/>
        <v>-97.409000000000006</v>
      </c>
      <c r="H78" s="15">
        <f t="shared" si="129"/>
        <v>-89.390724000000006</v>
      </c>
      <c r="I78" s="15">
        <f t="shared" si="129"/>
        <v>-79.861000000000004</v>
      </c>
      <c r="J78" s="15">
        <f t="shared" si="129"/>
        <v>-72.87</v>
      </c>
      <c r="K78" s="15">
        <f t="shared" si="129"/>
        <v>-69.051000000000016</v>
      </c>
      <c r="L78" s="15">
        <f t="shared" si="129"/>
        <v>-223.66418119999997</v>
      </c>
      <c r="M78" s="15">
        <f t="shared" si="129"/>
        <v>-382.47400000000005</v>
      </c>
      <c r="N78" s="15">
        <f t="shared" si="129"/>
        <v>-390.12348000000009</v>
      </c>
      <c r="P78" s="15"/>
      <c r="Q78" s="15"/>
      <c r="R78" s="15"/>
      <c r="S78" s="15"/>
      <c r="T78" s="15">
        <f t="shared" ref="T78:AY78" si="135">-(T12-T17)</f>
        <v>-25.42</v>
      </c>
      <c r="U78" s="15">
        <f t="shared" si="135"/>
        <v>-27.533000000000001</v>
      </c>
      <c r="V78" s="15">
        <f t="shared" si="135"/>
        <v>-23.405000000000001</v>
      </c>
      <c r="W78" s="15">
        <f t="shared" si="135"/>
        <v>-21.051000000000002</v>
      </c>
      <c r="X78" s="15">
        <f t="shared" si="135"/>
        <v>-22.146999999999998</v>
      </c>
      <c r="Y78" s="15">
        <f t="shared" si="135"/>
        <v>-22.693723999999996</v>
      </c>
      <c r="Z78" s="15">
        <f t="shared" si="135"/>
        <v>-22.762999999999998</v>
      </c>
      <c r="AA78" s="15">
        <f t="shared" si="135"/>
        <v>-21.786999999999999</v>
      </c>
      <c r="AB78" s="15">
        <f t="shared" si="135"/>
        <v>-21.544999999999998</v>
      </c>
      <c r="AC78" s="15">
        <f t="shared" si="135"/>
        <v>-21.973000000000003</v>
      </c>
      <c r="AD78" s="15">
        <f t="shared" si="135"/>
        <v>-18.335999999999999</v>
      </c>
      <c r="AE78" s="15">
        <f t="shared" si="135"/>
        <v>-18.007000000000001</v>
      </c>
      <c r="AF78" s="15">
        <f t="shared" si="135"/>
        <v>-19.149000000000001</v>
      </c>
      <c r="AG78" s="15">
        <f t="shared" si="135"/>
        <v>-19.741</v>
      </c>
      <c r="AH78" s="15">
        <f t="shared" si="135"/>
        <v>-18.089000000000002</v>
      </c>
      <c r="AI78" s="15">
        <f t="shared" si="135"/>
        <v>-15.890999999999998</v>
      </c>
      <c r="AJ78" s="15">
        <f t="shared" si="135"/>
        <v>-18.105</v>
      </c>
      <c r="AK78" s="15">
        <f t="shared" si="135"/>
        <v>-18.697000000000003</v>
      </c>
      <c r="AL78" s="15">
        <f t="shared" si="135"/>
        <v>-15.931999999999999</v>
      </c>
      <c r="AM78" s="15">
        <f t="shared" ref="AM78" si="136">-(AM12-AM17)</f>
        <v>-16.317</v>
      </c>
      <c r="AN78" s="15">
        <f t="shared" si="135"/>
        <v>-19.021113</v>
      </c>
      <c r="AO78" s="15">
        <f t="shared" si="135"/>
        <v>-19.643068200000002</v>
      </c>
      <c r="AP78" s="15">
        <f t="shared" si="135"/>
        <v>-94.999999999999986</v>
      </c>
      <c r="AQ78" s="15">
        <f t="shared" si="135"/>
        <v>-90</v>
      </c>
      <c r="AR78" s="15">
        <f t="shared" si="135"/>
        <v>-90.000000000000014</v>
      </c>
      <c r="AS78" s="15">
        <f t="shared" si="135"/>
        <v>-100</v>
      </c>
      <c r="AT78" s="15">
        <f t="shared" si="135"/>
        <v>-98.838000000000008</v>
      </c>
      <c r="AU78" s="15">
        <f t="shared" si="135"/>
        <v>-93.635999999999996</v>
      </c>
      <c r="AV78" s="15">
        <f t="shared" si="135"/>
        <v>-91.800000000000011</v>
      </c>
      <c r="AW78" s="15">
        <f t="shared" si="135"/>
        <v>-102</v>
      </c>
      <c r="AX78" s="15">
        <f t="shared" si="135"/>
        <v>-100.81476000000004</v>
      </c>
      <c r="AY78" s="15">
        <f t="shared" si="135"/>
        <v>-95.508720000000011</v>
      </c>
      <c r="BG78" s="4">
        <v>72</v>
      </c>
      <c r="BH78"/>
      <c r="BI78"/>
      <c r="BJ78"/>
      <c r="BK78"/>
      <c r="BL78"/>
      <c r="BM78"/>
    </row>
    <row r="79" spans="1:65" s="3" customFormat="1" ht="12.75" customHeight="1" outlineLevel="2">
      <c r="A79" s="2"/>
      <c r="B79" s="16" t="s">
        <v>311</v>
      </c>
      <c r="C79" s="15"/>
      <c r="D79" s="15"/>
      <c r="E79" s="15"/>
      <c r="F79" s="15">
        <f>SUM(F75:F76)-SUM(F77:F78)</f>
        <v>-36.745000000000005</v>
      </c>
      <c r="G79" s="15">
        <f>SUM(G75:G76)-SUM(G77:G78)</f>
        <v>-52.400000000000091</v>
      </c>
      <c r="H79" s="15">
        <f t="shared" si="129"/>
        <v>-74.845739699999882</v>
      </c>
      <c r="I79" s="15">
        <f t="shared" si="129"/>
        <v>-52.716999999999942</v>
      </c>
      <c r="J79" s="15">
        <f t="shared" si="129"/>
        <v>-69.818000000000012</v>
      </c>
      <c r="K79" s="15">
        <f t="shared" si="129"/>
        <v>-103.16900000000001</v>
      </c>
      <c r="L79" s="15">
        <f t="shared" si="129"/>
        <v>-139.5</v>
      </c>
      <c r="M79" s="15">
        <f t="shared" si="129"/>
        <v>-180</v>
      </c>
      <c r="N79" s="15">
        <f t="shared" si="129"/>
        <v>-180</v>
      </c>
      <c r="P79" s="15"/>
      <c r="Q79" s="15"/>
      <c r="R79" s="15"/>
      <c r="S79" s="15"/>
      <c r="T79" s="15">
        <f t="shared" ref="T79:AL79" si="137">SUM(T75:T76)-SUM(T77:T78)</f>
        <v>-10.721000000000004</v>
      </c>
      <c r="U79" s="15">
        <f t="shared" si="137"/>
        <v>-10.992999999999995</v>
      </c>
      <c r="V79" s="15">
        <f t="shared" si="137"/>
        <v>-15.414000000000016</v>
      </c>
      <c r="W79" s="15">
        <f t="shared" si="137"/>
        <v>-15.271000000000015</v>
      </c>
      <c r="X79" s="15">
        <f t="shared" si="137"/>
        <v>-13.262999999999977</v>
      </c>
      <c r="Y79" s="15">
        <f t="shared" si="137"/>
        <v>-19.11773969999993</v>
      </c>
      <c r="Z79" s="15">
        <f t="shared" si="137"/>
        <v>-20.169999999999987</v>
      </c>
      <c r="AA79" s="15">
        <f t="shared" si="137"/>
        <v>-22.294999999999987</v>
      </c>
      <c r="AB79" s="15">
        <f t="shared" si="137"/>
        <v>-15.973000000000013</v>
      </c>
      <c r="AC79" s="15">
        <f t="shared" si="137"/>
        <v>-12.010999999999967</v>
      </c>
      <c r="AD79" s="15">
        <f t="shared" si="137"/>
        <v>-12.134999999999991</v>
      </c>
      <c r="AE79" s="15">
        <f t="shared" si="137"/>
        <v>-12.597999999999971</v>
      </c>
      <c r="AF79" s="15">
        <f t="shared" si="137"/>
        <v>-11.161000000000001</v>
      </c>
      <c r="AG79" s="15">
        <f t="shared" si="137"/>
        <v>-26.137999999999991</v>
      </c>
      <c r="AH79" s="15">
        <f t="shared" si="137"/>
        <v>-15.442999999999998</v>
      </c>
      <c r="AI79" s="15">
        <f t="shared" si="137"/>
        <v>-17.076000000000022</v>
      </c>
      <c r="AJ79" s="15">
        <f t="shared" si="137"/>
        <v>-20.05400000000003</v>
      </c>
      <c r="AK79" s="15">
        <f t="shared" si="137"/>
        <v>-23.099999999999966</v>
      </c>
      <c r="AL79" s="15">
        <f t="shared" si="137"/>
        <v>-28.703000000000003</v>
      </c>
      <c r="AM79" s="15">
        <f t="shared" ref="AM79" si="138">SUM(AM75:AM76)-SUM(AM77:AM78)</f>
        <v>-31.312000000000012</v>
      </c>
      <c r="AN79" s="15">
        <f t="shared" ref="AN79:AY79" si="139">AN81+AN80</f>
        <v>-21</v>
      </c>
      <c r="AO79" s="15">
        <f t="shared" si="139"/>
        <v>-21</v>
      </c>
      <c r="AP79" s="15">
        <f t="shared" si="139"/>
        <v>-50</v>
      </c>
      <c r="AQ79" s="15">
        <f t="shared" si="139"/>
        <v>-47.5</v>
      </c>
      <c r="AR79" s="15">
        <f t="shared" si="139"/>
        <v>-45</v>
      </c>
      <c r="AS79" s="15">
        <f t="shared" si="139"/>
        <v>-45</v>
      </c>
      <c r="AT79" s="15">
        <f t="shared" si="139"/>
        <v>-45</v>
      </c>
      <c r="AU79" s="15">
        <f t="shared" si="139"/>
        <v>-45</v>
      </c>
      <c r="AV79" s="15">
        <f t="shared" si="139"/>
        <v>-45</v>
      </c>
      <c r="AW79" s="15">
        <f t="shared" si="139"/>
        <v>-45</v>
      </c>
      <c r="AX79" s="15">
        <f t="shared" si="139"/>
        <v>-45</v>
      </c>
      <c r="AY79" s="15">
        <f t="shared" si="139"/>
        <v>-45</v>
      </c>
      <c r="BG79" s="4">
        <v>73</v>
      </c>
      <c r="BH79"/>
      <c r="BI79"/>
      <c r="BJ79"/>
      <c r="BK79"/>
      <c r="BL79"/>
      <c r="BM79"/>
    </row>
    <row r="80" spans="1:65" s="3" customFormat="1" ht="12.75" customHeight="1" outlineLevel="2">
      <c r="A80" s="2"/>
      <c r="B80" s="16" t="s">
        <v>310</v>
      </c>
      <c r="C80" s="306">
        <f>-1.846-0.58</f>
        <v>-2.4260000000000002</v>
      </c>
      <c r="D80" s="306">
        <f>-2.907-2.1-17.536</f>
        <v>-22.542999999999999</v>
      </c>
      <c r="E80" s="306">
        <v>-0.54300000000000004</v>
      </c>
      <c r="F80" s="306">
        <f>-(0.273+0.596+1.414)</f>
        <v>-2.2829999999999999</v>
      </c>
      <c r="G80" s="306">
        <f>-(6.424+12.462)</f>
        <v>-18.885999999999999</v>
      </c>
      <c r="H80" s="15">
        <f t="shared" si="129"/>
        <v>-9.8880000000000017</v>
      </c>
      <c r="I80" s="15">
        <f t="shared" si="129"/>
        <v>-0.32400000000000001</v>
      </c>
      <c r="J80" s="15">
        <f t="shared" si="129"/>
        <v>-16.8</v>
      </c>
      <c r="K80" s="15">
        <f t="shared" si="129"/>
        <v>-6.835</v>
      </c>
      <c r="L80" s="15">
        <f t="shared" si="129"/>
        <v>0</v>
      </c>
      <c r="M80" s="15">
        <f t="shared" si="129"/>
        <v>0</v>
      </c>
      <c r="N80" s="15">
        <f t="shared" si="129"/>
        <v>0</v>
      </c>
      <c r="P80" s="15"/>
      <c r="Q80" s="15"/>
      <c r="R80" s="15"/>
      <c r="S80" s="15"/>
      <c r="T80" s="306">
        <v>-0.19700000000000001</v>
      </c>
      <c r="U80" s="306">
        <f>-1.699-T80</f>
        <v>-1.502</v>
      </c>
      <c r="V80" s="306">
        <v>-5.3540000000000001</v>
      </c>
      <c r="W80" s="306">
        <f>-5.409</f>
        <v>-5.4089999999999998</v>
      </c>
      <c r="X80" s="306">
        <v>-5.1999999999999998E-2</v>
      </c>
      <c r="Y80" s="306">
        <f>-0.637-1.621-X80</f>
        <v>-2.206</v>
      </c>
      <c r="Z80" s="306">
        <v>-3.0169999999999999</v>
      </c>
      <c r="AA80" s="306">
        <f>-0.038-4.575</f>
        <v>-4.6130000000000004</v>
      </c>
      <c r="AB80" s="306">
        <v>-0.32400000000000001</v>
      </c>
      <c r="AC80" s="306">
        <v>0</v>
      </c>
      <c r="AD80" s="306">
        <v>0</v>
      </c>
      <c r="AE80" s="306">
        <v>0</v>
      </c>
      <c r="AF80" s="306">
        <v>0</v>
      </c>
      <c r="AG80" s="306">
        <f>-5.3-10.3</f>
        <v>-15.600000000000001</v>
      </c>
      <c r="AH80" s="306">
        <v>0</v>
      </c>
      <c r="AI80" s="306">
        <v>-1.2</v>
      </c>
      <c r="AJ80" s="306">
        <v>0</v>
      </c>
      <c r="AK80" s="306">
        <v>0</v>
      </c>
      <c r="AL80" s="306">
        <v>0</v>
      </c>
      <c r="AM80" s="306">
        <v>-6.835</v>
      </c>
      <c r="AN80" s="306">
        <v>0</v>
      </c>
      <c r="AO80" s="306">
        <v>0</v>
      </c>
      <c r="AP80" s="306">
        <v>0</v>
      </c>
      <c r="AQ80" s="306">
        <v>0</v>
      </c>
      <c r="AR80" s="306">
        <v>0</v>
      </c>
      <c r="AS80" s="306">
        <v>0</v>
      </c>
      <c r="AT80" s="306">
        <v>0</v>
      </c>
      <c r="AU80" s="306">
        <v>0</v>
      </c>
      <c r="AV80" s="306">
        <v>0</v>
      </c>
      <c r="AW80" s="306">
        <v>0</v>
      </c>
      <c r="AX80" s="306">
        <v>0</v>
      </c>
      <c r="AY80" s="306">
        <v>0</v>
      </c>
      <c r="BG80" s="4">
        <v>74</v>
      </c>
      <c r="BH80"/>
      <c r="BI80"/>
      <c r="BJ80"/>
      <c r="BK80"/>
      <c r="BL80"/>
      <c r="BM80"/>
    </row>
    <row r="81" spans="1:257" s="3" customFormat="1" ht="12.75" customHeight="1" outlineLevel="2">
      <c r="A81" s="2"/>
      <c r="B81" s="126" t="s">
        <v>309</v>
      </c>
      <c r="C81" s="15"/>
      <c r="D81" s="15"/>
      <c r="E81" s="15"/>
      <c r="F81" s="15">
        <f>F79-F80</f>
        <v>-34.462000000000003</v>
      </c>
      <c r="G81" s="15">
        <f>G79-G80</f>
        <v>-33.514000000000095</v>
      </c>
      <c r="H81" s="15">
        <f t="shared" si="129"/>
        <v>-64.957739699999877</v>
      </c>
      <c r="I81" s="15">
        <f t="shared" si="129"/>
        <v>-52.411999999999978</v>
      </c>
      <c r="J81" s="15">
        <f t="shared" si="129"/>
        <v>-53.018000000000015</v>
      </c>
      <c r="K81" s="15">
        <f t="shared" si="129"/>
        <v>-96.334000000000003</v>
      </c>
      <c r="L81" s="15">
        <f t="shared" si="129"/>
        <v>-139.5</v>
      </c>
      <c r="M81" s="15">
        <f t="shared" si="129"/>
        <v>-180</v>
      </c>
      <c r="N81" s="15">
        <f t="shared" si="129"/>
        <v>-180</v>
      </c>
      <c r="P81" s="15"/>
      <c r="Q81" s="15"/>
      <c r="R81" s="15"/>
      <c r="S81" s="15"/>
      <c r="T81" s="15">
        <f t="shared" ref="T81:AD81" si="140">T79-T80</f>
        <v>-10.524000000000004</v>
      </c>
      <c r="U81" s="15">
        <f t="shared" si="140"/>
        <v>-9.4909999999999943</v>
      </c>
      <c r="V81" s="15">
        <f t="shared" si="140"/>
        <v>-10.060000000000016</v>
      </c>
      <c r="W81" s="15">
        <f t="shared" si="140"/>
        <v>-9.8620000000000161</v>
      </c>
      <c r="X81" s="15">
        <f t="shared" si="140"/>
        <v>-13.210999999999977</v>
      </c>
      <c r="Y81" s="15">
        <f t="shared" si="140"/>
        <v>-16.911739699999931</v>
      </c>
      <c r="Z81" s="15">
        <f t="shared" si="140"/>
        <v>-17.152999999999988</v>
      </c>
      <c r="AA81" s="15">
        <f t="shared" si="140"/>
        <v>-17.681999999999988</v>
      </c>
      <c r="AB81" s="15">
        <f t="shared" si="140"/>
        <v>-15.649000000000013</v>
      </c>
      <c r="AC81" s="15">
        <f t="shared" si="140"/>
        <v>-12.010999999999967</v>
      </c>
      <c r="AD81" s="15">
        <f t="shared" si="140"/>
        <v>-12.134999999999991</v>
      </c>
      <c r="AE81" s="307">
        <v>-12.617000000000001</v>
      </c>
      <c r="AF81" s="15">
        <f t="shared" ref="AF81:AM81" si="141">AF79-AF80</f>
        <v>-11.161000000000001</v>
      </c>
      <c r="AG81" s="15">
        <f t="shared" si="141"/>
        <v>-10.53799999999999</v>
      </c>
      <c r="AH81" s="15">
        <f t="shared" si="141"/>
        <v>-15.442999999999998</v>
      </c>
      <c r="AI81" s="15">
        <f t="shared" si="141"/>
        <v>-15.876000000000023</v>
      </c>
      <c r="AJ81" s="15">
        <f t="shared" si="141"/>
        <v>-20.05400000000003</v>
      </c>
      <c r="AK81" s="15">
        <f t="shared" si="141"/>
        <v>-23.099999999999966</v>
      </c>
      <c r="AL81" s="15">
        <f t="shared" si="141"/>
        <v>-28.703000000000003</v>
      </c>
      <c r="AM81" s="15">
        <f t="shared" si="141"/>
        <v>-24.477000000000011</v>
      </c>
      <c r="AN81" s="15">
        <f t="shared" ref="AN81:AY81" si="142">AN76</f>
        <v>-21</v>
      </c>
      <c r="AO81" s="15">
        <f t="shared" si="142"/>
        <v>-21</v>
      </c>
      <c r="AP81" s="15">
        <f t="shared" si="142"/>
        <v>-50</v>
      </c>
      <c r="AQ81" s="15">
        <f t="shared" si="142"/>
        <v>-47.5</v>
      </c>
      <c r="AR81" s="15">
        <f t="shared" si="142"/>
        <v>-45</v>
      </c>
      <c r="AS81" s="15">
        <f t="shared" si="142"/>
        <v>-45</v>
      </c>
      <c r="AT81" s="15">
        <f t="shared" si="142"/>
        <v>-45</v>
      </c>
      <c r="AU81" s="15">
        <f t="shared" si="142"/>
        <v>-45</v>
      </c>
      <c r="AV81" s="15">
        <f t="shared" si="142"/>
        <v>-45</v>
      </c>
      <c r="AW81" s="15">
        <f t="shared" si="142"/>
        <v>-45</v>
      </c>
      <c r="AX81" s="15">
        <f t="shared" si="142"/>
        <v>-45</v>
      </c>
      <c r="AY81" s="15">
        <f t="shared" si="142"/>
        <v>-45</v>
      </c>
      <c r="BG81" s="4">
        <v>75</v>
      </c>
      <c r="BH81"/>
      <c r="BI81"/>
      <c r="BJ81"/>
      <c r="BK81"/>
      <c r="BL81"/>
      <c r="BM81"/>
    </row>
    <row r="82" spans="1:257" s="3" customFormat="1" ht="12.75" customHeight="1" outlineLevel="2">
      <c r="A82" s="2"/>
      <c r="B82" s="16" t="s">
        <v>308</v>
      </c>
      <c r="C82" s="306">
        <v>0</v>
      </c>
      <c r="D82" s="306">
        <v>0</v>
      </c>
      <c r="E82" s="306">
        <v>-12.682</v>
      </c>
      <c r="F82" s="306">
        <v>0</v>
      </c>
      <c r="G82" s="306">
        <v>-11.76</v>
      </c>
      <c r="H82" s="15">
        <f t="shared" si="129"/>
        <v>-1.921</v>
      </c>
      <c r="I82" s="15">
        <f t="shared" si="129"/>
        <v>-98.328999999999994</v>
      </c>
      <c r="J82" s="15">
        <f t="shared" si="129"/>
        <v>-98.992999999999995</v>
      </c>
      <c r="K82" s="15">
        <f t="shared" si="129"/>
        <v>-7.5980000000000008</v>
      </c>
      <c r="L82" s="15">
        <f t="shared" si="129"/>
        <v>0</v>
      </c>
      <c r="M82" s="15">
        <f t="shared" si="129"/>
        <v>0</v>
      </c>
      <c r="N82" s="15">
        <f t="shared" si="129"/>
        <v>0</v>
      </c>
      <c r="P82" s="15"/>
      <c r="Q82" s="15"/>
      <c r="R82" s="15"/>
      <c r="S82" s="15"/>
      <c r="T82" s="306">
        <v>0</v>
      </c>
      <c r="U82" s="306">
        <v>0</v>
      </c>
      <c r="V82" s="307">
        <f>-2.037-11.76</f>
        <v>-13.797000000000001</v>
      </c>
      <c r="W82" s="307">
        <f>-6.424</f>
        <v>-6.4240000000000004</v>
      </c>
      <c r="X82" s="306">
        <v>0</v>
      </c>
      <c r="Y82" s="306">
        <v>0</v>
      </c>
      <c r="Z82" s="306">
        <v>-1.921</v>
      </c>
      <c r="AA82" s="308">
        <v>0</v>
      </c>
      <c r="AB82" s="308">
        <v>0</v>
      </c>
      <c r="AC82" s="306">
        <f>-14.824-0.465-AC80</f>
        <v>-15.289</v>
      </c>
      <c r="AD82" s="306">
        <f>-0.627-2.336-2.117-0.864</f>
        <v>-5.944</v>
      </c>
      <c r="AE82" s="306">
        <f>-7.288-0.299-0.263-69.246</f>
        <v>-77.095999999999989</v>
      </c>
      <c r="AF82" s="306">
        <v>-7.5999999999999998E-2</v>
      </c>
      <c r="AG82" s="306">
        <f>-90.578-1.155</f>
        <v>-91.733000000000004</v>
      </c>
      <c r="AH82" s="306">
        <v>-9.8000000000000007</v>
      </c>
      <c r="AI82" s="306">
        <f>5.11-2.494</f>
        <v>2.6160000000000001</v>
      </c>
      <c r="AJ82" s="306">
        <v>0</v>
      </c>
      <c r="AK82" s="306">
        <v>0</v>
      </c>
      <c r="AL82" s="306">
        <v>0</v>
      </c>
      <c r="AM82" s="306">
        <f>-2.898-4.7</f>
        <v>-7.5980000000000008</v>
      </c>
      <c r="AN82" s="306">
        <v>0</v>
      </c>
      <c r="AO82" s="306">
        <v>0</v>
      </c>
      <c r="AP82" s="306">
        <v>0</v>
      </c>
      <c r="AQ82" s="306">
        <v>0</v>
      </c>
      <c r="AR82" s="306">
        <v>0</v>
      </c>
      <c r="AS82" s="306">
        <v>0</v>
      </c>
      <c r="AT82" s="306">
        <v>0</v>
      </c>
      <c r="AU82" s="306">
        <v>0</v>
      </c>
      <c r="AV82" s="306">
        <v>0</v>
      </c>
      <c r="AW82" s="306">
        <v>0</v>
      </c>
      <c r="AX82" s="306">
        <v>0</v>
      </c>
      <c r="AY82" s="306">
        <v>0</v>
      </c>
      <c r="BG82" s="4">
        <v>76</v>
      </c>
      <c r="BH82"/>
      <c r="BI82"/>
      <c r="BJ82"/>
      <c r="BK82"/>
      <c r="BL82"/>
      <c r="BM82"/>
    </row>
    <row r="83" spans="1:257" s="3" customFormat="1" ht="12.75" customHeight="1" outlineLevel="2">
      <c r="A83" s="2"/>
      <c r="B83" s="126" t="s">
        <v>307</v>
      </c>
      <c r="C83" s="15">
        <f>C80+C82</f>
        <v>-2.4260000000000002</v>
      </c>
      <c r="D83" s="15">
        <f>D80+D82</f>
        <v>-22.542999999999999</v>
      </c>
      <c r="E83" s="15">
        <f>E80+E82</f>
        <v>-13.225</v>
      </c>
      <c r="F83" s="15">
        <f>F80+F82</f>
        <v>-2.2829999999999999</v>
      </c>
      <c r="G83" s="15">
        <f>G80+G82</f>
        <v>-30.646000000000001</v>
      </c>
      <c r="H83" s="15">
        <f t="shared" si="129"/>
        <v>-11.809000000000001</v>
      </c>
      <c r="I83" s="15">
        <f t="shared" si="129"/>
        <v>-98.652999999999992</v>
      </c>
      <c r="J83" s="15">
        <f t="shared" si="129"/>
        <v>-115.79299999999999</v>
      </c>
      <c r="K83" s="15">
        <f t="shared" si="129"/>
        <v>-14.433</v>
      </c>
      <c r="L83" s="15">
        <f t="shared" si="129"/>
        <v>0</v>
      </c>
      <c r="M83" s="15">
        <f t="shared" si="129"/>
        <v>0</v>
      </c>
      <c r="N83" s="15">
        <f t="shared" si="129"/>
        <v>0</v>
      </c>
      <c r="P83" s="15"/>
      <c r="Q83" s="15"/>
      <c r="R83" s="15"/>
      <c r="S83" s="15"/>
      <c r="T83" s="15">
        <f t="shared" ref="T83:AY83" si="143">T80+T82</f>
        <v>-0.19700000000000001</v>
      </c>
      <c r="U83" s="15">
        <f t="shared" si="143"/>
        <v>-1.502</v>
      </c>
      <c r="V83" s="15">
        <f t="shared" si="143"/>
        <v>-19.151</v>
      </c>
      <c r="W83" s="15">
        <f t="shared" si="143"/>
        <v>-11.833</v>
      </c>
      <c r="X83" s="15">
        <f t="shared" si="143"/>
        <v>-5.1999999999999998E-2</v>
      </c>
      <c r="Y83" s="15">
        <f t="shared" si="143"/>
        <v>-2.206</v>
      </c>
      <c r="Z83" s="15">
        <f t="shared" si="143"/>
        <v>-4.9379999999999997</v>
      </c>
      <c r="AA83" s="15">
        <f t="shared" si="143"/>
        <v>-4.6130000000000004</v>
      </c>
      <c r="AB83" s="15">
        <f t="shared" si="143"/>
        <v>-0.32400000000000001</v>
      </c>
      <c r="AC83" s="15">
        <f t="shared" si="143"/>
        <v>-15.289</v>
      </c>
      <c r="AD83" s="15">
        <f t="shared" si="143"/>
        <v>-5.944</v>
      </c>
      <c r="AE83" s="15">
        <f t="shared" si="143"/>
        <v>-77.095999999999989</v>
      </c>
      <c r="AF83" s="15">
        <f t="shared" si="143"/>
        <v>-7.5999999999999998E-2</v>
      </c>
      <c r="AG83" s="15">
        <f t="shared" si="143"/>
        <v>-107.333</v>
      </c>
      <c r="AH83" s="15">
        <f t="shared" si="143"/>
        <v>-9.8000000000000007</v>
      </c>
      <c r="AI83" s="15">
        <f t="shared" si="143"/>
        <v>1.4160000000000001</v>
      </c>
      <c r="AJ83" s="15">
        <f t="shared" si="143"/>
        <v>0</v>
      </c>
      <c r="AK83" s="15">
        <f t="shared" si="143"/>
        <v>0</v>
      </c>
      <c r="AL83" s="15">
        <f t="shared" si="143"/>
        <v>0</v>
      </c>
      <c r="AM83" s="15">
        <f t="shared" si="143"/>
        <v>-14.433</v>
      </c>
      <c r="AN83" s="15">
        <f t="shared" si="143"/>
        <v>0</v>
      </c>
      <c r="AO83" s="15">
        <f t="shared" si="143"/>
        <v>0</v>
      </c>
      <c r="AP83" s="15">
        <f t="shared" si="143"/>
        <v>0</v>
      </c>
      <c r="AQ83" s="15">
        <f t="shared" si="143"/>
        <v>0</v>
      </c>
      <c r="AR83" s="15">
        <f t="shared" si="143"/>
        <v>0</v>
      </c>
      <c r="AS83" s="15">
        <f t="shared" si="143"/>
        <v>0</v>
      </c>
      <c r="AT83" s="15">
        <f t="shared" si="143"/>
        <v>0</v>
      </c>
      <c r="AU83" s="15">
        <f t="shared" si="143"/>
        <v>0</v>
      </c>
      <c r="AV83" s="15">
        <f t="shared" si="143"/>
        <v>0</v>
      </c>
      <c r="AW83" s="15">
        <f t="shared" si="143"/>
        <v>0</v>
      </c>
      <c r="AX83" s="15">
        <f t="shared" si="143"/>
        <v>0</v>
      </c>
      <c r="AY83" s="15">
        <f t="shared" si="143"/>
        <v>0</v>
      </c>
      <c r="BG83" s="4">
        <v>77</v>
      </c>
      <c r="BH83"/>
      <c r="BI83"/>
      <c r="BJ83"/>
      <c r="BK83"/>
      <c r="BL83"/>
      <c r="BM83"/>
    </row>
    <row r="84" spans="1:257" s="3" customFormat="1" ht="12.75" customHeight="1" outlineLevel="2">
      <c r="A84" s="2"/>
      <c r="B84" s="16" t="s">
        <v>306</v>
      </c>
      <c r="C84" s="15">
        <f>C80*(1-C465)+C82</f>
        <v>-1.5487584000000003</v>
      </c>
      <c r="D84" s="15">
        <f>D80*(1-D465)+D82</f>
        <v>-14.391451200000001</v>
      </c>
      <c r="E84" s="15">
        <f>E80*(1-E465)+E82</f>
        <v>-13.028651200000001</v>
      </c>
      <c r="F84" s="15">
        <f>F80*(1-F465)+F82</f>
        <v>-1.4574672000000002</v>
      </c>
      <c r="G84" s="15">
        <f>G80*(1-G465)+G82</f>
        <v>-23.356003999999999</v>
      </c>
      <c r="H84" s="15">
        <f t="shared" si="129"/>
        <v>-7.8872499999999999</v>
      </c>
      <c r="I84" s="15">
        <f t="shared" si="129"/>
        <v>-102.05600000000001</v>
      </c>
      <c r="J84" s="15">
        <f t="shared" si="129"/>
        <v>-75.662499999999994</v>
      </c>
      <c r="K84" s="15">
        <f t="shared" si="129"/>
        <v>-9.020624999999999</v>
      </c>
      <c r="L84" s="15">
        <f t="shared" si="129"/>
        <v>0</v>
      </c>
      <c r="M84" s="15">
        <f t="shared" si="129"/>
        <v>0</v>
      </c>
      <c r="N84" s="15">
        <f t="shared" si="129"/>
        <v>0</v>
      </c>
      <c r="P84" s="15"/>
      <c r="Q84" s="15"/>
      <c r="R84" s="15"/>
      <c r="S84" s="15"/>
      <c r="T84" s="15">
        <f>T80*(1-T465)+T82</f>
        <v>-0.12095800000000001</v>
      </c>
      <c r="U84" s="15">
        <f>U80*(1-U465)+U82</f>
        <v>-0.92222799999999994</v>
      </c>
      <c r="V84" s="307">
        <v>-13.597</v>
      </c>
      <c r="W84" s="307">
        <v>-7.2919999999999998</v>
      </c>
      <c r="X84" s="15">
        <f>(X80+X82)*(1-X465)</f>
        <v>-3.2500000000000001E-2</v>
      </c>
      <c r="Y84" s="15">
        <f>(Y80+Y82)*(1-Y465)</f>
        <v>-1.3787499999999999</v>
      </c>
      <c r="Z84" s="306">
        <v>-3.7080000000000002</v>
      </c>
      <c r="AA84" s="306">
        <v>-2.7679999999999998</v>
      </c>
      <c r="AB84" s="306">
        <v>-0.19400000000000001</v>
      </c>
      <c r="AC84" s="306">
        <f>-9.173+20.42</f>
        <v>11.247000000000002</v>
      </c>
      <c r="AD84" s="306">
        <f>-3.566-35.351</f>
        <v>-38.917000000000002</v>
      </c>
      <c r="AE84" s="306">
        <f>-46.258-27.934</f>
        <v>-74.192000000000007</v>
      </c>
      <c r="AF84" s="306">
        <f>(AF80+AF82)*(1-AF465)</f>
        <v>-4.7500000000000001E-2</v>
      </c>
      <c r="AG84" s="306">
        <v>-70.099999999999994</v>
      </c>
      <c r="AH84" s="306">
        <v>-6.4</v>
      </c>
      <c r="AI84" s="15">
        <f t="shared" ref="AI84:AY84" si="144">(AI80+AI82)*(1-AI465)</f>
        <v>0.88500000000000012</v>
      </c>
      <c r="AJ84" s="15">
        <f t="shared" si="144"/>
        <v>0</v>
      </c>
      <c r="AK84" s="15">
        <f t="shared" si="144"/>
        <v>0</v>
      </c>
      <c r="AL84" s="15">
        <f t="shared" si="144"/>
        <v>0</v>
      </c>
      <c r="AM84" s="15">
        <f t="shared" si="144"/>
        <v>-9.020624999999999</v>
      </c>
      <c r="AN84" s="15">
        <f t="shared" si="144"/>
        <v>0</v>
      </c>
      <c r="AO84" s="15">
        <f t="shared" si="144"/>
        <v>0</v>
      </c>
      <c r="AP84" s="15">
        <f t="shared" si="144"/>
        <v>0</v>
      </c>
      <c r="AQ84" s="15">
        <f t="shared" si="144"/>
        <v>0</v>
      </c>
      <c r="AR84" s="15">
        <f t="shared" si="144"/>
        <v>0</v>
      </c>
      <c r="AS84" s="15">
        <f t="shared" si="144"/>
        <v>0</v>
      </c>
      <c r="AT84" s="15">
        <f t="shared" si="144"/>
        <v>0</v>
      </c>
      <c r="AU84" s="15">
        <f t="shared" si="144"/>
        <v>0</v>
      </c>
      <c r="AV84" s="15">
        <f t="shared" si="144"/>
        <v>0</v>
      </c>
      <c r="AW84" s="15">
        <f t="shared" si="144"/>
        <v>0</v>
      </c>
      <c r="AX84" s="15">
        <f t="shared" si="144"/>
        <v>0</v>
      </c>
      <c r="AY84" s="15">
        <f t="shared" si="144"/>
        <v>0</v>
      </c>
      <c r="BG84" s="4">
        <v>78</v>
      </c>
      <c r="BH84"/>
      <c r="BI84"/>
      <c r="BJ84"/>
      <c r="BK84"/>
      <c r="BL84"/>
      <c r="BM84"/>
    </row>
    <row r="85" spans="1:257" s="3" customFormat="1" ht="12.75" customHeight="1" outlineLevel="2">
      <c r="A85" s="2"/>
      <c r="B85" s="16" t="s">
        <v>305</v>
      </c>
      <c r="C85" s="15">
        <f>C84-C83</f>
        <v>0.87724159999999984</v>
      </c>
      <c r="D85" s="15">
        <f>D84-D83</f>
        <v>8.1515487999999987</v>
      </c>
      <c r="E85" s="15">
        <f>E84-E83</f>
        <v>0.1963487999999991</v>
      </c>
      <c r="F85" s="15">
        <f>F84-F83</f>
        <v>0.82553279999999973</v>
      </c>
      <c r="G85" s="15">
        <f>G84-G83</f>
        <v>7.2899960000000021</v>
      </c>
      <c r="H85" s="15">
        <f t="shared" si="129"/>
        <v>3.9217500000000003</v>
      </c>
      <c r="I85" s="15">
        <f t="shared" si="129"/>
        <v>-3.4030000000000165</v>
      </c>
      <c r="J85" s="15">
        <f t="shared" si="129"/>
        <v>40.130500000000005</v>
      </c>
      <c r="K85" s="15">
        <f t="shared" si="129"/>
        <v>5.4123750000000008</v>
      </c>
      <c r="L85" s="15">
        <f t="shared" si="129"/>
        <v>0</v>
      </c>
      <c r="M85" s="15">
        <f t="shared" si="129"/>
        <v>0</v>
      </c>
      <c r="N85" s="15">
        <f t="shared" si="129"/>
        <v>0</v>
      </c>
      <c r="P85" s="15"/>
      <c r="Q85" s="15"/>
      <c r="R85" s="15"/>
      <c r="S85" s="15"/>
      <c r="T85" s="15">
        <f t="shared" ref="T85:AY85" si="145">T84-T83</f>
        <v>7.6041999999999998E-2</v>
      </c>
      <c r="U85" s="15">
        <f t="shared" si="145"/>
        <v>0.57977200000000007</v>
      </c>
      <c r="V85" s="15">
        <f t="shared" si="145"/>
        <v>5.5540000000000003</v>
      </c>
      <c r="W85" s="15">
        <f t="shared" si="145"/>
        <v>4.5410000000000004</v>
      </c>
      <c r="X85" s="15">
        <f t="shared" si="145"/>
        <v>1.9499999999999997E-2</v>
      </c>
      <c r="Y85" s="15">
        <f t="shared" si="145"/>
        <v>0.82725000000000004</v>
      </c>
      <c r="Z85" s="15">
        <f t="shared" si="145"/>
        <v>1.2299999999999995</v>
      </c>
      <c r="AA85" s="15">
        <f t="shared" si="145"/>
        <v>1.8450000000000006</v>
      </c>
      <c r="AB85" s="15">
        <f t="shared" si="145"/>
        <v>0.13</v>
      </c>
      <c r="AC85" s="15">
        <f t="shared" si="145"/>
        <v>26.536000000000001</v>
      </c>
      <c r="AD85" s="15">
        <f t="shared" si="145"/>
        <v>-32.972999999999999</v>
      </c>
      <c r="AE85" s="15">
        <f t="shared" si="145"/>
        <v>2.9039999999999822</v>
      </c>
      <c r="AF85" s="15">
        <f t="shared" si="145"/>
        <v>2.8499999999999998E-2</v>
      </c>
      <c r="AG85" s="15">
        <f t="shared" si="145"/>
        <v>37.233000000000004</v>
      </c>
      <c r="AH85" s="15">
        <f t="shared" si="145"/>
        <v>3.4000000000000004</v>
      </c>
      <c r="AI85" s="15">
        <f t="shared" si="145"/>
        <v>-0.53100000000000003</v>
      </c>
      <c r="AJ85" s="15">
        <f t="shared" si="145"/>
        <v>0</v>
      </c>
      <c r="AK85" s="15">
        <f t="shared" si="145"/>
        <v>0</v>
      </c>
      <c r="AL85" s="15">
        <f t="shared" si="145"/>
        <v>0</v>
      </c>
      <c r="AM85" s="15">
        <f t="shared" si="145"/>
        <v>5.4123750000000008</v>
      </c>
      <c r="AN85" s="15">
        <f t="shared" si="145"/>
        <v>0</v>
      </c>
      <c r="AO85" s="15">
        <f t="shared" si="145"/>
        <v>0</v>
      </c>
      <c r="AP85" s="15">
        <f t="shared" si="145"/>
        <v>0</v>
      </c>
      <c r="AQ85" s="15">
        <f t="shared" si="145"/>
        <v>0</v>
      </c>
      <c r="AR85" s="15">
        <f t="shared" si="145"/>
        <v>0</v>
      </c>
      <c r="AS85" s="15">
        <f t="shared" si="145"/>
        <v>0</v>
      </c>
      <c r="AT85" s="15">
        <f t="shared" si="145"/>
        <v>0</v>
      </c>
      <c r="AU85" s="15">
        <f t="shared" si="145"/>
        <v>0</v>
      </c>
      <c r="AV85" s="15">
        <f t="shared" si="145"/>
        <v>0</v>
      </c>
      <c r="AW85" s="15">
        <f t="shared" si="145"/>
        <v>0</v>
      </c>
      <c r="AX85" s="15">
        <f t="shared" si="145"/>
        <v>0</v>
      </c>
      <c r="AY85" s="15">
        <f t="shared" si="145"/>
        <v>0</v>
      </c>
      <c r="BG85" s="4">
        <v>79</v>
      </c>
      <c r="BH85"/>
      <c r="BI85"/>
      <c r="BJ85"/>
      <c r="BK85"/>
      <c r="BL85"/>
      <c r="BM85"/>
    </row>
    <row r="86" spans="1:257" s="3" customFormat="1" ht="12.75" customHeight="1" outlineLevel="2">
      <c r="A86" s="2"/>
      <c r="B86" s="16"/>
      <c r="C86" s="15"/>
      <c r="D86" s="15"/>
      <c r="E86" s="15"/>
      <c r="F86" s="15"/>
      <c r="G86" s="15"/>
      <c r="H86" s="15"/>
      <c r="I86" s="15"/>
      <c r="J86" s="15"/>
      <c r="K86" s="15"/>
      <c r="L86" s="15"/>
      <c r="M86" s="15"/>
      <c r="N86" s="15"/>
      <c r="P86" s="15"/>
      <c r="Q86" s="15"/>
      <c r="R86" s="15"/>
      <c r="S86" s="15"/>
      <c r="T86" s="15"/>
      <c r="U86" s="15"/>
      <c r="V86" s="15"/>
      <c r="W86" s="15"/>
      <c r="X86" s="15"/>
      <c r="Y86" s="15"/>
      <c r="Z86" s="15"/>
      <c r="AA86" s="15"/>
      <c r="AB86" s="15"/>
      <c r="AC86" s="305"/>
      <c r="AD86" s="305"/>
      <c r="AE86" s="305"/>
      <c r="AF86" s="305"/>
      <c r="AG86" s="305"/>
      <c r="AH86" s="305"/>
      <c r="AI86" s="305"/>
      <c r="AJ86" s="305"/>
      <c r="AK86" s="305"/>
      <c r="AL86" s="305"/>
      <c r="AM86" s="305"/>
      <c r="BG86" s="4">
        <v>80</v>
      </c>
      <c r="BH86"/>
      <c r="BI86"/>
      <c r="BJ86"/>
      <c r="BK86"/>
      <c r="BL86"/>
      <c r="BM86"/>
    </row>
    <row r="87" spans="1:257" s="296" customFormat="1" ht="12.75" customHeight="1" outlineLevel="1">
      <c r="A87" s="6" t="s">
        <v>0</v>
      </c>
      <c r="B87" s="304" t="s">
        <v>304</v>
      </c>
      <c r="C87" s="303"/>
      <c r="D87" s="303"/>
      <c r="E87" s="303"/>
      <c r="F87" s="302"/>
      <c r="G87" s="302"/>
      <c r="H87" s="302"/>
      <c r="I87" s="302"/>
      <c r="J87" s="302"/>
      <c r="K87" s="302"/>
      <c r="L87" s="302"/>
      <c r="M87" s="302"/>
      <c r="N87" s="300"/>
      <c r="O87" s="301"/>
      <c r="P87" s="300"/>
      <c r="Q87" s="300"/>
      <c r="R87" s="300"/>
      <c r="S87" s="300"/>
      <c r="T87" s="300"/>
      <c r="U87" s="300"/>
      <c r="V87" s="300"/>
      <c r="W87" s="300"/>
      <c r="X87" s="298"/>
      <c r="Y87" s="298"/>
      <c r="Z87" s="298"/>
      <c r="AA87" s="298"/>
      <c r="AB87" s="298"/>
      <c r="AC87" s="298"/>
      <c r="AD87" s="300"/>
      <c r="AE87" s="298"/>
      <c r="AF87" s="298"/>
      <c r="AG87" s="300"/>
      <c r="AH87" s="300"/>
      <c r="AI87" s="300"/>
      <c r="AJ87" s="300"/>
      <c r="AK87" s="300"/>
      <c r="AL87" s="300"/>
      <c r="AM87" s="300"/>
      <c r="AN87" s="299"/>
      <c r="AO87" s="298"/>
      <c r="AP87" s="298"/>
      <c r="AQ87" s="298"/>
      <c r="AR87" s="298"/>
      <c r="AS87" s="298"/>
      <c r="AT87" s="298"/>
      <c r="AU87" s="298"/>
      <c r="AV87" s="298"/>
      <c r="AW87" s="298"/>
      <c r="AX87" s="298"/>
      <c r="AY87" s="298"/>
      <c r="AZ87" s="297"/>
      <c r="BA87" s="297"/>
      <c r="BB87" s="297"/>
      <c r="BC87" s="297"/>
      <c r="BD87" s="297"/>
      <c r="BE87" s="297"/>
      <c r="BF87" s="297"/>
      <c r="BG87" s="4">
        <v>81</v>
      </c>
      <c r="BH87"/>
      <c r="BI87"/>
      <c r="BJ87"/>
      <c r="BK87"/>
      <c r="BL87"/>
      <c r="BM87"/>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c r="HF87" s="3"/>
      <c r="HG87" s="3"/>
      <c r="HH87" s="3"/>
      <c r="HI87" s="3"/>
      <c r="HJ87" s="3"/>
      <c r="HK87" s="3"/>
      <c r="HL87" s="3"/>
      <c r="HM87" s="3"/>
      <c r="HN87" s="3"/>
      <c r="HO87" s="3"/>
      <c r="HP87" s="3"/>
      <c r="HQ87" s="3"/>
      <c r="HR87" s="3"/>
      <c r="HS87" s="3"/>
      <c r="HT87" s="3"/>
      <c r="HU87" s="3"/>
      <c r="HV87" s="3"/>
      <c r="HW87" s="3"/>
      <c r="HX87" s="3"/>
      <c r="HY87" s="3"/>
      <c r="HZ87" s="3"/>
      <c r="IA87" s="3"/>
      <c r="IB87" s="3"/>
      <c r="IC87" s="3"/>
      <c r="ID87" s="3"/>
      <c r="IE87" s="3"/>
      <c r="IF87" s="3"/>
      <c r="IG87" s="3"/>
      <c r="IH87" s="3"/>
      <c r="II87" s="3"/>
      <c r="IJ87" s="3"/>
      <c r="IK87" s="3"/>
      <c r="IL87" s="3"/>
      <c r="IM87" s="3"/>
      <c r="IN87" s="3"/>
      <c r="IO87" s="3"/>
      <c r="IP87" s="3"/>
      <c r="IQ87" s="3"/>
      <c r="IR87" s="3"/>
      <c r="IS87" s="3"/>
      <c r="IT87" s="3"/>
      <c r="IU87" s="3"/>
      <c r="IV87" s="3"/>
      <c r="IW87" s="3"/>
    </row>
    <row r="88" spans="1:257" s="229" customFormat="1" ht="12.75" customHeight="1" outlineLevel="2">
      <c r="A88" s="233"/>
      <c r="B88" s="213" t="s">
        <v>303</v>
      </c>
      <c r="C88" s="288"/>
      <c r="D88" s="288"/>
      <c r="E88" s="288"/>
      <c r="F88" s="223">
        <v>2690.509</v>
      </c>
      <c r="G88" s="223">
        <v>4088.136</v>
      </c>
      <c r="H88" s="295">
        <f t="shared" ref="H88:J89" si="146">SUMIF($P$4:$AN$4,H$4,$P88:$AN88)</f>
        <v>5711.8248800000001</v>
      </c>
      <c r="I88" s="295">
        <f t="shared" si="146"/>
        <v>5437.3019999999997</v>
      </c>
      <c r="J88" s="295">
        <f t="shared" si="146"/>
        <v>6044.442</v>
      </c>
      <c r="K88" s="295">
        <f t="shared" ref="K88:N89" si="147">SUMIF($P$4:$AZ$4,K$4,$P88:$AZ88)</f>
        <v>9495.8349999999991</v>
      </c>
      <c r="L88" s="295">
        <f t="shared" si="147"/>
        <v>18825</v>
      </c>
      <c r="M88" s="295">
        <f t="shared" si="147"/>
        <v>28000</v>
      </c>
      <c r="N88" s="295">
        <f t="shared" si="147"/>
        <v>28000</v>
      </c>
      <c r="O88" s="287"/>
      <c r="P88" s="3"/>
      <c r="Q88" s="3"/>
      <c r="R88" s="3"/>
      <c r="S88" s="3"/>
      <c r="T88" s="3"/>
      <c r="U88" s="3"/>
      <c r="V88" s="286">
        <v>1123.134</v>
      </c>
      <c r="W88" s="286">
        <v>1331.971</v>
      </c>
      <c r="X88" s="286">
        <v>1261.0066299999999</v>
      </c>
      <c r="Y88" s="286">
        <v>1392.5542500000004</v>
      </c>
      <c r="Z88" s="286">
        <v>1542.665</v>
      </c>
      <c r="AA88" s="286">
        <v>1515.5989999999999</v>
      </c>
      <c r="AB88" s="286">
        <v>1487.414</v>
      </c>
      <c r="AC88" s="286">
        <v>1387.203</v>
      </c>
      <c r="AD88" s="286">
        <v>1309.4280000000001</v>
      </c>
      <c r="AE88" s="286">
        <v>1253.2570000000001</v>
      </c>
      <c r="AF88" s="286">
        <v>1413.248</v>
      </c>
      <c r="AG88" s="286">
        <v>1230.077</v>
      </c>
      <c r="AH88" s="286">
        <v>1657.799</v>
      </c>
      <c r="AI88" s="286">
        <v>1743.318</v>
      </c>
      <c r="AJ88" s="286">
        <v>1920.8330000000001</v>
      </c>
      <c r="AK88" s="286">
        <v>2393.6469999999999</v>
      </c>
      <c r="AL88" s="286">
        <v>2616.6489999999999</v>
      </c>
      <c r="AM88" s="286">
        <v>2564.7060000000001</v>
      </c>
      <c r="AN88" s="198">
        <v>2425</v>
      </c>
      <c r="AO88" s="198">
        <v>2650</v>
      </c>
      <c r="AP88" s="198">
        <v>6750</v>
      </c>
      <c r="AQ88" s="198">
        <v>7000</v>
      </c>
      <c r="AR88" s="198">
        <v>7000</v>
      </c>
      <c r="AS88" s="198">
        <v>7000</v>
      </c>
      <c r="AT88" s="198">
        <v>7000</v>
      </c>
      <c r="AU88" s="198">
        <v>7000</v>
      </c>
      <c r="AV88" s="198">
        <v>7000</v>
      </c>
      <c r="AW88" s="198">
        <v>7000</v>
      </c>
      <c r="AX88" s="198">
        <v>7000</v>
      </c>
      <c r="AY88" s="198">
        <v>7000</v>
      </c>
      <c r="BG88" s="4">
        <v>82</v>
      </c>
      <c r="BH88"/>
      <c r="BI88"/>
      <c r="BJ88"/>
      <c r="BK88"/>
      <c r="BL88"/>
      <c r="BM88"/>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c r="HF88" s="3"/>
      <c r="HG88" s="3"/>
      <c r="HH88" s="3"/>
      <c r="HI88" s="3"/>
      <c r="HJ88" s="3"/>
      <c r="HK88" s="3"/>
      <c r="HL88" s="3"/>
      <c r="HM88" s="3"/>
      <c r="HN88" s="3"/>
      <c r="HO88" s="3"/>
      <c r="HP88" s="3"/>
      <c r="HQ88" s="3"/>
      <c r="HR88" s="3"/>
      <c r="HS88" s="3"/>
      <c r="HT88" s="3"/>
      <c r="HU88" s="3"/>
      <c r="HV88" s="3"/>
      <c r="HW88" s="3"/>
      <c r="HX88" s="3"/>
      <c r="HY88" s="3"/>
      <c r="HZ88" s="3"/>
      <c r="IA88" s="3"/>
      <c r="IB88" s="3"/>
      <c r="IC88" s="3"/>
      <c r="ID88" s="3"/>
      <c r="IE88" s="3"/>
      <c r="IF88" s="3"/>
      <c r="IG88" s="3"/>
      <c r="IH88" s="3"/>
      <c r="II88" s="3"/>
      <c r="IJ88" s="3"/>
      <c r="IK88" s="3"/>
      <c r="IL88" s="3"/>
      <c r="IM88" s="3"/>
      <c r="IN88" s="3"/>
      <c r="IO88" s="3"/>
      <c r="IP88" s="3"/>
      <c r="IQ88" s="3"/>
      <c r="IR88" s="3"/>
      <c r="IS88" s="3"/>
      <c r="IT88" s="3"/>
      <c r="IU88" s="3"/>
      <c r="IV88" s="3"/>
      <c r="IW88" s="3"/>
    </row>
    <row r="89" spans="1:257" s="229" customFormat="1" ht="12.75" customHeight="1" outlineLevel="2">
      <c r="A89" s="233"/>
      <c r="B89" s="213" t="s">
        <v>302</v>
      </c>
      <c r="C89" s="288"/>
      <c r="D89" s="288"/>
      <c r="E89" s="288"/>
      <c r="F89" s="223">
        <v>1074.635</v>
      </c>
      <c r="G89" s="223">
        <v>1028.567</v>
      </c>
      <c r="H89" s="295">
        <f t="shared" si="146"/>
        <v>1474.6747700000001</v>
      </c>
      <c r="I89" s="295">
        <f t="shared" si="146"/>
        <v>766.4559999999999</v>
      </c>
      <c r="J89" s="295">
        <f t="shared" si="146"/>
        <v>370.49099999999999</v>
      </c>
      <c r="K89" s="295">
        <f t="shared" si="147"/>
        <v>782.12600000000009</v>
      </c>
      <c r="L89" s="295">
        <f t="shared" si="147"/>
        <v>950</v>
      </c>
      <c r="M89" s="295">
        <f t="shared" si="147"/>
        <v>1350</v>
      </c>
      <c r="N89" s="295">
        <f t="shared" si="147"/>
        <v>1500</v>
      </c>
      <c r="O89" s="3"/>
      <c r="P89" s="3"/>
      <c r="Q89" s="3"/>
      <c r="R89" s="3"/>
      <c r="S89" s="3"/>
      <c r="T89" s="3"/>
      <c r="U89" s="3"/>
      <c r="V89" s="286">
        <v>402.00200000000001</v>
      </c>
      <c r="W89" s="286">
        <v>261.291</v>
      </c>
      <c r="X89" s="286">
        <v>322.37666999999999</v>
      </c>
      <c r="Y89" s="286">
        <v>374.57710000000003</v>
      </c>
      <c r="Z89" s="286">
        <v>402.00200000000001</v>
      </c>
      <c r="AA89" s="286">
        <v>375.71899999999999</v>
      </c>
      <c r="AB89" s="286">
        <v>290.56799999999998</v>
      </c>
      <c r="AC89" s="286">
        <v>206.572</v>
      </c>
      <c r="AD89" s="286">
        <v>154.90199999999999</v>
      </c>
      <c r="AE89" s="286">
        <v>114.414</v>
      </c>
      <c r="AF89" s="286">
        <v>112.70399999999999</v>
      </c>
      <c r="AG89" s="286">
        <v>59.826000000000001</v>
      </c>
      <c r="AH89" s="286">
        <v>96.531999999999996</v>
      </c>
      <c r="AI89" s="286">
        <v>101.429</v>
      </c>
      <c r="AJ89" s="286">
        <v>161.49799999999999</v>
      </c>
      <c r="AK89" s="286">
        <v>193.24199999999999</v>
      </c>
      <c r="AL89" s="286">
        <v>214.88200000000001</v>
      </c>
      <c r="AM89" s="286">
        <v>212.50399999999999</v>
      </c>
      <c r="AN89" s="198">
        <v>200</v>
      </c>
      <c r="AO89" s="198">
        <v>225</v>
      </c>
      <c r="AP89" s="198">
        <v>250</v>
      </c>
      <c r="AQ89" s="198">
        <v>275</v>
      </c>
      <c r="AR89" s="198">
        <v>300</v>
      </c>
      <c r="AS89" s="198">
        <v>325</v>
      </c>
      <c r="AT89" s="198">
        <v>350</v>
      </c>
      <c r="AU89" s="198">
        <v>375</v>
      </c>
      <c r="AV89" s="198">
        <f>AU89</f>
        <v>375</v>
      </c>
      <c r="AW89" s="198">
        <f>AV89</f>
        <v>375</v>
      </c>
      <c r="AX89" s="198">
        <f>AW89</f>
        <v>375</v>
      </c>
      <c r="AY89" s="198">
        <f>AX89</f>
        <v>375</v>
      </c>
      <c r="BG89" s="4">
        <v>83</v>
      </c>
      <c r="BH89"/>
      <c r="BI89"/>
      <c r="BJ89"/>
      <c r="BK89"/>
      <c r="BL89"/>
      <c r="BM89"/>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c r="HF89" s="3"/>
      <c r="HG89" s="3"/>
      <c r="HH89" s="3"/>
      <c r="HI89" s="3"/>
      <c r="HJ89" s="3"/>
      <c r="HK89" s="3"/>
      <c r="HL89" s="3"/>
      <c r="HM89" s="3"/>
      <c r="HN89" s="3"/>
      <c r="HO89" s="3"/>
      <c r="HP89" s="3"/>
      <c r="HQ89" s="3"/>
      <c r="HR89" s="3"/>
      <c r="HS89" s="3"/>
      <c r="HT89" s="3"/>
      <c r="HU89" s="3"/>
      <c r="HV89" s="3"/>
      <c r="HW89" s="3"/>
      <c r="HX89" s="3"/>
      <c r="HY89" s="3"/>
      <c r="HZ89" s="3"/>
      <c r="IA89" s="3"/>
      <c r="IB89" s="3"/>
      <c r="IC89" s="3"/>
      <c r="ID89" s="3"/>
      <c r="IE89" s="3"/>
      <c r="IF89" s="3"/>
      <c r="IG89" s="3"/>
      <c r="IH89" s="3"/>
      <c r="II89" s="3"/>
      <c r="IJ89" s="3"/>
      <c r="IK89" s="3"/>
      <c r="IL89" s="3"/>
      <c r="IM89" s="3"/>
      <c r="IN89" s="3"/>
      <c r="IO89" s="3"/>
      <c r="IP89" s="3"/>
      <c r="IQ89" s="3"/>
      <c r="IR89" s="3"/>
      <c r="IS89" s="3"/>
      <c r="IT89" s="3"/>
      <c r="IU89" s="3"/>
      <c r="IV89" s="3"/>
      <c r="IW89" s="3"/>
    </row>
    <row r="90" spans="1:257" s="229" customFormat="1" ht="12.75" customHeight="1" outlineLevel="2">
      <c r="A90" s="233"/>
      <c r="B90" s="283" t="s">
        <v>301</v>
      </c>
      <c r="C90" s="282"/>
      <c r="D90" s="282"/>
      <c r="E90" s="282"/>
      <c r="F90" s="292">
        <f t="shared" ref="F90:N90" si="148">SUM(F88:F89)</f>
        <v>3765.1440000000002</v>
      </c>
      <c r="G90" s="292">
        <f t="shared" si="148"/>
        <v>5116.7029999999995</v>
      </c>
      <c r="H90" s="292">
        <f t="shared" si="148"/>
        <v>7186.4996499999997</v>
      </c>
      <c r="I90" s="292">
        <f t="shared" si="148"/>
        <v>6203.7579999999998</v>
      </c>
      <c r="J90" s="292">
        <f t="shared" si="148"/>
        <v>6414.933</v>
      </c>
      <c r="K90" s="292">
        <f t="shared" si="148"/>
        <v>10277.960999999999</v>
      </c>
      <c r="L90" s="292">
        <f t="shared" si="148"/>
        <v>19775</v>
      </c>
      <c r="M90" s="292">
        <f t="shared" si="148"/>
        <v>29350</v>
      </c>
      <c r="N90" s="292">
        <f t="shared" si="148"/>
        <v>29500</v>
      </c>
      <c r="O90" s="280"/>
      <c r="P90" s="170"/>
      <c r="Q90" s="170"/>
      <c r="R90" s="170"/>
      <c r="S90" s="170"/>
      <c r="T90" s="294">
        <f>T44</f>
        <v>1008</v>
      </c>
      <c r="U90" s="294">
        <f>U44</f>
        <v>1126</v>
      </c>
      <c r="V90" s="292">
        <f t="shared" ref="V90:AY90" si="149">SUM(V88:V89)</f>
        <v>1525.136</v>
      </c>
      <c r="W90" s="292">
        <f t="shared" si="149"/>
        <v>1593.2619999999999</v>
      </c>
      <c r="X90" s="292">
        <f t="shared" si="149"/>
        <v>1583.3833</v>
      </c>
      <c r="Y90" s="292">
        <f t="shared" si="149"/>
        <v>1767.1313500000003</v>
      </c>
      <c r="Z90" s="292">
        <f t="shared" si="149"/>
        <v>1944.6669999999999</v>
      </c>
      <c r="AA90" s="292">
        <f t="shared" si="149"/>
        <v>1891.318</v>
      </c>
      <c r="AB90" s="292">
        <f t="shared" si="149"/>
        <v>1777.982</v>
      </c>
      <c r="AC90" s="292">
        <f t="shared" si="149"/>
        <v>1593.7750000000001</v>
      </c>
      <c r="AD90" s="292">
        <f t="shared" si="149"/>
        <v>1464.3300000000002</v>
      </c>
      <c r="AE90" s="292">
        <f t="shared" si="149"/>
        <v>1367.671</v>
      </c>
      <c r="AF90" s="292">
        <f t="shared" si="149"/>
        <v>1525.952</v>
      </c>
      <c r="AG90" s="292">
        <f t="shared" si="149"/>
        <v>1289.903</v>
      </c>
      <c r="AH90" s="292">
        <f t="shared" si="149"/>
        <v>1754.3309999999999</v>
      </c>
      <c r="AI90" s="292">
        <f t="shared" si="149"/>
        <v>1844.7470000000001</v>
      </c>
      <c r="AJ90" s="292">
        <f t="shared" si="149"/>
        <v>2082.3310000000001</v>
      </c>
      <c r="AK90" s="292">
        <f t="shared" si="149"/>
        <v>2586.8890000000001</v>
      </c>
      <c r="AL90" s="292">
        <f t="shared" si="149"/>
        <v>2831.5309999999999</v>
      </c>
      <c r="AM90" s="292">
        <f t="shared" si="149"/>
        <v>2777.21</v>
      </c>
      <c r="AN90" s="292">
        <f t="shared" si="149"/>
        <v>2625</v>
      </c>
      <c r="AO90" s="292">
        <f t="shared" si="149"/>
        <v>2875</v>
      </c>
      <c r="AP90" s="292">
        <f t="shared" si="149"/>
        <v>7000</v>
      </c>
      <c r="AQ90" s="292">
        <f t="shared" si="149"/>
        <v>7275</v>
      </c>
      <c r="AR90" s="292">
        <f t="shared" si="149"/>
        <v>7300</v>
      </c>
      <c r="AS90" s="292">
        <f t="shared" si="149"/>
        <v>7325</v>
      </c>
      <c r="AT90" s="292">
        <f t="shared" si="149"/>
        <v>7350</v>
      </c>
      <c r="AU90" s="292">
        <f t="shared" si="149"/>
        <v>7375</v>
      </c>
      <c r="AV90" s="292">
        <f t="shared" si="149"/>
        <v>7375</v>
      </c>
      <c r="AW90" s="292">
        <f t="shared" si="149"/>
        <v>7375</v>
      </c>
      <c r="AX90" s="292">
        <f t="shared" si="149"/>
        <v>7375</v>
      </c>
      <c r="AY90" s="292">
        <f t="shared" si="149"/>
        <v>7375</v>
      </c>
      <c r="BG90" s="4">
        <v>84</v>
      </c>
      <c r="BH90"/>
      <c r="BI90"/>
      <c r="BJ90"/>
      <c r="BK90"/>
      <c r="BL90"/>
      <c r="BM90"/>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c r="HF90" s="3"/>
      <c r="HG90" s="3"/>
      <c r="HH90" s="3"/>
      <c r="HI90" s="3"/>
      <c r="HJ90" s="3"/>
      <c r="HK90" s="3"/>
      <c r="HL90" s="3"/>
      <c r="HM90" s="3"/>
      <c r="HN90" s="3"/>
      <c r="HO90" s="3"/>
      <c r="HP90" s="3"/>
      <c r="HQ90" s="3"/>
      <c r="HR90" s="3"/>
      <c r="HS90" s="3"/>
      <c r="HT90" s="3"/>
      <c r="HU90" s="3"/>
      <c r="HV90" s="3"/>
      <c r="HW90" s="3"/>
      <c r="HX90" s="3"/>
      <c r="HY90" s="3"/>
      <c r="HZ90" s="3"/>
      <c r="IA90" s="3"/>
      <c r="IB90" s="3"/>
      <c r="IC90" s="3"/>
      <c r="ID90" s="3"/>
      <c r="IE90" s="3"/>
      <c r="IF90" s="3"/>
      <c r="IG90" s="3"/>
      <c r="IH90" s="3"/>
      <c r="II90" s="3"/>
      <c r="IJ90" s="3"/>
      <c r="IK90" s="3"/>
      <c r="IL90" s="3"/>
      <c r="IM90" s="3"/>
      <c r="IN90" s="3"/>
      <c r="IO90" s="3"/>
      <c r="IP90" s="3"/>
      <c r="IQ90" s="3"/>
      <c r="IR90" s="3"/>
      <c r="IS90" s="3"/>
      <c r="IT90" s="3"/>
      <c r="IU90" s="3"/>
      <c r="IV90" s="3"/>
      <c r="IW90" s="3"/>
    </row>
    <row r="91" spans="1:257" s="229" customFormat="1" ht="12.75" customHeight="1" outlineLevel="2">
      <c r="A91" s="233"/>
      <c r="B91" s="283"/>
      <c r="C91" s="282"/>
      <c r="D91" s="282"/>
      <c r="E91" s="282"/>
      <c r="F91" s="292"/>
      <c r="G91" s="292"/>
      <c r="H91" s="292"/>
      <c r="I91" s="292"/>
      <c r="J91" s="292"/>
      <c r="K91" s="292"/>
      <c r="L91" s="292"/>
      <c r="M91" s="292"/>
      <c r="N91" s="292"/>
      <c r="O91" s="280"/>
      <c r="P91" s="170"/>
      <c r="Q91" s="170"/>
      <c r="R91" s="170"/>
      <c r="S91" s="170"/>
      <c r="T91" s="170"/>
      <c r="U91" s="170"/>
      <c r="V91" s="292"/>
      <c r="W91" s="292"/>
      <c r="X91" s="292"/>
      <c r="Y91" s="292"/>
      <c r="Z91" s="292"/>
      <c r="AA91" s="292"/>
      <c r="AB91" s="292"/>
      <c r="AC91" s="292"/>
      <c r="AD91" s="292"/>
      <c r="AE91" s="292"/>
      <c r="AF91" s="292"/>
      <c r="AG91" s="292"/>
      <c r="AH91" s="292"/>
      <c r="AI91" s="293"/>
      <c r="AJ91" s="293"/>
      <c r="AK91" s="293"/>
      <c r="AL91" s="293"/>
      <c r="AM91" s="293"/>
      <c r="AN91" s="293"/>
      <c r="AO91" s="293"/>
      <c r="AP91" s="293"/>
      <c r="AQ91" s="293"/>
      <c r="AR91" s="293"/>
      <c r="AS91" s="293"/>
      <c r="AT91" s="293"/>
      <c r="AU91" s="292"/>
      <c r="AV91" s="292"/>
      <c r="AW91" s="292"/>
      <c r="AX91" s="292"/>
      <c r="AY91" s="292"/>
      <c r="BG91" s="4">
        <v>85</v>
      </c>
      <c r="BH91"/>
      <c r="BI91"/>
      <c r="BJ91"/>
      <c r="BK91"/>
      <c r="BL91"/>
      <c r="BM91"/>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c r="HF91" s="3"/>
      <c r="HG91" s="3"/>
      <c r="HH91" s="3"/>
      <c r="HI91" s="3"/>
      <c r="HJ91" s="3"/>
      <c r="HK91" s="3"/>
      <c r="HL91" s="3"/>
      <c r="HM91" s="3"/>
      <c r="HN91" s="3"/>
      <c r="HO91" s="3"/>
      <c r="HP91" s="3"/>
      <c r="HQ91" s="3"/>
      <c r="HR91" s="3"/>
      <c r="HS91" s="3"/>
      <c r="HT91" s="3"/>
      <c r="HU91" s="3"/>
      <c r="HV91" s="3"/>
      <c r="HW91" s="3"/>
      <c r="HX91" s="3"/>
      <c r="HY91" s="3"/>
      <c r="HZ91" s="3"/>
      <c r="IA91" s="3"/>
      <c r="IB91" s="3"/>
      <c r="IC91" s="3"/>
      <c r="ID91" s="3"/>
      <c r="IE91" s="3"/>
      <c r="IF91" s="3"/>
      <c r="IG91" s="3"/>
      <c r="IH91" s="3"/>
      <c r="II91" s="3"/>
      <c r="IJ91" s="3"/>
      <c r="IK91" s="3"/>
      <c r="IL91" s="3"/>
      <c r="IM91" s="3"/>
      <c r="IN91" s="3"/>
      <c r="IO91" s="3"/>
      <c r="IP91" s="3"/>
      <c r="IQ91" s="3"/>
      <c r="IR91" s="3"/>
      <c r="IS91" s="3"/>
      <c r="IT91" s="3"/>
      <c r="IU91" s="3"/>
      <c r="IV91" s="3"/>
      <c r="IW91" s="3"/>
    </row>
    <row r="92" spans="1:257" s="229" customFormat="1" ht="12.75" customHeight="1" outlineLevel="2">
      <c r="A92" s="233"/>
      <c r="B92" s="213" t="s">
        <v>300</v>
      </c>
      <c r="C92" s="288"/>
      <c r="D92" s="288"/>
      <c r="E92" s="288"/>
      <c r="F92" s="215"/>
      <c r="G92" s="215"/>
      <c r="H92" s="120">
        <f t="shared" ref="H92:N93" si="150">SUMPRODUCT(($X92:$AZ92)*($X88:$AZ88)*($X$4:$AZ$4=H$4))/H88</f>
        <v>85</v>
      </c>
      <c r="I92" s="120">
        <f t="shared" si="150"/>
        <v>67.2415550286225</v>
      </c>
      <c r="J92" s="120">
        <f t="shared" si="150"/>
        <v>47.260608875279253</v>
      </c>
      <c r="K92" s="120">
        <f t="shared" si="150"/>
        <v>61.28708196804179</v>
      </c>
      <c r="L92" s="120">
        <f t="shared" si="150"/>
        <v>66.129945840841785</v>
      </c>
      <c r="M92" s="120">
        <f t="shared" si="150"/>
        <v>54.886839550264511</v>
      </c>
      <c r="N92" s="120">
        <f t="shared" si="150"/>
        <v>53.506750264550227</v>
      </c>
      <c r="O92" s="287"/>
      <c r="P92" s="3"/>
      <c r="Q92" s="3"/>
      <c r="R92" s="3"/>
      <c r="S92" s="3"/>
      <c r="T92" s="3"/>
      <c r="U92" s="3"/>
      <c r="V92" s="286"/>
      <c r="W92" s="286"/>
      <c r="X92" s="290">
        <f>Y92-0.25*(Y95-X95)</f>
        <v>85</v>
      </c>
      <c r="Y92" s="290">
        <f>Z92-0.25*(Z95-Y95)</f>
        <v>85</v>
      </c>
      <c r="Z92" s="290">
        <f>AA92</f>
        <v>85</v>
      </c>
      <c r="AA92" s="291">
        <v>85</v>
      </c>
      <c r="AB92" s="290">
        <f>+AA92*(1-0.07)</f>
        <v>79.05</v>
      </c>
      <c r="AC92" s="290">
        <f>AB92*(1-0.13)</f>
        <v>68.773499999999999</v>
      </c>
      <c r="AD92" s="290">
        <f>+AC92*(1-0.08)</f>
        <v>63.271619999999999</v>
      </c>
      <c r="AE92" s="290">
        <f>+AD92*(1-0.12)</f>
        <v>55.679025599999996</v>
      </c>
      <c r="AF92" s="290">
        <f>+AE92*(1-0.05)</f>
        <v>52.895074319999992</v>
      </c>
      <c r="AG92" s="255">
        <f>+AF92*(1-0.09)</f>
        <v>48.134517631199998</v>
      </c>
      <c r="AH92" s="255">
        <f>+AG92-5</f>
        <v>43.134517631199998</v>
      </c>
      <c r="AI92" s="255">
        <v>46</v>
      </c>
      <c r="AJ92" s="255">
        <v>50</v>
      </c>
      <c r="AK92" s="255">
        <f>+AJ92+8</f>
        <v>58</v>
      </c>
      <c r="AL92" s="255">
        <v>66</v>
      </c>
      <c r="AM92" s="255">
        <v>68</v>
      </c>
      <c r="AN92" s="289">
        <f t="shared" ref="AN92:AY92" si="151">AN120</f>
        <v>71.680385610468761</v>
      </c>
      <c r="AO92" s="289">
        <f t="shared" si="151"/>
        <v>66.212246225135175</v>
      </c>
      <c r="AP92" s="289">
        <f t="shared" si="151"/>
        <v>65.744680148148134</v>
      </c>
      <c r="AQ92" s="289">
        <f t="shared" si="151"/>
        <v>64.547464550264507</v>
      </c>
      <c r="AR92" s="289">
        <f t="shared" si="151"/>
        <v>59.027107407407371</v>
      </c>
      <c r="AS92" s="289">
        <f t="shared" si="151"/>
        <v>53.506750264550227</v>
      </c>
      <c r="AT92" s="289">
        <f t="shared" si="151"/>
        <v>53.506750264550227</v>
      </c>
      <c r="AU92" s="289">
        <f t="shared" si="151"/>
        <v>53.506750264550227</v>
      </c>
      <c r="AV92" s="289">
        <f t="shared" si="151"/>
        <v>53.506750264550227</v>
      </c>
      <c r="AW92" s="289">
        <f t="shared" si="151"/>
        <v>53.506750264550227</v>
      </c>
      <c r="AX92" s="289">
        <f t="shared" si="151"/>
        <v>53.506750264550227</v>
      </c>
      <c r="AY92" s="289">
        <f t="shared" si="151"/>
        <v>53.506750264550227</v>
      </c>
      <c r="BG92" s="4">
        <v>86</v>
      </c>
      <c r="BH92"/>
      <c r="BI92"/>
      <c r="BJ92"/>
      <c r="BK92"/>
      <c r="BL92"/>
      <c r="BM92"/>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c r="HF92" s="3"/>
      <c r="HG92" s="3"/>
      <c r="HH92" s="3"/>
      <c r="HI92" s="3"/>
      <c r="HJ92" s="3"/>
      <c r="HK92" s="3"/>
      <c r="HL92" s="3"/>
      <c r="HM92" s="3"/>
      <c r="HN92" s="3"/>
      <c r="HO92" s="3"/>
      <c r="HP92" s="3"/>
      <c r="HQ92" s="3"/>
      <c r="HR92" s="3"/>
      <c r="HS92" s="3"/>
      <c r="HT92" s="3"/>
      <c r="HU92" s="3"/>
      <c r="HV92" s="3"/>
      <c r="HW92" s="3"/>
      <c r="HX92" s="3"/>
      <c r="HY92" s="3"/>
      <c r="HZ92" s="3"/>
      <c r="IA92" s="3"/>
      <c r="IB92" s="3"/>
      <c r="IC92" s="3"/>
      <c r="ID92" s="3"/>
      <c r="IE92" s="3"/>
      <c r="IF92" s="3"/>
      <c r="IG92" s="3"/>
      <c r="IH92" s="3"/>
      <c r="II92" s="3"/>
      <c r="IJ92" s="3"/>
      <c r="IK92" s="3"/>
      <c r="IL92" s="3"/>
      <c r="IM92" s="3"/>
      <c r="IN92" s="3"/>
      <c r="IO92" s="3"/>
      <c r="IP92" s="3"/>
      <c r="IQ92" s="3"/>
      <c r="IR92" s="3"/>
      <c r="IS92" s="3"/>
      <c r="IT92" s="3"/>
      <c r="IU92" s="3"/>
      <c r="IV92" s="3"/>
      <c r="IW92" s="3"/>
    </row>
    <row r="93" spans="1:257" s="229" customFormat="1" ht="12.75" customHeight="1" outlineLevel="2">
      <c r="A93" s="233"/>
      <c r="B93" s="213" t="s">
        <v>299</v>
      </c>
      <c r="C93" s="288"/>
      <c r="D93" s="288"/>
      <c r="E93" s="288"/>
      <c r="F93" s="215"/>
      <c r="G93" s="215"/>
      <c r="H93" s="120">
        <f t="shared" si="150"/>
        <v>506.36700423104145</v>
      </c>
      <c r="I93" s="120">
        <f t="shared" si="150"/>
        <v>449.43265935651999</v>
      </c>
      <c r="J93" s="120">
        <f t="shared" si="150"/>
        <v>352.18126963594074</v>
      </c>
      <c r="K93" s="120">
        <f t="shared" si="150"/>
        <v>323.19214806821401</v>
      </c>
      <c r="L93" s="120">
        <f t="shared" si="150"/>
        <v>350</v>
      </c>
      <c r="M93" s="120">
        <f t="shared" si="150"/>
        <v>350</v>
      </c>
      <c r="N93" s="120">
        <f t="shared" si="150"/>
        <v>350</v>
      </c>
      <c r="O93" s="287"/>
      <c r="P93" s="3"/>
      <c r="Q93" s="3"/>
      <c r="R93" s="3"/>
      <c r="S93" s="3"/>
      <c r="T93" s="3"/>
      <c r="U93" s="3"/>
      <c r="V93" s="286"/>
      <c r="W93" s="286"/>
      <c r="X93" s="135">
        <f t="shared" ref="X93:AL93" si="152">(X44*X45-X88*X92)/X89</f>
        <v>494.18723895249622</v>
      </c>
      <c r="Y93" s="135">
        <f t="shared" si="152"/>
        <v>486.72929832069298</v>
      </c>
      <c r="Z93" s="135">
        <f t="shared" si="152"/>
        <v>521.2423694409481</v>
      </c>
      <c r="AA93" s="135">
        <f t="shared" si="152"/>
        <v>520.4796270617137</v>
      </c>
      <c r="AB93" s="135">
        <f t="shared" si="152"/>
        <v>534.43229571047061</v>
      </c>
      <c r="AC93" s="135">
        <f t="shared" si="152"/>
        <v>448.98241039201827</v>
      </c>
      <c r="AD93" s="135">
        <f t="shared" si="152"/>
        <v>379.17114799447393</v>
      </c>
      <c r="AE93" s="135">
        <f t="shared" si="152"/>
        <v>329.50400662174906</v>
      </c>
      <c r="AF93" s="135">
        <f t="shared" si="152"/>
        <v>378.94965580111295</v>
      </c>
      <c r="AG93" s="135">
        <f t="shared" si="152"/>
        <v>382.65698786090326</v>
      </c>
      <c r="AH93" s="135">
        <f t="shared" si="152"/>
        <v>327.68035268630382</v>
      </c>
      <c r="AI93" s="135">
        <f t="shared" si="152"/>
        <v>327.779747409518</v>
      </c>
      <c r="AJ93" s="135">
        <f t="shared" si="152"/>
        <v>278.33997944246983</v>
      </c>
      <c r="AK93" s="135">
        <f t="shared" si="152"/>
        <v>310.39046377081598</v>
      </c>
      <c r="AL93" s="135">
        <f t="shared" si="152"/>
        <v>358.57896892247834</v>
      </c>
      <c r="AM93" s="135">
        <f t="shared" ref="AM93" si="153">(AM44*AM45-AM88*AM92)/AM89</f>
        <v>333.13722094642912</v>
      </c>
      <c r="AN93" s="285">
        <v>350</v>
      </c>
      <c r="AO93" s="285">
        <v>350</v>
      </c>
      <c r="AP93" s="285">
        <v>350</v>
      </c>
      <c r="AQ93" s="285">
        <v>350</v>
      </c>
      <c r="AR93" s="285">
        <v>350</v>
      </c>
      <c r="AS93" s="285">
        <v>350</v>
      </c>
      <c r="AT93" s="285">
        <v>350</v>
      </c>
      <c r="AU93" s="285">
        <v>350</v>
      </c>
      <c r="AV93" s="285">
        <v>350</v>
      </c>
      <c r="AW93" s="285">
        <v>350</v>
      </c>
      <c r="AX93" s="285">
        <v>350</v>
      </c>
      <c r="AY93" s="285">
        <v>350</v>
      </c>
      <c r="BG93" s="4">
        <v>87</v>
      </c>
      <c r="BH93"/>
      <c r="BI93"/>
      <c r="BJ93"/>
      <c r="BK93"/>
      <c r="BL93"/>
      <c r="BM9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c r="HF93" s="3"/>
      <c r="HG93" s="3"/>
      <c r="HH93" s="3"/>
      <c r="HI93" s="3"/>
      <c r="HJ93" s="3"/>
      <c r="HK93" s="3"/>
      <c r="HL93" s="3"/>
      <c r="HM93" s="3"/>
      <c r="HN93" s="3"/>
      <c r="HO93" s="3"/>
      <c r="HP93" s="3"/>
      <c r="HQ93" s="3"/>
      <c r="HR93" s="3"/>
      <c r="HS93" s="3"/>
      <c r="HT93" s="3"/>
      <c r="HU93" s="3"/>
      <c r="HV93" s="3"/>
      <c r="HW93" s="3"/>
      <c r="HX93" s="3"/>
      <c r="HY93" s="3"/>
      <c r="HZ93" s="3"/>
      <c r="IA93" s="3"/>
      <c r="IB93" s="3"/>
      <c r="IC93" s="3"/>
      <c r="ID93" s="3"/>
      <c r="IE93" s="3"/>
      <c r="IF93" s="3"/>
      <c r="IG93" s="3"/>
      <c r="IH93" s="3"/>
      <c r="II93" s="3"/>
      <c r="IJ93" s="3"/>
      <c r="IK93" s="3"/>
      <c r="IL93" s="3"/>
      <c r="IM93" s="3"/>
      <c r="IN93" s="3"/>
      <c r="IO93" s="3"/>
      <c r="IP93" s="3"/>
      <c r="IQ93" s="3"/>
      <c r="IR93" s="3"/>
      <c r="IS93" s="3"/>
      <c r="IT93" s="3"/>
      <c r="IU93" s="3"/>
      <c r="IV93" s="3"/>
      <c r="IW93" s="3"/>
    </row>
    <row r="94" spans="1:257" s="234" customFormat="1" ht="12.75" customHeight="1" outlineLevel="2">
      <c r="A94" s="284"/>
      <c r="B94" s="283" t="s">
        <v>298</v>
      </c>
      <c r="C94" s="282"/>
      <c r="D94" s="282"/>
      <c r="E94" s="282"/>
      <c r="F94" s="281"/>
      <c r="G94" s="281"/>
      <c r="H94" s="142">
        <f t="shared" ref="H94:N94" si="154">H45</f>
        <v>171.46480488592243</v>
      </c>
      <c r="I94" s="142">
        <f t="shared" si="154"/>
        <v>114.46013851604141</v>
      </c>
      <c r="J94" s="142">
        <f t="shared" si="154"/>
        <v>64.871137391458333</v>
      </c>
      <c r="K94" s="142">
        <f t="shared" si="154"/>
        <v>81.217373757304586</v>
      </c>
      <c r="L94" s="142">
        <f t="shared" si="154"/>
        <v>79.767192437615506</v>
      </c>
      <c r="M94" s="142">
        <f t="shared" si="154"/>
        <v>68.461039434664613</v>
      </c>
      <c r="N94" s="142">
        <f t="shared" si="154"/>
        <v>68.582678217200211</v>
      </c>
      <c r="O94" s="280"/>
      <c r="P94" s="170"/>
      <c r="Q94" s="170"/>
      <c r="R94" s="170"/>
      <c r="S94" s="170"/>
      <c r="T94" s="279">
        <f>T45</f>
        <v>185.86507936507937</v>
      </c>
      <c r="U94" s="279">
        <f>U45</f>
        <v>169.56838365896979</v>
      </c>
      <c r="V94" s="279">
        <f>V45</f>
        <v>152.23298118987421</v>
      </c>
      <c r="W94" s="279">
        <f>W45</f>
        <v>154.24330712713916</v>
      </c>
      <c r="X94" s="278">
        <f t="shared" ref="X94:AY94" si="155">(X92*X88+X89*X93)/X90</f>
        <v>168.31047794933798</v>
      </c>
      <c r="Y94" s="278">
        <f t="shared" si="155"/>
        <v>170.15416556330123</v>
      </c>
      <c r="Z94" s="278">
        <f t="shared" si="155"/>
        <v>175.18012081245789</v>
      </c>
      <c r="AA94" s="278">
        <f t="shared" si="155"/>
        <v>171.51002634141906</v>
      </c>
      <c r="AB94" s="278">
        <f t="shared" si="155"/>
        <v>153.47118249791055</v>
      </c>
      <c r="AC94" s="278">
        <f t="shared" si="155"/>
        <v>118.05305014823296</v>
      </c>
      <c r="AD94" s="278">
        <f t="shared" si="155"/>
        <v>96.688587954900868</v>
      </c>
      <c r="AE94" s="278">
        <f t="shared" si="155"/>
        <v>78.586151201568214</v>
      </c>
      <c r="AF94" s="278">
        <f t="shared" si="155"/>
        <v>76.976864278823967</v>
      </c>
      <c r="AG94" s="278">
        <f t="shared" si="155"/>
        <v>63.649747306580416</v>
      </c>
      <c r="AH94" s="278">
        <f t="shared" si="155"/>
        <v>58.79164194214205</v>
      </c>
      <c r="AI94" s="278">
        <f t="shared" si="155"/>
        <v>61.492985216943026</v>
      </c>
      <c r="AJ94" s="278">
        <f t="shared" si="155"/>
        <v>67.709216258126105</v>
      </c>
      <c r="AK94" s="278">
        <f t="shared" si="155"/>
        <v>76.853703425233931</v>
      </c>
      <c r="AL94" s="278">
        <f t="shared" si="155"/>
        <v>88.203519580043448</v>
      </c>
      <c r="AM94" s="278">
        <f t="shared" ref="AM94" si="156">(AM92*AM88+AM89*AM93)/AM90</f>
        <v>88.287525970308323</v>
      </c>
      <c r="AN94" s="278">
        <f t="shared" si="155"/>
        <v>92.885689563956859</v>
      </c>
      <c r="AO94" s="278">
        <f t="shared" si="155"/>
        <v>88.421722607515903</v>
      </c>
      <c r="AP94" s="278">
        <f t="shared" si="155"/>
        <v>75.896655857142846</v>
      </c>
      <c r="AQ94" s="278">
        <f t="shared" si="155"/>
        <v>75.337766577574101</v>
      </c>
      <c r="AR94" s="278">
        <f t="shared" si="155"/>
        <v>70.984897513952276</v>
      </c>
      <c r="AS94" s="278">
        <f t="shared" si="155"/>
        <v>66.661740867146975</v>
      </c>
      <c r="AT94" s="278">
        <f t="shared" si="155"/>
        <v>67.625476442428791</v>
      </c>
      <c r="AU94" s="278">
        <f t="shared" si="155"/>
        <v>68.582678217200211</v>
      </c>
      <c r="AV94" s="278">
        <f t="shared" si="155"/>
        <v>68.582678217200211</v>
      </c>
      <c r="AW94" s="278">
        <f t="shared" si="155"/>
        <v>68.582678217200211</v>
      </c>
      <c r="AX94" s="278">
        <f t="shared" si="155"/>
        <v>68.582678217200211</v>
      </c>
      <c r="AY94" s="278">
        <f t="shared" si="155"/>
        <v>68.582678217200211</v>
      </c>
      <c r="BG94" s="4">
        <v>88</v>
      </c>
      <c r="BH94"/>
      <c r="BI94"/>
      <c r="BJ94"/>
      <c r="BK94"/>
      <c r="BL94"/>
      <c r="BM94"/>
      <c r="BN94" s="170"/>
      <c r="BO94" s="170"/>
      <c r="BP94" s="170"/>
      <c r="BQ94" s="170"/>
      <c r="BR94" s="170"/>
      <c r="BS94" s="170"/>
      <c r="BT94" s="170"/>
      <c r="BU94" s="170"/>
      <c r="BV94" s="170"/>
      <c r="BW94" s="170"/>
      <c r="BX94" s="170"/>
      <c r="BY94" s="170"/>
      <c r="BZ94" s="170"/>
      <c r="CA94" s="170"/>
      <c r="CB94" s="170"/>
      <c r="CC94" s="170"/>
      <c r="CD94" s="170"/>
      <c r="CE94" s="170"/>
      <c r="CF94" s="170"/>
      <c r="CG94" s="170"/>
      <c r="CH94" s="170"/>
      <c r="CI94" s="170"/>
      <c r="CJ94" s="170"/>
      <c r="CK94" s="170"/>
      <c r="CL94" s="170"/>
      <c r="CM94" s="170"/>
      <c r="CN94" s="170"/>
      <c r="CO94" s="170"/>
      <c r="CP94" s="170"/>
      <c r="CQ94" s="170"/>
      <c r="CR94" s="170"/>
      <c r="CS94" s="170"/>
      <c r="CT94" s="170"/>
      <c r="CU94" s="170"/>
      <c r="CV94" s="170"/>
      <c r="CW94" s="170"/>
      <c r="CX94" s="170"/>
      <c r="CY94" s="170"/>
      <c r="CZ94" s="170"/>
      <c r="DA94" s="170"/>
      <c r="DB94" s="170"/>
      <c r="DC94" s="170"/>
      <c r="DD94" s="170"/>
      <c r="DE94" s="170"/>
      <c r="DF94" s="170"/>
      <c r="DG94" s="170"/>
      <c r="DH94" s="170"/>
      <c r="DI94" s="170"/>
      <c r="DJ94" s="170"/>
      <c r="DK94" s="170"/>
      <c r="DL94" s="170"/>
      <c r="DM94" s="170"/>
      <c r="DN94" s="170"/>
      <c r="DO94" s="170"/>
      <c r="DP94" s="170"/>
      <c r="DQ94" s="170"/>
      <c r="DR94" s="170"/>
      <c r="DS94" s="170"/>
      <c r="DT94" s="170"/>
      <c r="DU94" s="170"/>
      <c r="DV94" s="170"/>
      <c r="DW94" s="170"/>
      <c r="DX94" s="170"/>
      <c r="DY94" s="170"/>
      <c r="DZ94" s="170"/>
      <c r="EA94" s="170"/>
      <c r="EB94" s="170"/>
      <c r="EC94" s="170"/>
      <c r="ED94" s="170"/>
      <c r="EE94" s="170"/>
      <c r="EF94" s="170"/>
      <c r="EG94" s="170"/>
      <c r="EH94" s="170"/>
      <c r="EI94" s="170"/>
      <c r="EJ94" s="170"/>
      <c r="EK94" s="170"/>
      <c r="EL94" s="170"/>
      <c r="EM94" s="170"/>
      <c r="EN94" s="170"/>
      <c r="EO94" s="170"/>
      <c r="EP94" s="170"/>
      <c r="EQ94" s="170"/>
      <c r="ER94" s="170"/>
      <c r="ES94" s="170"/>
      <c r="ET94" s="170"/>
      <c r="EU94" s="170"/>
      <c r="EV94" s="170"/>
      <c r="EW94" s="170"/>
      <c r="EX94" s="170"/>
      <c r="EY94" s="170"/>
      <c r="EZ94" s="170"/>
      <c r="FA94" s="170"/>
      <c r="FB94" s="170"/>
      <c r="FC94" s="170"/>
      <c r="FD94" s="170"/>
      <c r="FE94" s="170"/>
      <c r="FF94" s="170"/>
      <c r="FG94" s="170"/>
      <c r="FH94" s="170"/>
      <c r="FI94" s="170"/>
      <c r="FJ94" s="170"/>
      <c r="FK94" s="170"/>
      <c r="FL94" s="170"/>
      <c r="FM94" s="170"/>
      <c r="FN94" s="170"/>
      <c r="FO94" s="170"/>
      <c r="FP94" s="170"/>
      <c r="FQ94" s="170"/>
      <c r="FR94" s="170"/>
      <c r="FS94" s="170"/>
      <c r="FT94" s="170"/>
      <c r="FU94" s="170"/>
      <c r="FV94" s="170"/>
      <c r="FW94" s="170"/>
      <c r="FX94" s="170"/>
      <c r="FY94" s="170"/>
      <c r="FZ94" s="170"/>
      <c r="GA94" s="170"/>
      <c r="GB94" s="170"/>
      <c r="GC94" s="170"/>
      <c r="GD94" s="170"/>
      <c r="GE94" s="170"/>
      <c r="GF94" s="170"/>
      <c r="GG94" s="170"/>
      <c r="GH94" s="170"/>
      <c r="GI94" s="170"/>
      <c r="GJ94" s="170"/>
      <c r="GK94" s="170"/>
      <c r="GL94" s="170"/>
      <c r="GM94" s="170"/>
      <c r="GN94" s="170"/>
      <c r="GO94" s="170"/>
      <c r="GP94" s="170"/>
      <c r="GQ94" s="170"/>
      <c r="GR94" s="170"/>
      <c r="GS94" s="170"/>
      <c r="GT94" s="170"/>
      <c r="GU94" s="170"/>
      <c r="GV94" s="170"/>
      <c r="GW94" s="170"/>
      <c r="GX94" s="170"/>
      <c r="GY94" s="170"/>
      <c r="GZ94" s="170"/>
      <c r="HA94" s="170"/>
      <c r="HB94" s="170"/>
      <c r="HC94" s="170"/>
      <c r="HD94" s="170"/>
      <c r="HE94" s="170"/>
      <c r="HF94" s="170"/>
      <c r="HG94" s="170"/>
      <c r="HH94" s="170"/>
      <c r="HI94" s="170"/>
      <c r="HJ94" s="170"/>
      <c r="HK94" s="170"/>
      <c r="HL94" s="170"/>
      <c r="HM94" s="170"/>
      <c r="HN94" s="170"/>
      <c r="HO94" s="170"/>
      <c r="HP94" s="170"/>
      <c r="HQ94" s="170"/>
      <c r="HR94" s="170"/>
      <c r="HS94" s="170"/>
      <c r="HT94" s="170"/>
      <c r="HU94" s="170"/>
      <c r="HV94" s="170"/>
      <c r="HW94" s="170"/>
      <c r="HX94" s="170"/>
      <c r="HY94" s="170"/>
      <c r="HZ94" s="170"/>
      <c r="IA94" s="170"/>
      <c r="IB94" s="170"/>
      <c r="IC94" s="170"/>
      <c r="ID94" s="170"/>
      <c r="IE94" s="170"/>
      <c r="IF94" s="170"/>
      <c r="IG94" s="170"/>
      <c r="IH94" s="170"/>
      <c r="II94" s="170"/>
      <c r="IJ94" s="170"/>
      <c r="IK94" s="170"/>
      <c r="IL94" s="170"/>
      <c r="IM94" s="170"/>
      <c r="IN94" s="170"/>
      <c r="IO94" s="170"/>
      <c r="IP94" s="170"/>
      <c r="IQ94" s="170"/>
      <c r="IR94" s="170"/>
      <c r="IS94" s="170"/>
      <c r="IT94" s="170"/>
      <c r="IU94" s="170"/>
      <c r="IV94" s="170"/>
      <c r="IW94" s="170"/>
    </row>
    <row r="95" spans="1:257" s="229" customFormat="1" ht="12.75" customHeight="1" outlineLevel="2">
      <c r="A95" s="248"/>
      <c r="B95" s="205"/>
      <c r="C95" s="246"/>
      <c r="D95" s="246"/>
      <c r="E95" s="246"/>
      <c r="F95" s="245"/>
      <c r="G95" s="245"/>
      <c r="H95" s="244"/>
      <c r="I95" s="244"/>
      <c r="J95" s="244"/>
      <c r="K95" s="244"/>
      <c r="L95" s="244"/>
      <c r="M95" s="244"/>
      <c r="N95" s="244"/>
      <c r="O95" s="243"/>
      <c r="P95" s="5"/>
      <c r="Q95" s="5"/>
      <c r="R95" s="5"/>
      <c r="S95" s="5"/>
      <c r="T95" s="5"/>
      <c r="U95" s="5"/>
      <c r="V95" s="254"/>
      <c r="W95" s="254"/>
      <c r="X95" s="256"/>
      <c r="Y95" s="256"/>
      <c r="Z95" s="256"/>
      <c r="AA95" s="256"/>
      <c r="AB95" s="256"/>
      <c r="AC95" s="256"/>
      <c r="AD95" s="256"/>
      <c r="AE95" s="256"/>
      <c r="AF95" s="256"/>
      <c r="AG95" s="256"/>
      <c r="AH95" s="256"/>
      <c r="AI95" s="256"/>
      <c r="AJ95" s="256"/>
      <c r="AK95" s="256"/>
      <c r="AL95" s="256"/>
      <c r="AM95" s="256"/>
      <c r="AN95" s="255"/>
      <c r="AO95" s="255"/>
      <c r="AP95" s="255"/>
      <c r="AQ95" s="255"/>
      <c r="AR95" s="255"/>
      <c r="AS95" s="255"/>
      <c r="AT95" s="255"/>
      <c r="AU95" s="255"/>
      <c r="AV95" s="255"/>
      <c r="AW95" s="255"/>
      <c r="AX95" s="255"/>
      <c r="AY95" s="255"/>
      <c r="BG95" s="4">
        <v>89</v>
      </c>
      <c r="BH95"/>
      <c r="BI95"/>
      <c r="BJ95"/>
      <c r="BK95"/>
      <c r="BL95"/>
      <c r="BM95"/>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c r="HF95" s="3"/>
      <c r="HG95" s="3"/>
      <c r="HH95" s="3"/>
      <c r="HI95" s="3"/>
      <c r="HJ95" s="3"/>
      <c r="HK95" s="3"/>
      <c r="HL95" s="3"/>
      <c r="HM95" s="3"/>
      <c r="HN95" s="3"/>
      <c r="HO95" s="3"/>
      <c r="HP95" s="3"/>
      <c r="HQ95" s="3"/>
      <c r="HR95" s="3"/>
      <c r="HS95" s="3"/>
      <c r="HT95" s="3"/>
      <c r="HU95" s="3"/>
      <c r="HV95" s="3"/>
      <c r="HW95" s="3"/>
      <c r="HX95" s="3"/>
      <c r="HY95" s="3"/>
      <c r="HZ95" s="3"/>
      <c r="IA95" s="3"/>
      <c r="IB95" s="3"/>
      <c r="IC95" s="3"/>
      <c r="ID95" s="3"/>
      <c r="IE95" s="3"/>
      <c r="IF95" s="3"/>
      <c r="IG95" s="3"/>
      <c r="IH95" s="3"/>
      <c r="II95" s="3"/>
      <c r="IJ95" s="3"/>
      <c r="IK95" s="3"/>
      <c r="IL95" s="3"/>
      <c r="IM95" s="3"/>
      <c r="IN95" s="3"/>
      <c r="IO95" s="3"/>
      <c r="IP95" s="3"/>
      <c r="IQ95" s="3"/>
      <c r="IR95" s="3"/>
      <c r="IS95" s="3"/>
      <c r="IT95" s="3"/>
      <c r="IU95" s="3"/>
      <c r="IV95" s="3"/>
      <c r="IW95" s="3"/>
    </row>
    <row r="96" spans="1:257" s="229" customFormat="1" ht="12.75" customHeight="1" outlineLevel="2">
      <c r="A96" s="248"/>
      <c r="B96" s="277" t="s">
        <v>297</v>
      </c>
      <c r="C96" s="246"/>
      <c r="D96" s="246"/>
      <c r="E96" s="246"/>
      <c r="F96" s="245"/>
      <c r="G96" s="245"/>
      <c r="H96" s="244"/>
      <c r="I96" s="244"/>
      <c r="J96" s="244"/>
      <c r="K96" s="244"/>
      <c r="L96" s="244"/>
      <c r="M96" s="244"/>
      <c r="N96" s="244"/>
      <c r="O96" s="243"/>
      <c r="P96" s="5"/>
      <c r="Q96" s="5"/>
      <c r="R96" s="5"/>
      <c r="S96" s="5"/>
      <c r="T96" s="5"/>
      <c r="U96" s="5"/>
      <c r="V96" s="254"/>
      <c r="W96" s="254"/>
      <c r="X96" s="276"/>
      <c r="Y96" s="276"/>
      <c r="Z96" s="276"/>
      <c r="AA96" s="276"/>
      <c r="AB96" s="276"/>
      <c r="AC96" s="276"/>
      <c r="AD96" s="276"/>
      <c r="AE96" s="276"/>
      <c r="AF96" s="276"/>
      <c r="AG96" s="276"/>
      <c r="AH96" s="276"/>
      <c r="AI96" s="276"/>
      <c r="AJ96" s="276"/>
      <c r="AK96" s="276"/>
      <c r="AL96" s="276"/>
      <c r="AM96" s="276"/>
      <c r="AN96" s="276"/>
      <c r="AO96" s="276"/>
      <c r="AP96" s="276"/>
      <c r="AQ96" s="276"/>
      <c r="AR96" s="276"/>
      <c r="AS96" s="276"/>
      <c r="AT96" s="276"/>
      <c r="AU96" s="276"/>
      <c r="AV96" s="255"/>
      <c r="AW96" s="255"/>
      <c r="AX96" s="255"/>
      <c r="AY96" s="255"/>
      <c r="BG96" s="4">
        <v>90</v>
      </c>
      <c r="BH96"/>
      <c r="BI96"/>
      <c r="BJ96"/>
      <c r="BK96"/>
      <c r="BL96"/>
      <c r="BM96"/>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c r="HF96" s="3"/>
      <c r="HG96" s="3"/>
      <c r="HH96" s="3"/>
      <c r="HI96" s="3"/>
      <c r="HJ96" s="3"/>
      <c r="HK96" s="3"/>
      <c r="HL96" s="3"/>
      <c r="HM96" s="3"/>
      <c r="HN96" s="3"/>
      <c r="HO96" s="3"/>
      <c r="HP96" s="3"/>
      <c r="HQ96" s="3"/>
      <c r="HR96" s="3"/>
      <c r="HS96" s="3"/>
      <c r="HT96" s="3"/>
      <c r="HU96" s="3"/>
      <c r="HV96" s="3"/>
      <c r="HW96" s="3"/>
      <c r="HX96" s="3"/>
      <c r="HY96" s="3"/>
      <c r="HZ96" s="3"/>
      <c r="IA96" s="3"/>
      <c r="IB96" s="3"/>
      <c r="IC96" s="3"/>
      <c r="ID96" s="3"/>
      <c r="IE96" s="3"/>
      <c r="IF96" s="3"/>
      <c r="IG96" s="3"/>
      <c r="IH96" s="3"/>
      <c r="II96" s="3"/>
      <c r="IJ96" s="3"/>
      <c r="IK96" s="3"/>
      <c r="IL96" s="3"/>
      <c r="IM96" s="3"/>
      <c r="IN96" s="3"/>
      <c r="IO96" s="3"/>
      <c r="IP96" s="3"/>
      <c r="IQ96" s="3"/>
      <c r="IR96" s="3"/>
      <c r="IS96" s="3"/>
      <c r="IT96" s="3"/>
      <c r="IU96" s="3"/>
      <c r="IV96" s="3"/>
      <c r="IW96" s="3"/>
    </row>
    <row r="97" spans="1:257" s="229" customFormat="1" ht="12.75" customHeight="1" outlineLevel="2">
      <c r="A97" s="248"/>
      <c r="B97" s="247" t="s">
        <v>296</v>
      </c>
      <c r="C97" s="246"/>
      <c r="D97" s="246"/>
      <c r="E97" s="246"/>
      <c r="F97" s="245"/>
      <c r="G97" s="245"/>
      <c r="H97" s="244"/>
      <c r="I97" s="244"/>
      <c r="J97" s="244"/>
      <c r="K97" s="244"/>
      <c r="L97" s="244"/>
      <c r="M97" s="244"/>
      <c r="N97" s="244"/>
      <c r="O97" s="243"/>
      <c r="P97" s="5"/>
      <c r="Q97" s="5"/>
      <c r="R97" s="5"/>
      <c r="S97" s="5"/>
      <c r="T97" s="5"/>
      <c r="U97" s="5"/>
      <c r="V97" s="254"/>
      <c r="W97" s="254"/>
      <c r="X97" s="276"/>
      <c r="Y97" s="276"/>
      <c r="Z97" s="276"/>
      <c r="AA97" s="276"/>
      <c r="AB97" s="276"/>
      <c r="AC97" s="276"/>
      <c r="AD97" s="276"/>
      <c r="AE97" s="276"/>
      <c r="AF97" s="276"/>
      <c r="AG97" s="276"/>
      <c r="AH97" s="276"/>
      <c r="AI97" s="276"/>
      <c r="AJ97" s="276"/>
      <c r="AK97" s="276"/>
      <c r="AL97" s="276"/>
      <c r="AM97" s="276"/>
      <c r="AN97" s="276"/>
      <c r="AO97" s="276"/>
      <c r="AP97" s="276"/>
      <c r="AQ97" s="276"/>
      <c r="AR97" s="276"/>
      <c r="AS97" s="276"/>
      <c r="AT97" s="276"/>
      <c r="AU97" s="276"/>
      <c r="AV97" s="255"/>
      <c r="AW97" s="255"/>
      <c r="AX97" s="255"/>
      <c r="AY97" s="255"/>
      <c r="BG97" s="4">
        <v>91</v>
      </c>
      <c r="BH97"/>
      <c r="BI97"/>
      <c r="BJ97"/>
      <c r="BK97"/>
      <c r="BL97"/>
      <c r="BM97"/>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c r="HF97" s="3"/>
      <c r="HG97" s="3"/>
      <c r="HH97" s="3"/>
      <c r="HI97" s="3"/>
      <c r="HJ97" s="3"/>
      <c r="HK97" s="3"/>
      <c r="HL97" s="3"/>
      <c r="HM97" s="3"/>
      <c r="HN97" s="3"/>
      <c r="HO97" s="3"/>
      <c r="HP97" s="3"/>
      <c r="HQ97" s="3"/>
      <c r="HR97" s="3"/>
      <c r="HS97" s="3"/>
      <c r="HT97" s="3"/>
      <c r="HU97" s="3"/>
      <c r="HV97" s="3"/>
      <c r="HW97" s="3"/>
      <c r="HX97" s="3"/>
      <c r="HY97" s="3"/>
      <c r="HZ97" s="3"/>
      <c r="IA97" s="3"/>
      <c r="IB97" s="3"/>
      <c r="IC97" s="3"/>
      <c r="ID97" s="3"/>
      <c r="IE97" s="3"/>
      <c r="IF97" s="3"/>
      <c r="IG97" s="3"/>
      <c r="IH97" s="3"/>
      <c r="II97" s="3"/>
      <c r="IJ97" s="3"/>
      <c r="IK97" s="3"/>
      <c r="IL97" s="3"/>
      <c r="IM97" s="3"/>
      <c r="IN97" s="3"/>
      <c r="IO97" s="3"/>
      <c r="IP97" s="3"/>
      <c r="IQ97" s="3"/>
      <c r="IR97" s="3"/>
      <c r="IS97" s="3"/>
      <c r="IT97" s="3"/>
      <c r="IU97" s="3"/>
      <c r="IV97" s="3"/>
      <c r="IW97" s="3"/>
    </row>
    <row r="98" spans="1:257" s="229" customFormat="1" ht="12.75" customHeight="1" outlineLevel="2">
      <c r="A98" s="248"/>
      <c r="B98" s="249" t="s">
        <v>295</v>
      </c>
      <c r="C98" s="246"/>
      <c r="D98" s="246"/>
      <c r="E98" s="246"/>
      <c r="F98" s="237"/>
      <c r="G98" s="20"/>
      <c r="H98" s="20">
        <f t="shared" ref="H98:N101" si="157">AVERAGEIF($P$4:$AZ$4,H$4,$P98:$AZ98)</f>
        <v>8900</v>
      </c>
      <c r="I98" s="20">
        <f t="shared" si="157"/>
        <v>10075</v>
      </c>
      <c r="J98" s="20">
        <f t="shared" si="157"/>
        <v>10075</v>
      </c>
      <c r="K98" s="20">
        <f t="shared" si="157"/>
        <v>10270.5</v>
      </c>
      <c r="L98" s="20">
        <f t="shared" si="157"/>
        <v>15050</v>
      </c>
      <c r="M98" s="20">
        <f t="shared" si="157"/>
        <v>19800</v>
      </c>
      <c r="N98" s="20">
        <f t="shared" si="157"/>
        <v>19800</v>
      </c>
      <c r="O98" s="243"/>
      <c r="P98" s="5"/>
      <c r="Q98" s="5"/>
      <c r="R98" s="5"/>
      <c r="S98" s="5"/>
      <c r="T98" s="5"/>
      <c r="U98" s="5"/>
      <c r="V98" s="254"/>
      <c r="W98" s="254"/>
      <c r="X98" s="256"/>
      <c r="Y98" s="256"/>
      <c r="Z98" s="252">
        <v>8500</v>
      </c>
      <c r="AA98" s="252">
        <v>9300</v>
      </c>
      <c r="AB98" s="252">
        <v>9500</v>
      </c>
      <c r="AC98" s="252">
        <v>10400</v>
      </c>
      <c r="AD98" s="252">
        <v>10300</v>
      </c>
      <c r="AE98" s="252">
        <v>10100</v>
      </c>
      <c r="AF98" s="252">
        <v>10200</v>
      </c>
      <c r="AG98" s="252">
        <v>10100</v>
      </c>
      <c r="AH98" s="252">
        <v>10100</v>
      </c>
      <c r="AI98" s="252">
        <v>9900</v>
      </c>
      <c r="AJ98" s="273">
        <v>10000</v>
      </c>
      <c r="AK98" s="273">
        <v>10285</v>
      </c>
      <c r="AL98" s="273">
        <v>10228</v>
      </c>
      <c r="AM98" s="273">
        <v>10569</v>
      </c>
      <c r="AN98" s="273">
        <v>10300</v>
      </c>
      <c r="AO98" s="273">
        <v>10300</v>
      </c>
      <c r="AP98" s="275">
        <f>AO98+9500</f>
        <v>19800</v>
      </c>
      <c r="AQ98" s="275">
        <f t="shared" ref="AQ98:AY98" si="158">AP98</f>
        <v>19800</v>
      </c>
      <c r="AR98" s="275">
        <f t="shared" si="158"/>
        <v>19800</v>
      </c>
      <c r="AS98" s="275">
        <f t="shared" si="158"/>
        <v>19800</v>
      </c>
      <c r="AT98" s="275">
        <f t="shared" si="158"/>
        <v>19800</v>
      </c>
      <c r="AU98" s="275">
        <f t="shared" si="158"/>
        <v>19800</v>
      </c>
      <c r="AV98" s="275">
        <f t="shared" si="158"/>
        <v>19800</v>
      </c>
      <c r="AW98" s="275">
        <f t="shared" si="158"/>
        <v>19800</v>
      </c>
      <c r="AX98" s="275">
        <f t="shared" si="158"/>
        <v>19800</v>
      </c>
      <c r="AY98" s="275">
        <f t="shared" si="158"/>
        <v>19800</v>
      </c>
      <c r="BG98" s="4">
        <v>92</v>
      </c>
      <c r="BH98"/>
      <c r="BI98"/>
      <c r="BJ98"/>
      <c r="BK98"/>
      <c r="BL98"/>
      <c r="BM98"/>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c r="HF98" s="3"/>
      <c r="HG98" s="3"/>
      <c r="HH98" s="3"/>
      <c r="HI98" s="3"/>
      <c r="HJ98" s="3"/>
      <c r="HK98" s="3"/>
      <c r="HL98" s="3"/>
      <c r="HM98" s="3"/>
      <c r="HN98" s="3"/>
      <c r="HO98" s="3"/>
      <c r="HP98" s="3"/>
      <c r="HQ98" s="3"/>
      <c r="HR98" s="3"/>
      <c r="HS98" s="3"/>
      <c r="HT98" s="3"/>
      <c r="HU98" s="3"/>
      <c r="HV98" s="3"/>
      <c r="HW98" s="3"/>
      <c r="HX98" s="3"/>
      <c r="HY98" s="3"/>
      <c r="HZ98" s="3"/>
      <c r="IA98" s="3"/>
      <c r="IB98" s="3"/>
      <c r="IC98" s="3"/>
      <c r="ID98" s="3"/>
      <c r="IE98" s="3"/>
      <c r="IF98" s="3"/>
      <c r="IG98" s="3"/>
      <c r="IH98" s="3"/>
      <c r="II98" s="3"/>
      <c r="IJ98" s="3"/>
      <c r="IK98" s="3"/>
      <c r="IL98" s="3"/>
      <c r="IM98" s="3"/>
      <c r="IN98" s="3"/>
      <c r="IO98" s="3"/>
      <c r="IP98" s="3"/>
      <c r="IQ98" s="3"/>
      <c r="IR98" s="3"/>
      <c r="IS98" s="3"/>
      <c r="IT98" s="3"/>
      <c r="IU98" s="3"/>
      <c r="IV98" s="3"/>
      <c r="IW98" s="3"/>
    </row>
    <row r="99" spans="1:257" s="229" customFormat="1" ht="12.75" customHeight="1" outlineLevel="2">
      <c r="A99" s="248"/>
      <c r="B99" s="249" t="s">
        <v>294</v>
      </c>
      <c r="C99" s="246"/>
      <c r="D99" s="246"/>
      <c r="E99" s="246"/>
      <c r="F99" s="245"/>
      <c r="G99" s="245"/>
      <c r="H99" s="20">
        <f t="shared" si="157"/>
        <v>808.5</v>
      </c>
      <c r="I99" s="20">
        <f t="shared" si="157"/>
        <v>1107.5</v>
      </c>
      <c r="J99" s="20">
        <f t="shared" si="157"/>
        <v>1215</v>
      </c>
      <c r="K99" s="20">
        <f t="shared" si="157"/>
        <v>1411.75</v>
      </c>
      <c r="L99" s="20">
        <f t="shared" si="157"/>
        <v>1723</v>
      </c>
      <c r="M99" s="20">
        <f t="shared" si="157"/>
        <v>1723</v>
      </c>
      <c r="N99" s="20">
        <f t="shared" si="157"/>
        <v>1723</v>
      </c>
      <c r="O99" s="243"/>
      <c r="P99" s="5"/>
      <c r="Q99" s="5"/>
      <c r="R99" s="5"/>
      <c r="S99" s="5"/>
      <c r="T99" s="5"/>
      <c r="U99" s="5"/>
      <c r="V99" s="254"/>
      <c r="W99" s="254"/>
      <c r="X99" s="256"/>
      <c r="Y99" s="256"/>
      <c r="Z99" s="252">
        <v>787</v>
      </c>
      <c r="AA99" s="252">
        <v>830</v>
      </c>
      <c r="AB99" s="252">
        <v>830</v>
      </c>
      <c r="AC99" s="252">
        <v>1200</v>
      </c>
      <c r="AD99" s="252">
        <v>1200</v>
      </c>
      <c r="AE99" s="252">
        <v>1200</v>
      </c>
      <c r="AF99" s="274">
        <f>AE99</f>
        <v>1200</v>
      </c>
      <c r="AG99" s="274">
        <f>AF99</f>
        <v>1200</v>
      </c>
      <c r="AH99" s="252">
        <v>1265</v>
      </c>
      <c r="AI99" s="252">
        <v>1195</v>
      </c>
      <c r="AJ99" s="273">
        <v>1280</v>
      </c>
      <c r="AK99" s="273">
        <v>1280</v>
      </c>
      <c r="AL99" s="273">
        <v>1364</v>
      </c>
      <c r="AM99" s="273">
        <v>1723</v>
      </c>
      <c r="AN99" s="275">
        <f>AM99</f>
        <v>1723</v>
      </c>
      <c r="AO99" s="275">
        <f>AN99</f>
        <v>1723</v>
      </c>
      <c r="AP99" s="275">
        <f>AO99</f>
        <v>1723</v>
      </c>
      <c r="AQ99" s="275">
        <f t="shared" ref="AQ99:AY99" si="159">AP99</f>
        <v>1723</v>
      </c>
      <c r="AR99" s="275">
        <f t="shared" si="159"/>
        <v>1723</v>
      </c>
      <c r="AS99" s="275">
        <f t="shared" si="159"/>
        <v>1723</v>
      </c>
      <c r="AT99" s="275">
        <f t="shared" si="159"/>
        <v>1723</v>
      </c>
      <c r="AU99" s="275">
        <f t="shared" si="159"/>
        <v>1723</v>
      </c>
      <c r="AV99" s="275">
        <f t="shared" si="159"/>
        <v>1723</v>
      </c>
      <c r="AW99" s="275">
        <f t="shared" si="159"/>
        <v>1723</v>
      </c>
      <c r="AX99" s="275">
        <f t="shared" si="159"/>
        <v>1723</v>
      </c>
      <c r="AY99" s="275">
        <f t="shared" si="159"/>
        <v>1723</v>
      </c>
      <c r="BG99" s="4">
        <v>93</v>
      </c>
      <c r="BH99"/>
      <c r="BI99"/>
      <c r="BJ99"/>
      <c r="BK99"/>
      <c r="BL99"/>
      <c r="BM99"/>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c r="HF99" s="3"/>
      <c r="HG99" s="3"/>
      <c r="HH99" s="3"/>
      <c r="HI99" s="3"/>
      <c r="HJ99" s="3"/>
      <c r="HK99" s="3"/>
      <c r="HL99" s="3"/>
      <c r="HM99" s="3"/>
      <c r="HN99" s="3"/>
      <c r="HO99" s="3"/>
      <c r="HP99" s="3"/>
      <c r="HQ99" s="3"/>
      <c r="HR99" s="3"/>
      <c r="HS99" s="3"/>
      <c r="HT99" s="3"/>
      <c r="HU99" s="3"/>
      <c r="HV99" s="3"/>
      <c r="HW99" s="3"/>
      <c r="HX99" s="3"/>
      <c r="HY99" s="3"/>
      <c r="HZ99" s="3"/>
      <c r="IA99" s="3"/>
      <c r="IB99" s="3"/>
      <c r="IC99" s="3"/>
      <c r="ID99" s="3"/>
      <c r="IE99" s="3"/>
      <c r="IF99" s="3"/>
      <c r="IG99" s="3"/>
      <c r="IH99" s="3"/>
      <c r="II99" s="3"/>
      <c r="IJ99" s="3"/>
      <c r="IK99" s="3"/>
      <c r="IL99" s="3"/>
      <c r="IM99" s="3"/>
      <c r="IN99" s="3"/>
      <c r="IO99" s="3"/>
      <c r="IP99" s="3"/>
      <c r="IQ99" s="3"/>
      <c r="IR99" s="3"/>
      <c r="IS99" s="3"/>
      <c r="IT99" s="3"/>
      <c r="IU99" s="3"/>
      <c r="IV99" s="3"/>
      <c r="IW99" s="3"/>
    </row>
    <row r="100" spans="1:257" s="229" customFormat="1" ht="12.75" customHeight="1" outlineLevel="2">
      <c r="A100" s="248"/>
      <c r="B100" s="249" t="s">
        <v>293</v>
      </c>
      <c r="C100" s="246"/>
      <c r="D100" s="246"/>
      <c r="E100" s="246"/>
      <c r="F100" s="245"/>
      <c r="G100" s="245"/>
      <c r="H100" s="20">
        <f t="shared" si="157"/>
        <v>0</v>
      </c>
      <c r="I100" s="20">
        <f t="shared" si="157"/>
        <v>150</v>
      </c>
      <c r="J100" s="20">
        <f t="shared" si="157"/>
        <v>25</v>
      </c>
      <c r="K100" s="20">
        <f t="shared" si="157"/>
        <v>0</v>
      </c>
      <c r="L100" s="20">
        <f t="shared" si="157"/>
        <v>0</v>
      </c>
      <c r="M100" s="20">
        <f t="shared" si="157"/>
        <v>0</v>
      </c>
      <c r="N100" s="20">
        <f t="shared" si="157"/>
        <v>0</v>
      </c>
      <c r="O100" s="243"/>
      <c r="P100" s="5"/>
      <c r="Q100" s="5"/>
      <c r="R100" s="5"/>
      <c r="S100" s="5"/>
      <c r="T100" s="5"/>
      <c r="U100" s="5"/>
      <c r="V100" s="254"/>
      <c r="W100" s="254"/>
      <c r="X100" s="256"/>
      <c r="Y100" s="256"/>
      <c r="Z100" s="252">
        <v>0</v>
      </c>
      <c r="AA100" s="252">
        <v>0</v>
      </c>
      <c r="AB100" s="252">
        <v>0</v>
      </c>
      <c r="AC100" s="252">
        <v>0</v>
      </c>
      <c r="AD100" s="252">
        <v>400</v>
      </c>
      <c r="AE100" s="252">
        <v>200</v>
      </c>
      <c r="AF100" s="274">
        <v>100</v>
      </c>
      <c r="AG100" s="274">
        <v>0</v>
      </c>
      <c r="AH100" s="252">
        <v>0</v>
      </c>
      <c r="AI100" s="252">
        <v>0</v>
      </c>
      <c r="AJ100" s="252">
        <v>0</v>
      </c>
      <c r="AK100" s="252">
        <v>0</v>
      </c>
      <c r="AL100" s="252">
        <v>0</v>
      </c>
      <c r="AM100" s="252">
        <v>0</v>
      </c>
      <c r="AN100" s="252">
        <v>0</v>
      </c>
      <c r="AO100" s="252">
        <v>0</v>
      </c>
      <c r="AP100" s="252">
        <v>0</v>
      </c>
      <c r="AQ100" s="252">
        <v>0</v>
      </c>
      <c r="AR100" s="252">
        <v>0</v>
      </c>
      <c r="AS100" s="252">
        <v>0</v>
      </c>
      <c r="AT100" s="252">
        <v>0</v>
      </c>
      <c r="AU100" s="252">
        <v>0</v>
      </c>
      <c r="AV100" s="252">
        <v>0</v>
      </c>
      <c r="AW100" s="252">
        <v>0</v>
      </c>
      <c r="AX100" s="252">
        <v>0</v>
      </c>
      <c r="AY100" s="252">
        <v>0</v>
      </c>
      <c r="BG100" s="4">
        <v>94</v>
      </c>
      <c r="BH100"/>
      <c r="BI100"/>
      <c r="BJ100"/>
      <c r="BK100"/>
      <c r="BL100"/>
      <c r="BM100"/>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c r="HF100" s="3"/>
      <c r="HG100" s="3"/>
      <c r="HH100" s="3"/>
      <c r="HI100" s="3"/>
      <c r="HJ100" s="3"/>
      <c r="HK100" s="3"/>
      <c r="HL100" s="3"/>
      <c r="HM100" s="3"/>
      <c r="HN100" s="3"/>
      <c r="HO100" s="3"/>
      <c r="HP100" s="3"/>
      <c r="HQ100" s="3"/>
      <c r="HR100" s="3"/>
      <c r="HS100" s="3"/>
      <c r="HT100" s="3"/>
      <c r="HU100" s="3"/>
      <c r="HV100" s="3"/>
      <c r="HW100" s="3"/>
      <c r="HX100" s="3"/>
      <c r="HY100" s="3"/>
      <c r="HZ100" s="3"/>
      <c r="IA100" s="3"/>
      <c r="IB100" s="3"/>
      <c r="IC100" s="3"/>
      <c r="ID100" s="3"/>
      <c r="IE100" s="3"/>
      <c r="IF100" s="3"/>
      <c r="IG100" s="3"/>
      <c r="IH100" s="3"/>
      <c r="II100" s="3"/>
      <c r="IJ100" s="3"/>
      <c r="IK100" s="3"/>
      <c r="IL100" s="3"/>
      <c r="IM100" s="3"/>
      <c r="IN100" s="3"/>
      <c r="IO100" s="3"/>
      <c r="IP100" s="3"/>
      <c r="IQ100" s="3"/>
      <c r="IR100" s="3"/>
      <c r="IS100" s="3"/>
      <c r="IT100" s="3"/>
      <c r="IU100" s="3"/>
      <c r="IV100" s="3"/>
      <c r="IW100" s="3"/>
    </row>
    <row r="101" spans="1:257" s="229" customFormat="1" ht="12.75" customHeight="1" outlineLevel="2">
      <c r="A101" s="248"/>
      <c r="B101" s="249" t="s">
        <v>292</v>
      </c>
      <c r="C101" s="246"/>
      <c r="D101" s="246"/>
      <c r="E101" s="246"/>
      <c r="F101" s="245"/>
      <c r="G101" s="245"/>
      <c r="H101" s="20">
        <f t="shared" si="157"/>
        <v>8091.5</v>
      </c>
      <c r="I101" s="20">
        <f t="shared" si="157"/>
        <v>8817.5</v>
      </c>
      <c r="J101" s="20">
        <f t="shared" si="157"/>
        <v>8835</v>
      </c>
      <c r="K101" s="20">
        <f t="shared" si="157"/>
        <v>8858.75</v>
      </c>
      <c r="L101" s="20">
        <f t="shared" si="157"/>
        <v>13327</v>
      </c>
      <c r="M101" s="20">
        <f t="shared" si="157"/>
        <v>18077</v>
      </c>
      <c r="N101" s="20">
        <f t="shared" si="157"/>
        <v>18077</v>
      </c>
      <c r="O101" s="243"/>
      <c r="P101" s="5"/>
      <c r="Q101" s="5"/>
      <c r="R101" s="5"/>
      <c r="S101" s="5"/>
      <c r="T101" s="5"/>
      <c r="U101" s="5"/>
      <c r="V101" s="254"/>
      <c r="W101" s="254"/>
      <c r="X101" s="256"/>
      <c r="Y101" s="256"/>
      <c r="Z101" s="256">
        <f t="shared" ref="Z101:AY101" si="160">+Z98-Z99-Z100</f>
        <v>7713</v>
      </c>
      <c r="AA101" s="256">
        <f t="shared" si="160"/>
        <v>8470</v>
      </c>
      <c r="AB101" s="256">
        <f t="shared" si="160"/>
        <v>8670</v>
      </c>
      <c r="AC101" s="256">
        <f t="shared" si="160"/>
        <v>9200</v>
      </c>
      <c r="AD101" s="256">
        <f t="shared" si="160"/>
        <v>8700</v>
      </c>
      <c r="AE101" s="256">
        <f t="shared" si="160"/>
        <v>8700</v>
      </c>
      <c r="AF101" s="256">
        <f t="shared" si="160"/>
        <v>8900</v>
      </c>
      <c r="AG101" s="256">
        <f t="shared" si="160"/>
        <v>8900</v>
      </c>
      <c r="AH101" s="256">
        <f t="shared" si="160"/>
        <v>8835</v>
      </c>
      <c r="AI101" s="256">
        <f t="shared" si="160"/>
        <v>8705</v>
      </c>
      <c r="AJ101" s="256">
        <f t="shared" si="160"/>
        <v>8720</v>
      </c>
      <c r="AK101" s="256">
        <f t="shared" si="160"/>
        <v>9005</v>
      </c>
      <c r="AL101" s="256">
        <f t="shared" si="160"/>
        <v>8864</v>
      </c>
      <c r="AM101" s="256">
        <f t="shared" si="160"/>
        <v>8846</v>
      </c>
      <c r="AN101" s="256">
        <f t="shared" si="160"/>
        <v>8577</v>
      </c>
      <c r="AO101" s="256">
        <f t="shared" si="160"/>
        <v>8577</v>
      </c>
      <c r="AP101" s="256">
        <f t="shared" si="160"/>
        <v>18077</v>
      </c>
      <c r="AQ101" s="256">
        <f t="shared" si="160"/>
        <v>18077</v>
      </c>
      <c r="AR101" s="256">
        <f t="shared" si="160"/>
        <v>18077</v>
      </c>
      <c r="AS101" s="256">
        <f t="shared" si="160"/>
        <v>18077</v>
      </c>
      <c r="AT101" s="256">
        <f t="shared" si="160"/>
        <v>18077</v>
      </c>
      <c r="AU101" s="256">
        <f t="shared" si="160"/>
        <v>18077</v>
      </c>
      <c r="AV101" s="256">
        <f t="shared" si="160"/>
        <v>18077</v>
      </c>
      <c r="AW101" s="256">
        <f t="shared" si="160"/>
        <v>18077</v>
      </c>
      <c r="AX101" s="256">
        <f t="shared" si="160"/>
        <v>18077</v>
      </c>
      <c r="AY101" s="256">
        <f t="shared" si="160"/>
        <v>18077</v>
      </c>
      <c r="BG101" s="4">
        <v>95</v>
      </c>
      <c r="BH101"/>
      <c r="BI101"/>
      <c r="BJ101"/>
      <c r="BK101"/>
      <c r="BL101"/>
      <c r="BM101"/>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c r="HF101" s="3"/>
      <c r="HG101" s="3"/>
      <c r="HH101" s="3"/>
      <c r="HI101" s="3"/>
      <c r="HJ101" s="3"/>
      <c r="HK101" s="3"/>
      <c r="HL101" s="3"/>
      <c r="HM101" s="3"/>
      <c r="HN101" s="3"/>
      <c r="HO101" s="3"/>
      <c r="HP101" s="3"/>
      <c r="HQ101" s="3"/>
      <c r="HR101" s="3"/>
      <c r="HS101" s="3"/>
      <c r="HT101" s="3"/>
      <c r="HU101" s="3"/>
      <c r="HV101" s="3"/>
      <c r="HW101" s="3"/>
      <c r="HX101" s="3"/>
      <c r="HY101" s="3"/>
      <c r="HZ101" s="3"/>
      <c r="IA101" s="3"/>
      <c r="IB101" s="3"/>
      <c r="IC101" s="3"/>
      <c r="ID101" s="3"/>
      <c r="IE101" s="3"/>
      <c r="IF101" s="3"/>
      <c r="IG101" s="3"/>
      <c r="IH101" s="3"/>
      <c r="II101" s="3"/>
      <c r="IJ101" s="3"/>
      <c r="IK101" s="3"/>
      <c r="IL101" s="3"/>
      <c r="IM101" s="3"/>
      <c r="IN101" s="3"/>
      <c r="IO101" s="3"/>
      <c r="IP101" s="3"/>
      <c r="IQ101" s="3"/>
      <c r="IR101" s="3"/>
      <c r="IS101" s="3"/>
      <c r="IT101" s="3"/>
      <c r="IU101" s="3"/>
      <c r="IV101" s="3"/>
      <c r="IW101" s="3"/>
    </row>
    <row r="102" spans="1:257" s="229" customFormat="1" ht="12.75" customHeight="1" outlineLevel="2">
      <c r="A102" s="248"/>
      <c r="B102" s="249" t="s">
        <v>291</v>
      </c>
      <c r="C102" s="246"/>
      <c r="D102" s="246"/>
      <c r="E102" s="246"/>
      <c r="F102" s="245"/>
      <c r="G102" s="245"/>
      <c r="H102" s="256">
        <f t="shared" ref="H102:N102" si="161">-H103/12*1000000/H101</f>
        <v>579.28072668850029</v>
      </c>
      <c r="I102" s="256">
        <f t="shared" si="161"/>
        <v>640.25139400812782</v>
      </c>
      <c r="J102" s="256">
        <f t="shared" si="161"/>
        <v>603.63139030371622</v>
      </c>
      <c r="K102" s="256">
        <f t="shared" si="161"/>
        <v>506.49546117303987</v>
      </c>
      <c r="L102" s="256">
        <f t="shared" si="161"/>
        <v>498.07822744743396</v>
      </c>
      <c r="M102" s="256">
        <f t="shared" si="161"/>
        <v>498.07822744743396</v>
      </c>
      <c r="N102" s="256">
        <f t="shared" si="161"/>
        <v>498.07822744743396</v>
      </c>
      <c r="O102" s="243"/>
      <c r="P102" s="5"/>
      <c r="Q102" s="5"/>
      <c r="R102" s="5"/>
      <c r="S102" s="5"/>
      <c r="T102" s="5"/>
      <c r="U102" s="5"/>
      <c r="V102" s="254"/>
      <c r="W102" s="254"/>
      <c r="X102" s="256"/>
      <c r="Y102" s="256"/>
      <c r="Z102" s="256">
        <f t="shared" ref="Z102:AM102" si="162">-Z103/3*1000000/Z101</f>
        <v>590.86390941700176</v>
      </c>
      <c r="AA102" s="256">
        <f t="shared" si="162"/>
        <v>673.63242817788262</v>
      </c>
      <c r="AB102" s="256">
        <f t="shared" si="162"/>
        <v>628.98885044213762</v>
      </c>
      <c r="AC102" s="256">
        <f t="shared" si="162"/>
        <v>621.12318840579712</v>
      </c>
      <c r="AD102" s="256">
        <f t="shared" si="162"/>
        <v>658.16091954022977</v>
      </c>
      <c r="AE102" s="256">
        <f t="shared" si="162"/>
        <v>653.79310344827616</v>
      </c>
      <c r="AF102" s="256">
        <f t="shared" si="162"/>
        <v>666.77902621722853</v>
      </c>
      <c r="AG102" s="256">
        <f t="shared" si="162"/>
        <v>649.92509363295881</v>
      </c>
      <c r="AH102" s="256">
        <f t="shared" si="162"/>
        <v>602.67873986040365</v>
      </c>
      <c r="AI102" s="256">
        <f t="shared" si="162"/>
        <v>492.70534175761048</v>
      </c>
      <c r="AJ102" s="256">
        <f t="shared" si="162"/>
        <v>524.23547400611619</v>
      </c>
      <c r="AK102" s="256">
        <f t="shared" si="162"/>
        <v>499.1671293725708</v>
      </c>
      <c r="AL102" s="256">
        <f t="shared" si="162"/>
        <v>504.88868832731646</v>
      </c>
      <c r="AM102" s="256">
        <f t="shared" si="162"/>
        <v>498.07822744743396</v>
      </c>
      <c r="AN102" s="273">
        <f t="shared" ref="AN102:AY102" si="163">AM102</f>
        <v>498.07822744743396</v>
      </c>
      <c r="AO102" s="273">
        <f t="shared" si="163"/>
        <v>498.07822744743396</v>
      </c>
      <c r="AP102" s="273">
        <f t="shared" si="163"/>
        <v>498.07822744743396</v>
      </c>
      <c r="AQ102" s="273">
        <f t="shared" si="163"/>
        <v>498.07822744743396</v>
      </c>
      <c r="AR102" s="273">
        <f t="shared" si="163"/>
        <v>498.07822744743396</v>
      </c>
      <c r="AS102" s="273">
        <f t="shared" si="163"/>
        <v>498.07822744743396</v>
      </c>
      <c r="AT102" s="273">
        <f t="shared" si="163"/>
        <v>498.07822744743396</v>
      </c>
      <c r="AU102" s="273">
        <f t="shared" si="163"/>
        <v>498.07822744743396</v>
      </c>
      <c r="AV102" s="273">
        <f t="shared" si="163"/>
        <v>498.07822744743396</v>
      </c>
      <c r="AW102" s="273">
        <f t="shared" si="163"/>
        <v>498.07822744743396</v>
      </c>
      <c r="AX102" s="273">
        <f t="shared" si="163"/>
        <v>498.07822744743396</v>
      </c>
      <c r="AY102" s="273">
        <f t="shared" si="163"/>
        <v>498.07822744743396</v>
      </c>
      <c r="BG102" s="4">
        <v>96</v>
      </c>
      <c r="BH102"/>
      <c r="BI102"/>
      <c r="BJ102"/>
      <c r="BK102"/>
      <c r="BL102"/>
      <c r="BM102"/>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c r="HF102" s="3"/>
      <c r="HG102" s="3"/>
      <c r="HH102" s="3"/>
      <c r="HI102" s="3"/>
      <c r="HJ102" s="3"/>
      <c r="HK102" s="3"/>
      <c r="HL102" s="3"/>
      <c r="HM102" s="3"/>
      <c r="HN102" s="3"/>
      <c r="HO102" s="3"/>
      <c r="HP102" s="3"/>
      <c r="HQ102" s="3"/>
      <c r="HR102" s="3"/>
      <c r="HS102" s="3"/>
      <c r="HT102" s="3"/>
      <c r="HU102" s="3"/>
      <c r="HV102" s="3"/>
      <c r="HW102" s="3"/>
      <c r="HX102" s="3"/>
      <c r="HY102" s="3"/>
      <c r="HZ102" s="3"/>
      <c r="IA102" s="3"/>
      <c r="IB102" s="3"/>
      <c r="IC102" s="3"/>
      <c r="ID102" s="3"/>
      <c r="IE102" s="3"/>
      <c r="IF102" s="3"/>
      <c r="IG102" s="3"/>
      <c r="IH102" s="3"/>
      <c r="II102" s="3"/>
      <c r="IJ102" s="3"/>
      <c r="IK102" s="3"/>
      <c r="IL102" s="3"/>
      <c r="IM102" s="3"/>
      <c r="IN102" s="3"/>
      <c r="IO102" s="3"/>
      <c r="IP102" s="3"/>
      <c r="IQ102" s="3"/>
      <c r="IR102" s="3"/>
      <c r="IS102" s="3"/>
      <c r="IT102" s="3"/>
      <c r="IU102" s="3"/>
      <c r="IV102" s="3"/>
      <c r="IW102" s="3"/>
    </row>
    <row r="103" spans="1:257" s="229" customFormat="1" ht="12.75" customHeight="1" outlineLevel="2">
      <c r="A103" s="248"/>
      <c r="B103" s="249" t="s">
        <v>290</v>
      </c>
      <c r="C103" s="246"/>
      <c r="D103" s="246"/>
      <c r="E103" s="246"/>
      <c r="F103" s="245"/>
      <c r="G103" s="245"/>
      <c r="H103" s="120">
        <f>SUMIF($P$4:$AN$4,H$4,$P103:$AN103)</f>
        <v>-56.247</v>
      </c>
      <c r="I103" s="120">
        <f>SUMIF($P$4:$AN$4,I$4,$P103:$AN103)</f>
        <v>-67.745000000000005</v>
      </c>
      <c r="J103" s="120">
        <f>SUMIF($P$4:$AN$4,J$4,$P103:$AN103)</f>
        <v>-63.996999999999993</v>
      </c>
      <c r="K103" s="120">
        <f>SUMIF($P$4:$AZ$4,K$4,$P103:$AZ103)</f>
        <v>-53.843000000000004</v>
      </c>
      <c r="L103" s="120">
        <f>SUMIF($P$4:$AZ$4,L$4,$P103:$AZ103)</f>
        <v>-79.654662446303433</v>
      </c>
      <c r="M103" s="120">
        <f>SUMIF($P$4:$AZ$4,M$4,$P103:$AZ103)</f>
        <v>-108.04512141080717</v>
      </c>
      <c r="N103" s="120">
        <f>SUMIF($P$4:$AZ$4,N$4,$P103:$AZ103)</f>
        <v>-108.04512141080717</v>
      </c>
      <c r="O103" s="243"/>
      <c r="P103" s="5"/>
      <c r="Q103" s="5"/>
      <c r="R103" s="5"/>
      <c r="S103" s="5"/>
      <c r="T103" s="272">
        <v>-4</v>
      </c>
      <c r="U103" s="272">
        <v>-7</v>
      </c>
      <c r="V103" s="271">
        <f>-20.973-U103-T103</f>
        <v>-9.972999999999999</v>
      </c>
      <c r="W103" s="271">
        <f>-34.195-V103-U103-T103</f>
        <v>-13.222000000000001</v>
      </c>
      <c r="X103" s="250">
        <v>-12.638999999999999</v>
      </c>
      <c r="Y103" s="250">
        <f>-25.458-X103</f>
        <v>-12.818999999999999</v>
      </c>
      <c r="Z103" s="271">
        <f>-39.13-Y103-X103</f>
        <v>-13.672000000000004</v>
      </c>
      <c r="AA103" s="271">
        <f>-56.247-Z103-Y103-X103</f>
        <v>-17.116999999999997</v>
      </c>
      <c r="AB103" s="271">
        <v>-16.36</v>
      </c>
      <c r="AC103" s="271">
        <f>-33.503-AB103</f>
        <v>-17.143000000000001</v>
      </c>
      <c r="AD103" s="271">
        <f>-50.681-AC103-AB103</f>
        <v>-17.177999999999997</v>
      </c>
      <c r="AE103" s="271">
        <f>-67.745-AD103-AC103-AB103</f>
        <v>-17.064000000000007</v>
      </c>
      <c r="AF103" s="271">
        <v>-17.803000000000001</v>
      </c>
      <c r="AG103" s="271">
        <f>-35.156-AF103</f>
        <v>-17.352999999999998</v>
      </c>
      <c r="AH103" s="271">
        <f>-51.13-AG103-AF103</f>
        <v>-15.974</v>
      </c>
      <c r="AI103" s="271">
        <f>-63.997-AH103-AG103-AF103</f>
        <v>-12.866999999999997</v>
      </c>
      <c r="AJ103" s="271">
        <v>-13.714</v>
      </c>
      <c r="AK103" s="271">
        <f>-27.199-AJ103</f>
        <v>-13.485000000000001</v>
      </c>
      <c r="AL103" s="271">
        <f>-40.625-AK103-AJ103</f>
        <v>-13.426</v>
      </c>
      <c r="AM103" s="271">
        <f>-53.843-AL103-AK103-AJ103</f>
        <v>-13.218000000000002</v>
      </c>
      <c r="AN103" s="124">
        <f t="shared" ref="AN103:AY103" si="164">-AN102*3*AN101/1000000</f>
        <v>-12.816050870449923</v>
      </c>
      <c r="AO103" s="124">
        <f t="shared" si="164"/>
        <v>-12.816050870449923</v>
      </c>
      <c r="AP103" s="124">
        <f t="shared" si="164"/>
        <v>-27.011280352701792</v>
      </c>
      <c r="AQ103" s="124">
        <f t="shared" si="164"/>
        <v>-27.011280352701792</v>
      </c>
      <c r="AR103" s="124">
        <f t="shared" si="164"/>
        <v>-27.011280352701792</v>
      </c>
      <c r="AS103" s="124">
        <f t="shared" si="164"/>
        <v>-27.011280352701792</v>
      </c>
      <c r="AT103" s="124">
        <f t="shared" si="164"/>
        <v>-27.011280352701792</v>
      </c>
      <c r="AU103" s="124">
        <f t="shared" si="164"/>
        <v>-27.011280352701792</v>
      </c>
      <c r="AV103" s="124">
        <f t="shared" si="164"/>
        <v>-27.011280352701792</v>
      </c>
      <c r="AW103" s="124">
        <f t="shared" si="164"/>
        <v>-27.011280352701792</v>
      </c>
      <c r="AX103" s="124">
        <f t="shared" si="164"/>
        <v>-27.011280352701792</v>
      </c>
      <c r="AY103" s="124">
        <f t="shared" si="164"/>
        <v>-27.011280352701792</v>
      </c>
      <c r="BG103" s="4">
        <v>97</v>
      </c>
      <c r="BH103"/>
      <c r="BI103"/>
      <c r="BJ103"/>
      <c r="BK103"/>
      <c r="BL103"/>
      <c r="BM10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c r="HF103" s="3"/>
      <c r="HG103" s="3"/>
      <c r="HH103" s="3"/>
      <c r="HI103" s="3"/>
      <c r="HJ103" s="3"/>
      <c r="HK103" s="3"/>
      <c r="HL103" s="3"/>
      <c r="HM103" s="3"/>
      <c r="HN103" s="3"/>
      <c r="HO103" s="3"/>
      <c r="HP103" s="3"/>
      <c r="HQ103" s="3"/>
      <c r="HR103" s="3"/>
      <c r="HS103" s="3"/>
      <c r="HT103" s="3"/>
      <c r="HU103" s="3"/>
      <c r="HV103" s="3"/>
      <c r="HW103" s="3"/>
      <c r="HX103" s="3"/>
      <c r="HY103" s="3"/>
      <c r="HZ103" s="3"/>
      <c r="IA103" s="3"/>
      <c r="IB103" s="3"/>
      <c r="IC103" s="3"/>
      <c r="ID103" s="3"/>
      <c r="IE103" s="3"/>
      <c r="IF103" s="3"/>
      <c r="IG103" s="3"/>
      <c r="IH103" s="3"/>
      <c r="II103" s="3"/>
      <c r="IJ103" s="3"/>
      <c r="IK103" s="3"/>
      <c r="IL103" s="3"/>
      <c r="IM103" s="3"/>
      <c r="IN103" s="3"/>
      <c r="IO103" s="3"/>
      <c r="IP103" s="3"/>
      <c r="IQ103" s="3"/>
      <c r="IR103" s="3"/>
      <c r="IS103" s="3"/>
      <c r="IT103" s="3"/>
      <c r="IU103" s="3"/>
      <c r="IV103" s="3"/>
      <c r="IW103" s="3"/>
    </row>
    <row r="104" spans="1:257" s="229" customFormat="1" ht="12.75" customHeight="1" outlineLevel="2">
      <c r="A104" s="248"/>
      <c r="B104" s="247"/>
      <c r="C104" s="246"/>
      <c r="D104" s="246"/>
      <c r="E104" s="246"/>
      <c r="F104" s="245"/>
      <c r="G104" s="245"/>
      <c r="H104" s="244"/>
      <c r="I104" s="244"/>
      <c r="J104" s="244"/>
      <c r="K104" s="244"/>
      <c r="L104" s="244"/>
      <c r="M104" s="244"/>
      <c r="N104" s="244"/>
      <c r="O104" s="243"/>
      <c r="P104" s="5"/>
      <c r="Q104" s="5"/>
      <c r="R104" s="5"/>
      <c r="S104" s="5"/>
      <c r="T104" s="5"/>
      <c r="U104" s="5"/>
      <c r="V104" s="254"/>
      <c r="W104" s="254"/>
      <c r="X104" s="256"/>
      <c r="Y104" s="256"/>
      <c r="Z104" s="256"/>
      <c r="AA104" s="256"/>
      <c r="AB104" s="256"/>
      <c r="AC104" s="256"/>
      <c r="AD104" s="256"/>
      <c r="AE104" s="256"/>
      <c r="AF104" s="256"/>
      <c r="AG104" s="256"/>
      <c r="AH104" s="256"/>
      <c r="AI104" s="256"/>
      <c r="AJ104" s="256"/>
      <c r="AK104" s="256"/>
      <c r="AL104" s="256"/>
      <c r="AM104" s="256"/>
      <c r="AN104" s="255"/>
      <c r="AO104" s="255"/>
      <c r="AP104" s="255"/>
      <c r="AQ104" s="255"/>
      <c r="AR104" s="255"/>
      <c r="AS104" s="255"/>
      <c r="AT104" s="255"/>
      <c r="AU104" s="255"/>
      <c r="AV104" s="255"/>
      <c r="AW104" s="255"/>
      <c r="AX104" s="255"/>
      <c r="AY104" s="255"/>
      <c r="BG104" s="4">
        <v>98</v>
      </c>
      <c r="BH104"/>
      <c r="BI104"/>
      <c r="BJ104"/>
      <c r="BK104"/>
      <c r="BL104"/>
      <c r="BM104"/>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c r="HF104" s="3"/>
      <c r="HG104" s="3"/>
      <c r="HH104" s="3"/>
      <c r="HI104" s="3"/>
      <c r="HJ104" s="3"/>
      <c r="HK104" s="3"/>
      <c r="HL104" s="3"/>
      <c r="HM104" s="3"/>
      <c r="HN104" s="3"/>
      <c r="HO104" s="3"/>
      <c r="HP104" s="3"/>
      <c r="HQ104" s="3"/>
      <c r="HR104" s="3"/>
      <c r="HS104" s="3"/>
      <c r="HT104" s="3"/>
      <c r="HU104" s="3"/>
      <c r="HV104" s="3"/>
      <c r="HW104" s="3"/>
      <c r="HX104" s="3"/>
      <c r="HY104" s="3"/>
      <c r="HZ104" s="3"/>
      <c r="IA104" s="3"/>
      <c r="IB104" s="3"/>
      <c r="IC104" s="3"/>
      <c r="ID104" s="3"/>
      <c r="IE104" s="3"/>
      <c r="IF104" s="3"/>
      <c r="IG104" s="3"/>
      <c r="IH104" s="3"/>
      <c r="II104" s="3"/>
      <c r="IJ104" s="3"/>
      <c r="IK104" s="3"/>
      <c r="IL104" s="3"/>
      <c r="IM104" s="3"/>
      <c r="IN104" s="3"/>
      <c r="IO104" s="3"/>
      <c r="IP104" s="3"/>
      <c r="IQ104" s="3"/>
      <c r="IR104" s="3"/>
      <c r="IS104" s="3"/>
      <c r="IT104" s="3"/>
      <c r="IU104" s="3"/>
      <c r="IV104" s="3"/>
      <c r="IW104" s="3"/>
    </row>
    <row r="105" spans="1:257" s="229" customFormat="1" ht="12.75" customHeight="1" outlineLevel="2">
      <c r="A105" s="248"/>
      <c r="B105" s="247" t="s">
        <v>289</v>
      </c>
      <c r="C105" s="246"/>
      <c r="D105" s="246"/>
      <c r="E105" s="246"/>
      <c r="F105" s="245"/>
      <c r="G105" s="245"/>
      <c r="H105" s="244"/>
      <c r="I105" s="244"/>
      <c r="J105" s="244"/>
      <c r="K105" s="244"/>
      <c r="L105" s="244"/>
      <c r="M105" s="244"/>
      <c r="N105" s="244"/>
      <c r="O105" s="243"/>
      <c r="P105" s="5"/>
      <c r="Q105" s="5"/>
      <c r="R105" s="5"/>
      <c r="S105" s="5"/>
      <c r="T105" s="5"/>
      <c r="U105" s="5"/>
      <c r="V105" s="254"/>
      <c r="W105" s="254"/>
      <c r="X105" s="256"/>
      <c r="Y105" s="256"/>
      <c r="Z105" s="256"/>
      <c r="AA105" s="256"/>
      <c r="AB105" s="256"/>
      <c r="AC105" s="256"/>
      <c r="AD105" s="256"/>
      <c r="AE105" s="256"/>
      <c r="AF105" s="256"/>
      <c r="AG105" s="256"/>
      <c r="AH105" s="256"/>
      <c r="AI105" s="256"/>
      <c r="AJ105" s="256"/>
      <c r="AK105" s="256"/>
      <c r="AL105" s="256"/>
      <c r="AM105" s="256"/>
      <c r="AN105" s="255"/>
      <c r="AO105" s="255"/>
      <c r="AP105" s="255"/>
      <c r="AQ105" s="255"/>
      <c r="AR105" s="255"/>
      <c r="AS105" s="255"/>
      <c r="AT105" s="255"/>
      <c r="AU105" s="255"/>
      <c r="AV105" s="255"/>
      <c r="AW105" s="255"/>
      <c r="AX105" s="255"/>
      <c r="AY105" s="255"/>
      <c r="BG105" s="4">
        <v>99</v>
      </c>
      <c r="BH105"/>
      <c r="BI105"/>
      <c r="BJ105"/>
      <c r="BK105"/>
      <c r="BL105"/>
      <c r="BM105"/>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c r="HF105" s="3"/>
      <c r="HG105" s="3"/>
      <c r="HH105" s="3"/>
      <c r="HI105" s="3"/>
      <c r="HJ105" s="3"/>
      <c r="HK105" s="3"/>
      <c r="HL105" s="3"/>
      <c r="HM105" s="3"/>
      <c r="HN105" s="3"/>
      <c r="HO105" s="3"/>
      <c r="HP105" s="3"/>
      <c r="HQ105" s="3"/>
      <c r="HR105" s="3"/>
      <c r="HS105" s="3"/>
      <c r="HT105" s="3"/>
      <c r="HU105" s="3"/>
      <c r="HV105" s="3"/>
      <c r="HW105" s="3"/>
      <c r="HX105" s="3"/>
      <c r="HY105" s="3"/>
      <c r="HZ105" s="3"/>
      <c r="IA105" s="3"/>
      <c r="IB105" s="3"/>
      <c r="IC105" s="3"/>
      <c r="ID105" s="3"/>
      <c r="IE105" s="3"/>
      <c r="IF105" s="3"/>
      <c r="IG105" s="3"/>
      <c r="IH105" s="3"/>
      <c r="II105" s="3"/>
      <c r="IJ105" s="3"/>
      <c r="IK105" s="3"/>
      <c r="IL105" s="3"/>
      <c r="IM105" s="3"/>
      <c r="IN105" s="3"/>
      <c r="IO105" s="3"/>
      <c r="IP105" s="3"/>
      <c r="IQ105" s="3"/>
      <c r="IR105" s="3"/>
      <c r="IS105" s="3"/>
      <c r="IT105" s="3"/>
      <c r="IU105" s="3"/>
      <c r="IV105" s="3"/>
      <c r="IW105" s="3"/>
    </row>
    <row r="106" spans="1:257" s="229" customFormat="1" ht="12.75" customHeight="1" outlineLevel="2">
      <c r="A106" s="248"/>
      <c r="B106" s="249" t="s">
        <v>288</v>
      </c>
      <c r="C106" s="246"/>
      <c r="D106" s="246"/>
      <c r="E106" s="246"/>
      <c r="F106" s="245"/>
      <c r="G106" s="245"/>
      <c r="H106" s="244"/>
      <c r="I106" s="244"/>
      <c r="J106" s="244"/>
      <c r="K106" s="244"/>
      <c r="L106" s="244"/>
      <c r="M106" s="244"/>
      <c r="N106" s="244"/>
      <c r="O106" s="243"/>
      <c r="P106" s="5"/>
      <c r="Q106" s="5"/>
      <c r="R106" s="5"/>
      <c r="S106" s="5"/>
      <c r="T106" s="5"/>
      <c r="U106" s="5"/>
      <c r="V106" s="263"/>
      <c r="W106" s="254"/>
      <c r="X106" s="270">
        <v>0.8</v>
      </c>
      <c r="Y106" s="270">
        <v>0.82</v>
      </c>
      <c r="Z106" s="263">
        <v>0.84</v>
      </c>
      <c r="AA106" s="263">
        <v>0.85</v>
      </c>
      <c r="AB106" s="263">
        <v>0.82</v>
      </c>
      <c r="AC106" s="263">
        <v>0.72</v>
      </c>
      <c r="AD106" s="269">
        <f t="shared" ref="AD106:AM106" si="165">+AD107/AD88</f>
        <v>0.57504696707264547</v>
      </c>
      <c r="AE106" s="268">
        <f t="shared" si="165"/>
        <v>0.6289602691227737</v>
      </c>
      <c r="AF106" s="268">
        <f t="shared" si="165"/>
        <v>0.63288560818766415</v>
      </c>
      <c r="AG106" s="268">
        <f t="shared" si="165"/>
        <v>0.63297740710540884</v>
      </c>
      <c r="AH106" s="268">
        <f t="shared" si="165"/>
        <v>0.68253129601356977</v>
      </c>
      <c r="AI106" s="268">
        <f t="shared" si="165"/>
        <v>0.73545460438084154</v>
      </c>
      <c r="AJ106" s="268">
        <f t="shared" si="165"/>
        <v>0.67477688065542385</v>
      </c>
      <c r="AK106" s="268">
        <f t="shared" si="165"/>
        <v>0.6757806393340372</v>
      </c>
      <c r="AL106" s="268">
        <f t="shared" si="165"/>
        <v>0.69454354500737381</v>
      </c>
      <c r="AM106" s="268">
        <f t="shared" si="165"/>
        <v>0.72928573489514992</v>
      </c>
      <c r="AN106" s="263">
        <f>AM106</f>
        <v>0.72928573489514992</v>
      </c>
      <c r="AO106" s="263">
        <f>AN106</f>
        <v>0.72928573489514992</v>
      </c>
      <c r="AP106" s="267">
        <v>0.8</v>
      </c>
      <c r="AQ106" s="263">
        <f t="shared" ref="AQ106:AY106" si="166">AP106</f>
        <v>0.8</v>
      </c>
      <c r="AR106" s="263">
        <f t="shared" si="166"/>
        <v>0.8</v>
      </c>
      <c r="AS106" s="263">
        <f t="shared" si="166"/>
        <v>0.8</v>
      </c>
      <c r="AT106" s="263">
        <f t="shared" si="166"/>
        <v>0.8</v>
      </c>
      <c r="AU106" s="263">
        <f t="shared" si="166"/>
        <v>0.8</v>
      </c>
      <c r="AV106" s="263">
        <f t="shared" si="166"/>
        <v>0.8</v>
      </c>
      <c r="AW106" s="263">
        <f t="shared" si="166"/>
        <v>0.8</v>
      </c>
      <c r="AX106" s="263">
        <f t="shared" si="166"/>
        <v>0.8</v>
      </c>
      <c r="AY106" s="263">
        <f t="shared" si="166"/>
        <v>0.8</v>
      </c>
      <c r="AZ106" s="266"/>
      <c r="BG106" s="4">
        <v>100</v>
      </c>
      <c r="BH106"/>
      <c r="BI106"/>
      <c r="BJ106"/>
      <c r="BK106"/>
      <c r="BL106"/>
      <c r="BM106"/>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c r="HF106" s="3"/>
      <c r="HG106" s="3"/>
      <c r="HH106" s="3"/>
      <c r="HI106" s="3"/>
      <c r="HJ106" s="3"/>
      <c r="HK106" s="3"/>
      <c r="HL106" s="3"/>
      <c r="HM106" s="3"/>
      <c r="HN106" s="3"/>
      <c r="HO106" s="3"/>
      <c r="HP106" s="3"/>
      <c r="HQ106" s="3"/>
      <c r="HR106" s="3"/>
      <c r="HS106" s="3"/>
      <c r="HT106" s="3"/>
      <c r="HU106" s="3"/>
      <c r="HV106" s="3"/>
      <c r="HW106" s="3"/>
      <c r="HX106" s="3"/>
      <c r="HY106" s="3"/>
      <c r="HZ106" s="3"/>
      <c r="IA106" s="3"/>
      <c r="IB106" s="3"/>
      <c r="IC106" s="3"/>
      <c r="ID106" s="3"/>
      <c r="IE106" s="3"/>
      <c r="IF106" s="3"/>
      <c r="IG106" s="3"/>
      <c r="IH106" s="3"/>
      <c r="II106" s="3"/>
      <c r="IJ106" s="3"/>
      <c r="IK106" s="3"/>
      <c r="IL106" s="3"/>
      <c r="IM106" s="3"/>
      <c r="IN106" s="3"/>
      <c r="IO106" s="3"/>
      <c r="IP106" s="3"/>
      <c r="IQ106" s="3"/>
      <c r="IR106" s="3"/>
      <c r="IS106" s="3"/>
      <c r="IT106" s="3"/>
      <c r="IU106" s="3"/>
      <c r="IV106" s="3"/>
      <c r="IW106" s="3"/>
    </row>
    <row r="107" spans="1:257" s="229" customFormat="1" ht="12.75" customHeight="1" outlineLevel="2">
      <c r="A107" s="248"/>
      <c r="B107" s="249" t="s">
        <v>287</v>
      </c>
      <c r="C107" s="246"/>
      <c r="D107" s="246"/>
      <c r="E107" s="246"/>
      <c r="F107" s="245"/>
      <c r="G107" s="245"/>
      <c r="H107" s="212">
        <f t="shared" ref="H107:J109" si="167">SUMIF($P$4:$AN$4,H$4,$P107:$AN107)</f>
        <v>4734.7975390000001</v>
      </c>
      <c r="I107" s="212">
        <f t="shared" si="167"/>
        <v>3759.6970999999999</v>
      </c>
      <c r="J107" s="212">
        <f t="shared" si="167"/>
        <v>4086.6662199999996</v>
      </c>
      <c r="K107" s="212">
        <f t="shared" ref="K107:N109" si="168">SUMIF($P$4:$AZ$4,K$4,$P107:$AZ107)</f>
        <v>6601.4941724999999</v>
      </c>
      <c r="L107" s="212">
        <f t="shared" si="168"/>
        <v>14701.125104592886</v>
      </c>
      <c r="M107" s="212">
        <f t="shared" si="168"/>
        <v>22400</v>
      </c>
      <c r="N107" s="212">
        <f t="shared" si="168"/>
        <v>22400</v>
      </c>
      <c r="O107" s="243"/>
      <c r="P107" s="5"/>
      <c r="Q107" s="5"/>
      <c r="R107" s="5"/>
      <c r="S107" s="5"/>
      <c r="T107" s="5"/>
      <c r="U107" s="5"/>
      <c r="V107" s="254"/>
      <c r="W107" s="254"/>
      <c r="X107" s="256">
        <f t="shared" ref="X107:AC107" si="169">X106*X88</f>
        <v>1008.805304</v>
      </c>
      <c r="Y107" s="256">
        <f t="shared" si="169"/>
        <v>1141.8944850000003</v>
      </c>
      <c r="Z107" s="256">
        <f t="shared" si="169"/>
        <v>1295.8385999999998</v>
      </c>
      <c r="AA107" s="256">
        <f t="shared" si="169"/>
        <v>1288.2591499999999</v>
      </c>
      <c r="AB107" s="256">
        <f t="shared" si="169"/>
        <v>1219.67948</v>
      </c>
      <c r="AC107" s="256">
        <f t="shared" si="169"/>
        <v>998.78616</v>
      </c>
      <c r="AD107" s="265">
        <f t="shared" ref="AD107:AL107" si="170">+AD109-AD108</f>
        <v>752.98260000000005</v>
      </c>
      <c r="AE107" s="260">
        <f t="shared" si="170"/>
        <v>788.24886000000004</v>
      </c>
      <c r="AF107" s="260">
        <f t="shared" si="170"/>
        <v>894.42432000000008</v>
      </c>
      <c r="AG107" s="260">
        <f t="shared" si="170"/>
        <v>778.61095</v>
      </c>
      <c r="AH107" s="260">
        <f t="shared" si="170"/>
        <v>1131.4996999999998</v>
      </c>
      <c r="AI107" s="260">
        <f t="shared" si="170"/>
        <v>1282.1312499999999</v>
      </c>
      <c r="AJ107" s="260">
        <f t="shared" si="170"/>
        <v>1296.1336999999999</v>
      </c>
      <c r="AK107" s="260">
        <f t="shared" si="170"/>
        <v>1617.5803000000001</v>
      </c>
      <c r="AL107" s="260">
        <f t="shared" si="170"/>
        <v>1817.3766724999996</v>
      </c>
      <c r="AM107" s="260">
        <f t="shared" ref="AM107" si="171">+AM109-AM108</f>
        <v>1870.4035000000003</v>
      </c>
      <c r="AN107" s="244">
        <f t="shared" ref="AN107:AY107" si="172">AN106*AN88</f>
        <v>1768.5179071207385</v>
      </c>
      <c r="AO107" s="244">
        <f t="shared" si="172"/>
        <v>1932.6071974721474</v>
      </c>
      <c r="AP107" s="244">
        <f t="shared" si="172"/>
        <v>5400</v>
      </c>
      <c r="AQ107" s="244">
        <f t="shared" si="172"/>
        <v>5600</v>
      </c>
      <c r="AR107" s="244">
        <f t="shared" si="172"/>
        <v>5600</v>
      </c>
      <c r="AS107" s="244">
        <f t="shared" si="172"/>
        <v>5600</v>
      </c>
      <c r="AT107" s="244">
        <f t="shared" si="172"/>
        <v>5600</v>
      </c>
      <c r="AU107" s="244">
        <f t="shared" si="172"/>
        <v>5600</v>
      </c>
      <c r="AV107" s="244">
        <f t="shared" si="172"/>
        <v>5600</v>
      </c>
      <c r="AW107" s="244">
        <f t="shared" si="172"/>
        <v>5600</v>
      </c>
      <c r="AX107" s="244">
        <f t="shared" si="172"/>
        <v>5600</v>
      </c>
      <c r="AY107" s="244">
        <f t="shared" si="172"/>
        <v>5600</v>
      </c>
      <c r="BG107" s="4">
        <v>101</v>
      </c>
      <c r="BH107"/>
      <c r="BI107"/>
      <c r="BJ107"/>
      <c r="BK107"/>
      <c r="BL107"/>
      <c r="BM107"/>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c r="HF107" s="3"/>
      <c r="HG107" s="3"/>
      <c r="HH107" s="3"/>
      <c r="HI107" s="3"/>
      <c r="HJ107" s="3"/>
      <c r="HK107" s="3"/>
      <c r="HL107" s="3"/>
      <c r="HM107" s="3"/>
      <c r="HN107" s="3"/>
      <c r="HO107" s="3"/>
      <c r="HP107" s="3"/>
      <c r="HQ107" s="3"/>
      <c r="HR107" s="3"/>
      <c r="HS107" s="3"/>
      <c r="HT107" s="3"/>
      <c r="HU107" s="3"/>
      <c r="HV107" s="3"/>
      <c r="HW107" s="3"/>
      <c r="HX107" s="3"/>
      <c r="HY107" s="3"/>
      <c r="HZ107" s="3"/>
      <c r="IA107" s="3"/>
      <c r="IB107" s="3"/>
      <c r="IC107" s="3"/>
      <c r="ID107" s="3"/>
      <c r="IE107" s="3"/>
      <c r="IF107" s="3"/>
      <c r="IG107" s="3"/>
      <c r="IH107" s="3"/>
      <c r="II107" s="3"/>
      <c r="IJ107" s="3"/>
      <c r="IK107" s="3"/>
      <c r="IL107" s="3"/>
      <c r="IM107" s="3"/>
      <c r="IN107" s="3"/>
      <c r="IO107" s="3"/>
      <c r="IP107" s="3"/>
      <c r="IQ107" s="3"/>
      <c r="IR107" s="3"/>
      <c r="IS107" s="3"/>
      <c r="IT107" s="3"/>
      <c r="IU107" s="3"/>
      <c r="IV107" s="3"/>
      <c r="IW107" s="3"/>
    </row>
    <row r="108" spans="1:257" s="229" customFormat="1" ht="12.75" customHeight="1" outlineLevel="2">
      <c r="A108" s="248"/>
      <c r="B108" s="249" t="s">
        <v>286</v>
      </c>
      <c r="C108" s="246"/>
      <c r="D108" s="246"/>
      <c r="E108" s="246"/>
      <c r="F108" s="245"/>
      <c r="G108" s="245"/>
      <c r="H108" s="212">
        <f t="shared" si="167"/>
        <v>1474.6747700000001</v>
      </c>
      <c r="I108" s="212">
        <f t="shared" si="167"/>
        <v>766.4559999999999</v>
      </c>
      <c r="J108" s="212">
        <f t="shared" si="167"/>
        <v>370.49099999999999</v>
      </c>
      <c r="K108" s="212">
        <f t="shared" si="168"/>
        <v>782.12600000000009</v>
      </c>
      <c r="L108" s="212">
        <f t="shared" si="168"/>
        <v>950</v>
      </c>
      <c r="M108" s="212">
        <f t="shared" si="168"/>
        <v>1350</v>
      </c>
      <c r="N108" s="212">
        <f t="shared" si="168"/>
        <v>1500</v>
      </c>
      <c r="O108" s="243"/>
      <c r="P108" s="5"/>
      <c r="Q108" s="5"/>
      <c r="R108" s="5"/>
      <c r="S108" s="5"/>
      <c r="T108" s="5"/>
      <c r="U108" s="5"/>
      <c r="V108" s="254"/>
      <c r="W108" s="254"/>
      <c r="X108" s="256">
        <f t="shared" ref="X108:AY108" si="173">X89</f>
        <v>322.37666999999999</v>
      </c>
      <c r="Y108" s="256">
        <f t="shared" si="173"/>
        <v>374.57710000000003</v>
      </c>
      <c r="Z108" s="256">
        <f t="shared" si="173"/>
        <v>402.00200000000001</v>
      </c>
      <c r="AA108" s="256">
        <f t="shared" si="173"/>
        <v>375.71899999999999</v>
      </c>
      <c r="AB108" s="256">
        <f t="shared" si="173"/>
        <v>290.56799999999998</v>
      </c>
      <c r="AC108" s="256">
        <f t="shared" si="173"/>
        <v>206.572</v>
      </c>
      <c r="AD108" s="265">
        <f t="shared" si="173"/>
        <v>154.90199999999999</v>
      </c>
      <c r="AE108" s="260">
        <f t="shared" si="173"/>
        <v>114.414</v>
      </c>
      <c r="AF108" s="260">
        <f t="shared" si="173"/>
        <v>112.70399999999999</v>
      </c>
      <c r="AG108" s="260">
        <f t="shared" si="173"/>
        <v>59.826000000000001</v>
      </c>
      <c r="AH108" s="260">
        <f t="shared" si="173"/>
        <v>96.531999999999996</v>
      </c>
      <c r="AI108" s="260">
        <f t="shared" si="173"/>
        <v>101.429</v>
      </c>
      <c r="AJ108" s="260">
        <f t="shared" si="173"/>
        <v>161.49799999999999</v>
      </c>
      <c r="AK108" s="260">
        <f t="shared" si="173"/>
        <v>193.24199999999999</v>
      </c>
      <c r="AL108" s="260">
        <f t="shared" si="173"/>
        <v>214.88200000000001</v>
      </c>
      <c r="AM108" s="260">
        <f t="shared" ref="AM108" si="174">AM89</f>
        <v>212.50399999999999</v>
      </c>
      <c r="AN108" s="244">
        <f t="shared" si="173"/>
        <v>200</v>
      </c>
      <c r="AO108" s="244">
        <f t="shared" si="173"/>
        <v>225</v>
      </c>
      <c r="AP108" s="244">
        <f t="shared" si="173"/>
        <v>250</v>
      </c>
      <c r="AQ108" s="244">
        <f t="shared" si="173"/>
        <v>275</v>
      </c>
      <c r="AR108" s="244">
        <f t="shared" si="173"/>
        <v>300</v>
      </c>
      <c r="AS108" s="244">
        <f t="shared" si="173"/>
        <v>325</v>
      </c>
      <c r="AT108" s="244">
        <f t="shared" si="173"/>
        <v>350</v>
      </c>
      <c r="AU108" s="244">
        <f t="shared" si="173"/>
        <v>375</v>
      </c>
      <c r="AV108" s="244">
        <f t="shared" si="173"/>
        <v>375</v>
      </c>
      <c r="AW108" s="244">
        <f t="shared" si="173"/>
        <v>375</v>
      </c>
      <c r="AX108" s="244">
        <f t="shared" si="173"/>
        <v>375</v>
      </c>
      <c r="AY108" s="244">
        <f t="shared" si="173"/>
        <v>375</v>
      </c>
      <c r="BG108" s="4">
        <v>102</v>
      </c>
      <c r="BH108"/>
      <c r="BI108"/>
      <c r="BJ108"/>
      <c r="BK108"/>
      <c r="BL108"/>
      <c r="BM108"/>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c r="HF108" s="3"/>
      <c r="HG108" s="3"/>
      <c r="HH108" s="3"/>
      <c r="HI108" s="3"/>
      <c r="HJ108" s="3"/>
      <c r="HK108" s="3"/>
      <c r="HL108" s="3"/>
      <c r="HM108" s="3"/>
      <c r="HN108" s="3"/>
      <c r="HO108" s="3"/>
      <c r="HP108" s="3"/>
      <c r="HQ108" s="3"/>
      <c r="HR108" s="3"/>
      <c r="HS108" s="3"/>
      <c r="HT108" s="3"/>
      <c r="HU108" s="3"/>
      <c r="HV108" s="3"/>
      <c r="HW108" s="3"/>
      <c r="HX108" s="3"/>
      <c r="HY108" s="3"/>
      <c r="HZ108" s="3"/>
      <c r="IA108" s="3"/>
      <c r="IB108" s="3"/>
      <c r="IC108" s="3"/>
      <c r="ID108" s="3"/>
      <c r="IE108" s="3"/>
      <c r="IF108" s="3"/>
      <c r="IG108" s="3"/>
      <c r="IH108" s="3"/>
      <c r="II108" s="3"/>
      <c r="IJ108" s="3"/>
      <c r="IK108" s="3"/>
      <c r="IL108" s="3"/>
      <c r="IM108" s="3"/>
      <c r="IN108" s="3"/>
      <c r="IO108" s="3"/>
      <c r="IP108" s="3"/>
      <c r="IQ108" s="3"/>
      <c r="IR108" s="3"/>
      <c r="IS108" s="3"/>
      <c r="IT108" s="3"/>
      <c r="IU108" s="3"/>
      <c r="IV108" s="3"/>
      <c r="IW108" s="3"/>
    </row>
    <row r="109" spans="1:257" s="229" customFormat="1" ht="12.75" customHeight="1" outlineLevel="2">
      <c r="A109" s="248"/>
      <c r="B109" s="249" t="s">
        <v>285</v>
      </c>
      <c r="C109" s="246"/>
      <c r="D109" s="246"/>
      <c r="E109" s="246"/>
      <c r="F109" s="245"/>
      <c r="G109" s="245"/>
      <c r="H109" s="212">
        <f t="shared" si="167"/>
        <v>6209.4723089999998</v>
      </c>
      <c r="I109" s="212">
        <f t="shared" si="167"/>
        <v>4526.1531000000004</v>
      </c>
      <c r="J109" s="212">
        <f t="shared" si="167"/>
        <v>4457.1572199999991</v>
      </c>
      <c r="K109" s="212">
        <f t="shared" si="168"/>
        <v>7383.6201725000001</v>
      </c>
      <c r="L109" s="212">
        <f t="shared" si="168"/>
        <v>15651.125104592886</v>
      </c>
      <c r="M109" s="212">
        <f t="shared" si="168"/>
        <v>23750</v>
      </c>
      <c r="N109" s="212">
        <f t="shared" si="168"/>
        <v>23900</v>
      </c>
      <c r="O109" s="243"/>
      <c r="P109" s="5"/>
      <c r="Q109" s="5"/>
      <c r="R109" s="5"/>
      <c r="S109" s="5"/>
      <c r="T109" s="5"/>
      <c r="U109" s="5"/>
      <c r="V109" s="254"/>
      <c r="W109" s="254"/>
      <c r="X109" s="256">
        <f t="shared" ref="X109:AC109" si="175">X107+X108</f>
        <v>1331.1819740000001</v>
      </c>
      <c r="Y109" s="256">
        <f t="shared" si="175"/>
        <v>1516.4715850000002</v>
      </c>
      <c r="Z109" s="256">
        <f t="shared" si="175"/>
        <v>1697.8405999999998</v>
      </c>
      <c r="AA109" s="256">
        <f t="shared" si="175"/>
        <v>1663.9781499999999</v>
      </c>
      <c r="AB109" s="256">
        <f t="shared" si="175"/>
        <v>1510.24748</v>
      </c>
      <c r="AC109" s="256">
        <f t="shared" si="175"/>
        <v>1205.35816</v>
      </c>
      <c r="AD109" s="264">
        <f>0.62*AD90</f>
        <v>907.88460000000009</v>
      </c>
      <c r="AE109" s="252">
        <f>0.66*AE90</f>
        <v>902.66286000000002</v>
      </c>
      <c r="AF109" s="252">
        <f>0.66*AF90</f>
        <v>1007.12832</v>
      </c>
      <c r="AG109" s="252">
        <f>0.65*AG90</f>
        <v>838.43695000000002</v>
      </c>
      <c r="AH109" s="252">
        <f>0.7*AH90</f>
        <v>1228.0316999999998</v>
      </c>
      <c r="AI109" s="252">
        <f>0.75*AI90</f>
        <v>1383.56025</v>
      </c>
      <c r="AJ109" s="252">
        <f>0.7*AJ90</f>
        <v>1457.6316999999999</v>
      </c>
      <c r="AK109" s="252">
        <f>0.7*AK90</f>
        <v>1810.8223</v>
      </c>
      <c r="AL109" s="252">
        <f>AVERAGE(AK109*1.15,0.7*AL90)</f>
        <v>2032.2586724999996</v>
      </c>
      <c r="AM109" s="252">
        <f>+AM90*0.75</f>
        <v>2082.9075000000003</v>
      </c>
      <c r="AN109" s="244">
        <f t="shared" ref="AN109:AY109" si="176">+AN107+AN108</f>
        <v>1968.5179071207385</v>
      </c>
      <c r="AO109" s="244">
        <f t="shared" si="176"/>
        <v>2157.6071974721472</v>
      </c>
      <c r="AP109" s="244">
        <f t="shared" si="176"/>
        <v>5650</v>
      </c>
      <c r="AQ109" s="244">
        <f t="shared" si="176"/>
        <v>5875</v>
      </c>
      <c r="AR109" s="244">
        <f t="shared" si="176"/>
        <v>5900</v>
      </c>
      <c r="AS109" s="244">
        <f t="shared" si="176"/>
        <v>5925</v>
      </c>
      <c r="AT109" s="244">
        <f t="shared" si="176"/>
        <v>5950</v>
      </c>
      <c r="AU109" s="244">
        <f t="shared" si="176"/>
        <v>5975</v>
      </c>
      <c r="AV109" s="244">
        <f t="shared" si="176"/>
        <v>5975</v>
      </c>
      <c r="AW109" s="244">
        <f t="shared" si="176"/>
        <v>5975</v>
      </c>
      <c r="AX109" s="244">
        <f t="shared" si="176"/>
        <v>5975</v>
      </c>
      <c r="AY109" s="244">
        <f t="shared" si="176"/>
        <v>5975</v>
      </c>
      <c r="BG109" s="4">
        <v>103</v>
      </c>
      <c r="BH109"/>
      <c r="BI109"/>
      <c r="BJ109"/>
      <c r="BK109"/>
      <c r="BL109"/>
      <c r="BM109"/>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c r="HF109" s="3"/>
      <c r="HG109" s="3"/>
      <c r="HH109" s="3"/>
      <c r="HI109" s="3"/>
      <c r="HJ109" s="3"/>
      <c r="HK109" s="3"/>
      <c r="HL109" s="3"/>
      <c r="HM109" s="3"/>
      <c r="HN109" s="3"/>
      <c r="HO109" s="3"/>
      <c r="HP109" s="3"/>
      <c r="HQ109" s="3"/>
      <c r="HR109" s="3"/>
      <c r="HS109" s="3"/>
      <c r="HT109" s="3"/>
      <c r="HU109" s="3"/>
      <c r="HV109" s="3"/>
      <c r="HW109" s="3"/>
      <c r="HX109" s="3"/>
      <c r="HY109" s="3"/>
      <c r="HZ109" s="3"/>
      <c r="IA109" s="3"/>
      <c r="IB109" s="3"/>
      <c r="IC109" s="3"/>
      <c r="ID109" s="3"/>
      <c r="IE109" s="3"/>
      <c r="IF109" s="3"/>
      <c r="IG109" s="3"/>
      <c r="IH109" s="3"/>
      <c r="II109" s="3"/>
      <c r="IJ109" s="3"/>
      <c r="IK109" s="3"/>
      <c r="IL109" s="3"/>
      <c r="IM109" s="3"/>
      <c r="IN109" s="3"/>
      <c r="IO109" s="3"/>
      <c r="IP109" s="3"/>
      <c r="IQ109" s="3"/>
      <c r="IR109" s="3"/>
      <c r="IS109" s="3"/>
      <c r="IT109" s="3"/>
      <c r="IU109" s="3"/>
      <c r="IV109" s="3"/>
      <c r="IW109" s="3"/>
    </row>
    <row r="110" spans="1:257" s="229" customFormat="1" ht="12.75" customHeight="1" outlineLevel="2">
      <c r="A110" s="248"/>
      <c r="B110" s="249" t="s">
        <v>284</v>
      </c>
      <c r="C110" s="246"/>
      <c r="D110" s="246"/>
      <c r="E110" s="246"/>
      <c r="F110" s="245"/>
      <c r="G110" s="245"/>
      <c r="H110" s="19">
        <f t="shared" ref="H110:N110" si="177">H111/H159</f>
        <v>0.67500000000000004</v>
      </c>
      <c r="I110" s="19">
        <f t="shared" si="177"/>
        <v>0.8</v>
      </c>
      <c r="J110" s="19">
        <f t="shared" si="177"/>
        <v>0.71250000000000002</v>
      </c>
      <c r="K110" s="19">
        <f t="shared" si="177"/>
        <v>0.9</v>
      </c>
      <c r="L110" s="19">
        <f t="shared" si="177"/>
        <v>3.9937499999999999</v>
      </c>
      <c r="M110" s="19">
        <f t="shared" si="177"/>
        <v>6.5250000000000004</v>
      </c>
      <c r="N110" s="19">
        <f t="shared" si="177"/>
        <v>6.5250000000000004</v>
      </c>
      <c r="O110" s="243"/>
      <c r="P110" s="5"/>
      <c r="Q110" s="5"/>
      <c r="R110" s="5"/>
      <c r="S110" s="5"/>
      <c r="T110" s="5"/>
      <c r="U110" s="5"/>
      <c r="V110" s="254"/>
      <c r="W110" s="254"/>
      <c r="X110" s="263">
        <v>0.9</v>
      </c>
      <c r="Y110" s="263">
        <v>0.9</v>
      </c>
      <c r="Z110" s="263">
        <v>0.9</v>
      </c>
      <c r="AA110" s="263">
        <v>0.9</v>
      </c>
      <c r="AB110" s="263">
        <v>0.85</v>
      </c>
      <c r="AC110" s="263">
        <v>0.8</v>
      </c>
      <c r="AD110" s="263">
        <v>0.8</v>
      </c>
      <c r="AE110" s="263">
        <v>0.75</v>
      </c>
      <c r="AF110" s="263">
        <v>0.7</v>
      </c>
      <c r="AG110" s="263">
        <v>0.65</v>
      </c>
      <c r="AH110" s="263">
        <v>0.7</v>
      </c>
      <c r="AI110" s="263">
        <v>0.8</v>
      </c>
      <c r="AJ110" s="263">
        <v>0.9</v>
      </c>
      <c r="AK110" s="263">
        <v>0.9</v>
      </c>
      <c r="AL110" s="263">
        <v>0.9</v>
      </c>
      <c r="AM110" s="263">
        <v>0.9</v>
      </c>
      <c r="AN110" s="263">
        <v>0.9</v>
      </c>
      <c r="AO110" s="263">
        <v>0.9</v>
      </c>
      <c r="AP110" s="263">
        <v>0.9</v>
      </c>
      <c r="AQ110" s="263">
        <v>0.9</v>
      </c>
      <c r="AR110" s="263">
        <v>0.9</v>
      </c>
      <c r="AS110" s="263">
        <v>0.9</v>
      </c>
      <c r="AT110" s="263">
        <v>0.9</v>
      </c>
      <c r="AU110" s="263">
        <v>0.9</v>
      </c>
      <c r="AV110" s="263">
        <v>0.9</v>
      </c>
      <c r="AW110" s="263">
        <v>0.9</v>
      </c>
      <c r="AX110" s="263">
        <v>0.9</v>
      </c>
      <c r="AY110" s="263">
        <v>0.9</v>
      </c>
      <c r="BG110" s="4">
        <v>104</v>
      </c>
      <c r="BH110"/>
      <c r="BI110"/>
      <c r="BJ110"/>
      <c r="BK110"/>
      <c r="BL110"/>
      <c r="BM110"/>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c r="HF110" s="3"/>
      <c r="HG110" s="3"/>
      <c r="HH110" s="3"/>
      <c r="HI110" s="3"/>
      <c r="HJ110" s="3"/>
      <c r="HK110" s="3"/>
      <c r="HL110" s="3"/>
      <c r="HM110" s="3"/>
      <c r="HN110" s="3"/>
      <c r="HO110" s="3"/>
      <c r="HP110" s="3"/>
      <c r="HQ110" s="3"/>
      <c r="HR110" s="3"/>
      <c r="HS110" s="3"/>
      <c r="HT110" s="3"/>
      <c r="HU110" s="3"/>
      <c r="HV110" s="3"/>
      <c r="HW110" s="3"/>
      <c r="HX110" s="3"/>
      <c r="HY110" s="3"/>
      <c r="HZ110" s="3"/>
      <c r="IA110" s="3"/>
      <c r="IB110" s="3"/>
      <c r="IC110" s="3"/>
      <c r="ID110" s="3"/>
      <c r="IE110" s="3"/>
      <c r="IF110" s="3"/>
      <c r="IG110" s="3"/>
      <c r="IH110" s="3"/>
      <c r="II110" s="3"/>
      <c r="IJ110" s="3"/>
      <c r="IK110" s="3"/>
      <c r="IL110" s="3"/>
      <c r="IM110" s="3"/>
      <c r="IN110" s="3"/>
      <c r="IO110" s="3"/>
      <c r="IP110" s="3"/>
      <c r="IQ110" s="3"/>
      <c r="IR110" s="3"/>
      <c r="IS110" s="3"/>
      <c r="IT110" s="3"/>
      <c r="IU110" s="3"/>
      <c r="IV110" s="3"/>
      <c r="IW110" s="3"/>
    </row>
    <row r="111" spans="1:257" s="229" customFormat="1" ht="12.75" customHeight="1" outlineLevel="2">
      <c r="A111" s="248"/>
      <c r="B111" s="249" t="s">
        <v>283</v>
      </c>
      <c r="C111" s="246"/>
      <c r="D111" s="246"/>
      <c r="E111" s="246"/>
      <c r="F111" s="245"/>
      <c r="G111" s="245"/>
      <c r="H111" s="212">
        <f t="shared" ref="H111:J112" si="178">SUMIF($P$4:$AN$4,H$4,$P111:$AN111)</f>
        <v>675</v>
      </c>
      <c r="I111" s="212">
        <f t="shared" si="178"/>
        <v>800</v>
      </c>
      <c r="J111" s="212">
        <f t="shared" si="178"/>
        <v>712.5</v>
      </c>
      <c r="K111" s="212">
        <f t="shared" ref="K111:N112" si="179">SUMIF($P$4:$AZ$4,K$4,$P111:$AZ111)</f>
        <v>1057.5</v>
      </c>
      <c r="L111" s="212">
        <f t="shared" si="179"/>
        <v>4792.5</v>
      </c>
      <c r="M111" s="212">
        <f t="shared" si="179"/>
        <v>7830</v>
      </c>
      <c r="N111" s="212">
        <f t="shared" si="179"/>
        <v>7830</v>
      </c>
      <c r="O111" s="243"/>
      <c r="P111" s="5"/>
      <c r="Q111" s="5"/>
      <c r="R111" s="5"/>
      <c r="S111" s="5"/>
      <c r="T111" s="5"/>
      <c r="U111" s="5"/>
      <c r="V111" s="254"/>
      <c r="W111" s="254"/>
      <c r="X111" s="257">
        <f t="shared" ref="X111:AN111" si="180">X110*(X159+X164)/4</f>
        <v>0</v>
      </c>
      <c r="Y111" s="257">
        <f t="shared" si="180"/>
        <v>225</v>
      </c>
      <c r="Z111" s="257">
        <f t="shared" si="180"/>
        <v>225</v>
      </c>
      <c r="AA111" s="257">
        <f t="shared" si="180"/>
        <v>225</v>
      </c>
      <c r="AB111" s="257">
        <f t="shared" si="180"/>
        <v>212.5</v>
      </c>
      <c r="AC111" s="257">
        <f t="shared" si="180"/>
        <v>200</v>
      </c>
      <c r="AD111" s="257">
        <f t="shared" si="180"/>
        <v>200</v>
      </c>
      <c r="AE111" s="257">
        <f t="shared" si="180"/>
        <v>187.5</v>
      </c>
      <c r="AF111" s="257">
        <f t="shared" si="180"/>
        <v>175</v>
      </c>
      <c r="AG111" s="257">
        <f t="shared" si="180"/>
        <v>162.5</v>
      </c>
      <c r="AH111" s="257">
        <f t="shared" si="180"/>
        <v>175</v>
      </c>
      <c r="AI111" s="257">
        <f t="shared" si="180"/>
        <v>200</v>
      </c>
      <c r="AJ111" s="257">
        <f t="shared" si="180"/>
        <v>225</v>
      </c>
      <c r="AK111" s="257">
        <f t="shared" si="180"/>
        <v>225</v>
      </c>
      <c r="AL111" s="257">
        <f t="shared" si="180"/>
        <v>337.5</v>
      </c>
      <c r="AM111" s="257">
        <f t="shared" si="180"/>
        <v>270</v>
      </c>
      <c r="AN111" s="257">
        <f t="shared" si="180"/>
        <v>270</v>
      </c>
      <c r="AO111" s="370">
        <f>AO110*(AO159+AO160+AO164)/4</f>
        <v>607.5</v>
      </c>
      <c r="AP111" s="257">
        <f t="shared" ref="AP111:AY111" si="181">AP110*(AP159+AP164+AP160+AP161)/4</f>
        <v>1957.5</v>
      </c>
      <c r="AQ111" s="257">
        <f t="shared" si="181"/>
        <v>1957.5</v>
      </c>
      <c r="AR111" s="257">
        <f t="shared" si="181"/>
        <v>1957.5</v>
      </c>
      <c r="AS111" s="257">
        <f t="shared" si="181"/>
        <v>1957.5</v>
      </c>
      <c r="AT111" s="257">
        <f t="shared" si="181"/>
        <v>1957.5</v>
      </c>
      <c r="AU111" s="257">
        <f t="shared" si="181"/>
        <v>1957.5</v>
      </c>
      <c r="AV111" s="257">
        <f t="shared" si="181"/>
        <v>1957.5</v>
      </c>
      <c r="AW111" s="257">
        <f t="shared" si="181"/>
        <v>1957.5</v>
      </c>
      <c r="AX111" s="257">
        <f t="shared" si="181"/>
        <v>1957.5</v>
      </c>
      <c r="AY111" s="257">
        <f t="shared" si="181"/>
        <v>1957.5</v>
      </c>
      <c r="BG111" s="4">
        <v>105</v>
      </c>
      <c r="BH111"/>
      <c r="BI111"/>
      <c r="BJ111"/>
      <c r="BK111"/>
      <c r="BL111"/>
      <c r="BM111"/>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c r="HF111" s="3"/>
      <c r="HG111" s="3"/>
      <c r="HH111" s="3"/>
      <c r="HI111" s="3"/>
      <c r="HJ111" s="3"/>
      <c r="HK111" s="3"/>
      <c r="HL111" s="3"/>
      <c r="HM111" s="3"/>
      <c r="HN111" s="3"/>
      <c r="HO111" s="3"/>
      <c r="HP111" s="3"/>
      <c r="HQ111" s="3"/>
      <c r="HR111" s="3"/>
      <c r="HS111" s="3"/>
      <c r="HT111" s="3"/>
      <c r="HU111" s="3"/>
      <c r="HV111" s="3"/>
      <c r="HW111" s="3"/>
      <c r="HX111" s="3"/>
      <c r="HY111" s="3"/>
      <c r="HZ111" s="3"/>
      <c r="IA111" s="3"/>
      <c r="IB111" s="3"/>
      <c r="IC111" s="3"/>
      <c r="ID111" s="3"/>
      <c r="IE111" s="3"/>
      <c r="IF111" s="3"/>
      <c r="IG111" s="3"/>
      <c r="IH111" s="3"/>
      <c r="II111" s="3"/>
      <c r="IJ111" s="3"/>
      <c r="IK111" s="3"/>
      <c r="IL111" s="3"/>
      <c r="IM111" s="3"/>
      <c r="IN111" s="3"/>
      <c r="IO111" s="3"/>
      <c r="IP111" s="3"/>
      <c r="IQ111" s="3"/>
      <c r="IR111" s="3"/>
      <c r="IS111" s="3"/>
      <c r="IT111" s="3"/>
      <c r="IU111" s="3"/>
      <c r="IV111" s="3"/>
      <c r="IW111" s="3"/>
    </row>
    <row r="112" spans="1:257" s="229" customFormat="1" ht="12.75" customHeight="1" outlineLevel="2">
      <c r="A112" s="248"/>
      <c r="B112" s="249" t="s">
        <v>282</v>
      </c>
      <c r="C112" s="246"/>
      <c r="D112" s="246"/>
      <c r="E112" s="246"/>
      <c r="F112" s="245"/>
      <c r="G112" s="245"/>
      <c r="H112" s="212">
        <f t="shared" si="178"/>
        <v>5534.4723089999998</v>
      </c>
      <c r="I112" s="212">
        <f t="shared" si="178"/>
        <v>3726.1531</v>
      </c>
      <c r="J112" s="212">
        <f t="shared" si="178"/>
        <v>3744.6572199999996</v>
      </c>
      <c r="K112" s="212">
        <f t="shared" si="179"/>
        <v>6326.1201725000001</v>
      </c>
      <c r="L112" s="212">
        <f t="shared" si="179"/>
        <v>10858.625104592886</v>
      </c>
      <c r="M112" s="212">
        <f t="shared" si="179"/>
        <v>15920</v>
      </c>
      <c r="N112" s="212">
        <f t="shared" si="179"/>
        <v>16070</v>
      </c>
      <c r="O112" s="243"/>
      <c r="P112" s="5"/>
      <c r="Q112" s="5"/>
      <c r="R112" s="5"/>
      <c r="S112" s="5"/>
      <c r="T112" s="5"/>
      <c r="U112" s="5"/>
      <c r="V112" s="254"/>
      <c r="W112" s="254"/>
      <c r="X112" s="256">
        <f t="shared" ref="X112:AY112" si="182">X109-X111</f>
        <v>1331.1819740000001</v>
      </c>
      <c r="Y112" s="256">
        <f t="shared" si="182"/>
        <v>1291.4715850000002</v>
      </c>
      <c r="Z112" s="256">
        <f t="shared" si="182"/>
        <v>1472.8405999999998</v>
      </c>
      <c r="AA112" s="256">
        <f t="shared" si="182"/>
        <v>1438.9781499999999</v>
      </c>
      <c r="AB112" s="256">
        <f t="shared" si="182"/>
        <v>1297.74748</v>
      </c>
      <c r="AC112" s="256">
        <f t="shared" si="182"/>
        <v>1005.35816</v>
      </c>
      <c r="AD112" s="256">
        <f t="shared" si="182"/>
        <v>707.88460000000009</v>
      </c>
      <c r="AE112" s="256">
        <f t="shared" si="182"/>
        <v>715.16286000000002</v>
      </c>
      <c r="AF112" s="256">
        <f t="shared" si="182"/>
        <v>832.12832000000003</v>
      </c>
      <c r="AG112" s="256">
        <f t="shared" si="182"/>
        <v>675.93695000000002</v>
      </c>
      <c r="AH112" s="256">
        <f t="shared" si="182"/>
        <v>1053.0316999999998</v>
      </c>
      <c r="AI112" s="256">
        <f t="shared" si="182"/>
        <v>1183.56025</v>
      </c>
      <c r="AJ112" s="256">
        <f t="shared" si="182"/>
        <v>1232.6316999999999</v>
      </c>
      <c r="AK112" s="256">
        <f t="shared" si="182"/>
        <v>1585.8223</v>
      </c>
      <c r="AL112" s="256">
        <f t="shared" si="182"/>
        <v>1694.7586724999996</v>
      </c>
      <c r="AM112" s="256">
        <f t="shared" si="182"/>
        <v>1812.9075000000003</v>
      </c>
      <c r="AN112" s="256">
        <f t="shared" si="182"/>
        <v>1698.5179071207385</v>
      </c>
      <c r="AO112" s="256">
        <f t="shared" si="182"/>
        <v>1550.1071974721472</v>
      </c>
      <c r="AP112" s="256">
        <f t="shared" si="182"/>
        <v>3692.5</v>
      </c>
      <c r="AQ112" s="256">
        <f t="shared" si="182"/>
        <v>3917.5</v>
      </c>
      <c r="AR112" s="256">
        <f t="shared" si="182"/>
        <v>3942.5</v>
      </c>
      <c r="AS112" s="256">
        <f t="shared" si="182"/>
        <v>3967.5</v>
      </c>
      <c r="AT112" s="256">
        <f t="shared" si="182"/>
        <v>3992.5</v>
      </c>
      <c r="AU112" s="256">
        <f t="shared" si="182"/>
        <v>4017.5</v>
      </c>
      <c r="AV112" s="256">
        <f t="shared" si="182"/>
        <v>4017.5</v>
      </c>
      <c r="AW112" s="256">
        <f t="shared" si="182"/>
        <v>4017.5</v>
      </c>
      <c r="AX112" s="256">
        <f t="shared" si="182"/>
        <v>4017.5</v>
      </c>
      <c r="AY112" s="256">
        <f t="shared" si="182"/>
        <v>4017.5</v>
      </c>
      <c r="BG112" s="4">
        <v>106</v>
      </c>
      <c r="BH112"/>
      <c r="BI112"/>
      <c r="BJ112"/>
      <c r="BK112"/>
      <c r="BL112"/>
      <c r="BM112"/>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c r="HF112" s="3"/>
      <c r="HG112" s="3"/>
      <c r="HH112" s="3"/>
      <c r="HI112" s="3"/>
      <c r="HJ112" s="3"/>
      <c r="HK112" s="3"/>
      <c r="HL112" s="3"/>
      <c r="HM112" s="3"/>
      <c r="HN112" s="3"/>
      <c r="HO112" s="3"/>
      <c r="HP112" s="3"/>
      <c r="HQ112" s="3"/>
      <c r="HR112" s="3"/>
      <c r="HS112" s="3"/>
      <c r="HT112" s="3"/>
      <c r="HU112" s="3"/>
      <c r="HV112" s="3"/>
      <c r="HW112" s="3"/>
      <c r="HX112" s="3"/>
      <c r="HY112" s="3"/>
      <c r="HZ112" s="3"/>
      <c r="IA112" s="3"/>
      <c r="IB112" s="3"/>
      <c r="IC112" s="3"/>
      <c r="ID112" s="3"/>
      <c r="IE112" s="3"/>
      <c r="IF112" s="3"/>
      <c r="IG112" s="3"/>
      <c r="IH112" s="3"/>
      <c r="II112" s="3"/>
      <c r="IJ112" s="3"/>
      <c r="IK112" s="3"/>
      <c r="IL112" s="3"/>
      <c r="IM112" s="3"/>
      <c r="IN112" s="3"/>
      <c r="IO112" s="3"/>
      <c r="IP112" s="3"/>
      <c r="IQ112" s="3"/>
      <c r="IR112" s="3"/>
      <c r="IS112" s="3"/>
      <c r="IT112" s="3"/>
      <c r="IU112" s="3"/>
      <c r="IV112" s="3"/>
      <c r="IW112" s="3"/>
    </row>
    <row r="113" spans="1:257" s="229" customFormat="1" ht="12.75" customHeight="1" outlineLevel="2">
      <c r="A113" s="248"/>
      <c r="B113" s="249" t="s">
        <v>281</v>
      </c>
      <c r="C113" s="246"/>
      <c r="D113" s="246"/>
      <c r="E113" s="246"/>
      <c r="F113" s="245"/>
      <c r="G113" s="245"/>
      <c r="H113" s="244">
        <f t="shared" ref="H113:N113" si="183">+H114/H112*1000</f>
        <v>50</v>
      </c>
      <c r="I113" s="244">
        <f t="shared" si="183"/>
        <v>50</v>
      </c>
      <c r="J113" s="244">
        <f t="shared" si="183"/>
        <v>50</v>
      </c>
      <c r="K113" s="244">
        <f t="shared" si="183"/>
        <v>52</v>
      </c>
      <c r="L113" s="244">
        <f t="shared" si="183"/>
        <v>51.776855281999723</v>
      </c>
      <c r="M113" s="244">
        <f t="shared" si="183"/>
        <v>46.055288944723621</v>
      </c>
      <c r="N113" s="244">
        <f t="shared" si="183"/>
        <v>45.56</v>
      </c>
      <c r="O113" s="243"/>
      <c r="P113" s="5"/>
      <c r="Q113" s="5"/>
      <c r="R113" s="5"/>
      <c r="S113" s="5"/>
      <c r="T113" s="5"/>
      <c r="U113" s="5"/>
      <c r="V113" s="254"/>
      <c r="W113" s="254"/>
      <c r="X113" s="261">
        <v>50</v>
      </c>
      <c r="Y113" s="261">
        <v>50</v>
      </c>
      <c r="Z113" s="261">
        <v>50</v>
      </c>
      <c r="AA113" s="261">
        <v>50</v>
      </c>
      <c r="AB113" s="261">
        <v>50</v>
      </c>
      <c r="AC113" s="261">
        <v>50</v>
      </c>
      <c r="AD113" s="261">
        <v>50</v>
      </c>
      <c r="AE113" s="261">
        <v>50</v>
      </c>
      <c r="AF113" s="261">
        <v>50</v>
      </c>
      <c r="AG113" s="261">
        <v>50</v>
      </c>
      <c r="AH113" s="261">
        <v>50</v>
      </c>
      <c r="AI113" s="261">
        <v>50</v>
      </c>
      <c r="AJ113" s="261">
        <v>52</v>
      </c>
      <c r="AK113" s="261">
        <v>52</v>
      </c>
      <c r="AL113" s="261">
        <v>52</v>
      </c>
      <c r="AM113" s="261">
        <v>52</v>
      </c>
      <c r="AN113" s="400">
        <f>+AM113*1.03</f>
        <v>53.56</v>
      </c>
      <c r="AO113" s="261">
        <f>AN113</f>
        <v>53.56</v>
      </c>
      <c r="AP113" s="262">
        <f>+AO113-1</f>
        <v>52.56</v>
      </c>
      <c r="AQ113" s="261">
        <f>+AP113-3</f>
        <v>49.56</v>
      </c>
      <c r="AR113" s="261">
        <f>+AQ113-2</f>
        <v>47.56</v>
      </c>
      <c r="AS113" s="261">
        <f>+AR113-2</f>
        <v>45.56</v>
      </c>
      <c r="AT113" s="261">
        <f t="shared" ref="AT113:AY113" si="184">AS113</f>
        <v>45.56</v>
      </c>
      <c r="AU113" s="261">
        <f t="shared" si="184"/>
        <v>45.56</v>
      </c>
      <c r="AV113" s="261">
        <f t="shared" si="184"/>
        <v>45.56</v>
      </c>
      <c r="AW113" s="261">
        <f t="shared" si="184"/>
        <v>45.56</v>
      </c>
      <c r="AX113" s="261">
        <f t="shared" si="184"/>
        <v>45.56</v>
      </c>
      <c r="AY113" s="261">
        <f t="shared" si="184"/>
        <v>45.56</v>
      </c>
      <c r="BG113" s="4">
        <v>107</v>
      </c>
      <c r="BH113"/>
      <c r="BI113"/>
      <c r="BJ113"/>
      <c r="BK113"/>
      <c r="BL113"/>
      <c r="BM11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c r="HF113" s="3"/>
      <c r="HG113" s="3"/>
      <c r="HH113" s="3"/>
      <c r="HI113" s="3"/>
      <c r="HJ113" s="3"/>
      <c r="HK113" s="3"/>
      <c r="HL113" s="3"/>
      <c r="HM113" s="3"/>
      <c r="HN113" s="3"/>
      <c r="HO113" s="3"/>
      <c r="HP113" s="3"/>
      <c r="HQ113" s="3"/>
      <c r="HR113" s="3"/>
      <c r="HS113" s="3"/>
      <c r="HT113" s="3"/>
      <c r="HU113" s="3"/>
      <c r="HV113" s="3"/>
      <c r="HW113" s="3"/>
      <c r="HX113" s="3"/>
      <c r="HY113" s="3"/>
      <c r="HZ113" s="3"/>
      <c r="IA113" s="3"/>
      <c r="IB113" s="3"/>
      <c r="IC113" s="3"/>
      <c r="ID113" s="3"/>
      <c r="IE113" s="3"/>
      <c r="IF113" s="3"/>
      <c r="IG113" s="3"/>
      <c r="IH113" s="3"/>
      <c r="II113" s="3"/>
      <c r="IJ113" s="3"/>
      <c r="IK113" s="3"/>
      <c r="IL113" s="3"/>
      <c r="IM113" s="3"/>
      <c r="IN113" s="3"/>
      <c r="IO113" s="3"/>
      <c r="IP113" s="3"/>
      <c r="IQ113" s="3"/>
      <c r="IR113" s="3"/>
      <c r="IS113" s="3"/>
      <c r="IT113" s="3"/>
      <c r="IU113" s="3"/>
      <c r="IV113" s="3"/>
      <c r="IW113" s="3"/>
    </row>
    <row r="114" spans="1:257" s="229" customFormat="1" ht="12.75" customHeight="1" outlineLevel="2">
      <c r="A114" s="248"/>
      <c r="B114" s="249" t="s">
        <v>280</v>
      </c>
      <c r="C114" s="246"/>
      <c r="D114" s="246"/>
      <c r="E114" s="246"/>
      <c r="F114" s="245"/>
      <c r="G114" s="245"/>
      <c r="H114" s="212">
        <f>SUMIF($P$4:$AN$4,H$4,$P114:$AN114)</f>
        <v>276.72361545000001</v>
      </c>
      <c r="I114" s="212">
        <f>SUMIF($P$4:$AN$4,I$4,$P114:$AN114)</f>
        <v>186.30765500000001</v>
      </c>
      <c r="J114" s="212">
        <f>SUMIF($P$4:$AN$4,J$4,$P114:$AN114)</f>
        <v>187.23286099999999</v>
      </c>
      <c r="K114" s="212">
        <f>SUMIF($P$4:$AZ$4,K$4,$P114:$AZ114)</f>
        <v>328.95824897</v>
      </c>
      <c r="L114" s="212">
        <f>SUMIF($P$4:$AZ$4,L$4,$P114:$AZ114)</f>
        <v>562.225460601995</v>
      </c>
      <c r="M114" s="212">
        <f>SUMIF($P$4:$AZ$4,M$4,$P114:$AZ114)</f>
        <v>733.2002</v>
      </c>
      <c r="N114" s="212">
        <f>SUMIF($P$4:$AZ$4,N$4,$P114:$AZ114)</f>
        <v>732.14920000000006</v>
      </c>
      <c r="O114" s="243"/>
      <c r="P114" s="5"/>
      <c r="Q114" s="5"/>
      <c r="R114" s="5"/>
      <c r="S114" s="5"/>
      <c r="T114" s="5"/>
      <c r="U114" s="5"/>
      <c r="V114" s="254"/>
      <c r="W114" s="254"/>
      <c r="X114" s="137">
        <f t="shared" ref="X114:AY114" si="185">+X112*X113/1000</f>
        <v>66.559098700000007</v>
      </c>
      <c r="Y114" s="137">
        <f t="shared" si="185"/>
        <v>64.573579250000009</v>
      </c>
      <c r="Z114" s="137">
        <f t="shared" si="185"/>
        <v>73.642029999999991</v>
      </c>
      <c r="AA114" s="137">
        <f t="shared" si="185"/>
        <v>71.948907500000004</v>
      </c>
      <c r="AB114" s="137">
        <f t="shared" si="185"/>
        <v>64.887373999999994</v>
      </c>
      <c r="AC114" s="137">
        <f t="shared" si="185"/>
        <v>50.267908000000006</v>
      </c>
      <c r="AD114" s="137">
        <f t="shared" si="185"/>
        <v>35.39423</v>
      </c>
      <c r="AE114" s="137">
        <f t="shared" si="185"/>
        <v>35.758143000000004</v>
      </c>
      <c r="AF114" s="137">
        <f t="shared" si="185"/>
        <v>41.606416000000003</v>
      </c>
      <c r="AG114" s="137">
        <f t="shared" si="185"/>
        <v>33.796847500000005</v>
      </c>
      <c r="AH114" s="137">
        <f t="shared" si="185"/>
        <v>52.65158499999999</v>
      </c>
      <c r="AI114" s="137">
        <f t="shared" si="185"/>
        <v>59.178012499999994</v>
      </c>
      <c r="AJ114" s="137">
        <f t="shared" si="185"/>
        <v>64.096848399999999</v>
      </c>
      <c r="AK114" s="137">
        <f t="shared" si="185"/>
        <v>82.462759599999998</v>
      </c>
      <c r="AL114" s="137">
        <f t="shared" si="185"/>
        <v>88.12745096999997</v>
      </c>
      <c r="AM114" s="137">
        <f t="shared" si="185"/>
        <v>94.271190000000018</v>
      </c>
      <c r="AN114" s="137">
        <f t="shared" si="185"/>
        <v>90.972619105386769</v>
      </c>
      <c r="AO114" s="137">
        <f t="shared" si="185"/>
        <v>83.023741496608196</v>
      </c>
      <c r="AP114" s="137">
        <f t="shared" si="185"/>
        <v>194.07780000000002</v>
      </c>
      <c r="AQ114" s="137">
        <f t="shared" si="185"/>
        <v>194.15130000000002</v>
      </c>
      <c r="AR114" s="137">
        <f t="shared" si="185"/>
        <v>187.50530000000001</v>
      </c>
      <c r="AS114" s="137">
        <f t="shared" si="185"/>
        <v>180.75930000000002</v>
      </c>
      <c r="AT114" s="137">
        <f t="shared" si="185"/>
        <v>181.89830000000001</v>
      </c>
      <c r="AU114" s="137">
        <f t="shared" si="185"/>
        <v>183.03730000000002</v>
      </c>
      <c r="AV114" s="137">
        <f t="shared" si="185"/>
        <v>183.03730000000002</v>
      </c>
      <c r="AW114" s="137">
        <f t="shared" si="185"/>
        <v>183.03730000000002</v>
      </c>
      <c r="AX114" s="137">
        <f t="shared" si="185"/>
        <v>183.03730000000002</v>
      </c>
      <c r="AY114" s="137">
        <f t="shared" si="185"/>
        <v>183.03730000000002</v>
      </c>
      <c r="BG114" s="4">
        <v>108</v>
      </c>
      <c r="BH114"/>
      <c r="BI114"/>
      <c r="BJ114"/>
      <c r="BK114"/>
      <c r="BL114"/>
      <c r="BM114"/>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c r="HF114" s="3"/>
      <c r="HG114" s="3"/>
      <c r="HH114" s="3"/>
      <c r="HI114" s="3"/>
      <c r="HJ114" s="3"/>
      <c r="HK114" s="3"/>
      <c r="HL114" s="3"/>
      <c r="HM114" s="3"/>
      <c r="HN114" s="3"/>
      <c r="HO114" s="3"/>
      <c r="HP114" s="3"/>
      <c r="HQ114" s="3"/>
      <c r="HR114" s="3"/>
      <c r="HS114" s="3"/>
      <c r="HT114" s="3"/>
      <c r="HU114" s="3"/>
      <c r="HV114" s="3"/>
      <c r="HW114" s="3"/>
      <c r="HX114" s="3"/>
      <c r="HY114" s="3"/>
      <c r="HZ114" s="3"/>
      <c r="IA114" s="3"/>
      <c r="IB114" s="3"/>
      <c r="IC114" s="3"/>
      <c r="ID114" s="3"/>
      <c r="IE114" s="3"/>
      <c r="IF114" s="3"/>
      <c r="IG114" s="3"/>
      <c r="IH114" s="3"/>
      <c r="II114" s="3"/>
      <c r="IJ114" s="3"/>
      <c r="IK114" s="3"/>
      <c r="IL114" s="3"/>
      <c r="IM114" s="3"/>
      <c r="IN114" s="3"/>
      <c r="IO114" s="3"/>
      <c r="IP114" s="3"/>
      <c r="IQ114" s="3"/>
      <c r="IR114" s="3"/>
      <c r="IS114" s="3"/>
      <c r="IT114" s="3"/>
      <c r="IU114" s="3"/>
      <c r="IV114" s="3"/>
      <c r="IW114" s="3"/>
    </row>
    <row r="115" spans="1:257" s="229" customFormat="1" ht="12.75" customHeight="1" outlineLevel="2">
      <c r="A115" s="248"/>
      <c r="B115" s="249" t="s">
        <v>279</v>
      </c>
      <c r="C115" s="246"/>
      <c r="D115" s="246"/>
      <c r="E115" s="246"/>
      <c r="F115" s="245"/>
      <c r="G115" s="245"/>
      <c r="H115" s="212"/>
      <c r="I115" s="212"/>
      <c r="J115" s="212"/>
      <c r="K115" s="212"/>
      <c r="L115" s="212"/>
      <c r="M115" s="212"/>
      <c r="N115" s="212"/>
      <c r="O115" s="243"/>
      <c r="P115" s="5"/>
      <c r="Q115" s="5"/>
      <c r="R115" s="5"/>
      <c r="S115" s="5"/>
      <c r="T115" s="5"/>
      <c r="U115" s="5"/>
      <c r="V115" s="254"/>
      <c r="W115" s="254"/>
      <c r="X115" s="137"/>
      <c r="Y115" s="137"/>
      <c r="Z115" s="137"/>
      <c r="AA115" s="137"/>
      <c r="AB115" s="137"/>
      <c r="AC115" s="137"/>
      <c r="AD115" s="137"/>
      <c r="AE115" s="137"/>
      <c r="AF115" s="137"/>
      <c r="AG115" s="137"/>
      <c r="AH115" s="137"/>
      <c r="AI115" s="137"/>
      <c r="AJ115" s="137"/>
      <c r="AK115" s="137"/>
      <c r="AL115" s="137"/>
      <c r="AM115" s="137"/>
      <c r="AN115" s="137"/>
      <c r="AO115" s="137"/>
      <c r="AP115" s="137"/>
      <c r="AQ115" s="137"/>
      <c r="AR115" s="137"/>
      <c r="AS115" s="124">
        <f>SUMPRODUCT(AP112:AS112)/1000*54-SUM(AP114:AS114)</f>
        <v>81.586299999999824</v>
      </c>
      <c r="AT115" s="19"/>
      <c r="AU115" s="137"/>
      <c r="AV115" s="137"/>
      <c r="AW115" s="124">
        <f>SUMPRODUCT(AT112:AW112)/1000*54-SUM(AT114:AW114)</f>
        <v>135.41980000000012</v>
      </c>
      <c r="AY115" s="137"/>
      <c r="BG115" s="4">
        <v>109</v>
      </c>
      <c r="BH115"/>
      <c r="BI115"/>
      <c r="BJ115"/>
      <c r="BK115"/>
      <c r="BL115"/>
      <c r="BM115"/>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c r="HF115" s="3"/>
      <c r="HG115" s="3"/>
      <c r="HH115" s="3"/>
      <c r="HI115" s="3"/>
      <c r="HJ115" s="3"/>
      <c r="HK115" s="3"/>
      <c r="HL115" s="3"/>
      <c r="HM115" s="3"/>
      <c r="HN115" s="3"/>
      <c r="HO115" s="3"/>
      <c r="HP115" s="3"/>
      <c r="HQ115" s="3"/>
      <c r="HR115" s="3"/>
      <c r="HS115" s="3"/>
      <c r="HT115" s="3"/>
      <c r="HU115" s="3"/>
      <c r="HV115" s="3"/>
      <c r="HW115" s="3"/>
      <c r="HX115" s="3"/>
      <c r="HY115" s="3"/>
      <c r="HZ115" s="3"/>
      <c r="IA115" s="3"/>
      <c r="IB115" s="3"/>
      <c r="IC115" s="3"/>
      <c r="ID115" s="3"/>
      <c r="IE115" s="3"/>
      <c r="IF115" s="3"/>
      <c r="IG115" s="3"/>
      <c r="IH115" s="3"/>
      <c r="II115" s="3"/>
      <c r="IJ115" s="3"/>
      <c r="IK115" s="3"/>
      <c r="IL115" s="3"/>
      <c r="IM115" s="3"/>
      <c r="IN115" s="3"/>
      <c r="IO115" s="3"/>
      <c r="IP115" s="3"/>
      <c r="IQ115" s="3"/>
      <c r="IR115" s="3"/>
      <c r="IS115" s="3"/>
      <c r="IT115" s="3"/>
      <c r="IU115" s="3"/>
      <c r="IV115" s="3"/>
      <c r="IW115" s="3"/>
    </row>
    <row r="116" spans="1:257" s="229" customFormat="1" ht="12.75" customHeight="1" outlineLevel="2">
      <c r="A116" s="248"/>
      <c r="B116" s="247"/>
      <c r="C116" s="246"/>
      <c r="D116" s="246"/>
      <c r="E116" s="246"/>
      <c r="F116" s="245"/>
      <c r="G116" s="245"/>
      <c r="H116" s="244"/>
      <c r="I116" s="244"/>
      <c r="J116" s="244"/>
      <c r="K116" s="244"/>
      <c r="L116" s="244"/>
      <c r="M116" s="244"/>
      <c r="N116" s="244"/>
      <c r="O116" s="243"/>
      <c r="P116" s="5"/>
      <c r="Q116" s="5"/>
      <c r="R116" s="5"/>
      <c r="S116" s="5"/>
      <c r="T116" s="5"/>
      <c r="U116" s="5"/>
      <c r="V116" s="254"/>
      <c r="W116" s="254"/>
      <c r="Y116" s="392"/>
      <c r="Z116" s="392"/>
      <c r="AA116" s="392"/>
      <c r="AB116" s="392"/>
      <c r="AC116" s="392"/>
      <c r="AD116" s="392"/>
      <c r="AE116" s="392"/>
      <c r="AF116" s="392"/>
      <c r="AG116" s="392"/>
      <c r="AH116" s="392"/>
      <c r="AI116" s="392"/>
      <c r="AK116" s="392"/>
      <c r="AL116" s="392"/>
      <c r="AM116" s="392"/>
      <c r="AN116" s="256"/>
      <c r="AO116" s="395" t="s">
        <v>411</v>
      </c>
      <c r="AP116" s="256"/>
      <c r="AQ116" s="256"/>
      <c r="AR116" s="256"/>
      <c r="AS116" s="256"/>
      <c r="AT116" s="256"/>
      <c r="AU116" s="256"/>
      <c r="AV116" s="256"/>
      <c r="AW116" s="256"/>
      <c r="AX116" s="256"/>
      <c r="AY116" s="256"/>
      <c r="BG116" s="4">
        <v>110</v>
      </c>
      <c r="BH116"/>
      <c r="BI116"/>
      <c r="BJ116"/>
      <c r="BK116"/>
      <c r="BL116"/>
      <c r="BM116"/>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c r="HF116" s="3"/>
      <c r="HG116" s="3"/>
      <c r="HH116" s="3"/>
      <c r="HI116" s="3"/>
      <c r="HJ116" s="3"/>
      <c r="HK116" s="3"/>
      <c r="HL116" s="3"/>
      <c r="HM116" s="3"/>
      <c r="HN116" s="3"/>
      <c r="HO116" s="3"/>
      <c r="HP116" s="3"/>
      <c r="HQ116" s="3"/>
      <c r="HR116" s="3"/>
      <c r="HS116" s="3"/>
      <c r="HT116" s="3"/>
      <c r="HU116" s="3"/>
      <c r="HV116" s="3"/>
      <c r="HW116" s="3"/>
      <c r="HX116" s="3"/>
      <c r="HY116" s="3"/>
      <c r="HZ116" s="3"/>
      <c r="IA116" s="3"/>
      <c r="IB116" s="3"/>
      <c r="IC116" s="3"/>
      <c r="ID116" s="3"/>
      <c r="IE116" s="3"/>
      <c r="IF116" s="3"/>
      <c r="IG116" s="3"/>
      <c r="IH116" s="3"/>
      <c r="II116" s="3"/>
      <c r="IJ116" s="3"/>
      <c r="IK116" s="3"/>
      <c r="IL116" s="3"/>
      <c r="IM116" s="3"/>
      <c r="IN116" s="3"/>
      <c r="IO116" s="3"/>
      <c r="IP116" s="3"/>
      <c r="IQ116" s="3"/>
      <c r="IR116" s="3"/>
      <c r="IS116" s="3"/>
      <c r="IT116" s="3"/>
      <c r="IU116" s="3"/>
      <c r="IV116" s="3"/>
      <c r="IW116" s="3"/>
    </row>
    <row r="117" spans="1:257" s="229" customFormat="1" ht="12.75" customHeight="1" outlineLevel="2">
      <c r="A117" s="248"/>
      <c r="B117" s="247" t="s">
        <v>278</v>
      </c>
      <c r="C117" s="246"/>
      <c r="D117" s="246"/>
      <c r="E117" s="246"/>
      <c r="F117" s="245"/>
      <c r="G117" s="245"/>
      <c r="H117" s="244"/>
      <c r="I117" s="244"/>
      <c r="J117" s="244"/>
      <c r="K117" s="244"/>
      <c r="L117" s="244"/>
      <c r="M117" s="244"/>
      <c r="N117" s="244"/>
      <c r="O117" s="243"/>
      <c r="P117" s="5"/>
      <c r="Q117" s="5"/>
      <c r="R117" s="5"/>
      <c r="S117" s="5"/>
      <c r="T117" s="5"/>
      <c r="U117" s="5"/>
      <c r="V117" s="254"/>
      <c r="W117" s="254"/>
      <c r="X117" s="393" t="str">
        <f t="shared" ref="X117:AL117" si="186">IFERROR((X125*X120-X119*X124-X123*X118)/X122,"NM")</f>
        <v>NM</v>
      </c>
      <c r="Y117" s="393">
        <f t="shared" si="186"/>
        <v>73.243480000000034</v>
      </c>
      <c r="Z117" s="393">
        <f t="shared" si="186"/>
        <v>63.718555555555582</v>
      </c>
      <c r="AA117" s="393">
        <f t="shared" si="186"/>
        <v>60.952024444444476</v>
      </c>
      <c r="AB117" s="393">
        <f t="shared" si="186"/>
        <v>52.352407999999976</v>
      </c>
      <c r="AC117" s="393">
        <f t="shared" si="186"/>
        <v>51.748917602500008</v>
      </c>
      <c r="AD117" s="393">
        <f t="shared" si="186"/>
        <v>76.305464166799979</v>
      </c>
      <c r="AE117" s="393">
        <f t="shared" si="186"/>
        <v>41.439869794022371</v>
      </c>
      <c r="AF117" s="393">
        <f t="shared" si="186"/>
        <v>37.646822814807692</v>
      </c>
      <c r="AG117" s="393">
        <f t="shared" si="186"/>
        <v>33.542831041437545</v>
      </c>
      <c r="AH117" s="393">
        <f t="shared" si="186"/>
        <v>8.2365153970613445</v>
      </c>
      <c r="AI117" s="393">
        <f t="shared" si="186"/>
        <v>18.539772499999994</v>
      </c>
      <c r="AJ117" s="393">
        <f t="shared" si="186"/>
        <v>28.560167111111159</v>
      </c>
      <c r="AK117" s="393">
        <f t="shared" si="186"/>
        <v>34.950583999999893</v>
      </c>
      <c r="AL117" s="393">
        <f t="shared" si="186"/>
        <v>47.333428237037111</v>
      </c>
      <c r="AM117" s="393">
        <f t="shared" ref="AM117" si="187">IFERROR((AM125*AM120-AM119*AM124-AM123*AM118)/AM122,"NM")</f>
        <v>40.23820740740738</v>
      </c>
      <c r="AN117" s="258">
        <f>+AM117+3</f>
        <v>43.23820740740738</v>
      </c>
      <c r="AO117" s="258">
        <f>+AN117+1</f>
        <v>44.23820740740738</v>
      </c>
      <c r="AP117" s="258">
        <f>+AO117-3</f>
        <v>41.23820740740738</v>
      </c>
      <c r="AQ117" s="258">
        <f>+AP117-3</f>
        <v>38.23820740740738</v>
      </c>
      <c r="AR117" s="258">
        <f>+AQ117-5</f>
        <v>33.23820740740738</v>
      </c>
      <c r="AS117" s="258">
        <f>+AR117-5</f>
        <v>28.23820740740738</v>
      </c>
      <c r="AT117" s="258">
        <f t="shared" ref="AT117:AY117" si="188">AS117</f>
        <v>28.23820740740738</v>
      </c>
      <c r="AU117" s="258">
        <f t="shared" si="188"/>
        <v>28.23820740740738</v>
      </c>
      <c r="AV117" s="258">
        <f t="shared" si="188"/>
        <v>28.23820740740738</v>
      </c>
      <c r="AW117" s="258">
        <f t="shared" si="188"/>
        <v>28.23820740740738</v>
      </c>
      <c r="AX117" s="258">
        <f t="shared" si="188"/>
        <v>28.23820740740738</v>
      </c>
      <c r="AY117" s="258">
        <f t="shared" si="188"/>
        <v>28.23820740740738</v>
      </c>
      <c r="BG117" s="4">
        <v>111</v>
      </c>
      <c r="BH117"/>
      <c r="BI117"/>
      <c r="BJ117"/>
      <c r="BK117"/>
      <c r="BL117"/>
      <c r="BM117"/>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c r="HF117" s="3"/>
      <c r="HG117" s="3"/>
      <c r="HH117" s="3"/>
      <c r="HI117" s="3"/>
      <c r="HJ117" s="3"/>
      <c r="HK117" s="3"/>
      <c r="HL117" s="3"/>
      <c r="HM117" s="3"/>
      <c r="HN117" s="3"/>
      <c r="HO117" s="3"/>
      <c r="HP117" s="3"/>
      <c r="HQ117" s="3"/>
      <c r="HR117" s="3"/>
      <c r="HS117" s="3"/>
      <c r="HT117" s="3"/>
      <c r="HU117" s="3"/>
      <c r="HV117" s="3"/>
      <c r="HW117" s="3"/>
      <c r="HX117" s="3"/>
      <c r="HY117" s="3"/>
      <c r="HZ117" s="3"/>
      <c r="IA117" s="3"/>
      <c r="IB117" s="3"/>
      <c r="IC117" s="3"/>
      <c r="ID117" s="3"/>
      <c r="IE117" s="3"/>
      <c r="IF117" s="3"/>
      <c r="IG117" s="3"/>
      <c r="IH117" s="3"/>
      <c r="II117" s="3"/>
      <c r="IJ117" s="3"/>
      <c r="IK117" s="3"/>
      <c r="IL117" s="3"/>
      <c r="IM117" s="3"/>
      <c r="IN117" s="3"/>
      <c r="IO117" s="3"/>
      <c r="IP117" s="3"/>
      <c r="IQ117" s="3"/>
      <c r="IR117" s="3"/>
      <c r="IS117" s="3"/>
      <c r="IT117" s="3"/>
      <c r="IU117" s="3"/>
      <c r="IV117" s="3"/>
      <c r="IW117" s="3"/>
    </row>
    <row r="118" spans="1:257" s="229" customFormat="1" ht="12.75" customHeight="1" outlineLevel="2">
      <c r="A118" s="248"/>
      <c r="B118" s="247" t="s">
        <v>277</v>
      </c>
      <c r="C118" s="246"/>
      <c r="D118" s="246"/>
      <c r="E118" s="246"/>
      <c r="F118" s="245"/>
      <c r="G118" s="245"/>
      <c r="H118" s="244"/>
      <c r="I118" s="244"/>
      <c r="J118" s="244"/>
      <c r="K118" s="244"/>
      <c r="L118" s="244"/>
      <c r="M118" s="244"/>
      <c r="N118" s="244"/>
      <c r="O118" s="243"/>
      <c r="P118" s="5"/>
      <c r="Q118" s="5"/>
      <c r="R118" s="5"/>
      <c r="S118" s="5"/>
      <c r="T118" s="5"/>
      <c r="U118" s="5"/>
      <c r="V118" s="254"/>
      <c r="W118" s="254"/>
      <c r="X118" s="394">
        <v>45</v>
      </c>
      <c r="Y118" s="394">
        <v>48</v>
      </c>
      <c r="Z118" s="394">
        <v>48</v>
      </c>
      <c r="AA118" s="394">
        <v>48</v>
      </c>
      <c r="AB118" s="394">
        <v>44</v>
      </c>
      <c r="AC118" s="394">
        <v>38</v>
      </c>
      <c r="AD118" s="394">
        <v>36</v>
      </c>
      <c r="AE118" s="394">
        <v>30</v>
      </c>
      <c r="AF118" s="394">
        <v>26</v>
      </c>
      <c r="AG118" s="394">
        <v>21.5</v>
      </c>
      <c r="AH118" s="394">
        <v>15</v>
      </c>
      <c r="AI118" s="394">
        <v>14.5</v>
      </c>
      <c r="AJ118" s="394">
        <v>20</v>
      </c>
      <c r="AK118" s="394">
        <v>27</v>
      </c>
      <c r="AL118" s="394">
        <v>35</v>
      </c>
      <c r="AM118" s="394">
        <v>35</v>
      </c>
      <c r="AN118" s="258">
        <v>38</v>
      </c>
      <c r="AO118" s="258">
        <f>AN118</f>
        <v>38</v>
      </c>
      <c r="AP118" s="258">
        <f>AO118</f>
        <v>38</v>
      </c>
      <c r="AQ118" s="258">
        <f t="shared" ref="AQ118:AY118" si="189">AQ117</f>
        <v>38.23820740740738</v>
      </c>
      <c r="AR118" s="258">
        <f t="shared" si="189"/>
        <v>33.23820740740738</v>
      </c>
      <c r="AS118" s="258">
        <f t="shared" si="189"/>
        <v>28.23820740740738</v>
      </c>
      <c r="AT118" s="258">
        <f t="shared" si="189"/>
        <v>28.23820740740738</v>
      </c>
      <c r="AU118" s="258">
        <f t="shared" si="189"/>
        <v>28.23820740740738</v>
      </c>
      <c r="AV118" s="258">
        <f t="shared" si="189"/>
        <v>28.23820740740738</v>
      </c>
      <c r="AW118" s="258">
        <f t="shared" si="189"/>
        <v>28.23820740740738</v>
      </c>
      <c r="AX118" s="258">
        <f t="shared" si="189"/>
        <v>28.23820740740738</v>
      </c>
      <c r="AY118" s="258">
        <f t="shared" si="189"/>
        <v>28.23820740740738</v>
      </c>
      <c r="BG118" s="4">
        <v>112</v>
      </c>
      <c r="BH118"/>
      <c r="BI118"/>
      <c r="BJ118"/>
      <c r="BK118"/>
      <c r="BL118"/>
      <c r="BM118"/>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c r="HF118" s="3"/>
      <c r="HG118" s="3"/>
      <c r="HH118" s="3"/>
      <c r="HI118" s="3"/>
      <c r="HJ118" s="3"/>
      <c r="HK118" s="3"/>
      <c r="HL118" s="3"/>
      <c r="HM118" s="3"/>
      <c r="HN118" s="3"/>
      <c r="HO118" s="3"/>
      <c r="HP118" s="3"/>
      <c r="HQ118" s="3"/>
      <c r="HR118" s="3"/>
      <c r="HS118" s="3"/>
      <c r="HT118" s="3"/>
      <c r="HU118" s="3"/>
      <c r="HV118" s="3"/>
      <c r="HW118" s="3"/>
      <c r="HX118" s="3"/>
      <c r="HY118" s="3"/>
      <c r="HZ118" s="3"/>
      <c r="IA118" s="3"/>
      <c r="IB118" s="3"/>
      <c r="IC118" s="3"/>
      <c r="ID118" s="3"/>
      <c r="IE118" s="3"/>
      <c r="IF118" s="3"/>
      <c r="IG118" s="3"/>
      <c r="IH118" s="3"/>
      <c r="II118" s="3"/>
      <c r="IJ118" s="3"/>
      <c r="IK118" s="3"/>
      <c r="IL118" s="3"/>
      <c r="IM118" s="3"/>
      <c r="IN118" s="3"/>
      <c r="IO118" s="3"/>
      <c r="IP118" s="3"/>
      <c r="IQ118" s="3"/>
      <c r="IR118" s="3"/>
      <c r="IS118" s="3"/>
      <c r="IT118" s="3"/>
      <c r="IU118" s="3"/>
      <c r="IV118" s="3"/>
      <c r="IW118" s="3"/>
    </row>
    <row r="119" spans="1:257" s="229" customFormat="1" ht="12.75" customHeight="1" outlineLevel="2">
      <c r="A119" s="248"/>
      <c r="B119" s="247" t="s">
        <v>276</v>
      </c>
      <c r="C119" s="246"/>
      <c r="D119" s="246"/>
      <c r="E119" s="246"/>
      <c r="F119" s="245"/>
      <c r="G119" s="245"/>
      <c r="H119" s="244"/>
      <c r="I119" s="244"/>
      <c r="J119" s="244"/>
      <c r="K119" s="244"/>
      <c r="L119" s="244"/>
      <c r="M119" s="244"/>
      <c r="N119" s="244"/>
      <c r="O119" s="243"/>
      <c r="P119" s="5"/>
      <c r="Q119" s="5"/>
      <c r="R119" s="5"/>
      <c r="S119" s="5"/>
      <c r="T119" s="5"/>
      <c r="U119" s="5"/>
      <c r="V119" s="254"/>
      <c r="W119" s="254"/>
      <c r="X119" s="394">
        <f t="shared" ref="X119:AP119" si="190">+X118+X113</f>
        <v>95</v>
      </c>
      <c r="Y119" s="394">
        <f t="shared" si="190"/>
        <v>98</v>
      </c>
      <c r="Z119" s="394">
        <f t="shared" si="190"/>
        <v>98</v>
      </c>
      <c r="AA119" s="394">
        <f t="shared" si="190"/>
        <v>98</v>
      </c>
      <c r="AB119" s="394">
        <f t="shared" si="190"/>
        <v>94</v>
      </c>
      <c r="AC119" s="394">
        <f t="shared" si="190"/>
        <v>88</v>
      </c>
      <c r="AD119" s="394">
        <f t="shared" si="190"/>
        <v>86</v>
      </c>
      <c r="AE119" s="394">
        <f t="shared" si="190"/>
        <v>80</v>
      </c>
      <c r="AF119" s="394">
        <f t="shared" si="190"/>
        <v>76</v>
      </c>
      <c r="AG119" s="394">
        <f t="shared" si="190"/>
        <v>71.5</v>
      </c>
      <c r="AH119" s="394">
        <f t="shared" si="190"/>
        <v>65</v>
      </c>
      <c r="AI119" s="394">
        <f t="shared" si="190"/>
        <v>64.5</v>
      </c>
      <c r="AJ119" s="394">
        <f t="shared" si="190"/>
        <v>72</v>
      </c>
      <c r="AK119" s="394">
        <f t="shared" si="190"/>
        <v>79</v>
      </c>
      <c r="AL119" s="394">
        <f t="shared" si="190"/>
        <v>87</v>
      </c>
      <c r="AM119" s="394">
        <f t="shared" ref="AM119" si="191">+AM118+AM113</f>
        <v>87</v>
      </c>
      <c r="AN119" s="256">
        <f t="shared" si="190"/>
        <v>91.56</v>
      </c>
      <c r="AO119" s="256">
        <f t="shared" si="190"/>
        <v>91.56</v>
      </c>
      <c r="AP119" s="252">
        <f t="shared" si="190"/>
        <v>90.56</v>
      </c>
      <c r="AQ119" s="252">
        <f>+AQ118+AQ113+1</f>
        <v>88.798207407407375</v>
      </c>
      <c r="AR119" s="252">
        <f>+AR118+AR113+2</f>
        <v>82.798207407407375</v>
      </c>
      <c r="AS119" s="252">
        <f>+AS118+AS113+3</f>
        <v>76.798207407407375</v>
      </c>
      <c r="AT119" s="252">
        <f t="shared" ref="AT119:AY119" si="192">+AT118+AT113+3</f>
        <v>76.798207407407375</v>
      </c>
      <c r="AU119" s="252">
        <f t="shared" si="192"/>
        <v>76.798207407407375</v>
      </c>
      <c r="AV119" s="252">
        <f t="shared" si="192"/>
        <v>76.798207407407375</v>
      </c>
      <c r="AW119" s="252">
        <f t="shared" si="192"/>
        <v>76.798207407407375</v>
      </c>
      <c r="AX119" s="252">
        <f t="shared" si="192"/>
        <v>76.798207407407375</v>
      </c>
      <c r="AY119" s="252">
        <f t="shared" si="192"/>
        <v>76.798207407407375</v>
      </c>
      <c r="BG119" s="4">
        <v>113</v>
      </c>
      <c r="BH119"/>
      <c r="BI119"/>
      <c r="BJ119"/>
      <c r="BK119"/>
      <c r="BL119"/>
      <c r="BM119"/>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c r="HF119" s="3"/>
      <c r="HG119" s="3"/>
      <c r="HH119" s="3"/>
      <c r="HI119" s="3"/>
      <c r="HJ119" s="3"/>
      <c r="HK119" s="3"/>
      <c r="HL119" s="3"/>
      <c r="HM119" s="3"/>
      <c r="HN119" s="3"/>
      <c r="HO119" s="3"/>
      <c r="HP119" s="3"/>
      <c r="HQ119" s="3"/>
      <c r="HR119" s="3"/>
      <c r="HS119" s="3"/>
      <c r="HT119" s="3"/>
      <c r="HU119" s="3"/>
      <c r="HV119" s="3"/>
      <c r="HW119" s="3"/>
      <c r="HX119" s="3"/>
      <c r="HY119" s="3"/>
      <c r="HZ119" s="3"/>
      <c r="IA119" s="3"/>
      <c r="IB119" s="3"/>
      <c r="IC119" s="3"/>
      <c r="ID119" s="3"/>
      <c r="IE119" s="3"/>
      <c r="IF119" s="3"/>
      <c r="IG119" s="3"/>
      <c r="IH119" s="3"/>
      <c r="II119" s="3"/>
      <c r="IJ119" s="3"/>
      <c r="IK119" s="3"/>
      <c r="IL119" s="3"/>
      <c r="IM119" s="3"/>
      <c r="IN119" s="3"/>
      <c r="IO119" s="3"/>
      <c r="IP119" s="3"/>
      <c r="IQ119" s="3"/>
      <c r="IR119" s="3"/>
      <c r="IS119" s="3"/>
      <c r="IT119" s="3"/>
      <c r="IU119" s="3"/>
      <c r="IV119" s="3"/>
      <c r="IW119" s="3"/>
    </row>
    <row r="120" spans="1:257" s="229" customFormat="1" ht="12.75" customHeight="1" outlineLevel="2">
      <c r="A120" s="248"/>
      <c r="B120" s="247" t="s">
        <v>275</v>
      </c>
      <c r="C120" s="246"/>
      <c r="D120" s="246"/>
      <c r="E120" s="246"/>
      <c r="F120" s="245"/>
      <c r="G120" s="245"/>
      <c r="H120" s="244"/>
      <c r="I120" s="244"/>
      <c r="J120" s="244"/>
      <c r="K120" s="244"/>
      <c r="L120" s="244"/>
      <c r="M120" s="244"/>
      <c r="N120" s="244"/>
      <c r="O120" s="243"/>
      <c r="P120" s="5"/>
      <c r="Q120" s="5"/>
      <c r="R120" s="5"/>
      <c r="S120" s="5"/>
      <c r="T120" s="5"/>
      <c r="U120" s="5"/>
      <c r="V120" s="254"/>
      <c r="W120" s="254"/>
      <c r="X120" s="256">
        <f t="shared" ref="X120:AL120" si="193">X92</f>
        <v>85</v>
      </c>
      <c r="Y120" s="256">
        <f t="shared" si="193"/>
        <v>85</v>
      </c>
      <c r="Z120" s="256">
        <f t="shared" si="193"/>
        <v>85</v>
      </c>
      <c r="AA120" s="256">
        <f t="shared" si="193"/>
        <v>85</v>
      </c>
      <c r="AB120" s="256">
        <f t="shared" si="193"/>
        <v>79.05</v>
      </c>
      <c r="AC120" s="256">
        <f t="shared" si="193"/>
        <v>68.773499999999999</v>
      </c>
      <c r="AD120" s="256">
        <f t="shared" si="193"/>
        <v>63.271619999999999</v>
      </c>
      <c r="AE120" s="256">
        <f t="shared" si="193"/>
        <v>55.679025599999996</v>
      </c>
      <c r="AF120" s="256">
        <f t="shared" si="193"/>
        <v>52.895074319999992</v>
      </c>
      <c r="AG120" s="256">
        <f t="shared" si="193"/>
        <v>48.134517631199998</v>
      </c>
      <c r="AH120" s="256">
        <f t="shared" si="193"/>
        <v>43.134517631199998</v>
      </c>
      <c r="AI120" s="256">
        <f t="shared" si="193"/>
        <v>46</v>
      </c>
      <c r="AJ120" s="256">
        <f t="shared" si="193"/>
        <v>50</v>
      </c>
      <c r="AK120" s="256">
        <f t="shared" si="193"/>
        <v>58</v>
      </c>
      <c r="AL120" s="256">
        <f t="shared" si="193"/>
        <v>66</v>
      </c>
      <c r="AM120" s="256">
        <f t="shared" ref="AM120" si="194">AM92</f>
        <v>68</v>
      </c>
      <c r="AN120" s="260">
        <f t="shared" ref="AN120:AY120" si="195">SUMPRODUCT(AN117:AN119,AN122:AN124)/AN125</f>
        <v>71.680385610468761</v>
      </c>
      <c r="AO120" s="260">
        <f t="shared" si="195"/>
        <v>66.212246225135175</v>
      </c>
      <c r="AP120" s="260">
        <f t="shared" si="195"/>
        <v>65.744680148148134</v>
      </c>
      <c r="AQ120" s="260">
        <f t="shared" si="195"/>
        <v>64.547464550264507</v>
      </c>
      <c r="AR120" s="260">
        <f t="shared" si="195"/>
        <v>59.027107407407371</v>
      </c>
      <c r="AS120" s="260">
        <f t="shared" si="195"/>
        <v>53.506750264550227</v>
      </c>
      <c r="AT120" s="260">
        <f t="shared" si="195"/>
        <v>53.506750264550227</v>
      </c>
      <c r="AU120" s="260">
        <f t="shared" si="195"/>
        <v>53.506750264550227</v>
      </c>
      <c r="AV120" s="260">
        <f t="shared" si="195"/>
        <v>53.506750264550227</v>
      </c>
      <c r="AW120" s="260">
        <f t="shared" si="195"/>
        <v>53.506750264550227</v>
      </c>
      <c r="AX120" s="260">
        <f t="shared" si="195"/>
        <v>53.506750264550227</v>
      </c>
      <c r="AY120" s="260">
        <f t="shared" si="195"/>
        <v>53.506750264550227</v>
      </c>
      <c r="BG120" s="4">
        <v>114</v>
      </c>
      <c r="BH120"/>
      <c r="BI120"/>
      <c r="BJ120"/>
      <c r="BK120"/>
      <c r="BL120"/>
      <c r="BM120"/>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c r="HF120" s="3"/>
      <c r="HG120" s="3"/>
      <c r="HH120" s="3"/>
      <c r="HI120" s="3"/>
      <c r="HJ120" s="3"/>
      <c r="HK120" s="3"/>
      <c r="HL120" s="3"/>
      <c r="HM120" s="3"/>
      <c r="HN120" s="3"/>
      <c r="HO120" s="3"/>
      <c r="HP120" s="3"/>
      <c r="HQ120" s="3"/>
      <c r="HR120" s="3"/>
      <c r="HS120" s="3"/>
      <c r="HT120" s="3"/>
      <c r="HU120" s="3"/>
      <c r="HV120" s="3"/>
      <c r="HW120" s="3"/>
      <c r="HX120" s="3"/>
      <c r="HY120" s="3"/>
      <c r="HZ120" s="3"/>
      <c r="IA120" s="3"/>
      <c r="IB120" s="3"/>
      <c r="IC120" s="3"/>
      <c r="ID120" s="3"/>
      <c r="IE120" s="3"/>
      <c r="IF120" s="3"/>
      <c r="IG120" s="3"/>
      <c r="IH120" s="3"/>
      <c r="II120" s="3"/>
      <c r="IJ120" s="3"/>
      <c r="IK120" s="3"/>
      <c r="IL120" s="3"/>
      <c r="IM120" s="3"/>
      <c r="IN120" s="3"/>
      <c r="IO120" s="3"/>
      <c r="IP120" s="3"/>
      <c r="IQ120" s="3"/>
      <c r="IR120" s="3"/>
      <c r="IS120" s="3"/>
      <c r="IT120" s="3"/>
      <c r="IU120" s="3"/>
      <c r="IV120" s="3"/>
      <c r="IW120" s="3"/>
    </row>
    <row r="121" spans="1:257" s="229" customFormat="1" ht="12.75" customHeight="1" outlineLevel="2">
      <c r="A121" s="248"/>
      <c r="B121" s="247"/>
      <c r="C121" s="246"/>
      <c r="D121" s="246"/>
      <c r="E121" s="246"/>
      <c r="F121" s="245"/>
      <c r="G121" s="245"/>
      <c r="H121" s="244"/>
      <c r="I121" s="244"/>
      <c r="J121" s="244"/>
      <c r="K121" s="244"/>
      <c r="L121" s="244"/>
      <c r="M121" s="244"/>
      <c r="N121" s="244"/>
      <c r="O121" s="243"/>
      <c r="P121" s="5"/>
      <c r="Q121" s="5"/>
      <c r="R121" s="5"/>
      <c r="S121" s="5"/>
      <c r="T121" s="5"/>
      <c r="U121" s="5"/>
      <c r="V121" s="254"/>
      <c r="W121" s="254"/>
      <c r="X121" s="256"/>
      <c r="Y121" s="256"/>
      <c r="Z121" s="256"/>
      <c r="AA121" s="256"/>
      <c r="AB121" s="256"/>
      <c r="AC121" s="256"/>
      <c r="AD121" s="256"/>
      <c r="AE121" s="256"/>
      <c r="AF121" s="256"/>
      <c r="AG121" s="256"/>
      <c r="AH121" s="256"/>
      <c r="AI121" s="256"/>
      <c r="AJ121" s="256"/>
      <c r="AK121" s="256"/>
      <c r="AL121" s="256"/>
      <c r="AM121" s="256"/>
      <c r="AN121" s="256"/>
      <c r="AO121" s="256"/>
      <c r="AP121" s="256"/>
      <c r="AQ121" s="256"/>
      <c r="AR121" s="256"/>
      <c r="AS121" s="256"/>
      <c r="AT121" s="256"/>
      <c r="AU121" s="256"/>
      <c r="AV121" s="256"/>
      <c r="AW121" s="256"/>
      <c r="AX121" s="256"/>
      <c r="AY121" s="256"/>
      <c r="BG121" s="4">
        <v>115</v>
      </c>
      <c r="BH121"/>
      <c r="BI121"/>
      <c r="BJ121"/>
      <c r="BK121"/>
      <c r="BL121"/>
      <c r="BM121"/>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c r="HF121" s="3"/>
      <c r="HG121" s="3"/>
      <c r="HH121" s="3"/>
      <c r="HI121" s="3"/>
      <c r="HJ121" s="3"/>
      <c r="HK121" s="3"/>
      <c r="HL121" s="3"/>
      <c r="HM121" s="3"/>
      <c r="HN121" s="3"/>
      <c r="HO121" s="3"/>
      <c r="HP121" s="3"/>
      <c r="HQ121" s="3"/>
      <c r="HR121" s="3"/>
      <c r="HS121" s="3"/>
      <c r="HT121" s="3"/>
      <c r="HU121" s="3"/>
      <c r="HV121" s="3"/>
      <c r="HW121" s="3"/>
      <c r="HX121" s="3"/>
      <c r="HY121" s="3"/>
      <c r="HZ121" s="3"/>
      <c r="IA121" s="3"/>
      <c r="IB121" s="3"/>
      <c r="IC121" s="3"/>
      <c r="ID121" s="3"/>
      <c r="IE121" s="3"/>
      <c r="IF121" s="3"/>
      <c r="IG121" s="3"/>
      <c r="IH121" s="3"/>
      <c r="II121" s="3"/>
      <c r="IJ121" s="3"/>
      <c r="IK121" s="3"/>
      <c r="IL121" s="3"/>
      <c r="IM121" s="3"/>
      <c r="IN121" s="3"/>
      <c r="IO121" s="3"/>
      <c r="IP121" s="3"/>
      <c r="IQ121" s="3"/>
      <c r="IR121" s="3"/>
      <c r="IS121" s="3"/>
      <c r="IT121" s="3"/>
      <c r="IU121" s="3"/>
      <c r="IV121" s="3"/>
      <c r="IW121" s="3"/>
    </row>
    <row r="122" spans="1:257" s="229" customFormat="1" ht="12.75" customHeight="1" outlineLevel="2">
      <c r="A122" s="248"/>
      <c r="B122" s="247" t="s">
        <v>274</v>
      </c>
      <c r="C122" s="246"/>
      <c r="D122" s="246"/>
      <c r="E122" s="246"/>
      <c r="F122" s="245"/>
      <c r="G122" s="245"/>
      <c r="H122" s="212">
        <f t="shared" ref="H122:N125" si="196">SUMIF($P$4:$AZ$4,H$4,$P122:$AZ122)</f>
        <v>675</v>
      </c>
      <c r="I122" s="212">
        <f t="shared" si="196"/>
        <v>800</v>
      </c>
      <c r="J122" s="212">
        <f t="shared" si="196"/>
        <v>712.5</v>
      </c>
      <c r="K122" s="212">
        <f t="shared" si="196"/>
        <v>1057.5</v>
      </c>
      <c r="L122" s="212">
        <f t="shared" si="196"/>
        <v>4792.5</v>
      </c>
      <c r="M122" s="212">
        <f t="shared" si="196"/>
        <v>7830</v>
      </c>
      <c r="N122" s="212">
        <f t="shared" si="196"/>
        <v>7830</v>
      </c>
      <c r="O122" s="243"/>
      <c r="P122" s="5"/>
      <c r="Q122" s="5"/>
      <c r="R122" s="5"/>
      <c r="S122" s="5"/>
      <c r="T122" s="5"/>
      <c r="U122" s="5"/>
      <c r="V122" s="254"/>
      <c r="W122" s="254"/>
      <c r="X122" s="256">
        <f t="shared" ref="X122:AY122" si="197">+X111</f>
        <v>0</v>
      </c>
      <c r="Y122" s="256">
        <f t="shared" si="197"/>
        <v>225</v>
      </c>
      <c r="Z122" s="256">
        <f t="shared" si="197"/>
        <v>225</v>
      </c>
      <c r="AA122" s="256">
        <f t="shared" si="197"/>
        <v>225</v>
      </c>
      <c r="AB122" s="256">
        <f t="shared" si="197"/>
        <v>212.5</v>
      </c>
      <c r="AC122" s="256">
        <f t="shared" si="197"/>
        <v>200</v>
      </c>
      <c r="AD122" s="256">
        <f t="shared" si="197"/>
        <v>200</v>
      </c>
      <c r="AE122" s="256">
        <f t="shared" si="197"/>
        <v>187.5</v>
      </c>
      <c r="AF122" s="256">
        <f t="shared" si="197"/>
        <v>175</v>
      </c>
      <c r="AG122" s="256">
        <f t="shared" si="197"/>
        <v>162.5</v>
      </c>
      <c r="AH122" s="256">
        <f t="shared" si="197"/>
        <v>175</v>
      </c>
      <c r="AI122" s="256">
        <f t="shared" si="197"/>
        <v>200</v>
      </c>
      <c r="AJ122" s="256">
        <f t="shared" si="197"/>
        <v>225</v>
      </c>
      <c r="AK122" s="256">
        <f t="shared" si="197"/>
        <v>225</v>
      </c>
      <c r="AL122" s="256">
        <f t="shared" si="197"/>
        <v>337.5</v>
      </c>
      <c r="AM122" s="256">
        <f t="shared" ref="AM122" si="198">+AM111</f>
        <v>270</v>
      </c>
      <c r="AN122" s="256">
        <f t="shared" si="197"/>
        <v>270</v>
      </c>
      <c r="AO122" s="256">
        <f t="shared" si="197"/>
        <v>607.5</v>
      </c>
      <c r="AP122" s="256">
        <f t="shared" si="197"/>
        <v>1957.5</v>
      </c>
      <c r="AQ122" s="256">
        <f t="shared" si="197"/>
        <v>1957.5</v>
      </c>
      <c r="AR122" s="256">
        <f t="shared" si="197"/>
        <v>1957.5</v>
      </c>
      <c r="AS122" s="256">
        <f t="shared" si="197"/>
        <v>1957.5</v>
      </c>
      <c r="AT122" s="256">
        <f t="shared" si="197"/>
        <v>1957.5</v>
      </c>
      <c r="AU122" s="256">
        <f t="shared" si="197"/>
        <v>1957.5</v>
      </c>
      <c r="AV122" s="256">
        <f t="shared" si="197"/>
        <v>1957.5</v>
      </c>
      <c r="AW122" s="256">
        <f t="shared" si="197"/>
        <v>1957.5</v>
      </c>
      <c r="AX122" s="256">
        <f t="shared" si="197"/>
        <v>1957.5</v>
      </c>
      <c r="AY122" s="256">
        <f t="shared" si="197"/>
        <v>1957.5</v>
      </c>
      <c r="BG122" s="4">
        <v>116</v>
      </c>
      <c r="BH122"/>
      <c r="BI122"/>
      <c r="BJ122"/>
      <c r="BK122"/>
      <c r="BL122"/>
      <c r="BM122"/>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c r="HF122" s="3"/>
      <c r="HG122" s="3"/>
      <c r="HH122" s="3"/>
      <c r="HI122" s="3"/>
      <c r="HJ122" s="3"/>
      <c r="HK122" s="3"/>
      <c r="HL122" s="3"/>
      <c r="HM122" s="3"/>
      <c r="HN122" s="3"/>
      <c r="HO122" s="3"/>
      <c r="HP122" s="3"/>
      <c r="HQ122" s="3"/>
      <c r="HR122" s="3"/>
      <c r="HS122" s="3"/>
      <c r="HT122" s="3"/>
      <c r="HU122" s="3"/>
      <c r="HV122" s="3"/>
      <c r="HW122" s="3"/>
      <c r="HX122" s="3"/>
      <c r="HY122" s="3"/>
      <c r="HZ122" s="3"/>
      <c r="IA122" s="3"/>
      <c r="IB122" s="3"/>
      <c r="IC122" s="3"/>
      <c r="ID122" s="3"/>
      <c r="IE122" s="3"/>
      <c r="IF122" s="3"/>
      <c r="IG122" s="3"/>
      <c r="IH122" s="3"/>
      <c r="II122" s="3"/>
      <c r="IJ122" s="3"/>
      <c r="IK122" s="3"/>
      <c r="IL122" s="3"/>
      <c r="IM122" s="3"/>
      <c r="IN122" s="3"/>
      <c r="IO122" s="3"/>
      <c r="IP122" s="3"/>
      <c r="IQ122" s="3"/>
      <c r="IR122" s="3"/>
      <c r="IS122" s="3"/>
      <c r="IT122" s="3"/>
      <c r="IU122" s="3"/>
      <c r="IV122" s="3"/>
      <c r="IW122" s="3"/>
    </row>
    <row r="123" spans="1:257" s="229" customFormat="1" ht="12.75" customHeight="1" outlineLevel="2">
      <c r="A123" s="248"/>
      <c r="B123" s="247" t="s">
        <v>270</v>
      </c>
      <c r="C123" s="246"/>
      <c r="D123" s="246"/>
      <c r="E123" s="246"/>
      <c r="F123" s="245"/>
      <c r="G123" s="245"/>
      <c r="H123" s="212">
        <f t="shared" si="196"/>
        <v>977.02734100000009</v>
      </c>
      <c r="I123" s="212">
        <f t="shared" si="196"/>
        <v>1677.6048999999998</v>
      </c>
      <c r="J123" s="212">
        <f t="shared" si="196"/>
        <v>1957.7757800000002</v>
      </c>
      <c r="K123" s="212">
        <f t="shared" si="196"/>
        <v>2894.3408275000002</v>
      </c>
      <c r="L123" s="212">
        <f t="shared" si="196"/>
        <v>4123.8748954071143</v>
      </c>
      <c r="M123" s="212">
        <f t="shared" si="196"/>
        <v>5600</v>
      </c>
      <c r="N123" s="212">
        <f t="shared" si="196"/>
        <v>5600</v>
      </c>
      <c r="O123" s="243"/>
      <c r="P123" s="5"/>
      <c r="Q123" s="5"/>
      <c r="R123" s="5"/>
      <c r="S123" s="5"/>
      <c r="T123" s="5"/>
      <c r="U123" s="5"/>
      <c r="V123" s="254"/>
      <c r="W123" s="254"/>
      <c r="X123" s="256">
        <f t="shared" ref="X123:AY123" si="199">+X88-X122-X124</f>
        <v>252.20132599999977</v>
      </c>
      <c r="Y123" s="256">
        <f t="shared" si="199"/>
        <v>250.65976500000011</v>
      </c>
      <c r="Z123" s="256">
        <f t="shared" si="199"/>
        <v>246.82640000000015</v>
      </c>
      <c r="AA123" s="256">
        <f t="shared" si="199"/>
        <v>227.33985000000007</v>
      </c>
      <c r="AB123" s="256">
        <f t="shared" si="199"/>
        <v>267.73451999999997</v>
      </c>
      <c r="AC123" s="256">
        <f t="shared" si="199"/>
        <v>388.41683999999998</v>
      </c>
      <c r="AD123" s="256">
        <f t="shared" si="199"/>
        <v>556.44540000000006</v>
      </c>
      <c r="AE123" s="256">
        <f t="shared" si="199"/>
        <v>465.00814000000003</v>
      </c>
      <c r="AF123" s="256">
        <f t="shared" si="199"/>
        <v>518.82367999999997</v>
      </c>
      <c r="AG123" s="256">
        <f t="shared" si="199"/>
        <v>451.46605</v>
      </c>
      <c r="AH123" s="256">
        <f t="shared" si="199"/>
        <v>526.29930000000024</v>
      </c>
      <c r="AI123" s="256">
        <f t="shared" si="199"/>
        <v>461.18675000000007</v>
      </c>
      <c r="AJ123" s="256">
        <f t="shared" si="199"/>
        <v>624.69930000000022</v>
      </c>
      <c r="AK123" s="256">
        <f t="shared" si="199"/>
        <v>776.06669999999986</v>
      </c>
      <c r="AL123" s="256">
        <f t="shared" si="199"/>
        <v>799.2723275000003</v>
      </c>
      <c r="AM123" s="256">
        <f t="shared" ref="AM123" si="200">+AM88-AM122-AM124</f>
        <v>694.30249999999978</v>
      </c>
      <c r="AN123" s="256">
        <f t="shared" si="199"/>
        <v>656.48209287926147</v>
      </c>
      <c r="AO123" s="256">
        <f t="shared" si="199"/>
        <v>717.39280252785284</v>
      </c>
      <c r="AP123" s="256">
        <f t="shared" si="199"/>
        <v>1350</v>
      </c>
      <c r="AQ123" s="256">
        <f t="shared" si="199"/>
        <v>1400</v>
      </c>
      <c r="AR123" s="256">
        <f t="shared" si="199"/>
        <v>1400</v>
      </c>
      <c r="AS123" s="256">
        <f t="shared" si="199"/>
        <v>1400</v>
      </c>
      <c r="AT123" s="256">
        <f t="shared" si="199"/>
        <v>1400</v>
      </c>
      <c r="AU123" s="256">
        <f t="shared" si="199"/>
        <v>1400</v>
      </c>
      <c r="AV123" s="256">
        <f t="shared" si="199"/>
        <v>1400</v>
      </c>
      <c r="AW123" s="256">
        <f t="shared" si="199"/>
        <v>1400</v>
      </c>
      <c r="AX123" s="256">
        <f t="shared" si="199"/>
        <v>1400</v>
      </c>
      <c r="AY123" s="256">
        <f t="shared" si="199"/>
        <v>1400</v>
      </c>
      <c r="BG123" s="4">
        <v>117</v>
      </c>
      <c r="BH123"/>
      <c r="BI123"/>
      <c r="BJ123"/>
      <c r="BK123"/>
      <c r="BL123"/>
      <c r="BM12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c r="HF123" s="3"/>
      <c r="HG123" s="3"/>
      <c r="HH123" s="3"/>
      <c r="HI123" s="3"/>
      <c r="HJ123" s="3"/>
      <c r="HK123" s="3"/>
      <c r="HL123" s="3"/>
      <c r="HM123" s="3"/>
      <c r="HN123" s="3"/>
      <c r="HO123" s="3"/>
      <c r="HP123" s="3"/>
      <c r="HQ123" s="3"/>
      <c r="HR123" s="3"/>
      <c r="HS123" s="3"/>
      <c r="HT123" s="3"/>
      <c r="HU123" s="3"/>
      <c r="HV123" s="3"/>
      <c r="HW123" s="3"/>
      <c r="HX123" s="3"/>
      <c r="HY123" s="3"/>
      <c r="HZ123" s="3"/>
      <c r="IA123" s="3"/>
      <c r="IB123" s="3"/>
      <c r="IC123" s="3"/>
      <c r="ID123" s="3"/>
      <c r="IE123" s="3"/>
      <c r="IF123" s="3"/>
      <c r="IG123" s="3"/>
      <c r="IH123" s="3"/>
      <c r="II123" s="3"/>
      <c r="IJ123" s="3"/>
      <c r="IK123" s="3"/>
      <c r="IL123" s="3"/>
      <c r="IM123" s="3"/>
      <c r="IN123" s="3"/>
      <c r="IO123" s="3"/>
      <c r="IP123" s="3"/>
      <c r="IQ123" s="3"/>
      <c r="IR123" s="3"/>
      <c r="IS123" s="3"/>
      <c r="IT123" s="3"/>
      <c r="IU123" s="3"/>
      <c r="IV123" s="3"/>
      <c r="IW123" s="3"/>
    </row>
    <row r="124" spans="1:257" s="229" customFormat="1" ht="12.75" customHeight="1" outlineLevel="2">
      <c r="A124" s="248"/>
      <c r="B124" s="247" t="s">
        <v>269</v>
      </c>
      <c r="C124" s="246"/>
      <c r="D124" s="246"/>
      <c r="E124" s="246"/>
      <c r="F124" s="245"/>
      <c r="G124" s="245"/>
      <c r="H124" s="212">
        <f t="shared" si="196"/>
        <v>4059.7975390000001</v>
      </c>
      <c r="I124" s="212">
        <f t="shared" si="196"/>
        <v>2959.6970999999999</v>
      </c>
      <c r="J124" s="212">
        <f t="shared" si="196"/>
        <v>3374.1662199999996</v>
      </c>
      <c r="K124" s="212">
        <f t="shared" si="196"/>
        <v>5543.9941724999999</v>
      </c>
      <c r="L124" s="212">
        <f t="shared" si="196"/>
        <v>9908.6251045928857</v>
      </c>
      <c r="M124" s="212">
        <f t="shared" si="196"/>
        <v>14570</v>
      </c>
      <c r="N124" s="212">
        <f t="shared" si="196"/>
        <v>14570</v>
      </c>
      <c r="O124" s="243"/>
      <c r="P124" s="5"/>
      <c r="Q124" s="5"/>
      <c r="R124" s="5"/>
      <c r="S124" s="5"/>
      <c r="T124" s="5"/>
      <c r="U124" s="5"/>
      <c r="V124" s="254"/>
      <c r="W124" s="254"/>
      <c r="X124" s="256">
        <f t="shared" ref="X124:AY124" si="201">+X112-X108</f>
        <v>1008.8053040000001</v>
      </c>
      <c r="Y124" s="256">
        <f t="shared" si="201"/>
        <v>916.89448500000026</v>
      </c>
      <c r="Z124" s="256">
        <f t="shared" si="201"/>
        <v>1070.8385999999998</v>
      </c>
      <c r="AA124" s="256">
        <f t="shared" si="201"/>
        <v>1063.2591499999999</v>
      </c>
      <c r="AB124" s="256">
        <f t="shared" si="201"/>
        <v>1007.17948</v>
      </c>
      <c r="AC124" s="256">
        <f t="shared" si="201"/>
        <v>798.78616</v>
      </c>
      <c r="AD124" s="256">
        <f t="shared" si="201"/>
        <v>552.98260000000005</v>
      </c>
      <c r="AE124" s="256">
        <f t="shared" si="201"/>
        <v>600.74886000000004</v>
      </c>
      <c r="AF124" s="256">
        <f t="shared" si="201"/>
        <v>719.42432000000008</v>
      </c>
      <c r="AG124" s="256">
        <f t="shared" si="201"/>
        <v>616.11095</v>
      </c>
      <c r="AH124" s="256">
        <f t="shared" si="201"/>
        <v>956.49969999999973</v>
      </c>
      <c r="AI124" s="256">
        <f t="shared" si="201"/>
        <v>1082.1312499999999</v>
      </c>
      <c r="AJ124" s="256">
        <f t="shared" si="201"/>
        <v>1071.1336999999999</v>
      </c>
      <c r="AK124" s="256">
        <f t="shared" si="201"/>
        <v>1392.5803000000001</v>
      </c>
      <c r="AL124" s="256">
        <f t="shared" si="201"/>
        <v>1479.8766724999996</v>
      </c>
      <c r="AM124" s="256">
        <f t="shared" ref="AM124" si="202">+AM112-AM108</f>
        <v>1600.4035000000003</v>
      </c>
      <c r="AN124" s="256">
        <f t="shared" si="201"/>
        <v>1498.5179071207385</v>
      </c>
      <c r="AO124" s="256">
        <f t="shared" si="201"/>
        <v>1325.1071974721472</v>
      </c>
      <c r="AP124" s="256">
        <f t="shared" si="201"/>
        <v>3442.5</v>
      </c>
      <c r="AQ124" s="256">
        <f t="shared" si="201"/>
        <v>3642.5</v>
      </c>
      <c r="AR124" s="256">
        <f t="shared" si="201"/>
        <v>3642.5</v>
      </c>
      <c r="AS124" s="256">
        <f t="shared" si="201"/>
        <v>3642.5</v>
      </c>
      <c r="AT124" s="256">
        <f t="shared" si="201"/>
        <v>3642.5</v>
      </c>
      <c r="AU124" s="256">
        <f t="shared" si="201"/>
        <v>3642.5</v>
      </c>
      <c r="AV124" s="256">
        <f t="shared" si="201"/>
        <v>3642.5</v>
      </c>
      <c r="AW124" s="256">
        <f t="shared" si="201"/>
        <v>3642.5</v>
      </c>
      <c r="AX124" s="256">
        <f t="shared" si="201"/>
        <v>3642.5</v>
      </c>
      <c r="AY124" s="256">
        <f t="shared" si="201"/>
        <v>3642.5</v>
      </c>
      <c r="BG124" s="4">
        <v>118</v>
      </c>
      <c r="BH124"/>
      <c r="BI124"/>
      <c r="BJ124"/>
      <c r="BK124"/>
      <c r="BL124"/>
      <c r="BM124"/>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c r="HF124" s="3"/>
      <c r="HG124" s="3"/>
      <c r="HH124" s="3"/>
      <c r="HI124" s="3"/>
      <c r="HJ124" s="3"/>
      <c r="HK124" s="3"/>
      <c r="HL124" s="3"/>
      <c r="HM124" s="3"/>
      <c r="HN124" s="3"/>
      <c r="HO124" s="3"/>
      <c r="HP124" s="3"/>
      <c r="HQ124" s="3"/>
      <c r="HR124" s="3"/>
      <c r="HS124" s="3"/>
      <c r="HT124" s="3"/>
      <c r="HU124" s="3"/>
      <c r="HV124" s="3"/>
      <c r="HW124" s="3"/>
      <c r="HX124" s="3"/>
      <c r="HY124" s="3"/>
      <c r="HZ124" s="3"/>
      <c r="IA124" s="3"/>
      <c r="IB124" s="3"/>
      <c r="IC124" s="3"/>
      <c r="ID124" s="3"/>
      <c r="IE124" s="3"/>
      <c r="IF124" s="3"/>
      <c r="IG124" s="3"/>
      <c r="IH124" s="3"/>
      <c r="II124" s="3"/>
      <c r="IJ124" s="3"/>
      <c r="IK124" s="3"/>
      <c r="IL124" s="3"/>
      <c r="IM124" s="3"/>
      <c r="IN124" s="3"/>
      <c r="IO124" s="3"/>
      <c r="IP124" s="3"/>
      <c r="IQ124" s="3"/>
      <c r="IR124" s="3"/>
      <c r="IS124" s="3"/>
      <c r="IT124" s="3"/>
      <c r="IU124" s="3"/>
      <c r="IV124" s="3"/>
      <c r="IW124" s="3"/>
    </row>
    <row r="125" spans="1:257" s="229" customFormat="1" ht="12.75" customHeight="1" outlineLevel="2">
      <c r="A125" s="248"/>
      <c r="B125" s="247" t="s">
        <v>273</v>
      </c>
      <c r="C125" s="246"/>
      <c r="D125" s="246"/>
      <c r="E125" s="246"/>
      <c r="F125" s="245"/>
      <c r="G125" s="245"/>
      <c r="H125" s="212">
        <f t="shared" si="196"/>
        <v>5711.8248800000001</v>
      </c>
      <c r="I125" s="212">
        <f t="shared" si="196"/>
        <v>5437.3019999999997</v>
      </c>
      <c r="J125" s="212">
        <f t="shared" si="196"/>
        <v>6044.442</v>
      </c>
      <c r="K125" s="212">
        <f t="shared" si="196"/>
        <v>9495.8349999999991</v>
      </c>
      <c r="L125" s="212">
        <f t="shared" si="196"/>
        <v>18825</v>
      </c>
      <c r="M125" s="212">
        <f t="shared" si="196"/>
        <v>28000</v>
      </c>
      <c r="N125" s="212">
        <f t="shared" si="196"/>
        <v>28000</v>
      </c>
      <c r="O125" s="243"/>
      <c r="P125" s="5"/>
      <c r="Q125" s="5"/>
      <c r="R125" s="5"/>
      <c r="S125" s="5"/>
      <c r="T125" s="5"/>
      <c r="U125" s="5"/>
      <c r="V125" s="254"/>
      <c r="W125" s="254"/>
      <c r="X125" s="256">
        <f t="shared" ref="X125:AY125" si="203">SUM(X122:X124)</f>
        <v>1261.0066299999999</v>
      </c>
      <c r="Y125" s="256">
        <f t="shared" si="203"/>
        <v>1392.5542500000004</v>
      </c>
      <c r="Z125" s="256">
        <f t="shared" si="203"/>
        <v>1542.665</v>
      </c>
      <c r="AA125" s="256">
        <f t="shared" si="203"/>
        <v>1515.5989999999999</v>
      </c>
      <c r="AB125" s="256">
        <f t="shared" si="203"/>
        <v>1487.414</v>
      </c>
      <c r="AC125" s="256">
        <f t="shared" si="203"/>
        <v>1387.203</v>
      </c>
      <c r="AD125" s="256">
        <f t="shared" si="203"/>
        <v>1309.4280000000001</v>
      </c>
      <c r="AE125" s="256">
        <f t="shared" si="203"/>
        <v>1253.2570000000001</v>
      </c>
      <c r="AF125" s="256">
        <f t="shared" si="203"/>
        <v>1413.248</v>
      </c>
      <c r="AG125" s="256">
        <f t="shared" si="203"/>
        <v>1230.077</v>
      </c>
      <c r="AH125" s="256">
        <f t="shared" si="203"/>
        <v>1657.799</v>
      </c>
      <c r="AI125" s="256">
        <f t="shared" si="203"/>
        <v>1743.318</v>
      </c>
      <c r="AJ125" s="256">
        <f t="shared" si="203"/>
        <v>1920.8330000000001</v>
      </c>
      <c r="AK125" s="256">
        <f t="shared" si="203"/>
        <v>2393.6469999999999</v>
      </c>
      <c r="AL125" s="256">
        <f t="shared" si="203"/>
        <v>2616.6489999999999</v>
      </c>
      <c r="AM125" s="256">
        <f t="shared" ref="AM125" si="204">SUM(AM122:AM124)</f>
        <v>2564.7060000000001</v>
      </c>
      <c r="AN125" s="256">
        <f t="shared" si="203"/>
        <v>2425</v>
      </c>
      <c r="AO125" s="256">
        <f t="shared" si="203"/>
        <v>2650</v>
      </c>
      <c r="AP125" s="256">
        <f t="shared" si="203"/>
        <v>6750</v>
      </c>
      <c r="AQ125" s="256">
        <f t="shared" si="203"/>
        <v>7000</v>
      </c>
      <c r="AR125" s="256">
        <f t="shared" si="203"/>
        <v>7000</v>
      </c>
      <c r="AS125" s="256">
        <f t="shared" si="203"/>
        <v>7000</v>
      </c>
      <c r="AT125" s="256">
        <f t="shared" si="203"/>
        <v>7000</v>
      </c>
      <c r="AU125" s="256">
        <f t="shared" si="203"/>
        <v>7000</v>
      </c>
      <c r="AV125" s="256">
        <f t="shared" si="203"/>
        <v>7000</v>
      </c>
      <c r="AW125" s="256">
        <f t="shared" si="203"/>
        <v>7000</v>
      </c>
      <c r="AX125" s="256">
        <f t="shared" si="203"/>
        <v>7000</v>
      </c>
      <c r="AY125" s="256">
        <f t="shared" si="203"/>
        <v>7000</v>
      </c>
      <c r="BG125" s="4">
        <v>119</v>
      </c>
      <c r="BH125"/>
      <c r="BI125"/>
      <c r="BJ125"/>
      <c r="BK125"/>
      <c r="BL125"/>
      <c r="BM125"/>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c r="HF125" s="3"/>
      <c r="HG125" s="3"/>
      <c r="HH125" s="3"/>
      <c r="HI125" s="3"/>
      <c r="HJ125" s="3"/>
      <c r="HK125" s="3"/>
      <c r="HL125" s="3"/>
      <c r="HM125" s="3"/>
      <c r="HN125" s="3"/>
      <c r="HO125" s="3"/>
      <c r="HP125" s="3"/>
      <c r="HQ125" s="3"/>
      <c r="HR125" s="3"/>
      <c r="HS125" s="3"/>
      <c r="HT125" s="3"/>
      <c r="HU125" s="3"/>
      <c r="HV125" s="3"/>
      <c r="HW125" s="3"/>
      <c r="HX125" s="3"/>
      <c r="HY125" s="3"/>
      <c r="HZ125" s="3"/>
      <c r="IA125" s="3"/>
      <c r="IB125" s="3"/>
      <c r="IC125" s="3"/>
      <c r="ID125" s="3"/>
      <c r="IE125" s="3"/>
      <c r="IF125" s="3"/>
      <c r="IG125" s="3"/>
      <c r="IH125" s="3"/>
      <c r="II125" s="3"/>
      <c r="IJ125" s="3"/>
      <c r="IK125" s="3"/>
      <c r="IL125" s="3"/>
      <c r="IM125" s="3"/>
      <c r="IN125" s="3"/>
      <c r="IO125" s="3"/>
      <c r="IP125" s="3"/>
      <c r="IQ125" s="3"/>
      <c r="IR125" s="3"/>
      <c r="IS125" s="3"/>
      <c r="IT125" s="3"/>
      <c r="IU125" s="3"/>
      <c r="IV125" s="3"/>
      <c r="IW125" s="3"/>
    </row>
    <row r="126" spans="1:257" s="229" customFormat="1" ht="12.75" customHeight="1" outlineLevel="2">
      <c r="A126" s="248"/>
      <c r="B126" s="247"/>
      <c r="C126" s="246"/>
      <c r="D126" s="246"/>
      <c r="E126" s="246"/>
      <c r="F126" s="245"/>
      <c r="G126" s="245"/>
      <c r="H126" s="244"/>
      <c r="I126" s="244"/>
      <c r="J126" s="244"/>
      <c r="K126" s="244"/>
      <c r="L126" s="244"/>
      <c r="M126" s="244"/>
      <c r="N126" s="244"/>
      <c r="O126" s="243"/>
      <c r="P126" s="5"/>
      <c r="Q126" s="5"/>
      <c r="R126" s="5"/>
      <c r="S126" s="5"/>
      <c r="T126" s="5"/>
      <c r="U126" s="5"/>
      <c r="V126" s="254"/>
      <c r="W126" s="254"/>
      <c r="X126" s="256"/>
      <c r="Y126" s="256"/>
      <c r="Z126" s="256"/>
      <c r="AA126" s="256"/>
      <c r="AB126" s="256"/>
      <c r="AC126" s="256"/>
      <c r="AD126" s="256"/>
      <c r="AE126" s="256"/>
      <c r="AF126" s="256"/>
      <c r="AG126" s="256"/>
      <c r="AH126" s="256"/>
      <c r="AI126" s="256"/>
      <c r="AJ126" s="256"/>
      <c r="AK126" s="256"/>
      <c r="AL126" s="256"/>
      <c r="AM126" s="256"/>
      <c r="AN126" s="256"/>
      <c r="AO126" s="256"/>
      <c r="AP126" s="256"/>
      <c r="AQ126" s="256"/>
      <c r="AR126" s="256"/>
      <c r="AS126" s="256"/>
      <c r="AT126" s="256"/>
      <c r="AU126" s="256"/>
      <c r="AV126" s="256"/>
      <c r="AW126" s="256"/>
      <c r="AX126" s="256"/>
      <c r="AY126" s="256"/>
      <c r="BG126" s="4">
        <v>120</v>
      </c>
      <c r="BH126"/>
      <c r="BI126"/>
      <c r="BJ126"/>
      <c r="BK126"/>
      <c r="BL126"/>
      <c r="BM126"/>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c r="HF126" s="3"/>
      <c r="HG126" s="3"/>
      <c r="HH126" s="3"/>
      <c r="HI126" s="3"/>
      <c r="HJ126" s="3"/>
      <c r="HK126" s="3"/>
      <c r="HL126" s="3"/>
      <c r="HM126" s="3"/>
      <c r="HN126" s="3"/>
      <c r="HO126" s="3"/>
      <c r="HP126" s="3"/>
      <c r="HQ126" s="3"/>
      <c r="HR126" s="3"/>
      <c r="HS126" s="3"/>
      <c r="HT126" s="3"/>
      <c r="HU126" s="3"/>
      <c r="HV126" s="3"/>
      <c r="HW126" s="3"/>
      <c r="HX126" s="3"/>
      <c r="HY126" s="3"/>
      <c r="HZ126" s="3"/>
      <c r="IA126" s="3"/>
      <c r="IB126" s="3"/>
      <c r="IC126" s="3"/>
      <c r="ID126" s="3"/>
      <c r="IE126" s="3"/>
      <c r="IF126" s="3"/>
      <c r="IG126" s="3"/>
      <c r="IH126" s="3"/>
      <c r="II126" s="3"/>
      <c r="IJ126" s="3"/>
      <c r="IK126" s="3"/>
      <c r="IL126" s="3"/>
      <c r="IM126" s="3"/>
      <c r="IN126" s="3"/>
      <c r="IO126" s="3"/>
      <c r="IP126" s="3"/>
      <c r="IQ126" s="3"/>
      <c r="IR126" s="3"/>
      <c r="IS126" s="3"/>
      <c r="IT126" s="3"/>
      <c r="IU126" s="3"/>
      <c r="IV126" s="3"/>
      <c r="IW126" s="3"/>
    </row>
    <row r="127" spans="1:257" s="229" customFormat="1" ht="12.75" customHeight="1" outlineLevel="2">
      <c r="A127" s="248"/>
      <c r="B127" s="247" t="s">
        <v>272</v>
      </c>
      <c r="C127" s="246"/>
      <c r="D127" s="246"/>
      <c r="E127" s="246"/>
      <c r="F127" s="245"/>
      <c r="G127" s="245"/>
      <c r="H127" s="244"/>
      <c r="I127" s="244"/>
      <c r="J127" s="244"/>
      <c r="K127" s="244"/>
      <c r="L127" s="244"/>
      <c r="M127" s="244"/>
      <c r="N127" s="244"/>
      <c r="O127" s="243"/>
      <c r="P127" s="5"/>
      <c r="Q127" s="5"/>
      <c r="R127" s="5"/>
      <c r="S127" s="5"/>
      <c r="T127" s="5"/>
      <c r="U127" s="5"/>
      <c r="V127" s="254"/>
      <c r="W127" s="254"/>
      <c r="X127" s="256"/>
      <c r="Y127" s="256"/>
      <c r="Z127" s="256"/>
      <c r="AA127" s="256"/>
      <c r="AB127" s="256"/>
      <c r="AC127" s="256"/>
      <c r="AD127" s="256"/>
      <c r="AE127" s="256"/>
      <c r="AF127" s="256"/>
      <c r="AG127" s="256"/>
      <c r="AH127" s="256"/>
      <c r="AI127" s="256"/>
      <c r="AJ127" s="256"/>
      <c r="AK127" s="256"/>
      <c r="AL127" s="256"/>
      <c r="AM127" s="256"/>
      <c r="AN127" s="256"/>
      <c r="AO127" s="256"/>
      <c r="AP127" s="256"/>
      <c r="AQ127" s="256"/>
      <c r="AR127" s="256"/>
      <c r="AS127" s="256"/>
      <c r="AT127" s="256"/>
      <c r="AU127" s="256"/>
      <c r="AV127" s="256"/>
      <c r="AW127" s="256"/>
      <c r="AX127" s="256"/>
      <c r="AY127" s="256"/>
      <c r="BG127" s="4">
        <v>121</v>
      </c>
      <c r="BH127"/>
      <c r="BI127"/>
      <c r="BJ127"/>
      <c r="BK127"/>
      <c r="BL127"/>
      <c r="BM127"/>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c r="HF127" s="3"/>
      <c r="HG127" s="3"/>
      <c r="HH127" s="3"/>
      <c r="HI127" s="3"/>
      <c r="HJ127" s="3"/>
      <c r="HK127" s="3"/>
      <c r="HL127" s="3"/>
      <c r="HM127" s="3"/>
      <c r="HN127" s="3"/>
      <c r="HO127" s="3"/>
      <c r="HP127" s="3"/>
      <c r="HQ127" s="3"/>
      <c r="HR127" s="3"/>
      <c r="HS127" s="3"/>
      <c r="HT127" s="3"/>
      <c r="HU127" s="3"/>
      <c r="HV127" s="3"/>
      <c r="HW127" s="3"/>
      <c r="HX127" s="3"/>
      <c r="HY127" s="3"/>
      <c r="HZ127" s="3"/>
      <c r="IA127" s="3"/>
      <c r="IB127" s="3"/>
      <c r="IC127" s="3"/>
      <c r="ID127" s="3"/>
      <c r="IE127" s="3"/>
      <c r="IF127" s="3"/>
      <c r="IG127" s="3"/>
      <c r="IH127" s="3"/>
      <c r="II127" s="3"/>
      <c r="IJ127" s="3"/>
      <c r="IK127" s="3"/>
      <c r="IL127" s="3"/>
      <c r="IM127" s="3"/>
      <c r="IN127" s="3"/>
      <c r="IO127" s="3"/>
      <c r="IP127" s="3"/>
      <c r="IQ127" s="3"/>
      <c r="IR127" s="3"/>
      <c r="IS127" s="3"/>
      <c r="IT127" s="3"/>
      <c r="IU127" s="3"/>
      <c r="IV127" s="3"/>
      <c r="IW127" s="3"/>
    </row>
    <row r="128" spans="1:257" s="229" customFormat="1" ht="12.75" customHeight="1" outlineLevel="2">
      <c r="A128" s="248"/>
      <c r="B128" s="247" t="s">
        <v>271</v>
      </c>
      <c r="C128" s="246"/>
      <c r="D128" s="246"/>
      <c r="E128" s="246"/>
      <c r="F128" s="245"/>
      <c r="G128" s="245"/>
      <c r="H128" s="244"/>
      <c r="I128" s="244"/>
      <c r="J128" s="244"/>
      <c r="K128" s="244"/>
      <c r="L128" s="244"/>
      <c r="M128" s="244"/>
      <c r="N128" s="244"/>
      <c r="O128" s="243"/>
      <c r="P128" s="5"/>
      <c r="Q128" s="5"/>
      <c r="R128" s="5"/>
      <c r="S128" s="5"/>
      <c r="T128" s="5"/>
      <c r="U128" s="5"/>
      <c r="V128" s="254"/>
      <c r="W128" s="254"/>
      <c r="X128" s="256"/>
      <c r="Y128" s="256">
        <f t="shared" ref="Y128:AY128" si="205">+Y117-Y134</f>
        <v>48.243480000000034</v>
      </c>
      <c r="Z128" s="256">
        <f t="shared" si="205"/>
        <v>38.718555555555582</v>
      </c>
      <c r="AA128" s="256">
        <f t="shared" si="205"/>
        <v>35.952024444444476</v>
      </c>
      <c r="AB128" s="256">
        <f t="shared" si="205"/>
        <v>27.352407999999976</v>
      </c>
      <c r="AC128" s="256">
        <f t="shared" si="205"/>
        <v>30.748917602500008</v>
      </c>
      <c r="AD128" s="256">
        <f t="shared" si="205"/>
        <v>58.305464166799979</v>
      </c>
      <c r="AE128" s="256">
        <f t="shared" si="205"/>
        <v>27.439869794022371</v>
      </c>
      <c r="AF128" s="256">
        <f t="shared" si="205"/>
        <v>25.646822814807692</v>
      </c>
      <c r="AG128" s="256">
        <f t="shared" si="205"/>
        <v>21.542831041437545</v>
      </c>
      <c r="AH128" s="256">
        <f t="shared" si="205"/>
        <v>-3.7634846029386555</v>
      </c>
      <c r="AI128" s="256">
        <f t="shared" si="205"/>
        <v>6.5397724999999944</v>
      </c>
      <c r="AJ128" s="256">
        <f t="shared" si="205"/>
        <v>16.560167111111159</v>
      </c>
      <c r="AK128" s="256">
        <f t="shared" si="205"/>
        <v>20.950583999999893</v>
      </c>
      <c r="AL128" s="256">
        <f t="shared" si="205"/>
        <v>30.333428237037111</v>
      </c>
      <c r="AM128" s="256">
        <f t="shared" ref="AM128" si="206">+AM117-AM134</f>
        <v>22.73820740740738</v>
      </c>
      <c r="AN128" s="256">
        <f t="shared" si="205"/>
        <v>25.23820740740738</v>
      </c>
      <c r="AO128" s="256">
        <f t="shared" si="205"/>
        <v>27.23820740740738</v>
      </c>
      <c r="AP128" s="256">
        <f t="shared" si="205"/>
        <v>26.23820740740738</v>
      </c>
      <c r="AQ128" s="256">
        <f t="shared" si="205"/>
        <v>23.23820740740738</v>
      </c>
      <c r="AR128" s="256">
        <f t="shared" si="205"/>
        <v>18.23820740740738</v>
      </c>
      <c r="AS128" s="256">
        <f t="shared" si="205"/>
        <v>13.23820740740738</v>
      </c>
      <c r="AT128" s="256">
        <f t="shared" si="205"/>
        <v>13.23820740740738</v>
      </c>
      <c r="AU128" s="256">
        <f t="shared" si="205"/>
        <v>13.23820740740738</v>
      </c>
      <c r="AV128" s="256">
        <f t="shared" si="205"/>
        <v>13.23820740740738</v>
      </c>
      <c r="AW128" s="256">
        <f t="shared" si="205"/>
        <v>13.23820740740738</v>
      </c>
      <c r="AX128" s="256">
        <f t="shared" si="205"/>
        <v>13.23820740740738</v>
      </c>
      <c r="AY128" s="256">
        <f t="shared" si="205"/>
        <v>13.23820740740738</v>
      </c>
      <c r="BG128" s="4">
        <v>122</v>
      </c>
      <c r="BH128"/>
      <c r="BI128"/>
      <c r="BJ128"/>
      <c r="BK128"/>
      <c r="BL128"/>
      <c r="BM128"/>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c r="HF128" s="3"/>
      <c r="HG128" s="3"/>
      <c r="HH128" s="3"/>
      <c r="HI128" s="3"/>
      <c r="HJ128" s="3"/>
      <c r="HK128" s="3"/>
      <c r="HL128" s="3"/>
      <c r="HM128" s="3"/>
      <c r="HN128" s="3"/>
      <c r="HO128" s="3"/>
      <c r="HP128" s="3"/>
      <c r="HQ128" s="3"/>
      <c r="HR128" s="3"/>
      <c r="HS128" s="3"/>
      <c r="HT128" s="3"/>
      <c r="HU128" s="3"/>
      <c r="HV128" s="3"/>
      <c r="HW128" s="3"/>
      <c r="HX128" s="3"/>
      <c r="HY128" s="3"/>
      <c r="HZ128" s="3"/>
      <c r="IA128" s="3"/>
      <c r="IB128" s="3"/>
      <c r="IC128" s="3"/>
      <c r="ID128" s="3"/>
      <c r="IE128" s="3"/>
      <c r="IF128" s="3"/>
      <c r="IG128" s="3"/>
      <c r="IH128" s="3"/>
      <c r="II128" s="3"/>
      <c r="IJ128" s="3"/>
      <c r="IK128" s="3"/>
      <c r="IL128" s="3"/>
      <c r="IM128" s="3"/>
      <c r="IN128" s="3"/>
      <c r="IO128" s="3"/>
      <c r="IP128" s="3"/>
      <c r="IQ128" s="3"/>
      <c r="IR128" s="3"/>
      <c r="IS128" s="3"/>
      <c r="IT128" s="3"/>
      <c r="IU128" s="3"/>
      <c r="IV128" s="3"/>
      <c r="IW128" s="3"/>
    </row>
    <row r="129" spans="1:257" s="229" customFormat="1" ht="12.75" customHeight="1" outlineLevel="2">
      <c r="A129" s="248"/>
      <c r="B129" s="247" t="s">
        <v>270</v>
      </c>
      <c r="C129" s="246"/>
      <c r="D129" s="246"/>
      <c r="E129" s="246"/>
      <c r="F129" s="245"/>
      <c r="G129" s="245"/>
      <c r="H129" s="244"/>
      <c r="I129" s="244"/>
      <c r="J129" s="244"/>
      <c r="K129" s="244"/>
      <c r="L129" s="244"/>
      <c r="M129" s="244"/>
      <c r="N129" s="244"/>
      <c r="O129" s="243"/>
      <c r="P129" s="5"/>
      <c r="Q129" s="5"/>
      <c r="R129" s="5"/>
      <c r="S129" s="5"/>
      <c r="T129" s="5"/>
      <c r="U129" s="5"/>
      <c r="V129" s="254"/>
      <c r="W129" s="254"/>
      <c r="X129" s="256"/>
      <c r="Y129" s="256">
        <f t="shared" ref="Y129:AY129" si="207">+Y118-Y134</f>
        <v>23</v>
      </c>
      <c r="Z129" s="256">
        <f t="shared" si="207"/>
        <v>23</v>
      </c>
      <c r="AA129" s="256">
        <f t="shared" si="207"/>
        <v>23</v>
      </c>
      <c r="AB129" s="256">
        <f t="shared" si="207"/>
        <v>19</v>
      </c>
      <c r="AC129" s="256">
        <f t="shared" si="207"/>
        <v>17</v>
      </c>
      <c r="AD129" s="256">
        <f t="shared" si="207"/>
        <v>18</v>
      </c>
      <c r="AE129" s="256">
        <f t="shared" si="207"/>
        <v>16</v>
      </c>
      <c r="AF129" s="256">
        <f t="shared" si="207"/>
        <v>14</v>
      </c>
      <c r="AG129" s="256">
        <f t="shared" si="207"/>
        <v>9.5</v>
      </c>
      <c r="AH129" s="256">
        <f t="shared" si="207"/>
        <v>3</v>
      </c>
      <c r="AI129" s="256">
        <f t="shared" si="207"/>
        <v>2.5</v>
      </c>
      <c r="AJ129" s="256">
        <f t="shared" si="207"/>
        <v>8</v>
      </c>
      <c r="AK129" s="256">
        <f t="shared" si="207"/>
        <v>13</v>
      </c>
      <c r="AL129" s="256">
        <f t="shared" si="207"/>
        <v>18</v>
      </c>
      <c r="AM129" s="256">
        <f t="shared" ref="AM129" si="208">+AM118-AM134</f>
        <v>17.5</v>
      </c>
      <c r="AN129" s="256">
        <f t="shared" si="207"/>
        <v>20</v>
      </c>
      <c r="AO129" s="256">
        <f t="shared" si="207"/>
        <v>21</v>
      </c>
      <c r="AP129" s="256">
        <f t="shared" si="207"/>
        <v>23</v>
      </c>
      <c r="AQ129" s="256">
        <f t="shared" si="207"/>
        <v>23.23820740740738</v>
      </c>
      <c r="AR129" s="256">
        <f t="shared" si="207"/>
        <v>18.23820740740738</v>
      </c>
      <c r="AS129" s="256">
        <f t="shared" si="207"/>
        <v>13.23820740740738</v>
      </c>
      <c r="AT129" s="256">
        <f t="shared" si="207"/>
        <v>13.23820740740738</v>
      </c>
      <c r="AU129" s="256">
        <f t="shared" si="207"/>
        <v>13.23820740740738</v>
      </c>
      <c r="AV129" s="256">
        <f t="shared" si="207"/>
        <v>13.23820740740738</v>
      </c>
      <c r="AW129" s="256">
        <f t="shared" si="207"/>
        <v>13.23820740740738</v>
      </c>
      <c r="AX129" s="256">
        <f t="shared" si="207"/>
        <v>13.23820740740738</v>
      </c>
      <c r="AY129" s="256">
        <f t="shared" si="207"/>
        <v>13.23820740740738</v>
      </c>
      <c r="BG129" s="4">
        <v>123</v>
      </c>
      <c r="BH129"/>
      <c r="BI129"/>
      <c r="BJ129"/>
      <c r="BK129"/>
      <c r="BL129"/>
      <c r="BM129"/>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c r="HF129" s="3"/>
      <c r="HG129" s="3"/>
      <c r="HH129" s="3"/>
      <c r="HI129" s="3"/>
      <c r="HJ129" s="3"/>
      <c r="HK129" s="3"/>
      <c r="HL129" s="3"/>
      <c r="HM129" s="3"/>
      <c r="HN129" s="3"/>
      <c r="HO129" s="3"/>
      <c r="HP129" s="3"/>
      <c r="HQ129" s="3"/>
      <c r="HR129" s="3"/>
      <c r="HS129" s="3"/>
      <c r="HT129" s="3"/>
      <c r="HU129" s="3"/>
      <c r="HV129" s="3"/>
      <c r="HW129" s="3"/>
      <c r="HX129" s="3"/>
      <c r="HY129" s="3"/>
      <c r="HZ129" s="3"/>
      <c r="IA129" s="3"/>
      <c r="IB129" s="3"/>
      <c r="IC129" s="3"/>
      <c r="ID129" s="3"/>
      <c r="IE129" s="3"/>
      <c r="IF129" s="3"/>
      <c r="IG129" s="3"/>
      <c r="IH129" s="3"/>
      <c r="II129" s="3"/>
      <c r="IJ129" s="3"/>
      <c r="IK129" s="3"/>
      <c r="IL129" s="3"/>
      <c r="IM129" s="3"/>
      <c r="IN129" s="3"/>
      <c r="IO129" s="3"/>
      <c r="IP129" s="3"/>
      <c r="IQ129" s="3"/>
      <c r="IR129" s="3"/>
      <c r="IS129" s="3"/>
      <c r="IT129" s="3"/>
      <c r="IU129" s="3"/>
      <c r="IV129" s="3"/>
      <c r="IW129" s="3"/>
    </row>
    <row r="130" spans="1:257" s="229" customFormat="1" ht="12.75" customHeight="1" outlineLevel="2">
      <c r="A130" s="248"/>
      <c r="B130" s="247" t="s">
        <v>269</v>
      </c>
      <c r="C130" s="246"/>
      <c r="D130" s="246"/>
      <c r="E130" s="246"/>
      <c r="F130" s="245"/>
      <c r="G130" s="245"/>
      <c r="H130" s="244"/>
      <c r="I130" s="244"/>
      <c r="J130" s="244"/>
      <c r="K130" s="244"/>
      <c r="L130" s="244"/>
      <c r="M130" s="244"/>
      <c r="N130" s="244"/>
      <c r="O130" s="243"/>
      <c r="P130" s="5"/>
      <c r="Q130" s="5"/>
      <c r="R130" s="5"/>
      <c r="S130" s="5"/>
      <c r="T130" s="5"/>
      <c r="U130" s="5"/>
      <c r="V130" s="254"/>
      <c r="W130" s="254"/>
      <c r="X130" s="256"/>
      <c r="Y130" s="256">
        <f t="shared" ref="Y130:AY130" si="209">+Y119-Y113-Y134</f>
        <v>23</v>
      </c>
      <c r="Z130" s="256">
        <f t="shared" si="209"/>
        <v>23</v>
      </c>
      <c r="AA130" s="256">
        <f t="shared" si="209"/>
        <v>23</v>
      </c>
      <c r="AB130" s="256">
        <f t="shared" si="209"/>
        <v>19</v>
      </c>
      <c r="AC130" s="256">
        <f t="shared" si="209"/>
        <v>17</v>
      </c>
      <c r="AD130" s="256">
        <f t="shared" si="209"/>
        <v>18</v>
      </c>
      <c r="AE130" s="256">
        <f t="shared" si="209"/>
        <v>16</v>
      </c>
      <c r="AF130" s="256">
        <f t="shared" si="209"/>
        <v>14</v>
      </c>
      <c r="AG130" s="256">
        <f t="shared" si="209"/>
        <v>9.5</v>
      </c>
      <c r="AH130" s="256">
        <f t="shared" si="209"/>
        <v>3</v>
      </c>
      <c r="AI130" s="256">
        <f t="shared" si="209"/>
        <v>2.5</v>
      </c>
      <c r="AJ130" s="256">
        <f t="shared" si="209"/>
        <v>8</v>
      </c>
      <c r="AK130" s="256">
        <f t="shared" si="209"/>
        <v>13</v>
      </c>
      <c r="AL130" s="256">
        <f t="shared" si="209"/>
        <v>18</v>
      </c>
      <c r="AM130" s="256">
        <f t="shared" ref="AM130" si="210">+AM119-AM113-AM134</f>
        <v>17.5</v>
      </c>
      <c r="AN130" s="256">
        <f t="shared" si="209"/>
        <v>20</v>
      </c>
      <c r="AO130" s="256">
        <f t="shared" si="209"/>
        <v>21</v>
      </c>
      <c r="AP130" s="256">
        <f t="shared" si="209"/>
        <v>23</v>
      </c>
      <c r="AQ130" s="256">
        <f t="shared" si="209"/>
        <v>24.238207407407373</v>
      </c>
      <c r="AR130" s="256">
        <f t="shared" si="209"/>
        <v>20.238207407407373</v>
      </c>
      <c r="AS130" s="256">
        <f t="shared" si="209"/>
        <v>16.238207407407373</v>
      </c>
      <c r="AT130" s="256">
        <f t="shared" si="209"/>
        <v>16.238207407407373</v>
      </c>
      <c r="AU130" s="256">
        <f t="shared" si="209"/>
        <v>16.238207407407373</v>
      </c>
      <c r="AV130" s="256">
        <f t="shared" si="209"/>
        <v>16.238207407407373</v>
      </c>
      <c r="AW130" s="256">
        <f t="shared" si="209"/>
        <v>16.238207407407373</v>
      </c>
      <c r="AX130" s="256">
        <f t="shared" si="209"/>
        <v>16.238207407407373</v>
      </c>
      <c r="AY130" s="256">
        <f t="shared" si="209"/>
        <v>16.238207407407373</v>
      </c>
      <c r="BG130" s="4">
        <v>124</v>
      </c>
      <c r="BH130"/>
      <c r="BI130"/>
      <c r="BJ130"/>
      <c r="BK130"/>
      <c r="BL130"/>
      <c r="BM130"/>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c r="HF130" s="3"/>
      <c r="HG130" s="3"/>
      <c r="HH130" s="3"/>
      <c r="HI130" s="3"/>
      <c r="HJ130" s="3"/>
      <c r="HK130" s="3"/>
      <c r="HL130" s="3"/>
      <c r="HM130" s="3"/>
      <c r="HN130" s="3"/>
      <c r="HO130" s="3"/>
      <c r="HP130" s="3"/>
      <c r="HQ130" s="3"/>
      <c r="HR130" s="3"/>
      <c r="HS130" s="3"/>
      <c r="HT130" s="3"/>
      <c r="HU130" s="3"/>
      <c r="HV130" s="3"/>
      <c r="HW130" s="3"/>
      <c r="HX130" s="3"/>
      <c r="HY130" s="3"/>
      <c r="HZ130" s="3"/>
      <c r="IA130" s="3"/>
      <c r="IB130" s="3"/>
      <c r="IC130" s="3"/>
      <c r="ID130" s="3"/>
      <c r="IE130" s="3"/>
      <c r="IF130" s="3"/>
      <c r="IG130" s="3"/>
      <c r="IH130" s="3"/>
      <c r="II130" s="3"/>
      <c r="IJ130" s="3"/>
      <c r="IK130" s="3"/>
      <c r="IL130" s="3"/>
      <c r="IM130" s="3"/>
      <c r="IN130" s="3"/>
      <c r="IO130" s="3"/>
      <c r="IP130" s="3"/>
      <c r="IQ130" s="3"/>
      <c r="IR130" s="3"/>
      <c r="IS130" s="3"/>
      <c r="IT130" s="3"/>
      <c r="IU130" s="3"/>
      <c r="IV130" s="3"/>
      <c r="IW130" s="3"/>
    </row>
    <row r="131" spans="1:257" s="229" customFormat="1" ht="12.75" customHeight="1" outlineLevel="2">
      <c r="A131" s="248"/>
      <c r="B131" s="247" t="s">
        <v>268</v>
      </c>
      <c r="C131" s="246"/>
      <c r="D131" s="246"/>
      <c r="E131" s="246"/>
      <c r="F131" s="245"/>
      <c r="G131" s="245"/>
      <c r="H131" s="244"/>
      <c r="I131" s="244"/>
      <c r="J131" s="244"/>
      <c r="K131" s="244"/>
      <c r="L131" s="244"/>
      <c r="M131" s="244"/>
      <c r="N131" s="244"/>
      <c r="O131" s="243"/>
      <c r="P131" s="5"/>
      <c r="Q131" s="5"/>
      <c r="R131" s="5"/>
      <c r="S131" s="5"/>
      <c r="T131" s="5"/>
      <c r="U131" s="5"/>
      <c r="V131" s="254"/>
      <c r="W131" s="254"/>
      <c r="X131" s="256"/>
      <c r="Y131" s="257">
        <f t="shared" ref="Y131:AY131" si="211">+Y93-Y134-Y136-Y113</f>
        <v>311.72929832069298</v>
      </c>
      <c r="Z131" s="257">
        <f t="shared" si="211"/>
        <v>346.2423694409481</v>
      </c>
      <c r="AA131" s="257">
        <f t="shared" si="211"/>
        <v>345.4796270617137</v>
      </c>
      <c r="AB131" s="257">
        <f t="shared" si="211"/>
        <v>374.43229571047061</v>
      </c>
      <c r="AC131" s="257">
        <f t="shared" si="211"/>
        <v>292.98241039201827</v>
      </c>
      <c r="AD131" s="257">
        <f t="shared" si="211"/>
        <v>226.17114799447393</v>
      </c>
      <c r="AE131" s="257">
        <f t="shared" si="211"/>
        <v>180.50400662174906</v>
      </c>
      <c r="AF131" s="257">
        <f t="shared" si="211"/>
        <v>256.94965580111295</v>
      </c>
      <c r="AG131" s="257">
        <f t="shared" si="211"/>
        <v>260.65698786090326</v>
      </c>
      <c r="AH131" s="257">
        <f t="shared" si="211"/>
        <v>205.68035268630382</v>
      </c>
      <c r="AI131" s="257">
        <f t="shared" si="211"/>
        <v>205.779747409518</v>
      </c>
      <c r="AJ131" s="257">
        <f t="shared" si="211"/>
        <v>154.33997944246983</v>
      </c>
      <c r="AK131" s="257">
        <f t="shared" si="211"/>
        <v>184.39046377081598</v>
      </c>
      <c r="AL131" s="257">
        <f t="shared" si="211"/>
        <v>229.57896892247834</v>
      </c>
      <c r="AM131" s="257">
        <f t="shared" ref="AM131" si="212">+AM93-AM134-AM136-AM113</f>
        <v>203.63722094642912</v>
      </c>
      <c r="AN131" s="257">
        <f t="shared" si="211"/>
        <v>218.44</v>
      </c>
      <c r="AO131" s="257">
        <f t="shared" si="211"/>
        <v>219.44</v>
      </c>
      <c r="AP131" s="257">
        <f t="shared" si="211"/>
        <v>222.44</v>
      </c>
      <c r="AQ131" s="257">
        <f t="shared" si="211"/>
        <v>225.44</v>
      </c>
      <c r="AR131" s="257">
        <f t="shared" si="211"/>
        <v>227.44</v>
      </c>
      <c r="AS131" s="257">
        <f t="shared" si="211"/>
        <v>229.44</v>
      </c>
      <c r="AT131" s="257">
        <f t="shared" si="211"/>
        <v>229.44</v>
      </c>
      <c r="AU131" s="257">
        <f t="shared" si="211"/>
        <v>229.44</v>
      </c>
      <c r="AV131" s="257">
        <f t="shared" si="211"/>
        <v>229.44</v>
      </c>
      <c r="AW131" s="257">
        <f t="shared" si="211"/>
        <v>229.44</v>
      </c>
      <c r="AX131" s="257">
        <f t="shared" si="211"/>
        <v>229.44</v>
      </c>
      <c r="AY131" s="257">
        <f t="shared" si="211"/>
        <v>229.44</v>
      </c>
      <c r="BG131" s="4">
        <v>125</v>
      </c>
      <c r="BH131"/>
      <c r="BI131"/>
      <c r="BJ131"/>
      <c r="BK131"/>
      <c r="BL131"/>
      <c r="BM131"/>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c r="HF131" s="3"/>
      <c r="HG131" s="3"/>
      <c r="HH131" s="3"/>
      <c r="HI131" s="3"/>
      <c r="HJ131" s="3"/>
      <c r="HK131" s="3"/>
      <c r="HL131" s="3"/>
      <c r="HM131" s="3"/>
      <c r="HN131" s="3"/>
      <c r="HO131" s="3"/>
      <c r="HP131" s="3"/>
      <c r="HQ131" s="3"/>
      <c r="HR131" s="3"/>
      <c r="HS131" s="3"/>
      <c r="HT131" s="3"/>
      <c r="HU131" s="3"/>
      <c r="HV131" s="3"/>
      <c r="HW131" s="3"/>
      <c r="HX131" s="3"/>
      <c r="HY131" s="3"/>
      <c r="HZ131" s="3"/>
      <c r="IA131" s="3"/>
      <c r="IB131" s="3"/>
      <c r="IC131" s="3"/>
      <c r="ID131" s="3"/>
      <c r="IE131" s="3"/>
      <c r="IF131" s="3"/>
      <c r="IG131" s="3"/>
      <c r="IH131" s="3"/>
      <c r="II131" s="3"/>
      <c r="IJ131" s="3"/>
      <c r="IK131" s="3"/>
      <c r="IL131" s="3"/>
      <c r="IM131" s="3"/>
      <c r="IN131" s="3"/>
      <c r="IO131" s="3"/>
      <c r="IP131" s="3"/>
      <c r="IQ131" s="3"/>
      <c r="IR131" s="3"/>
      <c r="IS131" s="3"/>
      <c r="IT131" s="3"/>
      <c r="IU131" s="3"/>
      <c r="IV131" s="3"/>
      <c r="IW131" s="3"/>
    </row>
    <row r="132" spans="1:257" s="229" customFormat="1" ht="12.75" customHeight="1" outlineLevel="2">
      <c r="A132" s="248"/>
      <c r="B132" s="247"/>
      <c r="C132" s="246"/>
      <c r="D132" s="246"/>
      <c r="E132" s="246"/>
      <c r="F132" s="245"/>
      <c r="G132" s="245"/>
      <c r="H132" s="244"/>
      <c r="I132" s="244"/>
      <c r="J132" s="244"/>
      <c r="K132" s="244"/>
      <c r="L132" s="244"/>
      <c r="M132" s="244"/>
      <c r="N132" s="244"/>
      <c r="O132" s="243"/>
      <c r="P132" s="5"/>
      <c r="Q132" s="5"/>
      <c r="R132" s="5"/>
      <c r="S132" s="5"/>
      <c r="T132" s="5"/>
      <c r="U132" s="5"/>
      <c r="V132" s="254"/>
      <c r="W132" s="254"/>
      <c r="X132" s="256"/>
      <c r="Y132" s="256"/>
      <c r="Z132" s="256"/>
      <c r="AA132" s="256"/>
      <c r="AB132" s="256"/>
      <c r="AC132" s="256"/>
      <c r="AD132" s="256"/>
      <c r="AE132" s="256"/>
      <c r="AF132" s="256"/>
      <c r="AG132" s="256"/>
      <c r="AH132" s="256"/>
      <c r="AI132" s="256"/>
      <c r="AJ132" s="256"/>
      <c r="AK132" s="256"/>
      <c r="AL132" s="256"/>
      <c r="AM132" s="256"/>
      <c r="AN132" s="255"/>
      <c r="AO132" s="255"/>
      <c r="AQ132" s="255"/>
      <c r="AR132" s="255"/>
      <c r="AS132" s="255"/>
      <c r="AU132" s="255"/>
      <c r="AV132" s="255"/>
      <c r="AW132" s="255"/>
      <c r="AX132" s="255"/>
      <c r="AY132" s="255"/>
      <c r="BG132" s="4">
        <v>126</v>
      </c>
      <c r="BH132"/>
      <c r="BI132"/>
      <c r="BJ132"/>
      <c r="BK132"/>
      <c r="BL132"/>
      <c r="BM132"/>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c r="HF132" s="3"/>
      <c r="HG132" s="3"/>
      <c r="HH132" s="3"/>
      <c r="HI132" s="3"/>
      <c r="HJ132" s="3"/>
      <c r="HK132" s="3"/>
      <c r="HL132" s="3"/>
      <c r="HM132" s="3"/>
      <c r="HN132" s="3"/>
      <c r="HO132" s="3"/>
      <c r="HP132" s="3"/>
      <c r="HQ132" s="3"/>
      <c r="HR132" s="3"/>
      <c r="HS132" s="3"/>
      <c r="HT132" s="3"/>
      <c r="HU132" s="3"/>
      <c r="HV132" s="3"/>
      <c r="HW132" s="3"/>
      <c r="HX132" s="3"/>
      <c r="HY132" s="3"/>
      <c r="HZ132" s="3"/>
      <c r="IA132" s="3"/>
      <c r="IB132" s="3"/>
      <c r="IC132" s="3"/>
      <c r="ID132" s="3"/>
      <c r="IE132" s="3"/>
      <c r="IF132" s="3"/>
      <c r="IG132" s="3"/>
      <c r="IH132" s="3"/>
      <c r="II132" s="3"/>
      <c r="IJ132" s="3"/>
      <c r="IK132" s="3"/>
      <c r="IL132" s="3"/>
      <c r="IM132" s="3"/>
      <c r="IN132" s="3"/>
      <c r="IO132" s="3"/>
      <c r="IP132" s="3"/>
      <c r="IQ132" s="3"/>
      <c r="IR132" s="3"/>
      <c r="IS132" s="3"/>
      <c r="IT132" s="3"/>
      <c r="IU132" s="3"/>
      <c r="IV132" s="3"/>
      <c r="IW132" s="3"/>
    </row>
    <row r="133" spans="1:257" s="229" customFormat="1" ht="12.75" customHeight="1" outlineLevel="2">
      <c r="A133" s="248"/>
      <c r="B133" s="247" t="s">
        <v>267</v>
      </c>
      <c r="C133" s="246"/>
      <c r="D133" s="246"/>
      <c r="E133" s="246"/>
      <c r="F133" s="245"/>
      <c r="G133" s="245"/>
      <c r="H133" s="244"/>
      <c r="I133" s="244"/>
      <c r="J133" s="244"/>
      <c r="K133" s="244"/>
      <c r="L133" s="244"/>
      <c r="M133" s="244"/>
      <c r="N133" s="244"/>
      <c r="O133" s="243"/>
      <c r="P133" s="5"/>
      <c r="Q133" s="5"/>
      <c r="R133" s="5"/>
      <c r="S133" s="5"/>
      <c r="T133" s="5"/>
      <c r="U133" s="5"/>
      <c r="V133" s="254"/>
      <c r="W133" s="254"/>
      <c r="X133" s="256"/>
      <c r="Y133" s="256"/>
      <c r="Z133" s="256"/>
      <c r="AA133" s="256"/>
      <c r="AB133" s="256"/>
      <c r="AC133" s="256"/>
      <c r="AD133" s="256"/>
      <c r="AE133" s="256"/>
      <c r="AF133" s="256"/>
      <c r="AG133" s="256"/>
      <c r="AH133" s="256"/>
      <c r="AI133" s="256"/>
      <c r="AJ133" s="256"/>
      <c r="AK133" s="256"/>
      <c r="AL133" s="256"/>
      <c r="AM133" s="256"/>
      <c r="AN133" s="255"/>
      <c r="AO133" s="255"/>
      <c r="AP133" s="255"/>
      <c r="AQ133" s="255"/>
      <c r="AR133" s="255"/>
      <c r="AS133" s="255"/>
      <c r="AT133" s="255"/>
      <c r="AU133" s="255"/>
      <c r="AV133" s="255"/>
      <c r="AW133" s="255"/>
      <c r="AX133" s="255"/>
      <c r="AY133" s="255"/>
      <c r="BG133" s="4">
        <v>127</v>
      </c>
      <c r="BH133"/>
      <c r="BI133"/>
      <c r="BJ133"/>
      <c r="BK133"/>
      <c r="BL133"/>
      <c r="BM13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c r="HF133" s="3"/>
      <c r="HG133" s="3"/>
      <c r="HH133" s="3"/>
      <c r="HI133" s="3"/>
      <c r="HJ133" s="3"/>
      <c r="HK133" s="3"/>
      <c r="HL133" s="3"/>
      <c r="HM133" s="3"/>
      <c r="HN133" s="3"/>
      <c r="HO133" s="3"/>
      <c r="HP133" s="3"/>
      <c r="HQ133" s="3"/>
      <c r="HR133" s="3"/>
      <c r="HS133" s="3"/>
      <c r="HT133" s="3"/>
      <c r="HU133" s="3"/>
      <c r="HV133" s="3"/>
      <c r="HW133" s="3"/>
      <c r="HX133" s="3"/>
      <c r="HY133" s="3"/>
      <c r="HZ133" s="3"/>
      <c r="IA133" s="3"/>
      <c r="IB133" s="3"/>
      <c r="IC133" s="3"/>
      <c r="ID133" s="3"/>
      <c r="IE133" s="3"/>
      <c r="IF133" s="3"/>
      <c r="IG133" s="3"/>
      <c r="IH133" s="3"/>
      <c r="II133" s="3"/>
      <c r="IJ133" s="3"/>
      <c r="IK133" s="3"/>
      <c r="IL133" s="3"/>
      <c r="IM133" s="3"/>
      <c r="IN133" s="3"/>
      <c r="IO133" s="3"/>
      <c r="IP133" s="3"/>
      <c r="IQ133" s="3"/>
      <c r="IR133" s="3"/>
      <c r="IS133" s="3"/>
      <c r="IT133" s="3"/>
      <c r="IU133" s="3"/>
      <c r="IV133" s="3"/>
      <c r="IW133" s="3"/>
    </row>
    <row r="134" spans="1:257" s="229" customFormat="1" ht="12.75" customHeight="1" outlineLevel="2">
      <c r="A134" s="248"/>
      <c r="B134" s="249" t="s">
        <v>266</v>
      </c>
      <c r="C134" s="246"/>
      <c r="D134" s="246"/>
      <c r="E134" s="246"/>
      <c r="F134" s="245"/>
      <c r="G134" s="245"/>
      <c r="H134" s="244">
        <f t="shared" ref="H134:N134" si="213">+H135/H44*1000</f>
        <v>24.999999999999993</v>
      </c>
      <c r="I134" s="244">
        <f t="shared" si="213"/>
        <v>19.895063443802933</v>
      </c>
      <c r="J134" s="244">
        <f t="shared" si="213"/>
        <v>12</v>
      </c>
      <c r="K134" s="244">
        <f t="shared" si="213"/>
        <v>15.367018808497134</v>
      </c>
      <c r="L134" s="244">
        <f t="shared" si="213"/>
        <v>15.689001264222503</v>
      </c>
      <c r="M134" s="244">
        <f t="shared" si="213"/>
        <v>15</v>
      </c>
      <c r="N134" s="244">
        <f t="shared" si="213"/>
        <v>15</v>
      </c>
      <c r="O134" s="243"/>
      <c r="P134" s="5"/>
      <c r="Q134" s="5"/>
      <c r="R134" s="5"/>
      <c r="S134" s="5"/>
      <c r="T134" s="5"/>
      <c r="U134" s="5"/>
      <c r="V134" s="254"/>
      <c r="W134" s="254"/>
      <c r="X134" s="252">
        <v>25</v>
      </c>
      <c r="Y134" s="252">
        <v>25</v>
      </c>
      <c r="Z134" s="252">
        <v>25</v>
      </c>
      <c r="AA134" s="252">
        <v>25</v>
      </c>
      <c r="AB134" s="252">
        <v>25</v>
      </c>
      <c r="AC134" s="252">
        <v>21</v>
      </c>
      <c r="AD134" s="252">
        <v>18</v>
      </c>
      <c r="AE134" s="252">
        <v>14</v>
      </c>
      <c r="AF134" s="252">
        <v>12</v>
      </c>
      <c r="AG134" s="252">
        <v>12</v>
      </c>
      <c r="AH134" s="252">
        <v>12</v>
      </c>
      <c r="AI134" s="252">
        <v>12</v>
      </c>
      <c r="AJ134" s="252">
        <v>12</v>
      </c>
      <c r="AK134" s="252">
        <v>14</v>
      </c>
      <c r="AL134" s="252">
        <v>17</v>
      </c>
      <c r="AM134" s="252">
        <v>17.5</v>
      </c>
      <c r="AN134" s="258">
        <v>18</v>
      </c>
      <c r="AO134" s="258">
        <v>17</v>
      </c>
      <c r="AP134" s="258">
        <v>15</v>
      </c>
      <c r="AQ134" s="258">
        <f t="shared" ref="AQ134:AY134" si="214">AP134</f>
        <v>15</v>
      </c>
      <c r="AR134" s="258">
        <f t="shared" si="214"/>
        <v>15</v>
      </c>
      <c r="AS134" s="258">
        <f t="shared" si="214"/>
        <v>15</v>
      </c>
      <c r="AT134" s="258">
        <f t="shared" si="214"/>
        <v>15</v>
      </c>
      <c r="AU134" s="258">
        <f t="shared" si="214"/>
        <v>15</v>
      </c>
      <c r="AV134" s="258">
        <f t="shared" si="214"/>
        <v>15</v>
      </c>
      <c r="AW134" s="258">
        <f t="shared" si="214"/>
        <v>15</v>
      </c>
      <c r="AX134" s="258">
        <f t="shared" si="214"/>
        <v>15</v>
      </c>
      <c r="AY134" s="258">
        <f t="shared" si="214"/>
        <v>15</v>
      </c>
      <c r="BG134" s="4">
        <v>128</v>
      </c>
      <c r="BH134"/>
      <c r="BI134"/>
      <c r="BJ134"/>
      <c r="BK134"/>
      <c r="BL134"/>
      <c r="BM134"/>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c r="HF134" s="3"/>
      <c r="HG134" s="3"/>
      <c r="HH134" s="3"/>
      <c r="HI134" s="3"/>
      <c r="HJ134" s="3"/>
      <c r="HK134" s="3"/>
      <c r="HL134" s="3"/>
      <c r="HM134" s="3"/>
      <c r="HN134" s="3"/>
      <c r="HO134" s="3"/>
      <c r="HP134" s="3"/>
      <c r="HQ134" s="3"/>
      <c r="HR134" s="3"/>
      <c r="HS134" s="3"/>
      <c r="HT134" s="3"/>
      <c r="HU134" s="3"/>
      <c r="HV134" s="3"/>
      <c r="HW134" s="3"/>
      <c r="HX134" s="3"/>
      <c r="HY134" s="3"/>
      <c r="HZ134" s="3"/>
      <c r="IA134" s="3"/>
      <c r="IB134" s="3"/>
      <c r="IC134" s="3"/>
      <c r="ID134" s="3"/>
      <c r="IE134" s="3"/>
      <c r="IF134" s="3"/>
      <c r="IG134" s="3"/>
      <c r="IH134" s="3"/>
      <c r="II134" s="3"/>
      <c r="IJ134" s="3"/>
      <c r="IK134" s="3"/>
      <c r="IL134" s="3"/>
      <c r="IM134" s="3"/>
      <c r="IN134" s="3"/>
      <c r="IO134" s="3"/>
      <c r="IP134" s="3"/>
      <c r="IQ134" s="3"/>
      <c r="IR134" s="3"/>
      <c r="IS134" s="3"/>
      <c r="IT134" s="3"/>
      <c r="IU134" s="3"/>
      <c r="IV134" s="3"/>
      <c r="IW134" s="3"/>
    </row>
    <row r="135" spans="1:257" s="229" customFormat="1" ht="12.75" customHeight="1" outlineLevel="2">
      <c r="A135" s="248"/>
      <c r="B135" s="249" t="s">
        <v>265</v>
      </c>
      <c r="C135" s="246"/>
      <c r="D135" s="246"/>
      <c r="E135" s="246"/>
      <c r="F135" s="245"/>
      <c r="G135" s="245"/>
      <c r="H135" s="212">
        <f>SUMIF($P$4:$AN$4,H$4,$P135:$AN135)</f>
        <v>179.66249124999999</v>
      </c>
      <c r="I135" s="212">
        <f>SUMIF($P$4:$AN$4,I$4,$P135:$AN135)</f>
        <v>123.424159</v>
      </c>
      <c r="J135" s="212">
        <f>SUMIF($P$4:$AN$4,J$4,$P135:$AN135)</f>
        <v>76.979196000000002</v>
      </c>
      <c r="K135" s="212">
        <f>SUMIF($P$4:$AZ$4,K$4,$P135:$AZ135)</f>
        <v>157.94162</v>
      </c>
      <c r="L135" s="212">
        <f>SUMIF($P$4:$AZ$4,L$4,$P135:$AZ135)</f>
        <v>310.25</v>
      </c>
      <c r="M135" s="212">
        <f>SUMIF($P$4:$AZ$4,M$4,$P135:$AZ135)</f>
        <v>440.25</v>
      </c>
      <c r="N135" s="212">
        <f>SUMIF($P$4:$AZ$4,N$4,$P135:$AZ135)</f>
        <v>442.5</v>
      </c>
      <c r="O135" s="243"/>
      <c r="P135" s="5"/>
      <c r="Q135" s="5"/>
      <c r="R135" s="5"/>
      <c r="S135" s="5"/>
      <c r="T135" s="5"/>
      <c r="U135" s="5"/>
      <c r="V135" s="254"/>
      <c r="W135" s="254"/>
      <c r="X135" s="257">
        <f t="shared" ref="X135:AY135" si="215">X134*X90/1000</f>
        <v>39.584582499999996</v>
      </c>
      <c r="Y135" s="257">
        <f t="shared" si="215"/>
        <v>44.178283750000013</v>
      </c>
      <c r="Z135" s="257">
        <f t="shared" si="215"/>
        <v>48.616674999999994</v>
      </c>
      <c r="AA135" s="257">
        <f t="shared" si="215"/>
        <v>47.28295</v>
      </c>
      <c r="AB135" s="257">
        <f t="shared" si="215"/>
        <v>44.449550000000002</v>
      </c>
      <c r="AC135" s="257">
        <f t="shared" si="215"/>
        <v>33.469275000000003</v>
      </c>
      <c r="AD135" s="257">
        <f t="shared" si="215"/>
        <v>26.357940000000003</v>
      </c>
      <c r="AE135" s="257">
        <f t="shared" si="215"/>
        <v>19.147393999999998</v>
      </c>
      <c r="AF135" s="257">
        <f t="shared" si="215"/>
        <v>18.311423999999999</v>
      </c>
      <c r="AG135" s="257">
        <f t="shared" si="215"/>
        <v>15.478835999999999</v>
      </c>
      <c r="AH135" s="257">
        <f t="shared" si="215"/>
        <v>21.051971999999999</v>
      </c>
      <c r="AI135" s="257">
        <f t="shared" si="215"/>
        <v>22.136963999999999</v>
      </c>
      <c r="AJ135" s="257">
        <f t="shared" si="215"/>
        <v>24.987972000000003</v>
      </c>
      <c r="AK135" s="257">
        <f t="shared" si="215"/>
        <v>36.216446000000005</v>
      </c>
      <c r="AL135" s="257">
        <f t="shared" si="215"/>
        <v>48.136026999999999</v>
      </c>
      <c r="AM135" s="257">
        <f t="shared" si="215"/>
        <v>48.601175000000005</v>
      </c>
      <c r="AN135" s="257">
        <f t="shared" si="215"/>
        <v>47.25</v>
      </c>
      <c r="AO135" s="257">
        <f t="shared" si="215"/>
        <v>48.875</v>
      </c>
      <c r="AP135" s="257">
        <f t="shared" si="215"/>
        <v>105</v>
      </c>
      <c r="AQ135" s="257">
        <f t="shared" si="215"/>
        <v>109.125</v>
      </c>
      <c r="AR135" s="257">
        <f t="shared" si="215"/>
        <v>109.5</v>
      </c>
      <c r="AS135" s="257">
        <f t="shared" si="215"/>
        <v>109.875</v>
      </c>
      <c r="AT135" s="257">
        <f t="shared" si="215"/>
        <v>110.25</v>
      </c>
      <c r="AU135" s="257">
        <f t="shared" si="215"/>
        <v>110.625</v>
      </c>
      <c r="AV135" s="257">
        <f t="shared" si="215"/>
        <v>110.625</v>
      </c>
      <c r="AW135" s="257">
        <f t="shared" si="215"/>
        <v>110.625</v>
      </c>
      <c r="AX135" s="257">
        <f t="shared" si="215"/>
        <v>110.625</v>
      </c>
      <c r="AY135" s="257">
        <f t="shared" si="215"/>
        <v>110.625</v>
      </c>
      <c r="BG135" s="4">
        <v>129</v>
      </c>
      <c r="BH135"/>
      <c r="BI135"/>
      <c r="BJ135"/>
      <c r="BK135"/>
      <c r="BL135"/>
      <c r="BM135"/>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c r="HF135" s="3"/>
      <c r="HG135" s="3"/>
      <c r="HH135" s="3"/>
      <c r="HI135" s="3"/>
      <c r="HJ135" s="3"/>
      <c r="HK135" s="3"/>
      <c r="HL135" s="3"/>
      <c r="HM135" s="3"/>
      <c r="HN135" s="3"/>
      <c r="HO135" s="3"/>
      <c r="HP135" s="3"/>
      <c r="HQ135" s="3"/>
      <c r="HR135" s="3"/>
      <c r="HS135" s="3"/>
      <c r="HT135" s="3"/>
      <c r="HU135" s="3"/>
      <c r="HV135" s="3"/>
      <c r="HW135" s="3"/>
      <c r="HX135" s="3"/>
      <c r="HY135" s="3"/>
      <c r="HZ135" s="3"/>
      <c r="IA135" s="3"/>
      <c r="IB135" s="3"/>
      <c r="IC135" s="3"/>
      <c r="ID135" s="3"/>
      <c r="IE135" s="3"/>
      <c r="IF135" s="3"/>
      <c r="IG135" s="3"/>
      <c r="IH135" s="3"/>
      <c r="II135" s="3"/>
      <c r="IJ135" s="3"/>
      <c r="IK135" s="3"/>
      <c r="IL135" s="3"/>
      <c r="IM135" s="3"/>
      <c r="IN135" s="3"/>
      <c r="IO135" s="3"/>
      <c r="IP135" s="3"/>
      <c r="IQ135" s="3"/>
      <c r="IR135" s="3"/>
      <c r="IS135" s="3"/>
      <c r="IT135" s="3"/>
      <c r="IU135" s="3"/>
      <c r="IV135" s="3"/>
      <c r="IW135" s="3"/>
    </row>
    <row r="136" spans="1:257" s="229" customFormat="1" ht="12.75" customHeight="1" outlineLevel="2">
      <c r="A136" s="248"/>
      <c r="B136" s="249" t="s">
        <v>264</v>
      </c>
      <c r="C136" s="246"/>
      <c r="D136" s="246"/>
      <c r="E136" s="246"/>
      <c r="F136" s="245"/>
      <c r="G136" s="245"/>
      <c r="H136" s="244">
        <f t="shared" ref="H136:N136" si="216">H137/H89*1000</f>
        <v>99.999999999999986</v>
      </c>
      <c r="I136" s="244">
        <f t="shared" si="216"/>
        <v>85</v>
      </c>
      <c r="J136" s="244">
        <f t="shared" si="216"/>
        <v>59.999999999999993</v>
      </c>
      <c r="K136" s="244">
        <f t="shared" si="216"/>
        <v>59.999999999999986</v>
      </c>
      <c r="L136" s="244">
        <f t="shared" si="216"/>
        <v>60</v>
      </c>
      <c r="M136" s="244">
        <f t="shared" si="216"/>
        <v>60</v>
      </c>
      <c r="N136" s="244">
        <f t="shared" si="216"/>
        <v>60</v>
      </c>
      <c r="O136" s="243"/>
      <c r="P136" s="5"/>
      <c r="Q136" s="5"/>
      <c r="R136" s="5"/>
      <c r="S136" s="5"/>
      <c r="T136" s="5"/>
      <c r="U136" s="5"/>
      <c r="V136" s="254"/>
      <c r="W136" s="254"/>
      <c r="X136" s="259">
        <v>100</v>
      </c>
      <c r="Y136" s="259">
        <v>100</v>
      </c>
      <c r="Z136" s="259">
        <v>100</v>
      </c>
      <c r="AA136" s="259">
        <v>100</v>
      </c>
      <c r="AB136" s="259">
        <v>85</v>
      </c>
      <c r="AC136" s="259">
        <v>85</v>
      </c>
      <c r="AD136" s="259">
        <v>85</v>
      </c>
      <c r="AE136" s="259">
        <v>85</v>
      </c>
      <c r="AF136" s="259">
        <v>60</v>
      </c>
      <c r="AG136" s="259">
        <v>60</v>
      </c>
      <c r="AH136" s="259">
        <v>60</v>
      </c>
      <c r="AI136" s="259">
        <v>60</v>
      </c>
      <c r="AJ136" s="252">
        <v>60</v>
      </c>
      <c r="AK136" s="252">
        <v>60</v>
      </c>
      <c r="AL136" s="252">
        <v>60</v>
      </c>
      <c r="AM136" s="252">
        <v>60</v>
      </c>
      <c r="AN136" s="258">
        <v>60</v>
      </c>
      <c r="AO136" s="258">
        <v>60</v>
      </c>
      <c r="AP136" s="258">
        <v>60</v>
      </c>
      <c r="AQ136" s="258">
        <v>60</v>
      </c>
      <c r="AR136" s="258">
        <v>60</v>
      </c>
      <c r="AS136" s="258">
        <v>60</v>
      </c>
      <c r="AT136" s="258">
        <v>60</v>
      </c>
      <c r="AU136" s="258">
        <v>60</v>
      </c>
      <c r="AV136" s="258">
        <v>60</v>
      </c>
      <c r="AW136" s="258">
        <v>60</v>
      </c>
      <c r="AX136" s="258">
        <v>60</v>
      </c>
      <c r="AY136" s="258">
        <v>60</v>
      </c>
      <c r="BG136" s="4">
        <v>130</v>
      </c>
      <c r="BH136"/>
      <c r="BI136"/>
      <c r="BJ136"/>
      <c r="BK136"/>
      <c r="BL136"/>
      <c r="BM136"/>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c r="HF136" s="3"/>
      <c r="HG136" s="3"/>
      <c r="HH136" s="3"/>
      <c r="HI136" s="3"/>
      <c r="HJ136" s="3"/>
      <c r="HK136" s="3"/>
      <c r="HL136" s="3"/>
      <c r="HM136" s="3"/>
      <c r="HN136" s="3"/>
      <c r="HO136" s="3"/>
      <c r="HP136" s="3"/>
      <c r="HQ136" s="3"/>
      <c r="HR136" s="3"/>
      <c r="HS136" s="3"/>
      <c r="HT136" s="3"/>
      <c r="HU136" s="3"/>
      <c r="HV136" s="3"/>
      <c r="HW136" s="3"/>
      <c r="HX136" s="3"/>
      <c r="HY136" s="3"/>
      <c r="HZ136" s="3"/>
      <c r="IA136" s="3"/>
      <c r="IB136" s="3"/>
      <c r="IC136" s="3"/>
      <c r="ID136" s="3"/>
      <c r="IE136" s="3"/>
      <c r="IF136" s="3"/>
      <c r="IG136" s="3"/>
      <c r="IH136" s="3"/>
      <c r="II136" s="3"/>
      <c r="IJ136" s="3"/>
      <c r="IK136" s="3"/>
      <c r="IL136" s="3"/>
      <c r="IM136" s="3"/>
      <c r="IN136" s="3"/>
      <c r="IO136" s="3"/>
      <c r="IP136" s="3"/>
      <c r="IQ136" s="3"/>
      <c r="IR136" s="3"/>
      <c r="IS136" s="3"/>
      <c r="IT136" s="3"/>
      <c r="IU136" s="3"/>
      <c r="IV136" s="3"/>
      <c r="IW136" s="3"/>
    </row>
    <row r="137" spans="1:257" s="229" customFormat="1" ht="12.75" customHeight="1" outlineLevel="2">
      <c r="A137" s="248"/>
      <c r="B137" s="249" t="s">
        <v>263</v>
      </c>
      <c r="C137" s="246"/>
      <c r="D137" s="246"/>
      <c r="E137" s="246"/>
      <c r="F137" s="245"/>
      <c r="G137" s="245"/>
      <c r="H137" s="212">
        <f>SUMIF($P$4:$AN$4,H$4,$P137:$AN137)</f>
        <v>147.467477</v>
      </c>
      <c r="I137" s="212">
        <f>SUMIF($P$4:$AN$4,I$4,$P137:$AN137)</f>
        <v>65.148759999999996</v>
      </c>
      <c r="J137" s="212">
        <f>SUMIF($P$4:$AN$4,J$4,$P137:$AN137)</f>
        <v>22.229459999999996</v>
      </c>
      <c r="K137" s="212">
        <f>SUMIF($P$4:$AZ$4,K$4,$P137:$AZ137)</f>
        <v>46.927559999999993</v>
      </c>
      <c r="L137" s="212">
        <f>SUMIF($P$4:$AZ$4,L$4,$P137:$AZ137)</f>
        <v>57</v>
      </c>
      <c r="M137" s="212">
        <f>SUMIF($P$4:$AZ$4,M$4,$P137:$AZ137)</f>
        <v>81</v>
      </c>
      <c r="N137" s="212">
        <f>SUMIF($P$4:$AZ$4,N$4,$P137:$AZ137)</f>
        <v>90</v>
      </c>
      <c r="O137" s="243"/>
      <c r="P137" s="5"/>
      <c r="Q137" s="5"/>
      <c r="R137" s="5"/>
      <c r="S137" s="5"/>
      <c r="T137" s="5"/>
      <c r="U137" s="5"/>
      <c r="V137" s="254"/>
      <c r="W137" s="254"/>
      <c r="X137" s="257">
        <f t="shared" ref="X137:AY137" si="217">+X136*X89/1000</f>
        <v>32.237666999999995</v>
      </c>
      <c r="Y137" s="257">
        <f t="shared" si="217"/>
        <v>37.457710000000006</v>
      </c>
      <c r="Z137" s="257">
        <f t="shared" si="217"/>
        <v>40.200200000000002</v>
      </c>
      <c r="AA137" s="257">
        <f t="shared" si="217"/>
        <v>37.571899999999999</v>
      </c>
      <c r="AB137" s="257">
        <f t="shared" si="217"/>
        <v>24.69828</v>
      </c>
      <c r="AC137" s="257">
        <f t="shared" si="217"/>
        <v>17.558619999999998</v>
      </c>
      <c r="AD137" s="257">
        <f t="shared" si="217"/>
        <v>13.166669999999998</v>
      </c>
      <c r="AE137" s="257">
        <f t="shared" si="217"/>
        <v>9.7251900000000013</v>
      </c>
      <c r="AF137" s="257">
        <f t="shared" si="217"/>
        <v>6.7622399999999994</v>
      </c>
      <c r="AG137" s="257">
        <f t="shared" si="217"/>
        <v>3.5895600000000001</v>
      </c>
      <c r="AH137" s="257">
        <f t="shared" si="217"/>
        <v>5.7919200000000002</v>
      </c>
      <c r="AI137" s="257">
        <f t="shared" si="217"/>
        <v>6.0857399999999995</v>
      </c>
      <c r="AJ137" s="257">
        <f t="shared" si="217"/>
        <v>9.6898799999999987</v>
      </c>
      <c r="AK137" s="257">
        <f t="shared" si="217"/>
        <v>11.594519999999999</v>
      </c>
      <c r="AL137" s="257">
        <f t="shared" si="217"/>
        <v>12.89292</v>
      </c>
      <c r="AM137" s="257">
        <f t="shared" si="217"/>
        <v>12.75024</v>
      </c>
      <c r="AN137" s="257">
        <f t="shared" si="217"/>
        <v>12</v>
      </c>
      <c r="AO137" s="257">
        <f t="shared" si="217"/>
        <v>13.5</v>
      </c>
      <c r="AP137" s="257">
        <f t="shared" si="217"/>
        <v>15</v>
      </c>
      <c r="AQ137" s="257">
        <f t="shared" si="217"/>
        <v>16.5</v>
      </c>
      <c r="AR137" s="257">
        <f t="shared" si="217"/>
        <v>18</v>
      </c>
      <c r="AS137" s="257">
        <f t="shared" si="217"/>
        <v>19.5</v>
      </c>
      <c r="AT137" s="257">
        <f t="shared" si="217"/>
        <v>21</v>
      </c>
      <c r="AU137" s="257">
        <f t="shared" si="217"/>
        <v>22.5</v>
      </c>
      <c r="AV137" s="257">
        <f t="shared" si="217"/>
        <v>22.5</v>
      </c>
      <c r="AW137" s="257">
        <f t="shared" si="217"/>
        <v>22.5</v>
      </c>
      <c r="AX137" s="257">
        <f t="shared" si="217"/>
        <v>22.5</v>
      </c>
      <c r="AY137" s="257">
        <f t="shared" si="217"/>
        <v>22.5</v>
      </c>
      <c r="BG137" s="4">
        <v>131</v>
      </c>
      <c r="BH137"/>
      <c r="BI137"/>
      <c r="BJ137"/>
      <c r="BK137"/>
      <c r="BL137"/>
      <c r="BM137"/>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c r="HF137" s="3"/>
      <c r="HG137" s="3"/>
      <c r="HH137" s="3"/>
      <c r="HI137" s="3"/>
      <c r="HJ137" s="3"/>
      <c r="HK137" s="3"/>
      <c r="HL137" s="3"/>
      <c r="HM137" s="3"/>
      <c r="HN137" s="3"/>
      <c r="HO137" s="3"/>
      <c r="HP137" s="3"/>
      <c r="HQ137" s="3"/>
      <c r="HR137" s="3"/>
      <c r="HS137" s="3"/>
      <c r="HT137" s="3"/>
      <c r="HU137" s="3"/>
      <c r="HV137" s="3"/>
      <c r="HW137" s="3"/>
      <c r="HX137" s="3"/>
      <c r="HY137" s="3"/>
      <c r="HZ137" s="3"/>
      <c r="IA137" s="3"/>
      <c r="IB137" s="3"/>
      <c r="IC137" s="3"/>
      <c r="ID137" s="3"/>
      <c r="IE137" s="3"/>
      <c r="IF137" s="3"/>
      <c r="IG137" s="3"/>
      <c r="IH137" s="3"/>
      <c r="II137" s="3"/>
      <c r="IJ137" s="3"/>
      <c r="IK137" s="3"/>
      <c r="IL137" s="3"/>
      <c r="IM137" s="3"/>
      <c r="IN137" s="3"/>
      <c r="IO137" s="3"/>
      <c r="IP137" s="3"/>
      <c r="IQ137" s="3"/>
      <c r="IR137" s="3"/>
      <c r="IS137" s="3"/>
      <c r="IT137" s="3"/>
      <c r="IU137" s="3"/>
      <c r="IV137" s="3"/>
      <c r="IW137" s="3"/>
    </row>
    <row r="138" spans="1:257" s="229" customFormat="1" ht="12.75" customHeight="1" outlineLevel="2">
      <c r="A138" s="248"/>
      <c r="B138" s="247"/>
      <c r="C138" s="246"/>
      <c r="D138" s="246"/>
      <c r="E138" s="246"/>
      <c r="F138" s="245"/>
      <c r="G138" s="245"/>
      <c r="H138" s="244"/>
      <c r="I138" s="244"/>
      <c r="J138" s="244"/>
      <c r="K138" s="244"/>
      <c r="L138" s="244"/>
      <c r="M138" s="244"/>
      <c r="N138" s="244"/>
      <c r="O138" s="243"/>
      <c r="P138" s="5"/>
      <c r="Q138" s="5"/>
      <c r="R138" s="5"/>
      <c r="S138" s="5"/>
      <c r="T138" s="5"/>
      <c r="U138" s="5"/>
      <c r="V138" s="254"/>
      <c r="W138" s="254"/>
      <c r="X138" s="256"/>
      <c r="Y138" s="256"/>
      <c r="Z138" s="256"/>
      <c r="AA138" s="256"/>
      <c r="AB138" s="256"/>
      <c r="AC138" s="256"/>
      <c r="AD138" s="256"/>
      <c r="AE138" s="256"/>
      <c r="AF138" s="256"/>
      <c r="AG138" s="256"/>
      <c r="AH138" s="256"/>
      <c r="AI138" s="256"/>
      <c r="AJ138" s="256"/>
      <c r="AK138" s="256"/>
      <c r="AL138" s="256"/>
      <c r="AM138" s="256"/>
      <c r="AN138" s="255"/>
      <c r="AO138" s="255"/>
      <c r="AP138" s="255"/>
      <c r="AQ138" s="255"/>
      <c r="AR138" s="255"/>
      <c r="AS138" s="255"/>
      <c r="AT138" s="255"/>
      <c r="AU138" s="255"/>
      <c r="AV138" s="255"/>
      <c r="AW138" s="255"/>
      <c r="AX138" s="255"/>
      <c r="AY138" s="255"/>
      <c r="BG138" s="4">
        <v>132</v>
      </c>
      <c r="BH138"/>
      <c r="BI138"/>
      <c r="BJ138"/>
      <c r="BK138"/>
      <c r="BL138"/>
      <c r="BM138"/>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c r="HF138" s="3"/>
      <c r="HG138" s="3"/>
      <c r="HH138" s="3"/>
      <c r="HI138" s="3"/>
      <c r="HJ138" s="3"/>
      <c r="HK138" s="3"/>
      <c r="HL138" s="3"/>
      <c r="HM138" s="3"/>
      <c r="HN138" s="3"/>
      <c r="HO138" s="3"/>
      <c r="HP138" s="3"/>
      <c r="HQ138" s="3"/>
      <c r="HR138" s="3"/>
      <c r="HS138" s="3"/>
      <c r="HT138" s="3"/>
      <c r="HU138" s="3"/>
      <c r="HV138" s="3"/>
      <c r="HW138" s="3"/>
      <c r="HX138" s="3"/>
      <c r="HY138" s="3"/>
      <c r="HZ138" s="3"/>
      <c r="IA138" s="3"/>
      <c r="IB138" s="3"/>
      <c r="IC138" s="3"/>
      <c r="ID138" s="3"/>
      <c r="IE138" s="3"/>
      <c r="IF138" s="3"/>
      <c r="IG138" s="3"/>
      <c r="IH138" s="3"/>
      <c r="II138" s="3"/>
      <c r="IJ138" s="3"/>
      <c r="IK138" s="3"/>
      <c r="IL138" s="3"/>
      <c r="IM138" s="3"/>
      <c r="IN138" s="3"/>
      <c r="IO138" s="3"/>
      <c r="IP138" s="3"/>
      <c r="IQ138" s="3"/>
      <c r="IR138" s="3"/>
      <c r="IS138" s="3"/>
      <c r="IT138" s="3"/>
      <c r="IU138" s="3"/>
      <c r="IV138" s="3"/>
      <c r="IW138" s="3"/>
    </row>
    <row r="139" spans="1:257" s="229" customFormat="1" ht="12.75" customHeight="1" outlineLevel="2">
      <c r="A139" s="248"/>
      <c r="B139" s="247" t="s">
        <v>262</v>
      </c>
      <c r="C139" s="246"/>
      <c r="D139" s="246"/>
      <c r="E139" s="246"/>
      <c r="F139" s="245"/>
      <c r="G139" s="245"/>
      <c r="H139" s="244"/>
      <c r="I139" s="244"/>
      <c r="J139" s="244"/>
      <c r="K139" s="244"/>
      <c r="L139" s="244"/>
      <c r="M139" s="244"/>
      <c r="N139" s="244"/>
      <c r="O139" s="243"/>
      <c r="P139" s="5"/>
      <c r="Q139" s="5"/>
      <c r="R139" s="5"/>
      <c r="S139" s="5"/>
      <c r="T139" s="5"/>
      <c r="U139" s="5"/>
      <c r="V139" s="254"/>
      <c r="W139" s="254"/>
      <c r="X139" s="256"/>
      <c r="Y139" s="256"/>
      <c r="Z139" s="256"/>
      <c r="AA139" s="256"/>
      <c r="AB139" s="256"/>
      <c r="AC139" s="256"/>
      <c r="AD139" s="256"/>
      <c r="AE139" s="256"/>
      <c r="AF139" s="256"/>
      <c r="AG139" s="256"/>
      <c r="AH139" s="256"/>
      <c r="AI139" s="256"/>
      <c r="AJ139" s="256"/>
      <c r="AK139" s="256"/>
      <c r="AL139" s="256"/>
      <c r="AM139" s="256"/>
      <c r="AN139" s="255"/>
      <c r="AO139" s="255"/>
      <c r="AP139" s="255"/>
      <c r="AQ139" s="255"/>
      <c r="AR139" s="255"/>
      <c r="AS139" s="255"/>
      <c r="AT139" s="255"/>
      <c r="AU139" s="255"/>
      <c r="AV139" s="255"/>
      <c r="AW139" s="255"/>
      <c r="AX139" s="255"/>
      <c r="AY139" s="255"/>
      <c r="BG139" s="4">
        <v>133</v>
      </c>
      <c r="BH139"/>
      <c r="BI139"/>
      <c r="BJ139"/>
      <c r="BK139"/>
      <c r="BL139"/>
      <c r="BM139"/>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c r="HF139" s="3"/>
      <c r="HG139" s="3"/>
      <c r="HH139" s="3"/>
      <c r="HI139" s="3"/>
      <c r="HJ139" s="3"/>
      <c r="HK139" s="3"/>
      <c r="HL139" s="3"/>
      <c r="HM139" s="3"/>
      <c r="HN139" s="3"/>
      <c r="HO139" s="3"/>
      <c r="HP139" s="3"/>
      <c r="HQ139" s="3"/>
      <c r="HR139" s="3"/>
      <c r="HS139" s="3"/>
      <c r="HT139" s="3"/>
      <c r="HU139" s="3"/>
      <c r="HV139" s="3"/>
      <c r="HW139" s="3"/>
      <c r="HX139" s="3"/>
      <c r="HY139" s="3"/>
      <c r="HZ139" s="3"/>
      <c r="IA139" s="3"/>
      <c r="IB139" s="3"/>
      <c r="IC139" s="3"/>
      <c r="ID139" s="3"/>
      <c r="IE139" s="3"/>
      <c r="IF139" s="3"/>
      <c r="IG139" s="3"/>
      <c r="IH139" s="3"/>
      <c r="II139" s="3"/>
      <c r="IJ139" s="3"/>
      <c r="IK139" s="3"/>
      <c r="IL139" s="3"/>
      <c r="IM139" s="3"/>
      <c r="IN139" s="3"/>
      <c r="IO139" s="3"/>
      <c r="IP139" s="3"/>
      <c r="IQ139" s="3"/>
      <c r="IR139" s="3"/>
      <c r="IS139" s="3"/>
      <c r="IT139" s="3"/>
      <c r="IU139" s="3"/>
      <c r="IV139" s="3"/>
      <c r="IW139" s="3"/>
    </row>
    <row r="140" spans="1:257" s="229" customFormat="1" ht="12.75" customHeight="1" outlineLevel="2">
      <c r="A140" s="248"/>
      <c r="B140" s="249" t="s">
        <v>261</v>
      </c>
      <c r="C140" s="246"/>
      <c r="D140" s="246"/>
      <c r="E140" s="246"/>
      <c r="F140" s="245"/>
      <c r="G140" s="245"/>
      <c r="H140" s="120">
        <f t="shared" ref="H140:J146" si="218">SUMIF($P$4:$AN$4,H$4,$P140:$AN140)</f>
        <v>-179.66249124999999</v>
      </c>
      <c r="I140" s="120">
        <f t="shared" si="218"/>
        <v>-123.424159</v>
      </c>
      <c r="J140" s="120">
        <f t="shared" si="218"/>
        <v>-76.979196000000002</v>
      </c>
      <c r="K140" s="120">
        <f t="shared" ref="K140:N146" si="219">SUMIF($P$4:$AZ$4,K$4,$P140:$AZ140)</f>
        <v>-157.94162</v>
      </c>
      <c r="L140" s="120">
        <f t="shared" si="219"/>
        <v>-310.25</v>
      </c>
      <c r="M140" s="120">
        <f t="shared" si="219"/>
        <v>-440.25</v>
      </c>
      <c r="N140" s="120">
        <f t="shared" si="219"/>
        <v>-442.5</v>
      </c>
      <c r="O140" s="243"/>
      <c r="P140" s="5"/>
      <c r="Q140" s="5"/>
      <c r="R140" s="5"/>
      <c r="S140" s="5"/>
      <c r="T140" s="5"/>
      <c r="U140" s="5"/>
      <c r="V140" s="254"/>
      <c r="W140" s="254"/>
      <c r="X140" s="251">
        <f t="shared" ref="X140:AY140" si="220">-X135</f>
        <v>-39.584582499999996</v>
      </c>
      <c r="Y140" s="251">
        <f t="shared" si="220"/>
        <v>-44.178283750000013</v>
      </c>
      <c r="Z140" s="251">
        <f t="shared" si="220"/>
        <v>-48.616674999999994</v>
      </c>
      <c r="AA140" s="251">
        <f t="shared" si="220"/>
        <v>-47.28295</v>
      </c>
      <c r="AB140" s="251">
        <f t="shared" si="220"/>
        <v>-44.449550000000002</v>
      </c>
      <c r="AC140" s="251">
        <f t="shared" si="220"/>
        <v>-33.469275000000003</v>
      </c>
      <c r="AD140" s="251">
        <f t="shared" si="220"/>
        <v>-26.357940000000003</v>
      </c>
      <c r="AE140" s="251">
        <f t="shared" si="220"/>
        <v>-19.147393999999998</v>
      </c>
      <c r="AF140" s="251">
        <f t="shared" si="220"/>
        <v>-18.311423999999999</v>
      </c>
      <c r="AG140" s="251">
        <f t="shared" si="220"/>
        <v>-15.478835999999999</v>
      </c>
      <c r="AH140" s="251">
        <f t="shared" si="220"/>
        <v>-21.051971999999999</v>
      </c>
      <c r="AI140" s="251">
        <f t="shared" si="220"/>
        <v>-22.136963999999999</v>
      </c>
      <c r="AJ140" s="251">
        <f t="shared" si="220"/>
        <v>-24.987972000000003</v>
      </c>
      <c r="AK140" s="251">
        <f t="shared" si="220"/>
        <v>-36.216446000000005</v>
      </c>
      <c r="AL140" s="251">
        <f t="shared" si="220"/>
        <v>-48.136026999999999</v>
      </c>
      <c r="AM140" s="251">
        <f t="shared" si="220"/>
        <v>-48.601175000000005</v>
      </c>
      <c r="AN140" s="251">
        <f t="shared" si="220"/>
        <v>-47.25</v>
      </c>
      <c r="AO140" s="251">
        <f t="shared" si="220"/>
        <v>-48.875</v>
      </c>
      <c r="AP140" s="251">
        <f t="shared" si="220"/>
        <v>-105</v>
      </c>
      <c r="AQ140" s="251">
        <f t="shared" si="220"/>
        <v>-109.125</v>
      </c>
      <c r="AR140" s="251">
        <f t="shared" si="220"/>
        <v>-109.5</v>
      </c>
      <c r="AS140" s="251">
        <f t="shared" si="220"/>
        <v>-109.875</v>
      </c>
      <c r="AT140" s="251">
        <f t="shared" si="220"/>
        <v>-110.25</v>
      </c>
      <c r="AU140" s="251">
        <f t="shared" si="220"/>
        <v>-110.625</v>
      </c>
      <c r="AV140" s="251">
        <f t="shared" si="220"/>
        <v>-110.625</v>
      </c>
      <c r="AW140" s="251">
        <f t="shared" si="220"/>
        <v>-110.625</v>
      </c>
      <c r="AX140" s="251">
        <f t="shared" si="220"/>
        <v>-110.625</v>
      </c>
      <c r="AY140" s="251">
        <f t="shared" si="220"/>
        <v>-110.625</v>
      </c>
      <c r="BG140" s="4">
        <v>134</v>
      </c>
      <c r="BH140"/>
      <c r="BI140"/>
      <c r="BJ140"/>
      <c r="BK140"/>
      <c r="BL140"/>
      <c r="BM140"/>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c r="HF140" s="3"/>
      <c r="HG140" s="3"/>
      <c r="HH140" s="3"/>
      <c r="HI140" s="3"/>
      <c r="HJ140" s="3"/>
      <c r="HK140" s="3"/>
      <c r="HL140" s="3"/>
      <c r="HM140" s="3"/>
      <c r="HN140" s="3"/>
      <c r="HO140" s="3"/>
      <c r="HP140" s="3"/>
      <c r="HQ140" s="3"/>
      <c r="HR140" s="3"/>
      <c r="HS140" s="3"/>
      <c r="HT140" s="3"/>
      <c r="HU140" s="3"/>
      <c r="HV140" s="3"/>
      <c r="HW140" s="3"/>
      <c r="HX140" s="3"/>
      <c r="HY140" s="3"/>
      <c r="HZ140" s="3"/>
      <c r="IA140" s="3"/>
      <c r="IB140" s="3"/>
      <c r="IC140" s="3"/>
      <c r="ID140" s="3"/>
      <c r="IE140" s="3"/>
      <c r="IF140" s="3"/>
      <c r="IG140" s="3"/>
      <c r="IH140" s="3"/>
      <c r="II140" s="3"/>
      <c r="IJ140" s="3"/>
      <c r="IK140" s="3"/>
      <c r="IL140" s="3"/>
      <c r="IM140" s="3"/>
      <c r="IN140" s="3"/>
      <c r="IO140" s="3"/>
      <c r="IP140" s="3"/>
      <c r="IQ140" s="3"/>
      <c r="IR140" s="3"/>
      <c r="IS140" s="3"/>
      <c r="IT140" s="3"/>
      <c r="IU140" s="3"/>
      <c r="IV140" s="3"/>
      <c r="IW140" s="3"/>
    </row>
    <row r="141" spans="1:257" s="229" customFormat="1" ht="12.75" customHeight="1" outlineLevel="2">
      <c r="A141" s="248"/>
      <c r="B141" s="249" t="s">
        <v>260</v>
      </c>
      <c r="C141" s="246"/>
      <c r="D141" s="246"/>
      <c r="E141" s="246"/>
      <c r="F141" s="245"/>
      <c r="G141" s="245"/>
      <c r="H141" s="120">
        <f t="shared" si="218"/>
        <v>-147.467477</v>
      </c>
      <c r="I141" s="120">
        <f t="shared" si="218"/>
        <v>-65.148759999999996</v>
      </c>
      <c r="J141" s="120">
        <f t="shared" si="218"/>
        <v>-22.229459999999996</v>
      </c>
      <c r="K141" s="120">
        <f t="shared" si="219"/>
        <v>-46.927559999999993</v>
      </c>
      <c r="L141" s="120">
        <f t="shared" si="219"/>
        <v>-57</v>
      </c>
      <c r="M141" s="120">
        <f t="shared" si="219"/>
        <v>-81</v>
      </c>
      <c r="N141" s="120">
        <f t="shared" si="219"/>
        <v>-90</v>
      </c>
      <c r="O141" s="243"/>
      <c r="P141" s="5"/>
      <c r="Q141" s="5"/>
      <c r="R141" s="5"/>
      <c r="S141" s="5"/>
      <c r="T141" s="5"/>
      <c r="U141" s="5"/>
      <c r="V141" s="254"/>
      <c r="W141" s="254"/>
      <c r="X141" s="251">
        <f t="shared" ref="X141:AY141" si="221">-X137</f>
        <v>-32.237666999999995</v>
      </c>
      <c r="Y141" s="251">
        <f t="shared" si="221"/>
        <v>-37.457710000000006</v>
      </c>
      <c r="Z141" s="251">
        <f t="shared" si="221"/>
        <v>-40.200200000000002</v>
      </c>
      <c r="AA141" s="251">
        <f t="shared" si="221"/>
        <v>-37.571899999999999</v>
      </c>
      <c r="AB141" s="251">
        <f t="shared" si="221"/>
        <v>-24.69828</v>
      </c>
      <c r="AC141" s="251">
        <f t="shared" si="221"/>
        <v>-17.558619999999998</v>
      </c>
      <c r="AD141" s="251">
        <f t="shared" si="221"/>
        <v>-13.166669999999998</v>
      </c>
      <c r="AE141" s="251">
        <f t="shared" si="221"/>
        <v>-9.7251900000000013</v>
      </c>
      <c r="AF141" s="251">
        <f t="shared" si="221"/>
        <v>-6.7622399999999994</v>
      </c>
      <c r="AG141" s="251">
        <f t="shared" si="221"/>
        <v>-3.5895600000000001</v>
      </c>
      <c r="AH141" s="251">
        <f t="shared" si="221"/>
        <v>-5.7919200000000002</v>
      </c>
      <c r="AI141" s="251">
        <f t="shared" si="221"/>
        <v>-6.0857399999999995</v>
      </c>
      <c r="AJ141" s="251">
        <f t="shared" si="221"/>
        <v>-9.6898799999999987</v>
      </c>
      <c r="AK141" s="251">
        <f t="shared" si="221"/>
        <v>-11.594519999999999</v>
      </c>
      <c r="AL141" s="251">
        <f t="shared" si="221"/>
        <v>-12.89292</v>
      </c>
      <c r="AM141" s="251">
        <f t="shared" si="221"/>
        <v>-12.75024</v>
      </c>
      <c r="AN141" s="251">
        <f t="shared" si="221"/>
        <v>-12</v>
      </c>
      <c r="AO141" s="251">
        <f t="shared" si="221"/>
        <v>-13.5</v>
      </c>
      <c r="AP141" s="251">
        <f t="shared" si="221"/>
        <v>-15</v>
      </c>
      <c r="AQ141" s="251">
        <f t="shared" si="221"/>
        <v>-16.5</v>
      </c>
      <c r="AR141" s="251">
        <f t="shared" si="221"/>
        <v>-18</v>
      </c>
      <c r="AS141" s="251">
        <f t="shared" si="221"/>
        <v>-19.5</v>
      </c>
      <c r="AT141" s="251">
        <f t="shared" si="221"/>
        <v>-21</v>
      </c>
      <c r="AU141" s="251">
        <f t="shared" si="221"/>
        <v>-22.5</v>
      </c>
      <c r="AV141" s="251">
        <f t="shared" si="221"/>
        <v>-22.5</v>
      </c>
      <c r="AW141" s="251">
        <f t="shared" si="221"/>
        <v>-22.5</v>
      </c>
      <c r="AX141" s="251">
        <f t="shared" si="221"/>
        <v>-22.5</v>
      </c>
      <c r="AY141" s="251">
        <f t="shared" si="221"/>
        <v>-22.5</v>
      </c>
      <c r="BG141" s="4">
        <v>135</v>
      </c>
      <c r="BH141"/>
      <c r="BI141"/>
      <c r="BJ141"/>
      <c r="BK141"/>
      <c r="BL141"/>
      <c r="BM141"/>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c r="HF141" s="3"/>
      <c r="HG141" s="3"/>
      <c r="HH141" s="3"/>
      <c r="HI141" s="3"/>
      <c r="HJ141" s="3"/>
      <c r="HK141" s="3"/>
      <c r="HL141" s="3"/>
      <c r="HM141" s="3"/>
      <c r="HN141" s="3"/>
      <c r="HO141" s="3"/>
      <c r="HP141" s="3"/>
      <c r="HQ141" s="3"/>
      <c r="HR141" s="3"/>
      <c r="HS141" s="3"/>
      <c r="HT141" s="3"/>
      <c r="HU141" s="3"/>
      <c r="HV141" s="3"/>
      <c r="HW141" s="3"/>
      <c r="HX141" s="3"/>
      <c r="HY141" s="3"/>
      <c r="HZ141" s="3"/>
      <c r="IA141" s="3"/>
      <c r="IB141" s="3"/>
      <c r="IC141" s="3"/>
      <c r="ID141" s="3"/>
      <c r="IE141" s="3"/>
      <c r="IF141" s="3"/>
      <c r="IG141" s="3"/>
      <c r="IH141" s="3"/>
      <c r="II141" s="3"/>
      <c r="IJ141" s="3"/>
      <c r="IK141" s="3"/>
      <c r="IL141" s="3"/>
      <c r="IM141" s="3"/>
      <c r="IN141" s="3"/>
      <c r="IO141" s="3"/>
      <c r="IP141" s="3"/>
      <c r="IQ141" s="3"/>
      <c r="IR141" s="3"/>
      <c r="IS141" s="3"/>
      <c r="IT141" s="3"/>
      <c r="IU141" s="3"/>
      <c r="IV141" s="3"/>
      <c r="IW141" s="3"/>
    </row>
    <row r="142" spans="1:257" s="229" customFormat="1" ht="12.75" customHeight="1" outlineLevel="2">
      <c r="A142" s="248"/>
      <c r="B142" s="249" t="s">
        <v>259</v>
      </c>
      <c r="C142" s="246"/>
      <c r="D142" s="246"/>
      <c r="E142" s="246"/>
      <c r="F142" s="245"/>
      <c r="G142" s="245"/>
      <c r="H142" s="120">
        <f t="shared" si="218"/>
        <v>-276.72361545000001</v>
      </c>
      <c r="I142" s="120">
        <f t="shared" si="218"/>
        <v>-186.30765500000001</v>
      </c>
      <c r="J142" s="120">
        <f t="shared" si="218"/>
        <v>-187.23286099999999</v>
      </c>
      <c r="K142" s="120">
        <f t="shared" si="219"/>
        <v>-328.95824897</v>
      </c>
      <c r="L142" s="120">
        <f t="shared" si="219"/>
        <v>-562.225460601995</v>
      </c>
      <c r="M142" s="120">
        <f t="shared" si="219"/>
        <v>-733.2002</v>
      </c>
      <c r="N142" s="120">
        <f t="shared" si="219"/>
        <v>-732.14920000000006</v>
      </c>
      <c r="O142" s="243"/>
      <c r="P142" s="5"/>
      <c r="Q142" s="5"/>
      <c r="R142" s="5"/>
      <c r="S142" s="5"/>
      <c r="T142" s="251">
        <f t="shared" ref="T142:AY142" si="222">-T114</f>
        <v>0</v>
      </c>
      <c r="U142" s="251">
        <f t="shared" si="222"/>
        <v>0</v>
      </c>
      <c r="V142" s="251">
        <f t="shared" si="222"/>
        <v>0</v>
      </c>
      <c r="W142" s="251">
        <f t="shared" si="222"/>
        <v>0</v>
      </c>
      <c r="X142" s="251">
        <f t="shared" si="222"/>
        <v>-66.559098700000007</v>
      </c>
      <c r="Y142" s="251">
        <f t="shared" si="222"/>
        <v>-64.573579250000009</v>
      </c>
      <c r="Z142" s="251">
        <f t="shared" si="222"/>
        <v>-73.642029999999991</v>
      </c>
      <c r="AA142" s="251">
        <f t="shared" si="222"/>
        <v>-71.948907500000004</v>
      </c>
      <c r="AB142" s="251">
        <f t="shared" si="222"/>
        <v>-64.887373999999994</v>
      </c>
      <c r="AC142" s="251">
        <f t="shared" si="222"/>
        <v>-50.267908000000006</v>
      </c>
      <c r="AD142" s="251">
        <f t="shared" si="222"/>
        <v>-35.39423</v>
      </c>
      <c r="AE142" s="251">
        <f t="shared" si="222"/>
        <v>-35.758143000000004</v>
      </c>
      <c r="AF142" s="251">
        <f t="shared" si="222"/>
        <v>-41.606416000000003</v>
      </c>
      <c r="AG142" s="251">
        <f t="shared" si="222"/>
        <v>-33.796847500000005</v>
      </c>
      <c r="AH142" s="251">
        <f t="shared" si="222"/>
        <v>-52.65158499999999</v>
      </c>
      <c r="AI142" s="251">
        <f t="shared" si="222"/>
        <v>-59.178012499999994</v>
      </c>
      <c r="AJ142" s="251">
        <f t="shared" si="222"/>
        <v>-64.096848399999999</v>
      </c>
      <c r="AK142" s="251">
        <f t="shared" si="222"/>
        <v>-82.462759599999998</v>
      </c>
      <c r="AL142" s="251">
        <f t="shared" si="222"/>
        <v>-88.12745096999997</v>
      </c>
      <c r="AM142" s="251">
        <f t="shared" si="222"/>
        <v>-94.271190000000018</v>
      </c>
      <c r="AN142" s="251">
        <f t="shared" si="222"/>
        <v>-90.972619105386769</v>
      </c>
      <c r="AO142" s="251">
        <f t="shared" si="222"/>
        <v>-83.023741496608196</v>
      </c>
      <c r="AP142" s="251">
        <f t="shared" si="222"/>
        <v>-194.07780000000002</v>
      </c>
      <c r="AQ142" s="251">
        <f t="shared" si="222"/>
        <v>-194.15130000000002</v>
      </c>
      <c r="AR142" s="251">
        <f t="shared" si="222"/>
        <v>-187.50530000000001</v>
      </c>
      <c r="AS142" s="251">
        <f t="shared" si="222"/>
        <v>-180.75930000000002</v>
      </c>
      <c r="AT142" s="251">
        <f t="shared" si="222"/>
        <v>-181.89830000000001</v>
      </c>
      <c r="AU142" s="251">
        <f t="shared" si="222"/>
        <v>-183.03730000000002</v>
      </c>
      <c r="AV142" s="251">
        <f t="shared" si="222"/>
        <v>-183.03730000000002</v>
      </c>
      <c r="AW142" s="251">
        <f t="shared" si="222"/>
        <v>-183.03730000000002</v>
      </c>
      <c r="AX142" s="251">
        <f t="shared" si="222"/>
        <v>-183.03730000000002</v>
      </c>
      <c r="AY142" s="251">
        <f t="shared" si="222"/>
        <v>-183.03730000000002</v>
      </c>
      <c r="BG142" s="4">
        <v>136</v>
      </c>
      <c r="BH142"/>
      <c r="BI142"/>
      <c r="BJ142"/>
      <c r="BK142"/>
      <c r="BL142"/>
      <c r="BM142"/>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c r="HF142" s="3"/>
      <c r="HG142" s="3"/>
      <c r="HH142" s="3"/>
      <c r="HI142" s="3"/>
      <c r="HJ142" s="3"/>
      <c r="HK142" s="3"/>
      <c r="HL142" s="3"/>
      <c r="HM142" s="3"/>
      <c r="HN142" s="3"/>
      <c r="HO142" s="3"/>
      <c r="HP142" s="3"/>
      <c r="HQ142" s="3"/>
      <c r="HR142" s="3"/>
      <c r="HS142" s="3"/>
      <c r="HT142" s="3"/>
      <c r="HU142" s="3"/>
      <c r="HV142" s="3"/>
      <c r="HW142" s="3"/>
      <c r="HX142" s="3"/>
      <c r="HY142" s="3"/>
      <c r="HZ142" s="3"/>
      <c r="IA142" s="3"/>
      <c r="IB142" s="3"/>
      <c r="IC142" s="3"/>
      <c r="ID142" s="3"/>
      <c r="IE142" s="3"/>
      <c r="IF142" s="3"/>
      <c r="IG142" s="3"/>
      <c r="IH142" s="3"/>
      <c r="II142" s="3"/>
      <c r="IJ142" s="3"/>
      <c r="IK142" s="3"/>
      <c r="IL142" s="3"/>
      <c r="IM142" s="3"/>
      <c r="IN142" s="3"/>
      <c r="IO142" s="3"/>
      <c r="IP142" s="3"/>
      <c r="IQ142" s="3"/>
      <c r="IR142" s="3"/>
      <c r="IS142" s="3"/>
      <c r="IT142" s="3"/>
      <c r="IU142" s="3"/>
      <c r="IV142" s="3"/>
      <c r="IW142" s="3"/>
    </row>
    <row r="143" spans="1:257" s="229" customFormat="1" ht="12.75" customHeight="1" outlineLevel="2">
      <c r="A143" s="248"/>
      <c r="B143" s="249" t="s">
        <v>258</v>
      </c>
      <c r="C143" s="246"/>
      <c r="D143" s="246"/>
      <c r="E143" s="246"/>
      <c r="F143" s="245"/>
      <c r="G143" s="245"/>
      <c r="H143" s="120">
        <f t="shared" si="218"/>
        <v>-56.247</v>
      </c>
      <c r="I143" s="120">
        <f t="shared" si="218"/>
        <v>-67.745000000000005</v>
      </c>
      <c r="J143" s="120">
        <f t="shared" si="218"/>
        <v>-63.996999999999993</v>
      </c>
      <c r="K143" s="120">
        <f t="shared" si="219"/>
        <v>-53.843000000000004</v>
      </c>
      <c r="L143" s="120">
        <f t="shared" si="219"/>
        <v>-79.654662446303433</v>
      </c>
      <c r="M143" s="120">
        <f t="shared" si="219"/>
        <v>-108.04512141080717</v>
      </c>
      <c r="N143" s="120">
        <f t="shared" si="219"/>
        <v>-108.04512141080717</v>
      </c>
      <c r="O143" s="243"/>
      <c r="P143" s="5"/>
      <c r="Q143" s="5"/>
      <c r="R143" s="5"/>
      <c r="S143" s="5"/>
      <c r="T143" s="253">
        <f t="shared" ref="T143:AY143" si="223">T103</f>
        <v>-4</v>
      </c>
      <c r="U143" s="253">
        <f t="shared" si="223"/>
        <v>-7</v>
      </c>
      <c r="V143" s="251">
        <f t="shared" si="223"/>
        <v>-9.972999999999999</v>
      </c>
      <c r="W143" s="251">
        <f t="shared" si="223"/>
        <v>-13.222000000000001</v>
      </c>
      <c r="X143" s="251">
        <f t="shared" si="223"/>
        <v>-12.638999999999999</v>
      </c>
      <c r="Y143" s="251">
        <f t="shared" si="223"/>
        <v>-12.818999999999999</v>
      </c>
      <c r="Z143" s="251">
        <f t="shared" si="223"/>
        <v>-13.672000000000004</v>
      </c>
      <c r="AA143" s="251">
        <f t="shared" si="223"/>
        <v>-17.116999999999997</v>
      </c>
      <c r="AB143" s="251">
        <f t="shared" si="223"/>
        <v>-16.36</v>
      </c>
      <c r="AC143" s="251">
        <f t="shared" si="223"/>
        <v>-17.143000000000001</v>
      </c>
      <c r="AD143" s="251">
        <f t="shared" si="223"/>
        <v>-17.177999999999997</v>
      </c>
      <c r="AE143" s="251">
        <f t="shared" si="223"/>
        <v>-17.064000000000007</v>
      </c>
      <c r="AF143" s="251">
        <f t="shared" si="223"/>
        <v>-17.803000000000001</v>
      </c>
      <c r="AG143" s="251">
        <f t="shared" si="223"/>
        <v>-17.352999999999998</v>
      </c>
      <c r="AH143" s="251">
        <f t="shared" si="223"/>
        <v>-15.974</v>
      </c>
      <c r="AI143" s="251">
        <f t="shared" si="223"/>
        <v>-12.866999999999997</v>
      </c>
      <c r="AJ143" s="251">
        <f t="shared" si="223"/>
        <v>-13.714</v>
      </c>
      <c r="AK143" s="251">
        <f t="shared" si="223"/>
        <v>-13.485000000000001</v>
      </c>
      <c r="AL143" s="251">
        <f t="shared" si="223"/>
        <v>-13.426</v>
      </c>
      <c r="AM143" s="251">
        <f t="shared" si="223"/>
        <v>-13.218000000000002</v>
      </c>
      <c r="AN143" s="251">
        <f t="shared" si="223"/>
        <v>-12.816050870449923</v>
      </c>
      <c r="AO143" s="251">
        <f t="shared" si="223"/>
        <v>-12.816050870449923</v>
      </c>
      <c r="AP143" s="251">
        <f t="shared" si="223"/>
        <v>-27.011280352701792</v>
      </c>
      <c r="AQ143" s="251">
        <f t="shared" si="223"/>
        <v>-27.011280352701792</v>
      </c>
      <c r="AR143" s="251">
        <f t="shared" si="223"/>
        <v>-27.011280352701792</v>
      </c>
      <c r="AS143" s="251">
        <f t="shared" si="223"/>
        <v>-27.011280352701792</v>
      </c>
      <c r="AT143" s="251">
        <f t="shared" si="223"/>
        <v>-27.011280352701792</v>
      </c>
      <c r="AU143" s="251">
        <f t="shared" si="223"/>
        <v>-27.011280352701792</v>
      </c>
      <c r="AV143" s="251">
        <f t="shared" si="223"/>
        <v>-27.011280352701792</v>
      </c>
      <c r="AW143" s="251">
        <f t="shared" si="223"/>
        <v>-27.011280352701792</v>
      </c>
      <c r="AX143" s="251">
        <f t="shared" si="223"/>
        <v>-27.011280352701792</v>
      </c>
      <c r="AY143" s="251">
        <f t="shared" si="223"/>
        <v>-27.011280352701792</v>
      </c>
      <c r="BG143" s="4">
        <v>137</v>
      </c>
      <c r="BH143"/>
      <c r="BI143"/>
      <c r="BJ143"/>
      <c r="BK143"/>
      <c r="BL143"/>
      <c r="BM14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c r="HF143" s="3"/>
      <c r="HG143" s="3"/>
      <c r="HH143" s="3"/>
      <c r="HI143" s="3"/>
      <c r="HJ143" s="3"/>
      <c r="HK143" s="3"/>
      <c r="HL143" s="3"/>
      <c r="HM143" s="3"/>
      <c r="HN143" s="3"/>
      <c r="HO143" s="3"/>
      <c r="HP143" s="3"/>
      <c r="HQ143" s="3"/>
      <c r="HR143" s="3"/>
      <c r="HS143" s="3"/>
      <c r="HT143" s="3"/>
      <c r="HU143" s="3"/>
      <c r="HV143" s="3"/>
      <c r="HW143" s="3"/>
      <c r="HX143" s="3"/>
      <c r="HY143" s="3"/>
      <c r="HZ143" s="3"/>
      <c r="IA143" s="3"/>
      <c r="IB143" s="3"/>
      <c r="IC143" s="3"/>
      <c r="ID143" s="3"/>
      <c r="IE143" s="3"/>
      <c r="IF143" s="3"/>
      <c r="IG143" s="3"/>
      <c r="IH143" s="3"/>
      <c r="II143" s="3"/>
      <c r="IJ143" s="3"/>
      <c r="IK143" s="3"/>
      <c r="IL143" s="3"/>
      <c r="IM143" s="3"/>
      <c r="IN143" s="3"/>
      <c r="IO143" s="3"/>
      <c r="IP143" s="3"/>
      <c r="IQ143" s="3"/>
      <c r="IR143" s="3"/>
      <c r="IS143" s="3"/>
      <c r="IT143" s="3"/>
      <c r="IU143" s="3"/>
      <c r="IV143" s="3"/>
      <c r="IW143" s="3"/>
    </row>
    <row r="144" spans="1:257" s="229" customFormat="1" ht="12.75" customHeight="1" outlineLevel="2">
      <c r="A144" s="248"/>
      <c r="B144" s="249" t="s">
        <v>257</v>
      </c>
      <c r="C144" s="246"/>
      <c r="D144" s="246"/>
      <c r="E144" s="246"/>
      <c r="F144" s="245"/>
      <c r="G144" s="245"/>
      <c r="H144" s="120">
        <f t="shared" si="218"/>
        <v>-32.357260300000114</v>
      </c>
      <c r="I144" s="120">
        <f t="shared" si="218"/>
        <v>-22.076000000000008</v>
      </c>
      <c r="J144" s="120">
        <f t="shared" si="218"/>
        <v>-7.5529999999999973</v>
      </c>
      <c r="K144" s="120">
        <f t="shared" si="219"/>
        <v>0</v>
      </c>
      <c r="L144" s="120">
        <f t="shared" si="219"/>
        <v>0</v>
      </c>
      <c r="M144" s="120">
        <f t="shared" si="219"/>
        <v>0</v>
      </c>
      <c r="N144" s="120">
        <f t="shared" si="219"/>
        <v>0</v>
      </c>
      <c r="O144" s="243"/>
      <c r="P144" s="5"/>
      <c r="Q144" s="5"/>
      <c r="R144" s="5"/>
      <c r="S144" s="5"/>
      <c r="T144" s="202">
        <f t="shared" ref="T144:AG144" si="224">T227</f>
        <v>-4.5139999999999949</v>
      </c>
      <c r="U144" s="202">
        <f t="shared" si="224"/>
        <v>-6.5400000000000063</v>
      </c>
      <c r="V144" s="251">
        <f t="shared" si="224"/>
        <v>-5.7149999999999848</v>
      </c>
      <c r="W144" s="251">
        <f t="shared" si="224"/>
        <v>-5.6659999999999853</v>
      </c>
      <c r="X144" s="251">
        <f t="shared" si="224"/>
        <v>-6.7590000000000217</v>
      </c>
      <c r="Y144" s="251">
        <f t="shared" si="224"/>
        <v>-6.5162603000000701</v>
      </c>
      <c r="Z144" s="251">
        <f t="shared" si="224"/>
        <v>-8.0280000000000129</v>
      </c>
      <c r="AA144" s="251">
        <f t="shared" si="224"/>
        <v>-11.054000000000009</v>
      </c>
      <c r="AB144" s="251">
        <f t="shared" si="224"/>
        <v>-6.2909999999999968</v>
      </c>
      <c r="AC144" s="251">
        <f t="shared" si="224"/>
        <v>-5.7940000000000111</v>
      </c>
      <c r="AD144" s="251">
        <f t="shared" si="224"/>
        <v>-4.7259999999999991</v>
      </c>
      <c r="AE144" s="251">
        <f t="shared" si="224"/>
        <v>-5.2650000000000006</v>
      </c>
      <c r="AF144" s="251">
        <f t="shared" si="224"/>
        <v>-3.9080000000000013</v>
      </c>
      <c r="AG144" s="251">
        <f t="shared" si="224"/>
        <v>-3.644999999999996</v>
      </c>
      <c r="AH144" s="252">
        <v>0</v>
      </c>
      <c r="AI144" s="252">
        <v>0</v>
      </c>
      <c r="AJ144" s="252">
        <v>0</v>
      </c>
      <c r="AK144" s="252">
        <v>0</v>
      </c>
      <c r="AL144" s="252">
        <v>0</v>
      </c>
      <c r="AM144" s="252">
        <v>0</v>
      </c>
      <c r="AN144" s="252">
        <v>0</v>
      </c>
      <c r="AO144" s="252">
        <v>0</v>
      </c>
      <c r="AP144" s="252">
        <v>0</v>
      </c>
      <c r="AQ144" s="252">
        <v>0</v>
      </c>
      <c r="AR144" s="252">
        <v>0</v>
      </c>
      <c r="AS144" s="252">
        <v>0</v>
      </c>
      <c r="AT144" s="252">
        <v>0</v>
      </c>
      <c r="AU144" s="252">
        <v>0</v>
      </c>
      <c r="AV144" s="252">
        <v>0</v>
      </c>
      <c r="AW144" s="252">
        <v>0</v>
      </c>
      <c r="AX144" s="252">
        <v>0</v>
      </c>
      <c r="AY144" s="252">
        <v>0</v>
      </c>
      <c r="BG144" s="4">
        <v>138</v>
      </c>
      <c r="BH144"/>
      <c r="BI144"/>
      <c r="BJ144"/>
      <c r="BK144"/>
      <c r="BL144"/>
      <c r="BM144"/>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c r="HF144" s="3"/>
      <c r="HG144" s="3"/>
      <c r="HH144" s="3"/>
      <c r="HI144" s="3"/>
      <c r="HJ144" s="3"/>
      <c r="HK144" s="3"/>
      <c r="HL144" s="3"/>
      <c r="HM144" s="3"/>
      <c r="HN144" s="3"/>
      <c r="HO144" s="3"/>
      <c r="HP144" s="3"/>
      <c r="HQ144" s="3"/>
      <c r="HR144" s="3"/>
      <c r="HS144" s="3"/>
      <c r="HT144" s="3"/>
      <c r="HU144" s="3"/>
      <c r="HV144" s="3"/>
      <c r="HW144" s="3"/>
      <c r="HX144" s="3"/>
      <c r="HY144" s="3"/>
      <c r="HZ144" s="3"/>
      <c r="IA144" s="3"/>
      <c r="IB144" s="3"/>
      <c r="IC144" s="3"/>
      <c r="ID144" s="3"/>
      <c r="IE144" s="3"/>
      <c r="IF144" s="3"/>
      <c r="IG144" s="3"/>
      <c r="IH144" s="3"/>
      <c r="II144" s="3"/>
      <c r="IJ144" s="3"/>
      <c r="IK144" s="3"/>
      <c r="IL144" s="3"/>
      <c r="IM144" s="3"/>
      <c r="IN144" s="3"/>
      <c r="IO144" s="3"/>
      <c r="IP144" s="3"/>
      <c r="IQ144" s="3"/>
      <c r="IR144" s="3"/>
      <c r="IS144" s="3"/>
      <c r="IT144" s="3"/>
      <c r="IU144" s="3"/>
      <c r="IV144" s="3"/>
      <c r="IW144" s="3"/>
    </row>
    <row r="145" spans="1:257" s="229" customFormat="1" ht="12.75" customHeight="1" outlineLevel="2">
      <c r="A145" s="248"/>
      <c r="B145" s="249" t="s">
        <v>256</v>
      </c>
      <c r="C145" s="246"/>
      <c r="D145" s="246"/>
      <c r="E145" s="246"/>
      <c r="F145" s="245"/>
      <c r="G145" s="245"/>
      <c r="H145" s="120">
        <f t="shared" si="218"/>
        <v>-108.98669230000002</v>
      </c>
      <c r="I145" s="120">
        <f t="shared" si="218"/>
        <v>-92.231425999999971</v>
      </c>
      <c r="J145" s="120">
        <f t="shared" si="218"/>
        <v>-29.304483000000019</v>
      </c>
      <c r="K145" s="120">
        <f t="shared" si="219"/>
        <v>-3.0365710300000046</v>
      </c>
      <c r="L145" s="120">
        <f t="shared" si="219"/>
        <v>-12</v>
      </c>
      <c r="M145" s="120">
        <f t="shared" si="219"/>
        <v>-8</v>
      </c>
      <c r="N145" s="120">
        <f t="shared" si="219"/>
        <v>-8</v>
      </c>
      <c r="O145" s="243"/>
      <c r="P145" s="5"/>
      <c r="Q145" s="5"/>
      <c r="R145" s="5"/>
      <c r="S145" s="5"/>
      <c r="T145" s="202"/>
      <c r="U145" s="202"/>
      <c r="V145" s="251"/>
      <c r="W145" s="251"/>
      <c r="X145" s="137">
        <f t="shared" ref="X145:AM145" si="225">X146-SUM(X140:X144)</f>
        <v>-19.700651799999974</v>
      </c>
      <c r="Y145" s="137">
        <f t="shared" si="225"/>
        <v>-31.223703</v>
      </c>
      <c r="Z145" s="137">
        <f t="shared" si="225"/>
        <v>-31.445095000000038</v>
      </c>
      <c r="AA145" s="137">
        <f t="shared" si="225"/>
        <v>-26.617242500000003</v>
      </c>
      <c r="AB145" s="137">
        <f t="shared" si="225"/>
        <v>-32.363796000000008</v>
      </c>
      <c r="AC145" s="137">
        <f t="shared" si="225"/>
        <v>-26.117196999999976</v>
      </c>
      <c r="AD145" s="137">
        <f t="shared" si="225"/>
        <v>-22.699160000000006</v>
      </c>
      <c r="AE145" s="137">
        <f t="shared" si="225"/>
        <v>-11.051272999999981</v>
      </c>
      <c r="AF145" s="137">
        <f t="shared" si="225"/>
        <v>-16.38791999999998</v>
      </c>
      <c r="AG145" s="137">
        <f t="shared" si="225"/>
        <v>-15.512756500000009</v>
      </c>
      <c r="AH145" s="137">
        <f t="shared" si="225"/>
        <v>-1.3145230000000083</v>
      </c>
      <c r="AI145" s="137">
        <f t="shared" si="225"/>
        <v>3.9107164999999782</v>
      </c>
      <c r="AJ145" s="137">
        <f t="shared" si="225"/>
        <v>-1.1582996000000207</v>
      </c>
      <c r="AK145" s="137">
        <f t="shared" si="225"/>
        <v>-0.68027439999994499</v>
      </c>
      <c r="AL145" s="137">
        <f t="shared" si="225"/>
        <v>-2.0676020300000459</v>
      </c>
      <c r="AM145" s="137">
        <f t="shared" si="225"/>
        <v>0.86960500000000707</v>
      </c>
      <c r="AN145" s="250">
        <v>-5</v>
      </c>
      <c r="AO145" s="250">
        <v>-3</v>
      </c>
      <c r="AP145" s="250">
        <v>-2</v>
      </c>
      <c r="AQ145" s="250">
        <v>-2</v>
      </c>
      <c r="AR145" s="250">
        <v>-2</v>
      </c>
      <c r="AS145" s="250">
        <v>-2</v>
      </c>
      <c r="AT145" s="250">
        <v>-2</v>
      </c>
      <c r="AU145" s="250">
        <v>-2</v>
      </c>
      <c r="AV145" s="250">
        <v>-2</v>
      </c>
      <c r="AW145" s="250">
        <v>-2</v>
      </c>
      <c r="AX145" s="250">
        <v>-2</v>
      </c>
      <c r="AY145" s="250">
        <v>-2</v>
      </c>
      <c r="BG145" s="4">
        <v>139</v>
      </c>
      <c r="BH145"/>
      <c r="BI145"/>
      <c r="BJ145"/>
      <c r="BK145"/>
      <c r="BL145"/>
      <c r="BM145"/>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c r="HF145" s="3"/>
      <c r="HG145" s="3"/>
      <c r="HH145" s="3"/>
      <c r="HI145" s="3"/>
      <c r="HJ145" s="3"/>
      <c r="HK145" s="3"/>
      <c r="HL145" s="3"/>
      <c r="HM145" s="3"/>
      <c r="HN145" s="3"/>
      <c r="HO145" s="3"/>
      <c r="HP145" s="3"/>
      <c r="HQ145" s="3"/>
      <c r="HR145" s="3"/>
      <c r="HS145" s="3"/>
      <c r="HT145" s="3"/>
      <c r="HU145" s="3"/>
      <c r="HV145" s="3"/>
      <c r="HW145" s="3"/>
      <c r="HX145" s="3"/>
      <c r="HY145" s="3"/>
      <c r="HZ145" s="3"/>
      <c r="IA145" s="3"/>
      <c r="IB145" s="3"/>
      <c r="IC145" s="3"/>
      <c r="ID145" s="3"/>
      <c r="IE145" s="3"/>
      <c r="IF145" s="3"/>
      <c r="IG145" s="3"/>
      <c r="IH145" s="3"/>
      <c r="II145" s="3"/>
      <c r="IJ145" s="3"/>
      <c r="IK145" s="3"/>
      <c r="IL145" s="3"/>
      <c r="IM145" s="3"/>
      <c r="IN145" s="3"/>
      <c r="IO145" s="3"/>
      <c r="IP145" s="3"/>
      <c r="IQ145" s="3"/>
      <c r="IR145" s="3"/>
      <c r="IS145" s="3"/>
      <c r="IT145" s="3"/>
      <c r="IU145" s="3"/>
      <c r="IV145" s="3"/>
      <c r="IW145" s="3"/>
    </row>
    <row r="146" spans="1:257" s="229" customFormat="1" ht="12.75" customHeight="1" outlineLevel="2">
      <c r="A146" s="248"/>
      <c r="B146" s="249" t="s">
        <v>255</v>
      </c>
      <c r="C146" s="246"/>
      <c r="D146" s="246"/>
      <c r="E146" s="246"/>
      <c r="F146" s="245"/>
      <c r="G146" s="245"/>
      <c r="H146" s="120">
        <f t="shared" si="218"/>
        <v>-801.4445363000001</v>
      </c>
      <c r="I146" s="120">
        <f t="shared" si="218"/>
        <v>-556.93299999999999</v>
      </c>
      <c r="J146" s="120">
        <f t="shared" si="218"/>
        <v>-387.29599999999994</v>
      </c>
      <c r="K146" s="120">
        <f t="shared" si="219"/>
        <v>-590.70699999999999</v>
      </c>
      <c r="L146" s="120">
        <f t="shared" si="219"/>
        <v>-1021.1301230482984</v>
      </c>
      <c r="M146" s="120">
        <f t="shared" si="219"/>
        <v>-1370.4953214108073</v>
      </c>
      <c r="N146" s="120">
        <f t="shared" si="219"/>
        <v>-1380.6943214108073</v>
      </c>
      <c r="O146" s="243"/>
      <c r="P146" s="5"/>
      <c r="Q146" s="5"/>
      <c r="R146" s="5"/>
      <c r="S146" s="5"/>
      <c r="T146" s="137">
        <f t="shared" ref="T146:AM146" si="226">-T46*T44/1000</f>
        <v>-112.98300000000002</v>
      </c>
      <c r="U146" s="137">
        <f t="shared" si="226"/>
        <v>-115.03599999999999</v>
      </c>
      <c r="V146" s="137">
        <f t="shared" si="226"/>
        <v>-149.73199999999997</v>
      </c>
      <c r="W146" s="137">
        <f t="shared" si="226"/>
        <v>-182.14099999999996</v>
      </c>
      <c r="X146" s="137">
        <f t="shared" si="226"/>
        <v>-177.48</v>
      </c>
      <c r="Y146" s="137">
        <f t="shared" si="226"/>
        <v>-196.76853630000011</v>
      </c>
      <c r="Z146" s="137">
        <f t="shared" si="226"/>
        <v>-215.60400000000004</v>
      </c>
      <c r="AA146" s="137">
        <f t="shared" si="226"/>
        <v>-211.59200000000001</v>
      </c>
      <c r="AB146" s="137">
        <f t="shared" si="226"/>
        <v>-189.04999999999998</v>
      </c>
      <c r="AC146" s="137">
        <f t="shared" si="226"/>
        <v>-150.35</v>
      </c>
      <c r="AD146" s="137">
        <f t="shared" si="226"/>
        <v>-119.52200000000001</v>
      </c>
      <c r="AE146" s="137">
        <f t="shared" si="226"/>
        <v>-98.010999999999996</v>
      </c>
      <c r="AF146" s="137">
        <f t="shared" si="226"/>
        <v>-104.77899999999998</v>
      </c>
      <c r="AG146" s="137">
        <f t="shared" si="226"/>
        <v>-89.376000000000005</v>
      </c>
      <c r="AH146" s="137">
        <f t="shared" si="226"/>
        <v>-96.784000000000006</v>
      </c>
      <c r="AI146" s="137">
        <f t="shared" si="226"/>
        <v>-96.356999999999999</v>
      </c>
      <c r="AJ146" s="137">
        <f t="shared" si="226"/>
        <v>-113.64700000000002</v>
      </c>
      <c r="AK146" s="137">
        <f t="shared" si="226"/>
        <v>-144.43899999999996</v>
      </c>
      <c r="AL146" s="137">
        <f t="shared" si="226"/>
        <v>-164.65</v>
      </c>
      <c r="AM146" s="137">
        <f t="shared" si="226"/>
        <v>-167.971</v>
      </c>
      <c r="AN146" s="137">
        <f t="shared" ref="AN146:AY146" si="227">SUM(AN140:AN145)</f>
        <v>-168.03866997583668</v>
      </c>
      <c r="AO146" s="137">
        <f t="shared" si="227"/>
        <v>-161.2147923670581</v>
      </c>
      <c r="AP146" s="137">
        <f t="shared" si="227"/>
        <v>-343.08908035270184</v>
      </c>
      <c r="AQ146" s="137">
        <f t="shared" si="227"/>
        <v>-348.78758035270181</v>
      </c>
      <c r="AR146" s="137">
        <f t="shared" si="227"/>
        <v>-344.01658035270185</v>
      </c>
      <c r="AS146" s="137">
        <f t="shared" si="227"/>
        <v>-339.14558035270187</v>
      </c>
      <c r="AT146" s="137">
        <f t="shared" si="227"/>
        <v>-342.15958035270182</v>
      </c>
      <c r="AU146" s="137">
        <f t="shared" si="227"/>
        <v>-345.17358035270183</v>
      </c>
      <c r="AV146" s="137">
        <f t="shared" si="227"/>
        <v>-345.17358035270183</v>
      </c>
      <c r="AW146" s="137">
        <f t="shared" si="227"/>
        <v>-345.17358035270183</v>
      </c>
      <c r="AX146" s="137">
        <f t="shared" si="227"/>
        <v>-345.17358035270183</v>
      </c>
      <c r="AY146" s="137">
        <f t="shared" si="227"/>
        <v>-345.17358035270183</v>
      </c>
      <c r="BG146" s="4">
        <v>140</v>
      </c>
      <c r="BH146"/>
      <c r="BI146"/>
      <c r="BJ146"/>
      <c r="BK146"/>
      <c r="BL146"/>
      <c r="BM146"/>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c r="HF146" s="3"/>
      <c r="HG146" s="3"/>
      <c r="HH146" s="3"/>
      <c r="HI146" s="3"/>
      <c r="HJ146" s="3"/>
      <c r="HK146" s="3"/>
      <c r="HL146" s="3"/>
      <c r="HM146" s="3"/>
      <c r="HN146" s="3"/>
      <c r="HO146" s="3"/>
      <c r="HP146" s="3"/>
      <c r="HQ146" s="3"/>
      <c r="HR146" s="3"/>
      <c r="HS146" s="3"/>
      <c r="HT146" s="3"/>
      <c r="HU146" s="3"/>
      <c r="HV146" s="3"/>
      <c r="HW146" s="3"/>
      <c r="HX146" s="3"/>
      <c r="HY146" s="3"/>
      <c r="HZ146" s="3"/>
      <c r="IA146" s="3"/>
      <c r="IB146" s="3"/>
      <c r="IC146" s="3"/>
      <c r="ID146" s="3"/>
      <c r="IE146" s="3"/>
      <c r="IF146" s="3"/>
      <c r="IG146" s="3"/>
      <c r="IH146" s="3"/>
      <c r="II146" s="3"/>
      <c r="IJ146" s="3"/>
      <c r="IK146" s="3"/>
      <c r="IL146" s="3"/>
      <c r="IM146" s="3"/>
      <c r="IN146" s="3"/>
      <c r="IO146" s="3"/>
      <c r="IP146" s="3"/>
      <c r="IQ146" s="3"/>
      <c r="IR146" s="3"/>
      <c r="IS146" s="3"/>
      <c r="IT146" s="3"/>
      <c r="IU146" s="3"/>
      <c r="IV146" s="3"/>
      <c r="IW146" s="3"/>
    </row>
    <row r="147" spans="1:257" s="229" customFormat="1" ht="12.75" customHeight="1" outlineLevel="2">
      <c r="A147" s="248"/>
      <c r="B147" s="247"/>
      <c r="C147" s="246"/>
      <c r="D147" s="246"/>
      <c r="E147" s="246"/>
      <c r="F147" s="245"/>
      <c r="G147" s="245"/>
      <c r="H147" s="244"/>
      <c r="I147" s="244"/>
      <c r="J147" s="244"/>
      <c r="K147" s="244"/>
      <c r="L147" s="244"/>
      <c r="M147" s="244"/>
      <c r="N147" s="244"/>
      <c r="O147" s="243"/>
      <c r="P147" s="5"/>
      <c r="Q147" s="5"/>
      <c r="R147" s="5"/>
      <c r="S147" s="5"/>
      <c r="T147" s="137"/>
      <c r="U147" s="137"/>
      <c r="V147" s="137"/>
      <c r="W147" s="137"/>
      <c r="X147" s="137"/>
      <c r="Y147" s="137"/>
      <c r="Z147" s="137"/>
      <c r="AA147" s="137"/>
      <c r="AB147" s="137"/>
      <c r="AC147" s="137"/>
      <c r="AD147" s="137"/>
      <c r="AE147" s="137"/>
      <c r="AF147" s="137"/>
      <c r="AG147" s="137"/>
      <c r="AH147" s="137"/>
      <c r="AI147" s="137"/>
      <c r="AJ147" s="137"/>
      <c r="AK147" s="137"/>
      <c r="AL147" s="137"/>
      <c r="AM147" s="137"/>
      <c r="AN147" s="137"/>
      <c r="AO147" s="137"/>
      <c r="AP147" s="137"/>
      <c r="AQ147" s="137"/>
      <c r="AR147" s="137"/>
      <c r="AS147" s="137"/>
      <c r="AT147" s="137"/>
      <c r="AU147" s="137"/>
      <c r="AV147" s="137"/>
      <c r="AW147" s="137"/>
      <c r="AX147" s="137"/>
      <c r="AY147" s="137"/>
      <c r="BG147" s="4">
        <v>141</v>
      </c>
      <c r="BH147"/>
      <c r="BI147"/>
      <c r="BJ147"/>
      <c r="BK147"/>
      <c r="BL147"/>
      <c r="BM147"/>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c r="HF147" s="3"/>
      <c r="HG147" s="3"/>
      <c r="HH147" s="3"/>
      <c r="HI147" s="3"/>
      <c r="HJ147" s="3"/>
      <c r="HK147" s="3"/>
      <c r="HL147" s="3"/>
      <c r="HM147" s="3"/>
      <c r="HN147" s="3"/>
      <c r="HO147" s="3"/>
      <c r="HP147" s="3"/>
      <c r="HQ147" s="3"/>
      <c r="HR147" s="3"/>
      <c r="HS147" s="3"/>
      <c r="HT147" s="3"/>
      <c r="HU147" s="3"/>
      <c r="HV147" s="3"/>
      <c r="HW147" s="3"/>
      <c r="HX147" s="3"/>
      <c r="HY147" s="3"/>
      <c r="HZ147" s="3"/>
      <c r="IA147" s="3"/>
      <c r="IB147" s="3"/>
      <c r="IC147" s="3"/>
      <c r="ID147" s="3"/>
      <c r="IE147" s="3"/>
      <c r="IF147" s="3"/>
      <c r="IG147" s="3"/>
      <c r="IH147" s="3"/>
      <c r="II147" s="3"/>
      <c r="IJ147" s="3"/>
      <c r="IK147" s="3"/>
      <c r="IL147" s="3"/>
      <c r="IM147" s="3"/>
      <c r="IN147" s="3"/>
      <c r="IO147" s="3"/>
      <c r="IP147" s="3"/>
      <c r="IQ147" s="3"/>
      <c r="IR147" s="3"/>
      <c r="IS147" s="3"/>
      <c r="IT147" s="3"/>
      <c r="IU147" s="3"/>
      <c r="IV147" s="3"/>
      <c r="IW147" s="3"/>
    </row>
    <row r="148" spans="1:257" s="234" customFormat="1" ht="12.75" customHeight="1" outlineLevel="2">
      <c r="A148" s="240"/>
      <c r="B148" s="239" t="s">
        <v>254</v>
      </c>
      <c r="C148" s="238"/>
      <c r="D148" s="238"/>
      <c r="E148" s="238"/>
      <c r="F148" s="237"/>
      <c r="G148" s="237"/>
      <c r="H148" s="242">
        <f t="shared" ref="H148:N148" si="228">H94</f>
        <v>171.46480488592243</v>
      </c>
      <c r="I148" s="242">
        <f t="shared" si="228"/>
        <v>114.46013851604141</v>
      </c>
      <c r="J148" s="242">
        <f t="shared" si="228"/>
        <v>64.871137391458333</v>
      </c>
      <c r="K148" s="242">
        <f t="shared" si="228"/>
        <v>81.217373757304586</v>
      </c>
      <c r="L148" s="242">
        <f t="shared" si="228"/>
        <v>79.767192437615506</v>
      </c>
      <c r="M148" s="242">
        <f t="shared" si="228"/>
        <v>68.461039434664613</v>
      </c>
      <c r="N148" s="242">
        <f t="shared" si="228"/>
        <v>68.582678217200211</v>
      </c>
      <c r="O148" s="236"/>
      <c r="P148" s="9"/>
      <c r="Q148" s="9"/>
      <c r="R148" s="9"/>
      <c r="S148" s="9"/>
      <c r="T148" s="242">
        <f t="shared" ref="T148:AY148" si="229">T94</f>
        <v>185.86507936507937</v>
      </c>
      <c r="U148" s="242">
        <f t="shared" si="229"/>
        <v>169.56838365896979</v>
      </c>
      <c r="V148" s="242">
        <f t="shared" si="229"/>
        <v>152.23298118987421</v>
      </c>
      <c r="W148" s="242">
        <f t="shared" si="229"/>
        <v>154.24330712713916</v>
      </c>
      <c r="X148" s="242">
        <f t="shared" si="229"/>
        <v>168.31047794933798</v>
      </c>
      <c r="Y148" s="242">
        <f t="shared" si="229"/>
        <v>170.15416556330123</v>
      </c>
      <c r="Z148" s="242">
        <f t="shared" si="229"/>
        <v>175.18012081245789</v>
      </c>
      <c r="AA148" s="242">
        <f t="shared" si="229"/>
        <v>171.51002634141906</v>
      </c>
      <c r="AB148" s="242">
        <f t="shared" si="229"/>
        <v>153.47118249791055</v>
      </c>
      <c r="AC148" s="242">
        <f t="shared" si="229"/>
        <v>118.05305014823296</v>
      </c>
      <c r="AD148" s="242">
        <f t="shared" si="229"/>
        <v>96.688587954900868</v>
      </c>
      <c r="AE148" s="242">
        <f t="shared" si="229"/>
        <v>78.586151201568214</v>
      </c>
      <c r="AF148" s="242">
        <f t="shared" si="229"/>
        <v>76.976864278823967</v>
      </c>
      <c r="AG148" s="242">
        <f t="shared" si="229"/>
        <v>63.649747306580416</v>
      </c>
      <c r="AH148" s="242">
        <f t="shared" si="229"/>
        <v>58.79164194214205</v>
      </c>
      <c r="AI148" s="242">
        <f t="shared" si="229"/>
        <v>61.492985216943026</v>
      </c>
      <c r="AJ148" s="242">
        <f t="shared" si="229"/>
        <v>67.709216258126105</v>
      </c>
      <c r="AK148" s="242">
        <f t="shared" si="229"/>
        <v>76.853703425233931</v>
      </c>
      <c r="AL148" s="242">
        <f t="shared" si="229"/>
        <v>88.203519580043448</v>
      </c>
      <c r="AM148" s="242">
        <f t="shared" ref="AM148" si="230">AM94</f>
        <v>88.287525970308323</v>
      </c>
      <c r="AN148" s="242">
        <f t="shared" si="229"/>
        <v>92.885689563956859</v>
      </c>
      <c r="AO148" s="242">
        <f t="shared" si="229"/>
        <v>88.421722607515903</v>
      </c>
      <c r="AP148" s="242">
        <f t="shared" si="229"/>
        <v>75.896655857142846</v>
      </c>
      <c r="AQ148" s="242">
        <f t="shared" si="229"/>
        <v>75.337766577574101</v>
      </c>
      <c r="AR148" s="242">
        <f t="shared" si="229"/>
        <v>70.984897513952276</v>
      </c>
      <c r="AS148" s="242">
        <f t="shared" si="229"/>
        <v>66.661740867146975</v>
      </c>
      <c r="AT148" s="242">
        <f t="shared" si="229"/>
        <v>67.625476442428791</v>
      </c>
      <c r="AU148" s="242">
        <f t="shared" si="229"/>
        <v>68.582678217200211</v>
      </c>
      <c r="AV148" s="242">
        <f t="shared" si="229"/>
        <v>68.582678217200211</v>
      </c>
      <c r="AW148" s="242">
        <f t="shared" si="229"/>
        <v>68.582678217200211</v>
      </c>
      <c r="AX148" s="242">
        <f t="shared" si="229"/>
        <v>68.582678217200211</v>
      </c>
      <c r="AY148" s="242">
        <f t="shared" si="229"/>
        <v>68.582678217200211</v>
      </c>
      <c r="BG148" s="4">
        <v>142</v>
      </c>
      <c r="BH148"/>
      <c r="BI148"/>
      <c r="BJ148"/>
      <c r="BK148"/>
      <c r="BL148"/>
      <c r="BM148"/>
      <c r="BN148" s="170"/>
      <c r="BO148" s="170"/>
      <c r="BP148" s="170"/>
      <c r="BQ148" s="170"/>
      <c r="BR148" s="170"/>
      <c r="BS148" s="170"/>
      <c r="BT148" s="170"/>
      <c r="BU148" s="170"/>
      <c r="BV148" s="170"/>
      <c r="BW148" s="170"/>
      <c r="BX148" s="170"/>
      <c r="BY148" s="170"/>
      <c r="BZ148" s="170"/>
      <c r="CA148" s="170"/>
      <c r="CB148" s="170"/>
      <c r="CC148" s="170"/>
      <c r="CD148" s="170"/>
      <c r="CE148" s="170"/>
      <c r="CF148" s="170"/>
      <c r="CG148" s="170"/>
      <c r="CH148" s="170"/>
      <c r="CI148" s="170"/>
      <c r="CJ148" s="170"/>
      <c r="CK148" s="170"/>
      <c r="CL148" s="170"/>
      <c r="CM148" s="170"/>
      <c r="CN148" s="170"/>
      <c r="CO148" s="170"/>
      <c r="CP148" s="170"/>
      <c r="CQ148" s="170"/>
      <c r="CR148" s="170"/>
      <c r="CS148" s="170"/>
      <c r="CT148" s="170"/>
      <c r="CU148" s="170"/>
      <c r="CV148" s="170"/>
      <c r="CW148" s="170"/>
      <c r="CX148" s="170"/>
      <c r="CY148" s="170"/>
      <c r="CZ148" s="170"/>
      <c r="DA148" s="170"/>
      <c r="DB148" s="170"/>
      <c r="DC148" s="170"/>
      <c r="DD148" s="170"/>
      <c r="DE148" s="170"/>
      <c r="DF148" s="170"/>
      <c r="DG148" s="170"/>
      <c r="DH148" s="170"/>
      <c r="DI148" s="170"/>
      <c r="DJ148" s="170"/>
      <c r="DK148" s="170"/>
      <c r="DL148" s="170"/>
      <c r="DM148" s="170"/>
      <c r="DN148" s="170"/>
      <c r="DO148" s="170"/>
      <c r="DP148" s="170"/>
      <c r="DQ148" s="170"/>
      <c r="DR148" s="170"/>
      <c r="DS148" s="170"/>
      <c r="DT148" s="170"/>
      <c r="DU148" s="170"/>
      <c r="DV148" s="170"/>
      <c r="DW148" s="170"/>
      <c r="DX148" s="170"/>
      <c r="DY148" s="170"/>
      <c r="DZ148" s="170"/>
      <c r="EA148" s="170"/>
      <c r="EB148" s="170"/>
      <c r="EC148" s="170"/>
      <c r="ED148" s="170"/>
      <c r="EE148" s="170"/>
      <c r="EF148" s="170"/>
      <c r="EG148" s="170"/>
      <c r="EH148" s="170"/>
      <c r="EI148" s="170"/>
      <c r="EJ148" s="170"/>
      <c r="EK148" s="170"/>
      <c r="EL148" s="170"/>
      <c r="EM148" s="170"/>
      <c r="EN148" s="170"/>
      <c r="EO148" s="170"/>
      <c r="EP148" s="170"/>
      <c r="EQ148" s="170"/>
      <c r="ER148" s="170"/>
      <c r="ES148" s="170"/>
      <c r="ET148" s="170"/>
      <c r="EU148" s="170"/>
      <c r="EV148" s="170"/>
      <c r="EW148" s="170"/>
      <c r="EX148" s="170"/>
      <c r="EY148" s="170"/>
      <c r="EZ148" s="170"/>
      <c r="FA148" s="170"/>
      <c r="FB148" s="170"/>
      <c r="FC148" s="170"/>
      <c r="FD148" s="170"/>
      <c r="FE148" s="170"/>
      <c r="FF148" s="170"/>
      <c r="FG148" s="170"/>
      <c r="FH148" s="170"/>
      <c r="FI148" s="170"/>
      <c r="FJ148" s="170"/>
      <c r="FK148" s="170"/>
      <c r="FL148" s="170"/>
      <c r="FM148" s="170"/>
      <c r="FN148" s="170"/>
      <c r="FO148" s="170"/>
      <c r="FP148" s="170"/>
      <c r="FQ148" s="170"/>
      <c r="FR148" s="170"/>
      <c r="FS148" s="170"/>
      <c r="FT148" s="170"/>
      <c r="FU148" s="170"/>
      <c r="FV148" s="170"/>
      <c r="FW148" s="170"/>
      <c r="FX148" s="170"/>
      <c r="FY148" s="170"/>
      <c r="FZ148" s="170"/>
      <c r="GA148" s="170"/>
      <c r="GB148" s="170"/>
      <c r="GC148" s="170"/>
      <c r="GD148" s="170"/>
      <c r="GE148" s="170"/>
      <c r="GF148" s="170"/>
      <c r="GG148" s="170"/>
      <c r="GH148" s="170"/>
      <c r="GI148" s="170"/>
      <c r="GJ148" s="170"/>
      <c r="GK148" s="170"/>
      <c r="GL148" s="170"/>
      <c r="GM148" s="170"/>
      <c r="GN148" s="170"/>
      <c r="GO148" s="170"/>
      <c r="GP148" s="170"/>
      <c r="GQ148" s="170"/>
      <c r="GR148" s="170"/>
      <c r="GS148" s="170"/>
      <c r="GT148" s="170"/>
      <c r="GU148" s="170"/>
      <c r="GV148" s="170"/>
      <c r="GW148" s="170"/>
      <c r="GX148" s="170"/>
      <c r="GY148" s="170"/>
      <c r="GZ148" s="170"/>
      <c r="HA148" s="170"/>
      <c r="HB148" s="170"/>
      <c r="HC148" s="170"/>
      <c r="HD148" s="170"/>
      <c r="HE148" s="170"/>
      <c r="HF148" s="170"/>
      <c r="HG148" s="170"/>
      <c r="HH148" s="170"/>
      <c r="HI148" s="170"/>
      <c r="HJ148" s="170"/>
      <c r="HK148" s="170"/>
      <c r="HL148" s="170"/>
      <c r="HM148" s="170"/>
      <c r="HN148" s="170"/>
      <c r="HO148" s="170"/>
      <c r="HP148" s="170"/>
      <c r="HQ148" s="170"/>
      <c r="HR148" s="170"/>
      <c r="HS148" s="170"/>
      <c r="HT148" s="170"/>
      <c r="HU148" s="170"/>
      <c r="HV148" s="170"/>
      <c r="HW148" s="170"/>
      <c r="HX148" s="170"/>
      <c r="HY148" s="170"/>
      <c r="HZ148" s="170"/>
      <c r="IA148" s="170"/>
      <c r="IB148" s="170"/>
      <c r="IC148" s="170"/>
      <c r="ID148" s="170"/>
      <c r="IE148" s="170"/>
      <c r="IF148" s="170"/>
      <c r="IG148" s="170"/>
      <c r="IH148" s="170"/>
      <c r="II148" s="170"/>
      <c r="IJ148" s="170"/>
      <c r="IK148" s="170"/>
      <c r="IL148" s="170"/>
      <c r="IM148" s="170"/>
      <c r="IN148" s="170"/>
      <c r="IO148" s="170"/>
      <c r="IP148" s="170"/>
      <c r="IQ148" s="170"/>
      <c r="IR148" s="170"/>
      <c r="IS148" s="170"/>
      <c r="IT148" s="170"/>
      <c r="IU148" s="170"/>
      <c r="IV148" s="170"/>
      <c r="IW148" s="170"/>
    </row>
    <row r="149" spans="1:257" s="234" customFormat="1" ht="12.75" customHeight="1" outlineLevel="2">
      <c r="A149" s="240"/>
      <c r="B149" s="239" t="s">
        <v>253</v>
      </c>
      <c r="C149" s="238"/>
      <c r="D149" s="238"/>
      <c r="E149" s="238"/>
      <c r="F149" s="237"/>
      <c r="G149" s="237"/>
      <c r="H149" s="241">
        <f t="shared" ref="H149:N149" si="231">-H146*1000/H90</f>
        <v>111.52084816423809</v>
      </c>
      <c r="I149" s="241">
        <f t="shared" si="231"/>
        <v>89.773488907852311</v>
      </c>
      <c r="J149" s="241">
        <f t="shared" si="231"/>
        <v>60.374130174079752</v>
      </c>
      <c r="K149" s="241">
        <f t="shared" si="231"/>
        <v>57.47317001883934</v>
      </c>
      <c r="L149" s="241">
        <f t="shared" si="231"/>
        <v>51.637427208510665</v>
      </c>
      <c r="M149" s="241">
        <f t="shared" si="231"/>
        <v>46.694900218426142</v>
      </c>
      <c r="N149" s="241">
        <f t="shared" si="231"/>
        <v>46.803197335959567</v>
      </c>
      <c r="O149" s="236"/>
      <c r="P149" s="9"/>
      <c r="Q149" s="9"/>
      <c r="R149" s="9"/>
      <c r="S149" s="9"/>
      <c r="T149" s="241">
        <f t="shared" ref="T149:AY149" si="232">-T146*1000/T90</f>
        <v>112.08630952380953</v>
      </c>
      <c r="U149" s="241">
        <f t="shared" si="232"/>
        <v>102.1634103019538</v>
      </c>
      <c r="V149" s="241">
        <f t="shared" si="232"/>
        <v>98.176162650412792</v>
      </c>
      <c r="W149" s="241">
        <f t="shared" si="232"/>
        <v>114.31955321849136</v>
      </c>
      <c r="X149" s="241">
        <f t="shared" si="232"/>
        <v>112.08909428310884</v>
      </c>
      <c r="Y149" s="241">
        <f t="shared" si="232"/>
        <v>111.34912880131975</v>
      </c>
      <c r="Z149" s="241">
        <f t="shared" si="232"/>
        <v>110.86936735183968</v>
      </c>
      <c r="AA149" s="241">
        <f t="shared" si="232"/>
        <v>111.87542232453771</v>
      </c>
      <c r="AB149" s="241">
        <f t="shared" si="232"/>
        <v>106.32841052384106</v>
      </c>
      <c r="AC149" s="241">
        <f t="shared" si="232"/>
        <v>94.335775125096077</v>
      </c>
      <c r="AD149" s="241">
        <f t="shared" si="232"/>
        <v>81.622311910566594</v>
      </c>
      <c r="AE149" s="241">
        <f t="shared" si="232"/>
        <v>71.662702506670101</v>
      </c>
      <c r="AF149" s="241">
        <f t="shared" si="232"/>
        <v>68.664676215241357</v>
      </c>
      <c r="AG149" s="241">
        <f t="shared" si="232"/>
        <v>69.288931028147076</v>
      </c>
      <c r="AH149" s="241">
        <f t="shared" si="232"/>
        <v>55.168608432502197</v>
      </c>
      <c r="AI149" s="241">
        <f t="shared" si="232"/>
        <v>52.233178858672758</v>
      </c>
      <c r="AJ149" s="241">
        <f t="shared" si="232"/>
        <v>54.576817998675523</v>
      </c>
      <c r="AK149" s="241">
        <f t="shared" si="232"/>
        <v>55.835020366161814</v>
      </c>
      <c r="AL149" s="241">
        <f t="shared" si="232"/>
        <v>58.148754154554553</v>
      </c>
      <c r="AM149" s="241">
        <f t="shared" ref="AM149" si="233">-AM146*1000/AM90</f>
        <v>60.481922504960011</v>
      </c>
      <c r="AN149" s="241">
        <f t="shared" si="232"/>
        <v>64.014731419366356</v>
      </c>
      <c r="AO149" s="241">
        <f t="shared" si="232"/>
        <v>56.074710388541952</v>
      </c>
      <c r="AP149" s="241">
        <f t="shared" si="232"/>
        <v>49.012725764671693</v>
      </c>
      <c r="AQ149" s="241">
        <f t="shared" si="232"/>
        <v>47.943310014117088</v>
      </c>
      <c r="AR149" s="241">
        <f t="shared" si="232"/>
        <v>47.12555895242491</v>
      </c>
      <c r="AS149" s="241">
        <f t="shared" si="232"/>
        <v>46.299737932109473</v>
      </c>
      <c r="AT149" s="241">
        <f t="shared" si="232"/>
        <v>46.552323857510451</v>
      </c>
      <c r="AU149" s="241">
        <f t="shared" si="232"/>
        <v>46.803197335959567</v>
      </c>
      <c r="AV149" s="241">
        <f t="shared" si="232"/>
        <v>46.803197335959567</v>
      </c>
      <c r="AW149" s="241">
        <f t="shared" si="232"/>
        <v>46.803197335959567</v>
      </c>
      <c r="AX149" s="241">
        <f t="shared" si="232"/>
        <v>46.803197335959567</v>
      </c>
      <c r="AY149" s="241">
        <f t="shared" si="232"/>
        <v>46.803197335959567</v>
      </c>
      <c r="BG149" s="4">
        <v>143</v>
      </c>
      <c r="BH149"/>
      <c r="BI149"/>
      <c r="BJ149"/>
      <c r="BK149"/>
      <c r="BL149"/>
      <c r="BM149"/>
      <c r="BN149" s="170"/>
      <c r="BO149" s="170"/>
      <c r="BP149" s="170"/>
      <c r="BQ149" s="170"/>
      <c r="BR149" s="170"/>
      <c r="BS149" s="170"/>
      <c r="BT149" s="170"/>
      <c r="BU149" s="170"/>
      <c r="BV149" s="170"/>
      <c r="BW149" s="170"/>
      <c r="BX149" s="170"/>
      <c r="BY149" s="170"/>
      <c r="BZ149" s="170"/>
      <c r="CA149" s="170"/>
      <c r="CB149" s="170"/>
      <c r="CC149" s="170"/>
      <c r="CD149" s="170"/>
      <c r="CE149" s="170"/>
      <c r="CF149" s="170"/>
      <c r="CG149" s="170"/>
      <c r="CH149" s="170"/>
      <c r="CI149" s="170"/>
      <c r="CJ149" s="170"/>
      <c r="CK149" s="170"/>
      <c r="CL149" s="170"/>
      <c r="CM149" s="170"/>
      <c r="CN149" s="170"/>
      <c r="CO149" s="170"/>
      <c r="CP149" s="170"/>
      <c r="CQ149" s="170"/>
      <c r="CR149" s="170"/>
      <c r="CS149" s="170"/>
      <c r="CT149" s="170"/>
      <c r="CU149" s="170"/>
      <c r="CV149" s="170"/>
      <c r="CW149" s="170"/>
      <c r="CX149" s="170"/>
      <c r="CY149" s="170"/>
      <c r="CZ149" s="170"/>
      <c r="DA149" s="170"/>
      <c r="DB149" s="170"/>
      <c r="DC149" s="170"/>
      <c r="DD149" s="170"/>
      <c r="DE149" s="170"/>
      <c r="DF149" s="170"/>
      <c r="DG149" s="170"/>
      <c r="DH149" s="170"/>
      <c r="DI149" s="170"/>
      <c r="DJ149" s="170"/>
      <c r="DK149" s="170"/>
      <c r="DL149" s="170"/>
      <c r="DM149" s="170"/>
      <c r="DN149" s="170"/>
      <c r="DO149" s="170"/>
      <c r="DP149" s="170"/>
      <c r="DQ149" s="170"/>
      <c r="DR149" s="170"/>
      <c r="DS149" s="170"/>
      <c r="DT149" s="170"/>
      <c r="DU149" s="170"/>
      <c r="DV149" s="170"/>
      <c r="DW149" s="170"/>
      <c r="DX149" s="170"/>
      <c r="DY149" s="170"/>
      <c r="DZ149" s="170"/>
      <c r="EA149" s="170"/>
      <c r="EB149" s="170"/>
      <c r="EC149" s="170"/>
      <c r="ED149" s="170"/>
      <c r="EE149" s="170"/>
      <c r="EF149" s="170"/>
      <c r="EG149" s="170"/>
      <c r="EH149" s="170"/>
      <c r="EI149" s="170"/>
      <c r="EJ149" s="170"/>
      <c r="EK149" s="170"/>
      <c r="EL149" s="170"/>
      <c r="EM149" s="170"/>
      <c r="EN149" s="170"/>
      <c r="EO149" s="170"/>
      <c r="EP149" s="170"/>
      <c r="EQ149" s="170"/>
      <c r="ER149" s="170"/>
      <c r="ES149" s="170"/>
      <c r="ET149" s="170"/>
      <c r="EU149" s="170"/>
      <c r="EV149" s="170"/>
      <c r="EW149" s="170"/>
      <c r="EX149" s="170"/>
      <c r="EY149" s="170"/>
      <c r="EZ149" s="170"/>
      <c r="FA149" s="170"/>
      <c r="FB149" s="170"/>
      <c r="FC149" s="170"/>
      <c r="FD149" s="170"/>
      <c r="FE149" s="170"/>
      <c r="FF149" s="170"/>
      <c r="FG149" s="170"/>
      <c r="FH149" s="170"/>
      <c r="FI149" s="170"/>
      <c r="FJ149" s="170"/>
      <c r="FK149" s="170"/>
      <c r="FL149" s="170"/>
      <c r="FM149" s="170"/>
      <c r="FN149" s="170"/>
      <c r="FO149" s="170"/>
      <c r="FP149" s="170"/>
      <c r="FQ149" s="170"/>
      <c r="FR149" s="170"/>
      <c r="FS149" s="170"/>
      <c r="FT149" s="170"/>
      <c r="FU149" s="170"/>
      <c r="FV149" s="170"/>
      <c r="FW149" s="170"/>
      <c r="FX149" s="170"/>
      <c r="FY149" s="170"/>
      <c r="FZ149" s="170"/>
      <c r="GA149" s="170"/>
      <c r="GB149" s="170"/>
      <c r="GC149" s="170"/>
      <c r="GD149" s="170"/>
      <c r="GE149" s="170"/>
      <c r="GF149" s="170"/>
      <c r="GG149" s="170"/>
      <c r="GH149" s="170"/>
      <c r="GI149" s="170"/>
      <c r="GJ149" s="170"/>
      <c r="GK149" s="170"/>
      <c r="GL149" s="170"/>
      <c r="GM149" s="170"/>
      <c r="GN149" s="170"/>
      <c r="GO149" s="170"/>
      <c r="GP149" s="170"/>
      <c r="GQ149" s="170"/>
      <c r="GR149" s="170"/>
      <c r="GS149" s="170"/>
      <c r="GT149" s="170"/>
      <c r="GU149" s="170"/>
      <c r="GV149" s="170"/>
      <c r="GW149" s="170"/>
      <c r="GX149" s="170"/>
      <c r="GY149" s="170"/>
      <c r="GZ149" s="170"/>
      <c r="HA149" s="170"/>
      <c r="HB149" s="170"/>
      <c r="HC149" s="170"/>
      <c r="HD149" s="170"/>
      <c r="HE149" s="170"/>
      <c r="HF149" s="170"/>
      <c r="HG149" s="170"/>
      <c r="HH149" s="170"/>
      <c r="HI149" s="170"/>
      <c r="HJ149" s="170"/>
      <c r="HK149" s="170"/>
      <c r="HL149" s="170"/>
      <c r="HM149" s="170"/>
      <c r="HN149" s="170"/>
      <c r="HO149" s="170"/>
      <c r="HP149" s="170"/>
      <c r="HQ149" s="170"/>
      <c r="HR149" s="170"/>
      <c r="HS149" s="170"/>
      <c r="HT149" s="170"/>
      <c r="HU149" s="170"/>
      <c r="HV149" s="170"/>
      <c r="HW149" s="170"/>
      <c r="HX149" s="170"/>
      <c r="HY149" s="170"/>
      <c r="HZ149" s="170"/>
      <c r="IA149" s="170"/>
      <c r="IB149" s="170"/>
      <c r="IC149" s="170"/>
      <c r="ID149" s="170"/>
      <c r="IE149" s="170"/>
      <c r="IF149" s="170"/>
      <c r="IG149" s="170"/>
      <c r="IH149" s="170"/>
      <c r="II149" s="170"/>
      <c r="IJ149" s="170"/>
      <c r="IK149" s="170"/>
      <c r="IL149" s="170"/>
      <c r="IM149" s="170"/>
      <c r="IN149" s="170"/>
      <c r="IO149" s="170"/>
      <c r="IP149" s="170"/>
      <c r="IQ149" s="170"/>
      <c r="IR149" s="170"/>
      <c r="IS149" s="170"/>
      <c r="IT149" s="170"/>
      <c r="IU149" s="170"/>
      <c r="IV149" s="170"/>
      <c r="IW149" s="170"/>
    </row>
    <row r="150" spans="1:257" s="234" customFormat="1" ht="12.75" customHeight="1" outlineLevel="2">
      <c r="A150" s="240"/>
      <c r="B150" s="239" t="s">
        <v>252</v>
      </c>
      <c r="C150" s="238"/>
      <c r="D150" s="238"/>
      <c r="E150" s="238"/>
      <c r="F150" s="237"/>
      <c r="G150" s="237"/>
      <c r="H150" s="235">
        <f t="shared" ref="H150:N150" si="234">+H148-H149</f>
        <v>59.943956721684344</v>
      </c>
      <c r="I150" s="235">
        <f t="shared" si="234"/>
        <v>24.6866496081891</v>
      </c>
      <c r="J150" s="235">
        <f t="shared" si="234"/>
        <v>4.4970072173785809</v>
      </c>
      <c r="K150" s="235">
        <f t="shared" si="234"/>
        <v>23.744203738465245</v>
      </c>
      <c r="L150" s="235">
        <f t="shared" si="234"/>
        <v>28.129765229104841</v>
      </c>
      <c r="M150" s="235">
        <f t="shared" si="234"/>
        <v>21.766139216238471</v>
      </c>
      <c r="N150" s="235">
        <f t="shared" si="234"/>
        <v>21.779480881240644</v>
      </c>
      <c r="O150" s="236"/>
      <c r="P150" s="9"/>
      <c r="Q150" s="9"/>
      <c r="R150" s="9"/>
      <c r="S150" s="9"/>
      <c r="T150" s="235">
        <f t="shared" ref="T150:AY150" si="235">+T148-T149</f>
        <v>73.778769841269835</v>
      </c>
      <c r="U150" s="235">
        <f t="shared" si="235"/>
        <v>67.40497335701599</v>
      </c>
      <c r="V150" s="235">
        <f t="shared" si="235"/>
        <v>54.056818539461418</v>
      </c>
      <c r="W150" s="235">
        <f t="shared" si="235"/>
        <v>39.923753908647797</v>
      </c>
      <c r="X150" s="235">
        <f t="shared" si="235"/>
        <v>56.221383666229144</v>
      </c>
      <c r="Y150" s="235">
        <f t="shared" si="235"/>
        <v>58.805036761981484</v>
      </c>
      <c r="Z150" s="235">
        <f t="shared" si="235"/>
        <v>64.310753460618201</v>
      </c>
      <c r="AA150" s="235">
        <f t="shared" si="235"/>
        <v>59.634604016881354</v>
      </c>
      <c r="AB150" s="235">
        <f t="shared" si="235"/>
        <v>47.14277197406949</v>
      </c>
      <c r="AC150" s="235">
        <f t="shared" si="235"/>
        <v>23.717275023136878</v>
      </c>
      <c r="AD150" s="235">
        <f t="shared" si="235"/>
        <v>15.066276044334273</v>
      </c>
      <c r="AE150" s="235">
        <f t="shared" si="235"/>
        <v>6.9234486948981129</v>
      </c>
      <c r="AF150" s="235">
        <f t="shared" si="235"/>
        <v>8.3121880635826102</v>
      </c>
      <c r="AG150" s="235">
        <f t="shared" si="235"/>
        <v>-5.6391837215666598</v>
      </c>
      <c r="AH150" s="235">
        <f t="shared" si="235"/>
        <v>3.6230335096398534</v>
      </c>
      <c r="AI150" s="235">
        <f t="shared" si="235"/>
        <v>9.2598063582702679</v>
      </c>
      <c r="AJ150" s="235">
        <f t="shared" si="235"/>
        <v>13.132398259450582</v>
      </c>
      <c r="AK150" s="235">
        <f t="shared" si="235"/>
        <v>21.018683059072117</v>
      </c>
      <c r="AL150" s="235">
        <f t="shared" si="235"/>
        <v>30.054765425488895</v>
      </c>
      <c r="AM150" s="235">
        <f t="shared" ref="AM150" si="236">+AM148-AM149</f>
        <v>27.805603465348312</v>
      </c>
      <c r="AN150" s="235">
        <f t="shared" si="235"/>
        <v>28.870958144590503</v>
      </c>
      <c r="AO150" s="235">
        <f t="shared" si="235"/>
        <v>32.347012218973951</v>
      </c>
      <c r="AP150" s="235">
        <f t="shared" si="235"/>
        <v>26.883930092471154</v>
      </c>
      <c r="AQ150" s="235">
        <f t="shared" si="235"/>
        <v>27.394456563457013</v>
      </c>
      <c r="AR150" s="235">
        <f t="shared" si="235"/>
        <v>23.859338561527366</v>
      </c>
      <c r="AS150" s="235">
        <f t="shared" si="235"/>
        <v>20.362002935037502</v>
      </c>
      <c r="AT150" s="235">
        <f t="shared" si="235"/>
        <v>21.07315258491834</v>
      </c>
      <c r="AU150" s="235">
        <f t="shared" si="235"/>
        <v>21.779480881240644</v>
      </c>
      <c r="AV150" s="235">
        <f t="shared" si="235"/>
        <v>21.779480881240644</v>
      </c>
      <c r="AW150" s="235">
        <f t="shared" si="235"/>
        <v>21.779480881240644</v>
      </c>
      <c r="AX150" s="235">
        <f t="shared" si="235"/>
        <v>21.779480881240644</v>
      </c>
      <c r="AY150" s="235">
        <f t="shared" si="235"/>
        <v>21.779480881240644</v>
      </c>
      <c r="BG150" s="4">
        <v>144</v>
      </c>
      <c r="BH150"/>
      <c r="BI150"/>
      <c r="BJ150"/>
      <c r="BK150"/>
      <c r="BL150"/>
      <c r="BM150"/>
      <c r="BN150" s="170"/>
      <c r="BO150" s="170"/>
      <c r="BP150" s="170"/>
      <c r="BQ150" s="170"/>
      <c r="BR150" s="170"/>
      <c r="BS150" s="170"/>
      <c r="BT150" s="170"/>
      <c r="BU150" s="170"/>
      <c r="BV150" s="170"/>
      <c r="BW150" s="170"/>
      <c r="BX150" s="170"/>
      <c r="BY150" s="170"/>
      <c r="BZ150" s="170"/>
      <c r="CA150" s="170"/>
      <c r="CB150" s="170"/>
      <c r="CC150" s="170"/>
      <c r="CD150" s="170"/>
      <c r="CE150" s="170"/>
      <c r="CF150" s="170"/>
      <c r="CG150" s="170"/>
      <c r="CH150" s="170"/>
      <c r="CI150" s="170"/>
      <c r="CJ150" s="170"/>
      <c r="CK150" s="170"/>
      <c r="CL150" s="170"/>
      <c r="CM150" s="170"/>
      <c r="CN150" s="170"/>
      <c r="CO150" s="170"/>
      <c r="CP150" s="170"/>
      <c r="CQ150" s="170"/>
      <c r="CR150" s="170"/>
      <c r="CS150" s="170"/>
      <c r="CT150" s="170"/>
      <c r="CU150" s="170"/>
      <c r="CV150" s="170"/>
      <c r="CW150" s="170"/>
      <c r="CX150" s="170"/>
      <c r="CY150" s="170"/>
      <c r="CZ150" s="170"/>
      <c r="DA150" s="170"/>
      <c r="DB150" s="170"/>
      <c r="DC150" s="170"/>
      <c r="DD150" s="170"/>
      <c r="DE150" s="170"/>
      <c r="DF150" s="170"/>
      <c r="DG150" s="170"/>
      <c r="DH150" s="170"/>
      <c r="DI150" s="170"/>
      <c r="DJ150" s="170"/>
      <c r="DK150" s="170"/>
      <c r="DL150" s="170"/>
      <c r="DM150" s="170"/>
      <c r="DN150" s="170"/>
      <c r="DO150" s="170"/>
      <c r="DP150" s="170"/>
      <c r="DQ150" s="170"/>
      <c r="DR150" s="170"/>
      <c r="DS150" s="170"/>
      <c r="DT150" s="170"/>
      <c r="DU150" s="170"/>
      <c r="DV150" s="170"/>
      <c r="DW150" s="170"/>
      <c r="DX150" s="170"/>
      <c r="DY150" s="170"/>
      <c r="DZ150" s="170"/>
      <c r="EA150" s="170"/>
      <c r="EB150" s="170"/>
      <c r="EC150" s="170"/>
      <c r="ED150" s="170"/>
      <c r="EE150" s="170"/>
      <c r="EF150" s="170"/>
      <c r="EG150" s="170"/>
      <c r="EH150" s="170"/>
      <c r="EI150" s="170"/>
      <c r="EJ150" s="170"/>
      <c r="EK150" s="170"/>
      <c r="EL150" s="170"/>
      <c r="EM150" s="170"/>
      <c r="EN150" s="170"/>
      <c r="EO150" s="170"/>
      <c r="EP150" s="170"/>
      <c r="EQ150" s="170"/>
      <c r="ER150" s="170"/>
      <c r="ES150" s="170"/>
      <c r="ET150" s="170"/>
      <c r="EU150" s="170"/>
      <c r="EV150" s="170"/>
      <c r="EW150" s="170"/>
      <c r="EX150" s="170"/>
      <c r="EY150" s="170"/>
      <c r="EZ150" s="170"/>
      <c r="FA150" s="170"/>
      <c r="FB150" s="170"/>
      <c r="FC150" s="170"/>
      <c r="FD150" s="170"/>
      <c r="FE150" s="170"/>
      <c r="FF150" s="170"/>
      <c r="FG150" s="170"/>
      <c r="FH150" s="170"/>
      <c r="FI150" s="170"/>
      <c r="FJ150" s="170"/>
      <c r="FK150" s="170"/>
      <c r="FL150" s="170"/>
      <c r="FM150" s="170"/>
      <c r="FN150" s="170"/>
      <c r="FO150" s="170"/>
      <c r="FP150" s="170"/>
      <c r="FQ150" s="170"/>
      <c r="FR150" s="170"/>
      <c r="FS150" s="170"/>
      <c r="FT150" s="170"/>
      <c r="FU150" s="170"/>
      <c r="FV150" s="170"/>
      <c r="FW150" s="170"/>
      <c r="FX150" s="170"/>
      <c r="FY150" s="170"/>
      <c r="FZ150" s="170"/>
      <c r="GA150" s="170"/>
      <c r="GB150" s="170"/>
      <c r="GC150" s="170"/>
      <c r="GD150" s="170"/>
      <c r="GE150" s="170"/>
      <c r="GF150" s="170"/>
      <c r="GG150" s="170"/>
      <c r="GH150" s="170"/>
      <c r="GI150" s="170"/>
      <c r="GJ150" s="170"/>
      <c r="GK150" s="170"/>
      <c r="GL150" s="170"/>
      <c r="GM150" s="170"/>
      <c r="GN150" s="170"/>
      <c r="GO150" s="170"/>
      <c r="GP150" s="170"/>
      <c r="GQ150" s="170"/>
      <c r="GR150" s="170"/>
      <c r="GS150" s="170"/>
      <c r="GT150" s="170"/>
      <c r="GU150" s="170"/>
      <c r="GV150" s="170"/>
      <c r="GW150" s="170"/>
      <c r="GX150" s="170"/>
      <c r="GY150" s="170"/>
      <c r="GZ150" s="170"/>
      <c r="HA150" s="170"/>
      <c r="HB150" s="170"/>
      <c r="HC150" s="170"/>
      <c r="HD150" s="170"/>
      <c r="HE150" s="170"/>
      <c r="HF150" s="170"/>
      <c r="HG150" s="170"/>
      <c r="HH150" s="170"/>
      <c r="HI150" s="170"/>
      <c r="HJ150" s="170"/>
      <c r="HK150" s="170"/>
      <c r="HL150" s="170"/>
      <c r="HM150" s="170"/>
      <c r="HN150" s="170"/>
      <c r="HO150" s="170"/>
      <c r="HP150" s="170"/>
      <c r="HQ150" s="170"/>
      <c r="HR150" s="170"/>
      <c r="HS150" s="170"/>
      <c r="HT150" s="170"/>
      <c r="HU150" s="170"/>
      <c r="HV150" s="170"/>
      <c r="HW150" s="170"/>
      <c r="HX150" s="170"/>
      <c r="HY150" s="170"/>
      <c r="HZ150" s="170"/>
      <c r="IA150" s="170"/>
      <c r="IB150" s="170"/>
      <c r="IC150" s="170"/>
      <c r="ID150" s="170"/>
      <c r="IE150" s="170"/>
      <c r="IF150" s="170"/>
      <c r="IG150" s="170"/>
      <c r="IH150" s="170"/>
      <c r="II150" s="170"/>
      <c r="IJ150" s="170"/>
      <c r="IK150" s="170"/>
      <c r="IL150" s="170"/>
      <c r="IM150" s="170"/>
      <c r="IN150" s="170"/>
      <c r="IO150" s="170"/>
      <c r="IP150" s="170"/>
      <c r="IQ150" s="170"/>
      <c r="IR150" s="170"/>
      <c r="IS150" s="170"/>
      <c r="IT150" s="170"/>
      <c r="IU150" s="170"/>
      <c r="IV150" s="170"/>
      <c r="IW150" s="170"/>
    </row>
    <row r="151" spans="1:257" s="229" customFormat="1" ht="12.75" customHeight="1" outlineLevel="2">
      <c r="A151" s="233"/>
      <c r="B151" s="213"/>
      <c r="C151" s="3"/>
      <c r="D151" s="3"/>
      <c r="E151" s="3"/>
      <c r="F151" s="3"/>
      <c r="G151" s="3"/>
      <c r="H151" s="10"/>
      <c r="I151" s="10"/>
      <c r="J151" s="10"/>
      <c r="K151" s="10"/>
      <c r="L151" s="10"/>
      <c r="M151" s="10"/>
      <c r="N151" s="10"/>
      <c r="O151" s="3"/>
      <c r="P151" s="3"/>
      <c r="Q151" s="3"/>
      <c r="R151" s="3"/>
      <c r="S151" s="3"/>
      <c r="T151" s="3"/>
      <c r="U151" s="3"/>
      <c r="V151" s="3"/>
      <c r="W151" s="3"/>
      <c r="X151" s="10"/>
      <c r="Y151" s="10"/>
      <c r="Z151" s="10"/>
      <c r="AA151" s="10"/>
      <c r="AB151" s="10"/>
      <c r="AC151" s="10"/>
      <c r="AD151" s="10"/>
      <c r="AE151" s="10"/>
      <c r="AF151" s="10"/>
      <c r="AG151" s="10"/>
      <c r="AH151" s="10"/>
      <c r="AI151" s="10"/>
      <c r="AJ151" s="10"/>
      <c r="AK151" s="10"/>
      <c r="AL151" s="10"/>
      <c r="AM151" s="10"/>
      <c r="AN151" s="402"/>
      <c r="BG151" s="4">
        <v>145</v>
      </c>
      <c r="BH151"/>
      <c r="BI151"/>
      <c r="BJ151"/>
      <c r="BK151"/>
      <c r="BL151"/>
      <c r="BM151"/>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c r="HF151" s="3"/>
      <c r="HG151" s="3"/>
      <c r="HH151" s="3"/>
      <c r="HI151" s="3"/>
      <c r="HJ151" s="3"/>
      <c r="HK151" s="3"/>
      <c r="HL151" s="3"/>
      <c r="HM151" s="3"/>
      <c r="HN151" s="3"/>
      <c r="HO151" s="3"/>
      <c r="HP151" s="3"/>
      <c r="HQ151" s="3"/>
      <c r="HR151" s="3"/>
      <c r="HS151" s="3"/>
      <c r="HT151" s="3"/>
      <c r="HU151" s="3"/>
      <c r="HV151" s="3"/>
      <c r="HW151" s="3"/>
      <c r="HX151" s="3"/>
      <c r="HY151" s="3"/>
      <c r="HZ151" s="3"/>
      <c r="IA151" s="3"/>
      <c r="IB151" s="3"/>
      <c r="IC151" s="3"/>
      <c r="ID151" s="3"/>
      <c r="IE151" s="3"/>
      <c r="IF151" s="3"/>
      <c r="IG151" s="3"/>
      <c r="IH151" s="3"/>
      <c r="II151" s="3"/>
      <c r="IJ151" s="3"/>
      <c r="IK151" s="3"/>
      <c r="IL151" s="3"/>
      <c r="IM151" s="3"/>
      <c r="IN151" s="3"/>
      <c r="IO151" s="3"/>
      <c r="IP151" s="3"/>
      <c r="IQ151" s="3"/>
      <c r="IR151" s="3"/>
      <c r="IS151" s="3"/>
      <c r="IT151" s="3"/>
      <c r="IU151" s="3"/>
      <c r="IV151" s="3"/>
      <c r="IW151" s="3"/>
    </row>
    <row r="152" spans="1:257" s="5" customFormat="1" ht="12.75" customHeight="1" outlineLevel="2">
      <c r="A152" s="2"/>
      <c r="B152" s="113" t="s">
        <v>251</v>
      </c>
      <c r="C152" s="232"/>
      <c r="D152" s="232"/>
      <c r="E152" s="232"/>
      <c r="F152" s="231"/>
      <c r="G152" s="231"/>
      <c r="H152" s="231"/>
      <c r="I152" s="231"/>
      <c r="J152" s="231"/>
      <c r="K152" s="231"/>
      <c r="L152" s="231"/>
      <c r="M152" s="231"/>
      <c r="N152" s="231"/>
      <c r="O152" s="3"/>
      <c r="P152" s="224"/>
      <c r="Q152" s="224"/>
      <c r="R152" s="224"/>
      <c r="S152" s="224"/>
      <c r="T152" s="224"/>
      <c r="U152" s="224"/>
      <c r="V152" s="224"/>
      <c r="W152" s="224"/>
      <c r="X152" s="224"/>
      <c r="Y152" s="224"/>
      <c r="Z152" s="224"/>
      <c r="AA152" s="224"/>
      <c r="AB152" s="224"/>
      <c r="AC152" s="224"/>
      <c r="AD152" s="224"/>
      <c r="AE152" s="224"/>
      <c r="AF152" s="224"/>
      <c r="AG152" s="224"/>
      <c r="AH152" s="224"/>
      <c r="AI152" s="224"/>
      <c r="AJ152" s="230"/>
      <c r="AK152" s="230"/>
      <c r="AL152" s="230"/>
      <c r="AM152" s="230"/>
      <c r="AN152" s="229"/>
      <c r="AO152" s="229"/>
      <c r="AP152" s="229"/>
      <c r="AQ152" s="229"/>
      <c r="AR152" s="229"/>
      <c r="AS152" s="229"/>
      <c r="AT152" s="229"/>
      <c r="AU152" s="229"/>
      <c r="AV152" s="229"/>
      <c r="AW152" s="229"/>
      <c r="AX152" s="229"/>
      <c r="AY152" s="229"/>
      <c r="AZ152" s="229"/>
      <c r="BA152" s="229"/>
      <c r="BB152" s="229"/>
      <c r="BC152" s="229"/>
      <c r="BD152" s="229"/>
      <c r="BE152" s="229"/>
      <c r="BF152" s="229"/>
      <c r="BG152" s="4">
        <v>146</v>
      </c>
      <c r="BH152"/>
      <c r="BI152"/>
      <c r="BJ152"/>
      <c r="BK152"/>
      <c r="BL152"/>
      <c r="BM152"/>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c r="HF152" s="3"/>
      <c r="HG152" s="3"/>
      <c r="HH152" s="3"/>
      <c r="HI152" s="3"/>
      <c r="HJ152" s="3"/>
      <c r="HK152" s="3"/>
      <c r="HL152" s="3"/>
      <c r="HM152" s="3"/>
      <c r="HN152" s="3"/>
      <c r="HO152" s="3"/>
      <c r="HP152" s="3"/>
      <c r="HQ152" s="3"/>
      <c r="HR152" s="3"/>
      <c r="HS152" s="3"/>
      <c r="HT152" s="3"/>
      <c r="HU152" s="3"/>
      <c r="HV152" s="3"/>
      <c r="HW152" s="3"/>
      <c r="HX152" s="3"/>
      <c r="HY152" s="3"/>
      <c r="HZ152" s="3"/>
      <c r="IA152" s="3"/>
      <c r="IB152" s="3"/>
      <c r="IC152" s="3"/>
      <c r="ID152" s="3"/>
      <c r="IE152" s="3"/>
      <c r="IF152" s="3"/>
      <c r="IG152" s="3"/>
      <c r="IH152" s="3"/>
      <c r="II152" s="3"/>
      <c r="IJ152" s="3"/>
      <c r="IK152" s="3"/>
      <c r="IL152" s="3"/>
      <c r="IM152" s="3"/>
      <c r="IN152" s="3"/>
      <c r="IO152" s="3"/>
      <c r="IP152" s="3"/>
      <c r="IQ152" s="3"/>
      <c r="IR152" s="3"/>
      <c r="IS152" s="3"/>
      <c r="IT152" s="3"/>
      <c r="IU152" s="3"/>
      <c r="IV152" s="3"/>
      <c r="IW152" s="3"/>
    </row>
    <row r="153" spans="1:257" s="5" customFormat="1" ht="12.75" customHeight="1" outlineLevel="2">
      <c r="A153" s="2"/>
      <c r="B153" s="205" t="s">
        <v>250</v>
      </c>
      <c r="F153" s="193"/>
      <c r="G153" s="193"/>
      <c r="H153" s="228">
        <f t="shared" ref="H153:N160" si="237">AVERAGEIF($P$4:$AZ$4,H$4,$P153:$AZ153)</f>
        <v>3500</v>
      </c>
      <c r="I153" s="228">
        <f t="shared" si="237"/>
        <v>3875</v>
      </c>
      <c r="J153" s="228">
        <f t="shared" si="237"/>
        <v>6875</v>
      </c>
      <c r="K153" s="228">
        <f t="shared" si="237"/>
        <v>7500</v>
      </c>
      <c r="L153" s="228">
        <f t="shared" si="237"/>
        <v>7500</v>
      </c>
      <c r="M153" s="228">
        <f t="shared" si="237"/>
        <v>7500</v>
      </c>
      <c r="N153" s="228">
        <f t="shared" si="237"/>
        <v>7500</v>
      </c>
      <c r="O153" s="3"/>
      <c r="P153" s="224"/>
      <c r="Q153" s="224"/>
      <c r="R153" s="224"/>
      <c r="S153" s="224"/>
      <c r="T153" s="224"/>
      <c r="U153" s="224"/>
      <c r="V153" s="224"/>
      <c r="W153" s="224"/>
      <c r="X153" s="224"/>
      <c r="Y153" s="208">
        <v>3500</v>
      </c>
      <c r="Z153" s="211">
        <f t="shared" ref="Z153:AB155" si="238">Y153</f>
        <v>3500</v>
      </c>
      <c r="AA153" s="211">
        <f t="shared" si="238"/>
        <v>3500</v>
      </c>
      <c r="AB153" s="211">
        <f t="shared" si="238"/>
        <v>3500</v>
      </c>
      <c r="AC153" s="227">
        <f>+AB153+500</f>
        <v>4000</v>
      </c>
      <c r="AD153" s="211">
        <f t="shared" ref="AD153:AE160" si="239">AC153</f>
        <v>4000</v>
      </c>
      <c r="AE153" s="211">
        <f t="shared" si="239"/>
        <v>4000</v>
      </c>
      <c r="AF153" s="222">
        <f>AE153+1000</f>
        <v>5000</v>
      </c>
      <c r="AG153" s="222">
        <v>7500</v>
      </c>
      <c r="AH153" s="211">
        <f t="shared" ref="AH153:AY153" si="240">AG153</f>
        <v>7500</v>
      </c>
      <c r="AI153" s="211">
        <f t="shared" si="240"/>
        <v>7500</v>
      </c>
      <c r="AJ153" s="211">
        <f t="shared" si="240"/>
        <v>7500</v>
      </c>
      <c r="AK153" s="211">
        <f t="shared" si="240"/>
        <v>7500</v>
      </c>
      <c r="AL153" s="211">
        <f t="shared" si="240"/>
        <v>7500</v>
      </c>
      <c r="AM153" s="211">
        <f t="shared" si="240"/>
        <v>7500</v>
      </c>
      <c r="AN153" s="211">
        <f t="shared" si="240"/>
        <v>7500</v>
      </c>
      <c r="AO153" s="211">
        <f t="shared" si="240"/>
        <v>7500</v>
      </c>
      <c r="AP153" s="211">
        <f t="shared" si="240"/>
        <v>7500</v>
      </c>
      <c r="AQ153" s="211">
        <f t="shared" si="240"/>
        <v>7500</v>
      </c>
      <c r="AR153" s="211">
        <f t="shared" si="240"/>
        <v>7500</v>
      </c>
      <c r="AS153" s="211">
        <f t="shared" si="240"/>
        <v>7500</v>
      </c>
      <c r="AT153" s="211">
        <f t="shared" si="240"/>
        <v>7500</v>
      </c>
      <c r="AU153" s="211">
        <f t="shared" si="240"/>
        <v>7500</v>
      </c>
      <c r="AV153" s="211">
        <f t="shared" si="240"/>
        <v>7500</v>
      </c>
      <c r="AW153" s="211">
        <f t="shared" si="240"/>
        <v>7500</v>
      </c>
      <c r="AX153" s="211">
        <f t="shared" si="240"/>
        <v>7500</v>
      </c>
      <c r="AY153" s="211">
        <f t="shared" si="240"/>
        <v>7500</v>
      </c>
      <c r="BG153" s="4">
        <v>147</v>
      </c>
      <c r="BH153"/>
      <c r="BI153"/>
      <c r="BJ153"/>
      <c r="BK153"/>
      <c r="BL153"/>
      <c r="BM15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c r="HF153" s="3"/>
      <c r="HG153" s="3"/>
      <c r="HH153" s="3"/>
      <c r="HI153" s="3"/>
      <c r="HJ153" s="3"/>
      <c r="HK153" s="3"/>
      <c r="HL153" s="3"/>
      <c r="HM153" s="3"/>
      <c r="HN153" s="3"/>
      <c r="HO153" s="3"/>
      <c r="HP153" s="3"/>
      <c r="HQ153" s="3"/>
      <c r="HR153" s="3"/>
      <c r="HS153" s="3"/>
      <c r="HT153" s="3"/>
      <c r="HU153" s="3"/>
      <c r="HV153" s="3"/>
      <c r="HW153" s="3"/>
      <c r="HX153" s="3"/>
      <c r="HY153" s="3"/>
      <c r="HZ153" s="3"/>
      <c r="IA153" s="3"/>
      <c r="IB153" s="3"/>
      <c r="IC153" s="3"/>
      <c r="ID153" s="3"/>
      <c r="IE153" s="3"/>
      <c r="IF153" s="3"/>
      <c r="IG153" s="3"/>
      <c r="IH153" s="3"/>
      <c r="II153" s="3"/>
      <c r="IJ153" s="3"/>
      <c r="IK153" s="3"/>
      <c r="IL153" s="3"/>
      <c r="IM153" s="3"/>
      <c r="IN153" s="3"/>
      <c r="IO153" s="3"/>
      <c r="IP153" s="3"/>
      <c r="IQ153" s="3"/>
      <c r="IR153" s="3"/>
      <c r="IS153" s="3"/>
      <c r="IT153" s="3"/>
      <c r="IU153" s="3"/>
      <c r="IV153" s="3"/>
      <c r="IW153" s="3"/>
    </row>
    <row r="154" spans="1:257" s="5" customFormat="1" ht="12.75" customHeight="1" outlineLevel="2">
      <c r="A154" s="2"/>
      <c r="B154" s="205" t="s">
        <v>249</v>
      </c>
      <c r="F154" s="226"/>
      <c r="G154" s="226"/>
      <c r="H154" s="225">
        <f t="shared" si="237"/>
        <v>1300</v>
      </c>
      <c r="I154" s="225">
        <f t="shared" si="237"/>
        <v>1300</v>
      </c>
      <c r="J154" s="225">
        <f t="shared" si="237"/>
        <v>1300</v>
      </c>
      <c r="K154" s="225">
        <f t="shared" si="237"/>
        <v>1300</v>
      </c>
      <c r="L154" s="225">
        <f t="shared" si="237"/>
        <v>1300</v>
      </c>
      <c r="M154" s="225">
        <f t="shared" si="237"/>
        <v>1300</v>
      </c>
      <c r="N154" s="225">
        <f t="shared" si="237"/>
        <v>1300</v>
      </c>
      <c r="O154" s="3"/>
      <c r="P154" s="224"/>
      <c r="Q154" s="224"/>
      <c r="R154" s="224"/>
      <c r="S154" s="224"/>
      <c r="T154" s="224"/>
      <c r="U154" s="224"/>
      <c r="V154" s="224"/>
      <c r="W154" s="224"/>
      <c r="X154" s="224"/>
      <c r="Y154" s="208">
        <v>1300</v>
      </c>
      <c r="Z154" s="211">
        <f t="shared" si="238"/>
        <v>1300</v>
      </c>
      <c r="AA154" s="211">
        <f t="shared" si="238"/>
        <v>1300</v>
      </c>
      <c r="AB154" s="211">
        <f t="shared" si="238"/>
        <v>1300</v>
      </c>
      <c r="AC154" s="211">
        <f t="shared" ref="AC154:AC160" si="241">AB154</f>
        <v>1300</v>
      </c>
      <c r="AD154" s="211">
        <f t="shared" si="239"/>
        <v>1300</v>
      </c>
      <c r="AE154" s="211">
        <f t="shared" si="239"/>
        <v>1300</v>
      </c>
      <c r="AF154" s="211">
        <f t="shared" ref="AF154:AG160" si="242">AE154</f>
        <v>1300</v>
      </c>
      <c r="AG154" s="210">
        <f t="shared" si="242"/>
        <v>1300</v>
      </c>
      <c r="AH154" s="210">
        <f t="shared" ref="AH154:AY154" si="243">AG154</f>
        <v>1300</v>
      </c>
      <c r="AI154" s="210">
        <f t="shared" si="243"/>
        <v>1300</v>
      </c>
      <c r="AJ154" s="211">
        <f t="shared" si="243"/>
        <v>1300</v>
      </c>
      <c r="AK154" s="211">
        <f t="shared" si="243"/>
        <v>1300</v>
      </c>
      <c r="AL154" s="211">
        <f t="shared" si="243"/>
        <v>1300</v>
      </c>
      <c r="AM154" s="211">
        <f t="shared" si="243"/>
        <v>1300</v>
      </c>
      <c r="AN154" s="211">
        <f t="shared" si="243"/>
        <v>1300</v>
      </c>
      <c r="AO154" s="211">
        <f t="shared" si="243"/>
        <v>1300</v>
      </c>
      <c r="AP154" s="211">
        <f t="shared" si="243"/>
        <v>1300</v>
      </c>
      <c r="AQ154" s="211">
        <f t="shared" si="243"/>
        <v>1300</v>
      </c>
      <c r="AR154" s="211">
        <f t="shared" si="243"/>
        <v>1300</v>
      </c>
      <c r="AS154" s="211">
        <f t="shared" si="243"/>
        <v>1300</v>
      </c>
      <c r="AT154" s="211">
        <f t="shared" si="243"/>
        <v>1300</v>
      </c>
      <c r="AU154" s="211">
        <f t="shared" si="243"/>
        <v>1300</v>
      </c>
      <c r="AV154" s="211">
        <f t="shared" si="243"/>
        <v>1300</v>
      </c>
      <c r="AW154" s="211">
        <f t="shared" si="243"/>
        <v>1300</v>
      </c>
      <c r="AX154" s="211">
        <f t="shared" si="243"/>
        <v>1300</v>
      </c>
      <c r="AY154" s="211">
        <f t="shared" si="243"/>
        <v>1300</v>
      </c>
      <c r="BG154" s="4">
        <v>148</v>
      </c>
      <c r="BH154"/>
      <c r="BI154"/>
      <c r="BJ154"/>
      <c r="BK154"/>
      <c r="BL154"/>
      <c r="BM154"/>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c r="HF154" s="3"/>
      <c r="HG154" s="3"/>
      <c r="HH154" s="3"/>
      <c r="HI154" s="3"/>
      <c r="HJ154" s="3"/>
      <c r="HK154" s="3"/>
      <c r="HL154" s="3"/>
      <c r="HM154" s="3"/>
      <c r="HN154" s="3"/>
      <c r="HO154" s="3"/>
      <c r="HP154" s="3"/>
      <c r="HQ154" s="3"/>
      <c r="HR154" s="3"/>
      <c r="HS154" s="3"/>
      <c r="HT154" s="3"/>
      <c r="HU154" s="3"/>
      <c r="HV154" s="3"/>
      <c r="HW154" s="3"/>
      <c r="HX154" s="3"/>
      <c r="HY154" s="3"/>
      <c r="HZ154" s="3"/>
      <c r="IA154" s="3"/>
      <c r="IB154" s="3"/>
      <c r="IC154" s="3"/>
      <c r="ID154" s="3"/>
      <c r="IE154" s="3"/>
      <c r="IF154" s="3"/>
      <c r="IG154" s="3"/>
      <c r="IH154" s="3"/>
      <c r="II154" s="3"/>
      <c r="IJ154" s="3"/>
      <c r="IK154" s="3"/>
      <c r="IL154" s="3"/>
      <c r="IM154" s="3"/>
      <c r="IN154" s="3"/>
      <c r="IO154" s="3"/>
      <c r="IP154" s="3"/>
      <c r="IQ154" s="3"/>
      <c r="IR154" s="3"/>
      <c r="IS154" s="3"/>
      <c r="IT154" s="3"/>
      <c r="IU154" s="3"/>
      <c r="IV154" s="3"/>
      <c r="IW154" s="3"/>
    </row>
    <row r="155" spans="1:257" s="5" customFormat="1" ht="12.75" customHeight="1" outlineLevel="2">
      <c r="A155" s="2"/>
      <c r="B155" s="205" t="s">
        <v>248</v>
      </c>
      <c r="F155" s="77"/>
      <c r="G155" s="77"/>
      <c r="H155" s="212">
        <f t="shared" si="237"/>
        <v>600</v>
      </c>
      <c r="I155" s="212">
        <f t="shared" si="237"/>
        <v>600</v>
      </c>
      <c r="J155" s="212">
        <f t="shared" si="237"/>
        <v>600</v>
      </c>
      <c r="K155" s="212">
        <f t="shared" si="237"/>
        <v>600</v>
      </c>
      <c r="L155" s="212">
        <f t="shared" si="237"/>
        <v>600</v>
      </c>
      <c r="M155" s="212">
        <f t="shared" si="237"/>
        <v>600</v>
      </c>
      <c r="N155" s="212">
        <f t="shared" si="237"/>
        <v>600</v>
      </c>
      <c r="O155" s="3"/>
      <c r="P155" s="3"/>
      <c r="Q155" s="3"/>
      <c r="R155" s="3"/>
      <c r="S155" s="3"/>
      <c r="T155" s="3"/>
      <c r="U155" s="3"/>
      <c r="V155" s="3"/>
      <c r="W155" s="3"/>
      <c r="X155" s="32"/>
      <c r="Y155" s="208">
        <v>600</v>
      </c>
      <c r="Z155" s="211">
        <f t="shared" si="238"/>
        <v>600</v>
      </c>
      <c r="AA155" s="211">
        <f t="shared" si="238"/>
        <v>600</v>
      </c>
      <c r="AB155" s="211">
        <f t="shared" si="238"/>
        <v>600</v>
      </c>
      <c r="AC155" s="211">
        <f t="shared" si="241"/>
        <v>600</v>
      </c>
      <c r="AD155" s="210">
        <f t="shared" si="239"/>
        <v>600</v>
      </c>
      <c r="AE155" s="210">
        <f t="shared" si="239"/>
        <v>600</v>
      </c>
      <c r="AF155" s="210">
        <f t="shared" si="242"/>
        <v>600</v>
      </c>
      <c r="AG155" s="210">
        <f t="shared" si="242"/>
        <v>600</v>
      </c>
      <c r="AH155" s="211">
        <f t="shared" ref="AH155:AY155" si="244">AG155</f>
        <v>600</v>
      </c>
      <c r="AI155" s="211">
        <f t="shared" si="244"/>
        <v>600</v>
      </c>
      <c r="AJ155" s="211">
        <f t="shared" si="244"/>
        <v>600</v>
      </c>
      <c r="AK155" s="211">
        <f t="shared" si="244"/>
        <v>600</v>
      </c>
      <c r="AL155" s="211">
        <f t="shared" si="244"/>
        <v>600</v>
      </c>
      <c r="AM155" s="211">
        <f t="shared" si="244"/>
        <v>600</v>
      </c>
      <c r="AN155" s="211">
        <f t="shared" si="244"/>
        <v>600</v>
      </c>
      <c r="AO155" s="211">
        <f t="shared" si="244"/>
        <v>600</v>
      </c>
      <c r="AP155" s="211">
        <f t="shared" si="244"/>
        <v>600</v>
      </c>
      <c r="AQ155" s="211">
        <f t="shared" si="244"/>
        <v>600</v>
      </c>
      <c r="AR155" s="211">
        <f t="shared" si="244"/>
        <v>600</v>
      </c>
      <c r="AS155" s="211">
        <f t="shared" si="244"/>
        <v>600</v>
      </c>
      <c r="AT155" s="211">
        <f t="shared" si="244"/>
        <v>600</v>
      </c>
      <c r="AU155" s="211">
        <f t="shared" si="244"/>
        <v>600</v>
      </c>
      <c r="AV155" s="211">
        <f t="shared" si="244"/>
        <v>600</v>
      </c>
      <c r="AW155" s="211">
        <f t="shared" si="244"/>
        <v>600</v>
      </c>
      <c r="AX155" s="211">
        <f t="shared" si="244"/>
        <v>600</v>
      </c>
      <c r="AY155" s="211">
        <f t="shared" si="244"/>
        <v>600</v>
      </c>
      <c r="BG155" s="4">
        <v>149</v>
      </c>
      <c r="BH155"/>
      <c r="BI155"/>
      <c r="BJ155"/>
      <c r="BK155"/>
      <c r="BL155"/>
      <c r="BM155"/>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c r="HF155" s="3"/>
      <c r="HG155" s="3"/>
      <c r="HH155" s="3"/>
      <c r="HI155" s="3"/>
      <c r="HJ155" s="3"/>
      <c r="HK155" s="3"/>
      <c r="HL155" s="3"/>
      <c r="HM155" s="3"/>
      <c r="HN155" s="3"/>
      <c r="HO155" s="3"/>
      <c r="HP155" s="3"/>
      <c r="HQ155" s="3"/>
      <c r="HR155" s="3"/>
      <c r="HS155" s="3"/>
      <c r="HT155" s="3"/>
      <c r="HU155" s="3"/>
      <c r="HV155" s="3"/>
      <c r="HW155" s="3"/>
      <c r="HX155" s="3"/>
      <c r="HY155" s="3"/>
      <c r="HZ155" s="3"/>
      <c r="IA155" s="3"/>
      <c r="IB155" s="3"/>
      <c r="IC155" s="3"/>
      <c r="ID155" s="3"/>
      <c r="IE155" s="3"/>
      <c r="IF155" s="3"/>
      <c r="IG155" s="3"/>
      <c r="IH155" s="3"/>
      <c r="II155" s="3"/>
      <c r="IJ155" s="3"/>
      <c r="IK155" s="3"/>
      <c r="IL155" s="3"/>
      <c r="IM155" s="3"/>
      <c r="IN155" s="3"/>
      <c r="IO155" s="3"/>
      <c r="IP155" s="3"/>
      <c r="IQ155" s="3"/>
      <c r="IR155" s="3"/>
      <c r="IS155" s="3"/>
      <c r="IT155" s="3"/>
      <c r="IU155" s="3"/>
      <c r="IV155" s="3"/>
      <c r="IW155" s="3"/>
    </row>
    <row r="156" spans="1:257" s="5" customFormat="1" ht="12.75" customHeight="1" outlineLevel="2">
      <c r="A156" s="2"/>
      <c r="B156" s="213" t="s">
        <v>247</v>
      </c>
      <c r="C156" s="3"/>
      <c r="D156" s="3"/>
      <c r="E156" s="3"/>
      <c r="F156" s="77"/>
      <c r="G156" s="77"/>
      <c r="H156" s="212">
        <f t="shared" si="237"/>
        <v>0</v>
      </c>
      <c r="I156" s="212">
        <f t="shared" si="237"/>
        <v>1000</v>
      </c>
      <c r="J156" s="212">
        <f t="shared" si="237"/>
        <v>1000</v>
      </c>
      <c r="K156" s="212">
        <f t="shared" si="237"/>
        <v>1000</v>
      </c>
      <c r="L156" s="212">
        <f t="shared" si="237"/>
        <v>1000</v>
      </c>
      <c r="M156" s="212">
        <f t="shared" si="237"/>
        <v>1000</v>
      </c>
      <c r="N156" s="212">
        <f t="shared" si="237"/>
        <v>1000</v>
      </c>
      <c r="O156" s="3"/>
      <c r="P156" s="3"/>
      <c r="Q156" s="3"/>
      <c r="R156" s="3"/>
      <c r="S156" s="3"/>
      <c r="T156" s="3"/>
      <c r="U156" s="3"/>
      <c r="V156" s="3"/>
      <c r="W156" s="3"/>
      <c r="X156" s="32"/>
      <c r="Y156" s="208">
        <v>0</v>
      </c>
      <c r="Z156" s="223">
        <v>0</v>
      </c>
      <c r="AA156" s="223">
        <v>0</v>
      </c>
      <c r="AB156" s="222">
        <v>1000</v>
      </c>
      <c r="AC156" s="210">
        <f t="shared" si="241"/>
        <v>1000</v>
      </c>
      <c r="AD156" s="210">
        <f t="shared" si="239"/>
        <v>1000</v>
      </c>
      <c r="AE156" s="210">
        <f t="shared" si="239"/>
        <v>1000</v>
      </c>
      <c r="AF156" s="210">
        <f t="shared" si="242"/>
        <v>1000</v>
      </c>
      <c r="AG156" s="210">
        <f t="shared" si="242"/>
        <v>1000</v>
      </c>
      <c r="AH156" s="210">
        <f t="shared" ref="AH156:AY156" si="245">AG156</f>
        <v>1000</v>
      </c>
      <c r="AI156" s="210">
        <f t="shared" si="245"/>
        <v>1000</v>
      </c>
      <c r="AJ156" s="211">
        <f t="shared" si="245"/>
        <v>1000</v>
      </c>
      <c r="AK156" s="211">
        <f t="shared" si="245"/>
        <v>1000</v>
      </c>
      <c r="AL156" s="211">
        <f t="shared" si="245"/>
        <v>1000</v>
      </c>
      <c r="AM156" s="211">
        <f t="shared" si="245"/>
        <v>1000</v>
      </c>
      <c r="AN156" s="211">
        <f t="shared" si="245"/>
        <v>1000</v>
      </c>
      <c r="AO156" s="211">
        <f t="shared" si="245"/>
        <v>1000</v>
      </c>
      <c r="AP156" s="211">
        <f t="shared" si="245"/>
        <v>1000</v>
      </c>
      <c r="AQ156" s="211">
        <f t="shared" si="245"/>
        <v>1000</v>
      </c>
      <c r="AR156" s="211">
        <f t="shared" si="245"/>
        <v>1000</v>
      </c>
      <c r="AS156" s="211">
        <f t="shared" si="245"/>
        <v>1000</v>
      </c>
      <c r="AT156" s="211">
        <f t="shared" si="245"/>
        <v>1000</v>
      </c>
      <c r="AU156" s="211">
        <f t="shared" si="245"/>
        <v>1000</v>
      </c>
      <c r="AV156" s="211">
        <f t="shared" si="245"/>
        <v>1000</v>
      </c>
      <c r="AW156" s="211">
        <f t="shared" si="245"/>
        <v>1000</v>
      </c>
      <c r="AX156" s="211">
        <f t="shared" si="245"/>
        <v>1000</v>
      </c>
      <c r="AY156" s="211">
        <f t="shared" si="245"/>
        <v>1000</v>
      </c>
      <c r="BG156" s="4">
        <v>150</v>
      </c>
      <c r="BH156"/>
      <c r="BI156"/>
      <c r="BJ156"/>
      <c r="BK156"/>
      <c r="BL156"/>
      <c r="BM156"/>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c r="HF156" s="3"/>
      <c r="HG156" s="3"/>
      <c r="HH156" s="3"/>
      <c r="HI156" s="3"/>
      <c r="HJ156" s="3"/>
      <c r="HK156" s="3"/>
      <c r="HL156" s="3"/>
      <c r="HM156" s="3"/>
      <c r="HN156" s="3"/>
      <c r="HO156" s="3"/>
      <c r="HP156" s="3"/>
      <c r="HQ156" s="3"/>
      <c r="HR156" s="3"/>
      <c r="HS156" s="3"/>
      <c r="HT156" s="3"/>
      <c r="HU156" s="3"/>
      <c r="HV156" s="3"/>
      <c r="HW156" s="3"/>
      <c r="HX156" s="3"/>
      <c r="HY156" s="3"/>
      <c r="HZ156" s="3"/>
      <c r="IA156" s="3"/>
      <c r="IB156" s="3"/>
      <c r="IC156" s="3"/>
      <c r="ID156" s="3"/>
      <c r="IE156" s="3"/>
      <c r="IF156" s="3"/>
      <c r="IG156" s="3"/>
      <c r="IH156" s="3"/>
      <c r="II156" s="3"/>
      <c r="IJ156" s="3"/>
      <c r="IK156" s="3"/>
      <c r="IL156" s="3"/>
      <c r="IM156" s="3"/>
      <c r="IN156" s="3"/>
      <c r="IO156" s="3"/>
      <c r="IP156" s="3"/>
      <c r="IQ156" s="3"/>
      <c r="IR156" s="3"/>
      <c r="IS156" s="3"/>
      <c r="IT156" s="3"/>
      <c r="IU156" s="3"/>
      <c r="IV156" s="3"/>
      <c r="IW156" s="3"/>
    </row>
    <row r="157" spans="1:257" s="5" customFormat="1" ht="12.75" customHeight="1" outlineLevel="2">
      <c r="A157" s="2"/>
      <c r="B157" s="213" t="s">
        <v>246</v>
      </c>
      <c r="C157" s="3"/>
      <c r="D157" s="3"/>
      <c r="E157" s="3"/>
      <c r="F157" s="77"/>
      <c r="G157" s="77"/>
      <c r="H157" s="212">
        <f t="shared" si="237"/>
        <v>700</v>
      </c>
      <c r="I157" s="212">
        <f t="shared" si="237"/>
        <v>700</v>
      </c>
      <c r="J157" s="212">
        <f t="shared" si="237"/>
        <v>700</v>
      </c>
      <c r="K157" s="212">
        <f t="shared" si="237"/>
        <v>700</v>
      </c>
      <c r="L157" s="212">
        <f t="shared" si="237"/>
        <v>700</v>
      </c>
      <c r="M157" s="212">
        <f t="shared" si="237"/>
        <v>700</v>
      </c>
      <c r="N157" s="212">
        <f t="shared" si="237"/>
        <v>700</v>
      </c>
      <c r="O157" s="3"/>
      <c r="P157" s="3"/>
      <c r="Q157" s="3"/>
      <c r="R157" s="3"/>
      <c r="S157" s="3"/>
      <c r="T157" s="3"/>
      <c r="U157" s="3"/>
      <c r="V157" s="3"/>
      <c r="W157" s="3"/>
      <c r="X157" s="32"/>
      <c r="Y157" s="208">
        <v>700</v>
      </c>
      <c r="Z157" s="211">
        <f t="shared" ref="Z157:AB158" si="246">Y157</f>
        <v>700</v>
      </c>
      <c r="AA157" s="211">
        <f t="shared" si="246"/>
        <v>700</v>
      </c>
      <c r="AB157" s="211">
        <f t="shared" si="246"/>
        <v>700</v>
      </c>
      <c r="AC157" s="210">
        <f t="shared" si="241"/>
        <v>700</v>
      </c>
      <c r="AD157" s="210">
        <f t="shared" si="239"/>
        <v>700</v>
      </c>
      <c r="AE157" s="210">
        <f t="shared" si="239"/>
        <v>700</v>
      </c>
      <c r="AF157" s="210">
        <f t="shared" si="242"/>
        <v>700</v>
      </c>
      <c r="AG157" s="210">
        <f t="shared" si="242"/>
        <v>700</v>
      </c>
      <c r="AH157" s="210">
        <f t="shared" ref="AH157:AY157" si="247">AG157</f>
        <v>700</v>
      </c>
      <c r="AI157" s="210">
        <f t="shared" si="247"/>
        <v>700</v>
      </c>
      <c r="AJ157" s="210">
        <f t="shared" si="247"/>
        <v>700</v>
      </c>
      <c r="AK157" s="210">
        <f t="shared" si="247"/>
        <v>700</v>
      </c>
      <c r="AL157" s="211">
        <f t="shared" si="247"/>
        <v>700</v>
      </c>
      <c r="AM157" s="211">
        <f t="shared" si="247"/>
        <v>700</v>
      </c>
      <c r="AN157" s="211">
        <f t="shared" si="247"/>
        <v>700</v>
      </c>
      <c r="AO157" s="211">
        <f t="shared" si="247"/>
        <v>700</v>
      </c>
      <c r="AP157" s="211">
        <f t="shared" si="247"/>
        <v>700</v>
      </c>
      <c r="AQ157" s="211">
        <f t="shared" si="247"/>
        <v>700</v>
      </c>
      <c r="AR157" s="211">
        <f t="shared" si="247"/>
        <v>700</v>
      </c>
      <c r="AS157" s="211">
        <f t="shared" si="247"/>
        <v>700</v>
      </c>
      <c r="AT157" s="211">
        <f t="shared" si="247"/>
        <v>700</v>
      </c>
      <c r="AU157" s="211">
        <f t="shared" si="247"/>
        <v>700</v>
      </c>
      <c r="AV157" s="211">
        <f t="shared" si="247"/>
        <v>700</v>
      </c>
      <c r="AW157" s="211">
        <f t="shared" si="247"/>
        <v>700</v>
      </c>
      <c r="AX157" s="211">
        <f t="shared" si="247"/>
        <v>700</v>
      </c>
      <c r="AY157" s="211">
        <f t="shared" si="247"/>
        <v>700</v>
      </c>
      <c r="BG157" s="4">
        <v>151</v>
      </c>
      <c r="BH157"/>
      <c r="BI157"/>
      <c r="BJ157"/>
      <c r="BK157"/>
      <c r="BL157"/>
      <c r="BM157"/>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c r="HF157" s="3"/>
      <c r="HG157" s="3"/>
      <c r="HH157" s="3"/>
      <c r="HI157" s="3"/>
      <c r="HJ157" s="3"/>
      <c r="HK157" s="3"/>
      <c r="HL157" s="3"/>
      <c r="HM157" s="3"/>
      <c r="HN157" s="3"/>
      <c r="HO157" s="3"/>
      <c r="HP157" s="3"/>
      <c r="HQ157" s="3"/>
      <c r="HR157" s="3"/>
      <c r="HS157" s="3"/>
      <c r="HT157" s="3"/>
      <c r="HU157" s="3"/>
      <c r="HV157" s="3"/>
      <c r="HW157" s="3"/>
      <c r="HX157" s="3"/>
      <c r="HY157" s="3"/>
      <c r="HZ157" s="3"/>
      <c r="IA157" s="3"/>
      <c r="IB157" s="3"/>
      <c r="IC157" s="3"/>
      <c r="ID157" s="3"/>
      <c r="IE157" s="3"/>
      <c r="IF157" s="3"/>
      <c r="IG157" s="3"/>
      <c r="IH157" s="3"/>
      <c r="II157" s="3"/>
      <c r="IJ157" s="3"/>
      <c r="IK157" s="3"/>
      <c r="IL157" s="3"/>
      <c r="IM157" s="3"/>
      <c r="IN157" s="3"/>
      <c r="IO157" s="3"/>
      <c r="IP157" s="3"/>
      <c r="IQ157" s="3"/>
      <c r="IR157" s="3"/>
      <c r="IS157" s="3"/>
      <c r="IT157" s="3"/>
      <c r="IU157" s="3"/>
      <c r="IV157" s="3"/>
      <c r="IW157" s="3"/>
    </row>
    <row r="158" spans="1:257" s="5" customFormat="1" ht="12.75" customHeight="1" outlineLevel="2">
      <c r="A158" s="2"/>
      <c r="B158" s="205" t="s">
        <v>245</v>
      </c>
      <c r="F158" s="77"/>
      <c r="G158" s="77"/>
      <c r="H158" s="212">
        <f t="shared" si="237"/>
        <v>800</v>
      </c>
      <c r="I158" s="212">
        <f t="shared" si="237"/>
        <v>800</v>
      </c>
      <c r="J158" s="212">
        <f t="shared" si="237"/>
        <v>800</v>
      </c>
      <c r="K158" s="212">
        <f t="shared" si="237"/>
        <v>800</v>
      </c>
      <c r="L158" s="212">
        <f t="shared" si="237"/>
        <v>800</v>
      </c>
      <c r="M158" s="212">
        <f t="shared" si="237"/>
        <v>800</v>
      </c>
      <c r="N158" s="212">
        <f t="shared" si="237"/>
        <v>800</v>
      </c>
      <c r="O158" s="3"/>
      <c r="P158" s="3"/>
      <c r="Q158" s="3"/>
      <c r="R158" s="3"/>
      <c r="S158" s="3"/>
      <c r="T158" s="3"/>
      <c r="U158" s="3"/>
      <c r="V158" s="3"/>
      <c r="W158" s="3"/>
      <c r="X158" s="32"/>
      <c r="Y158" s="208">
        <v>800</v>
      </c>
      <c r="Z158" s="211">
        <f t="shared" si="246"/>
        <v>800</v>
      </c>
      <c r="AA158" s="211">
        <f t="shared" si="246"/>
        <v>800</v>
      </c>
      <c r="AB158" s="211">
        <f t="shared" si="246"/>
        <v>800</v>
      </c>
      <c r="AC158" s="211">
        <f t="shared" si="241"/>
        <v>800</v>
      </c>
      <c r="AD158" s="210">
        <f t="shared" si="239"/>
        <v>800</v>
      </c>
      <c r="AE158" s="210">
        <f t="shared" si="239"/>
        <v>800</v>
      </c>
      <c r="AF158" s="210">
        <f t="shared" si="242"/>
        <v>800</v>
      </c>
      <c r="AG158" s="210">
        <f t="shared" si="242"/>
        <v>800</v>
      </c>
      <c r="AH158" s="210">
        <f t="shared" ref="AH158:AY158" si="248">AG158</f>
        <v>800</v>
      </c>
      <c r="AI158" s="210">
        <f t="shared" si="248"/>
        <v>800</v>
      </c>
      <c r="AJ158" s="210">
        <f t="shared" si="248"/>
        <v>800</v>
      </c>
      <c r="AK158" s="210">
        <f t="shared" si="248"/>
        <v>800</v>
      </c>
      <c r="AL158" s="210">
        <f t="shared" si="248"/>
        <v>800</v>
      </c>
      <c r="AM158" s="210">
        <f t="shared" si="248"/>
        <v>800</v>
      </c>
      <c r="AN158" s="210">
        <f t="shared" si="248"/>
        <v>800</v>
      </c>
      <c r="AO158" s="210">
        <f t="shared" si="248"/>
        <v>800</v>
      </c>
      <c r="AP158" s="210">
        <f t="shared" si="248"/>
        <v>800</v>
      </c>
      <c r="AQ158" s="210">
        <f t="shared" si="248"/>
        <v>800</v>
      </c>
      <c r="AR158" s="210">
        <f t="shared" si="248"/>
        <v>800</v>
      </c>
      <c r="AS158" s="210">
        <f t="shared" si="248"/>
        <v>800</v>
      </c>
      <c r="AT158" s="210">
        <f t="shared" si="248"/>
        <v>800</v>
      </c>
      <c r="AU158" s="210">
        <f t="shared" si="248"/>
        <v>800</v>
      </c>
      <c r="AV158" s="210">
        <f t="shared" si="248"/>
        <v>800</v>
      </c>
      <c r="AW158" s="210">
        <f t="shared" si="248"/>
        <v>800</v>
      </c>
      <c r="AX158" s="210">
        <f t="shared" si="248"/>
        <v>800</v>
      </c>
      <c r="AY158" s="210">
        <f t="shared" si="248"/>
        <v>800</v>
      </c>
      <c r="BG158" s="4">
        <v>152</v>
      </c>
      <c r="BH158"/>
      <c r="BI158"/>
      <c r="BJ158"/>
      <c r="BK158"/>
      <c r="BL158"/>
      <c r="BM158"/>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c r="HF158" s="3"/>
      <c r="HG158" s="3"/>
      <c r="HH158" s="3"/>
      <c r="HI158" s="3"/>
      <c r="HJ158" s="3"/>
      <c r="HK158" s="3"/>
      <c r="HL158" s="3"/>
      <c r="HM158" s="3"/>
      <c r="HN158" s="3"/>
      <c r="HO158" s="3"/>
      <c r="HP158" s="3"/>
      <c r="HQ158" s="3"/>
      <c r="HR158" s="3"/>
      <c r="HS158" s="3"/>
      <c r="HT158" s="3"/>
      <c r="HU158" s="3"/>
      <c r="HV158" s="3"/>
      <c r="HW158" s="3"/>
      <c r="HX158" s="3"/>
      <c r="HY158" s="3"/>
      <c r="HZ158" s="3"/>
      <c r="IA158" s="3"/>
      <c r="IB158" s="3"/>
      <c r="IC158" s="3"/>
      <c r="ID158" s="3"/>
      <c r="IE158" s="3"/>
      <c r="IF158" s="3"/>
      <c r="IG158" s="3"/>
      <c r="IH158" s="3"/>
      <c r="II158" s="3"/>
      <c r="IJ158" s="3"/>
      <c r="IK158" s="3"/>
      <c r="IL158" s="3"/>
      <c r="IM158" s="3"/>
      <c r="IN158" s="3"/>
      <c r="IO158" s="3"/>
      <c r="IP158" s="3"/>
      <c r="IQ158" s="3"/>
      <c r="IR158" s="3"/>
      <c r="IS158" s="3"/>
      <c r="IT158" s="3"/>
      <c r="IU158" s="3"/>
      <c r="IV158" s="3"/>
      <c r="IW158" s="3"/>
    </row>
    <row r="159" spans="1:257" s="5" customFormat="1" ht="12.75" customHeight="1" outlineLevel="2">
      <c r="A159" s="2"/>
      <c r="B159" s="205" t="s">
        <v>244</v>
      </c>
      <c r="F159" s="77"/>
      <c r="G159" s="77"/>
      <c r="H159" s="212">
        <f t="shared" si="237"/>
        <v>1000</v>
      </c>
      <c r="I159" s="212">
        <f t="shared" si="237"/>
        <v>1000</v>
      </c>
      <c r="J159" s="212">
        <f t="shared" si="237"/>
        <v>1000</v>
      </c>
      <c r="K159" s="212">
        <f t="shared" si="237"/>
        <v>1175</v>
      </c>
      <c r="L159" s="212">
        <f t="shared" si="237"/>
        <v>1200</v>
      </c>
      <c r="M159" s="212">
        <f t="shared" si="237"/>
        <v>1200</v>
      </c>
      <c r="N159" s="212">
        <f t="shared" si="237"/>
        <v>1200</v>
      </c>
      <c r="O159" s="3"/>
      <c r="P159" s="3"/>
      <c r="Q159" s="3"/>
      <c r="R159" s="3"/>
      <c r="S159" s="3"/>
      <c r="T159" s="3"/>
      <c r="U159" s="3"/>
      <c r="V159" s="3"/>
      <c r="W159" s="3"/>
      <c r="X159" s="32"/>
      <c r="Y159" s="208">
        <v>1000</v>
      </c>
      <c r="Z159" s="206">
        <f>Y159</f>
        <v>1000</v>
      </c>
      <c r="AA159" s="206">
        <f>Z159</f>
        <v>1000</v>
      </c>
      <c r="AB159" s="208">
        <v>1000</v>
      </c>
      <c r="AC159" s="206">
        <f t="shared" si="241"/>
        <v>1000</v>
      </c>
      <c r="AD159" s="206">
        <f t="shared" si="239"/>
        <v>1000</v>
      </c>
      <c r="AE159" s="206">
        <f t="shared" si="239"/>
        <v>1000</v>
      </c>
      <c r="AF159" s="206">
        <f t="shared" si="242"/>
        <v>1000</v>
      </c>
      <c r="AG159" s="206">
        <f t="shared" si="242"/>
        <v>1000</v>
      </c>
      <c r="AH159" s="206">
        <f t="shared" ref="AH159:AK160" si="249">AG159</f>
        <v>1000</v>
      </c>
      <c r="AI159" s="206">
        <f t="shared" si="249"/>
        <v>1000</v>
      </c>
      <c r="AJ159" s="206">
        <f t="shared" si="249"/>
        <v>1000</v>
      </c>
      <c r="AK159" s="211">
        <f t="shared" si="249"/>
        <v>1000</v>
      </c>
      <c r="AL159" s="218">
        <v>1500</v>
      </c>
      <c r="AM159" s="206">
        <v>1200</v>
      </c>
      <c r="AN159" s="206">
        <f t="shared" ref="AN159:AY159" si="250">AM159</f>
        <v>1200</v>
      </c>
      <c r="AO159" s="206">
        <f t="shared" si="250"/>
        <v>1200</v>
      </c>
      <c r="AP159" s="206">
        <f t="shared" si="250"/>
        <v>1200</v>
      </c>
      <c r="AQ159" s="206">
        <f t="shared" si="250"/>
        <v>1200</v>
      </c>
      <c r="AR159" s="206">
        <f t="shared" si="250"/>
        <v>1200</v>
      </c>
      <c r="AS159" s="206">
        <f t="shared" si="250"/>
        <v>1200</v>
      </c>
      <c r="AT159" s="206">
        <f t="shared" si="250"/>
        <v>1200</v>
      </c>
      <c r="AU159" s="206">
        <f t="shared" si="250"/>
        <v>1200</v>
      </c>
      <c r="AV159" s="206">
        <f t="shared" si="250"/>
        <v>1200</v>
      </c>
      <c r="AW159" s="206">
        <f t="shared" si="250"/>
        <v>1200</v>
      </c>
      <c r="AX159" s="206">
        <f t="shared" si="250"/>
        <v>1200</v>
      </c>
      <c r="AY159" s="206">
        <f t="shared" si="250"/>
        <v>1200</v>
      </c>
      <c r="BG159" s="4">
        <v>153</v>
      </c>
      <c r="BH159"/>
      <c r="BI159"/>
      <c r="BJ159"/>
      <c r="BK159"/>
      <c r="BL159"/>
      <c r="BM159"/>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c r="HF159" s="3"/>
      <c r="HG159" s="3"/>
      <c r="HH159" s="3"/>
      <c r="HI159" s="3"/>
      <c r="HJ159" s="3"/>
      <c r="HK159" s="3"/>
      <c r="HL159" s="3"/>
      <c r="HM159" s="3"/>
      <c r="HN159" s="3"/>
      <c r="HO159" s="3"/>
      <c r="HP159" s="3"/>
      <c r="HQ159" s="3"/>
      <c r="HR159" s="3"/>
      <c r="HS159" s="3"/>
      <c r="HT159" s="3"/>
      <c r="HU159" s="3"/>
      <c r="HV159" s="3"/>
      <c r="HW159" s="3"/>
      <c r="HX159" s="3"/>
      <c r="HY159" s="3"/>
      <c r="HZ159" s="3"/>
      <c r="IA159" s="3"/>
      <c r="IB159" s="3"/>
      <c r="IC159" s="3"/>
      <c r="ID159" s="3"/>
      <c r="IE159" s="3"/>
      <c r="IF159" s="3"/>
      <c r="IG159" s="3"/>
      <c r="IH159" s="3"/>
      <c r="II159" s="3"/>
      <c r="IJ159" s="3"/>
      <c r="IK159" s="3"/>
      <c r="IL159" s="3"/>
      <c r="IM159" s="3"/>
      <c r="IN159" s="3"/>
      <c r="IO159" s="3"/>
      <c r="IP159" s="3"/>
      <c r="IQ159" s="3"/>
      <c r="IR159" s="3"/>
      <c r="IS159" s="3"/>
      <c r="IT159" s="3"/>
      <c r="IU159" s="3"/>
      <c r="IV159" s="3"/>
      <c r="IW159" s="3"/>
    </row>
    <row r="160" spans="1:257" s="5" customFormat="1" ht="12.75" customHeight="1" outlineLevel="2">
      <c r="A160" s="2"/>
      <c r="B160" s="205" t="s">
        <v>243</v>
      </c>
      <c r="F160" s="77"/>
      <c r="G160" s="77"/>
      <c r="H160" s="212">
        <f t="shared" si="237"/>
        <v>0</v>
      </c>
      <c r="I160" s="212">
        <f t="shared" si="237"/>
        <v>0</v>
      </c>
      <c r="J160" s="212">
        <f t="shared" si="237"/>
        <v>0</v>
      </c>
      <c r="K160" s="212">
        <f t="shared" si="237"/>
        <v>0</v>
      </c>
      <c r="L160" s="212">
        <f t="shared" si="237"/>
        <v>1875</v>
      </c>
      <c r="M160" s="212">
        <f t="shared" si="237"/>
        <v>3000</v>
      </c>
      <c r="N160" s="212">
        <f t="shared" si="237"/>
        <v>3000</v>
      </c>
      <c r="O160" s="3"/>
      <c r="P160" s="3"/>
      <c r="Q160" s="3"/>
      <c r="R160" s="3"/>
      <c r="S160" s="3"/>
      <c r="T160" s="3"/>
      <c r="U160" s="3"/>
      <c r="V160" s="3"/>
      <c r="W160" s="3"/>
      <c r="X160" s="32"/>
      <c r="Y160" s="208">
        <v>0</v>
      </c>
      <c r="Z160" s="206">
        <f>Y160</f>
        <v>0</v>
      </c>
      <c r="AA160" s="206">
        <f>Z160</f>
        <v>0</v>
      </c>
      <c r="AB160" s="206">
        <f>AA160</f>
        <v>0</v>
      </c>
      <c r="AC160" s="206">
        <f t="shared" si="241"/>
        <v>0</v>
      </c>
      <c r="AD160" s="206">
        <f t="shared" si="239"/>
        <v>0</v>
      </c>
      <c r="AE160" s="206">
        <f t="shared" si="239"/>
        <v>0</v>
      </c>
      <c r="AF160" s="206">
        <f t="shared" si="242"/>
        <v>0</v>
      </c>
      <c r="AG160" s="206">
        <f t="shared" si="242"/>
        <v>0</v>
      </c>
      <c r="AH160" s="206">
        <f t="shared" si="249"/>
        <v>0</v>
      </c>
      <c r="AI160" s="206">
        <f t="shared" si="249"/>
        <v>0</v>
      </c>
      <c r="AJ160" s="206">
        <f t="shared" si="249"/>
        <v>0</v>
      </c>
      <c r="AK160" s="206">
        <f t="shared" si="249"/>
        <v>0</v>
      </c>
      <c r="AL160" s="206">
        <f>AK160</f>
        <v>0</v>
      </c>
      <c r="AM160" s="206">
        <f>AL160</f>
        <v>0</v>
      </c>
      <c r="AN160" s="206">
        <f>AM160</f>
        <v>0</v>
      </c>
      <c r="AO160" s="221">
        <v>1500</v>
      </c>
      <c r="AP160" s="220">
        <v>3000</v>
      </c>
      <c r="AQ160" s="206">
        <f t="shared" ref="AQ160:AY160" si="251">AP160</f>
        <v>3000</v>
      </c>
      <c r="AR160" s="206">
        <f t="shared" si="251"/>
        <v>3000</v>
      </c>
      <c r="AS160" s="206">
        <f t="shared" si="251"/>
        <v>3000</v>
      </c>
      <c r="AT160" s="206">
        <f t="shared" si="251"/>
        <v>3000</v>
      </c>
      <c r="AU160" s="206">
        <f t="shared" si="251"/>
        <v>3000</v>
      </c>
      <c r="AV160" s="206">
        <f t="shared" si="251"/>
        <v>3000</v>
      </c>
      <c r="AW160" s="206">
        <f t="shared" si="251"/>
        <v>3000</v>
      </c>
      <c r="AX160" s="206">
        <f t="shared" si="251"/>
        <v>3000</v>
      </c>
      <c r="AY160" s="206">
        <f t="shared" si="251"/>
        <v>3000</v>
      </c>
      <c r="BG160" s="4">
        <v>154</v>
      </c>
      <c r="BH160"/>
      <c r="BI160"/>
      <c r="BJ160"/>
      <c r="BK160"/>
      <c r="BL160"/>
      <c r="BM160"/>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c r="HF160" s="3"/>
      <c r="HG160" s="3"/>
      <c r="HH160" s="3"/>
      <c r="HI160" s="3"/>
      <c r="HJ160" s="3"/>
      <c r="HK160" s="3"/>
      <c r="HL160" s="3"/>
      <c r="HM160" s="3"/>
      <c r="HN160" s="3"/>
      <c r="HO160" s="3"/>
      <c r="HP160" s="3"/>
      <c r="HQ160" s="3"/>
      <c r="HR160" s="3"/>
      <c r="HS160" s="3"/>
      <c r="HT160" s="3"/>
      <c r="HU160" s="3"/>
      <c r="HV160" s="3"/>
      <c r="HW160" s="3"/>
      <c r="HX160" s="3"/>
      <c r="HY160" s="3"/>
      <c r="HZ160" s="3"/>
      <c r="IA160" s="3"/>
      <c r="IB160" s="3"/>
      <c r="IC160" s="3"/>
      <c r="ID160" s="3"/>
      <c r="IE160" s="3"/>
      <c r="IF160" s="3"/>
      <c r="IG160" s="3"/>
      <c r="IH160" s="3"/>
      <c r="II160" s="3"/>
      <c r="IJ160" s="3"/>
      <c r="IK160" s="3"/>
      <c r="IL160" s="3"/>
      <c r="IM160" s="3"/>
      <c r="IN160" s="3"/>
      <c r="IO160" s="3"/>
      <c r="IP160" s="3"/>
      <c r="IQ160" s="3"/>
      <c r="IR160" s="3"/>
      <c r="IS160" s="3"/>
      <c r="IT160" s="3"/>
      <c r="IU160" s="3"/>
      <c r="IV160" s="3"/>
      <c r="IW160" s="3"/>
    </row>
    <row r="161" spans="1:257" s="5" customFormat="1" ht="12.75" customHeight="1" outlineLevel="2">
      <c r="A161" s="2"/>
      <c r="B161" s="205" t="s">
        <v>242</v>
      </c>
      <c r="F161" s="77"/>
      <c r="G161" s="77"/>
      <c r="H161" s="219">
        <v>0</v>
      </c>
      <c r="I161" s="219">
        <v>0</v>
      </c>
      <c r="J161" s="219">
        <v>0</v>
      </c>
      <c r="K161" s="219">
        <v>0</v>
      </c>
      <c r="L161" s="212">
        <f t="shared" ref="L161:N167" si="252">AVERAGEIF($P$4:$AZ$4,L$4,$P161:$AZ161)</f>
        <v>3375</v>
      </c>
      <c r="M161" s="212">
        <f t="shared" si="252"/>
        <v>4500</v>
      </c>
      <c r="N161" s="212">
        <f t="shared" si="252"/>
        <v>4500</v>
      </c>
      <c r="O161" s="3"/>
      <c r="P161" s="3"/>
      <c r="Q161" s="3"/>
      <c r="R161" s="3"/>
      <c r="S161" s="3"/>
      <c r="T161" s="3"/>
      <c r="U161" s="3"/>
      <c r="V161" s="3"/>
      <c r="W161" s="3"/>
      <c r="X161" s="32"/>
      <c r="Y161" s="208"/>
      <c r="Z161" s="206"/>
      <c r="AA161" s="206"/>
      <c r="AB161" s="206"/>
      <c r="AC161" s="206"/>
      <c r="AD161" s="206"/>
      <c r="AE161" s="206"/>
      <c r="AF161" s="206">
        <v>0</v>
      </c>
      <c r="AG161" s="206">
        <v>0</v>
      </c>
      <c r="AH161" s="206">
        <v>0</v>
      </c>
      <c r="AI161" s="206">
        <v>0</v>
      </c>
      <c r="AJ161" s="206">
        <v>0</v>
      </c>
      <c r="AK161" s="206">
        <v>0</v>
      </c>
      <c r="AL161" s="206">
        <v>0</v>
      </c>
      <c r="AM161" s="206">
        <v>0</v>
      </c>
      <c r="AN161" s="206">
        <v>0</v>
      </c>
      <c r="AO161" s="218">
        <f>1500+3000</f>
        <v>4500</v>
      </c>
      <c r="AP161" s="206">
        <f>AO161</f>
        <v>4500</v>
      </c>
      <c r="AQ161" s="206">
        <f t="shared" ref="AQ161:AY161" si="253">AP161</f>
        <v>4500</v>
      </c>
      <c r="AR161" s="206">
        <f t="shared" si="253"/>
        <v>4500</v>
      </c>
      <c r="AS161" s="206">
        <f t="shared" si="253"/>
        <v>4500</v>
      </c>
      <c r="AT161" s="206">
        <f t="shared" si="253"/>
        <v>4500</v>
      </c>
      <c r="AU161" s="206">
        <f t="shared" si="253"/>
        <v>4500</v>
      </c>
      <c r="AV161" s="206">
        <f t="shared" si="253"/>
        <v>4500</v>
      </c>
      <c r="AW161" s="206">
        <f t="shared" si="253"/>
        <v>4500</v>
      </c>
      <c r="AX161" s="206">
        <f t="shared" si="253"/>
        <v>4500</v>
      </c>
      <c r="AY161" s="206">
        <f t="shared" si="253"/>
        <v>4500</v>
      </c>
      <c r="BG161" s="4">
        <v>155</v>
      </c>
      <c r="BH161"/>
      <c r="BI161"/>
      <c r="BJ161"/>
      <c r="BK161"/>
      <c r="BL161"/>
      <c r="BM161"/>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c r="HF161" s="3"/>
      <c r="HG161" s="3"/>
      <c r="HH161" s="3"/>
      <c r="HI161" s="3"/>
      <c r="HJ161" s="3"/>
      <c r="HK161" s="3"/>
      <c r="HL161" s="3"/>
      <c r="HM161" s="3"/>
      <c r="HN161" s="3"/>
      <c r="HO161" s="3"/>
      <c r="HP161" s="3"/>
      <c r="HQ161" s="3"/>
      <c r="HR161" s="3"/>
      <c r="HS161" s="3"/>
      <c r="HT161" s="3"/>
      <c r="HU161" s="3"/>
      <c r="HV161" s="3"/>
      <c r="HW161" s="3"/>
      <c r="HX161" s="3"/>
      <c r="HY161" s="3"/>
      <c r="HZ161" s="3"/>
      <c r="IA161" s="3"/>
      <c r="IB161" s="3"/>
      <c r="IC161" s="3"/>
      <c r="ID161" s="3"/>
      <c r="IE161" s="3"/>
      <c r="IF161" s="3"/>
      <c r="IG161" s="3"/>
      <c r="IH161" s="3"/>
      <c r="II161" s="3"/>
      <c r="IJ161" s="3"/>
      <c r="IK161" s="3"/>
      <c r="IL161" s="3"/>
      <c r="IM161" s="3"/>
      <c r="IN161" s="3"/>
      <c r="IO161" s="3"/>
      <c r="IP161" s="3"/>
      <c r="IQ161" s="3"/>
      <c r="IR161" s="3"/>
      <c r="IS161" s="3"/>
      <c r="IT161" s="3"/>
      <c r="IU161" s="3"/>
      <c r="IV161" s="3"/>
      <c r="IW161" s="3"/>
    </row>
    <row r="162" spans="1:257" s="5" customFormat="1" ht="12.75" customHeight="1" outlineLevel="2">
      <c r="A162" s="2"/>
      <c r="B162" s="205" t="s">
        <v>241</v>
      </c>
      <c r="F162" s="77"/>
      <c r="G162" s="77"/>
      <c r="H162" s="219">
        <v>0</v>
      </c>
      <c r="I162" s="219">
        <v>0</v>
      </c>
      <c r="J162" s="219">
        <v>0</v>
      </c>
      <c r="K162" s="219">
        <v>0</v>
      </c>
      <c r="L162" s="212">
        <f t="shared" si="252"/>
        <v>10125</v>
      </c>
      <c r="M162" s="212">
        <f t="shared" si="252"/>
        <v>13500</v>
      </c>
      <c r="N162" s="212">
        <f t="shared" si="252"/>
        <v>13500</v>
      </c>
      <c r="O162" s="3"/>
      <c r="P162" s="3"/>
      <c r="Q162" s="3"/>
      <c r="R162" s="3"/>
      <c r="S162" s="3"/>
      <c r="T162" s="3"/>
      <c r="U162" s="3"/>
      <c r="V162" s="3"/>
      <c r="W162" s="3"/>
      <c r="X162" s="32"/>
      <c r="Y162" s="208"/>
      <c r="Z162" s="206"/>
      <c r="AA162" s="206"/>
      <c r="AB162" s="206"/>
      <c r="AC162" s="206"/>
      <c r="AD162" s="206"/>
      <c r="AE162" s="206"/>
      <c r="AF162" s="206">
        <v>0</v>
      </c>
      <c r="AG162" s="206">
        <v>0</v>
      </c>
      <c r="AH162" s="206">
        <v>0</v>
      </c>
      <c r="AI162" s="206">
        <v>0</v>
      </c>
      <c r="AJ162" s="206">
        <v>0</v>
      </c>
      <c r="AK162" s="206">
        <v>0</v>
      </c>
      <c r="AL162" s="206">
        <v>0</v>
      </c>
      <c r="AM162" s="206">
        <v>0</v>
      </c>
      <c r="AN162" s="206">
        <v>0</v>
      </c>
      <c r="AO162" s="218">
        <f>14000-1500+1000</f>
        <v>13500</v>
      </c>
      <c r="AP162" s="206">
        <f>AO162</f>
        <v>13500</v>
      </c>
      <c r="AQ162" s="206">
        <f t="shared" ref="AQ162:AY162" si="254">AP162</f>
        <v>13500</v>
      </c>
      <c r="AR162" s="206">
        <f t="shared" si="254"/>
        <v>13500</v>
      </c>
      <c r="AS162" s="206">
        <f t="shared" si="254"/>
        <v>13500</v>
      </c>
      <c r="AT162" s="206">
        <f t="shared" si="254"/>
        <v>13500</v>
      </c>
      <c r="AU162" s="206">
        <f t="shared" si="254"/>
        <v>13500</v>
      </c>
      <c r="AV162" s="206">
        <f t="shared" si="254"/>
        <v>13500</v>
      </c>
      <c r="AW162" s="206">
        <f t="shared" si="254"/>
        <v>13500</v>
      </c>
      <c r="AX162" s="206">
        <f t="shared" si="254"/>
        <v>13500</v>
      </c>
      <c r="AY162" s="206">
        <f t="shared" si="254"/>
        <v>13500</v>
      </c>
      <c r="BG162" s="4">
        <v>156</v>
      </c>
      <c r="BH162"/>
      <c r="BI162"/>
      <c r="BJ162"/>
      <c r="BK162"/>
      <c r="BL162"/>
      <c r="BM162"/>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c r="HF162" s="3"/>
      <c r="HG162" s="3"/>
      <c r="HH162" s="3"/>
      <c r="HI162" s="3"/>
      <c r="HJ162" s="3"/>
      <c r="HK162" s="3"/>
      <c r="HL162" s="3"/>
      <c r="HM162" s="3"/>
      <c r="HN162" s="3"/>
      <c r="HO162" s="3"/>
      <c r="HP162" s="3"/>
      <c r="HQ162" s="3"/>
      <c r="HR162" s="3"/>
      <c r="HS162" s="3"/>
      <c r="HT162" s="3"/>
      <c r="HU162" s="3"/>
      <c r="HV162" s="3"/>
      <c r="HW162" s="3"/>
      <c r="HX162" s="3"/>
      <c r="HY162" s="3"/>
      <c r="HZ162" s="3"/>
      <c r="IA162" s="3"/>
      <c r="IB162" s="3"/>
      <c r="IC162" s="3"/>
      <c r="ID162" s="3"/>
      <c r="IE162" s="3"/>
      <c r="IF162" s="3"/>
      <c r="IG162" s="3"/>
      <c r="IH162" s="3"/>
      <c r="II162" s="3"/>
      <c r="IJ162" s="3"/>
      <c r="IK162" s="3"/>
      <c r="IL162" s="3"/>
      <c r="IM162" s="3"/>
      <c r="IN162" s="3"/>
      <c r="IO162" s="3"/>
      <c r="IP162" s="3"/>
      <c r="IQ162" s="3"/>
      <c r="IR162" s="3"/>
      <c r="IS162" s="3"/>
      <c r="IT162" s="3"/>
      <c r="IU162" s="3"/>
      <c r="IV162" s="3"/>
      <c r="IW162" s="3"/>
    </row>
    <row r="163" spans="1:257" s="5" customFormat="1" ht="12.75" customHeight="1" outlineLevel="2">
      <c r="A163" s="2"/>
      <c r="B163" s="213" t="s">
        <v>240</v>
      </c>
      <c r="C163" s="3"/>
      <c r="D163" s="3"/>
      <c r="E163" s="3"/>
      <c r="F163" s="77"/>
      <c r="G163" s="77"/>
      <c r="H163" s="212">
        <f t="shared" ref="H163:K167" si="255">AVERAGEIF($P$4:$AZ$4,H$4,$P163:$AZ163)</f>
        <v>500</v>
      </c>
      <c r="I163" s="212">
        <f t="shared" si="255"/>
        <v>250</v>
      </c>
      <c r="J163" s="212">
        <f t="shared" si="255"/>
        <v>0</v>
      </c>
      <c r="K163" s="212">
        <f t="shared" si="255"/>
        <v>0</v>
      </c>
      <c r="L163" s="212">
        <f t="shared" si="252"/>
        <v>600</v>
      </c>
      <c r="M163" s="212">
        <f t="shared" si="252"/>
        <v>600</v>
      </c>
      <c r="N163" s="212">
        <f t="shared" si="252"/>
        <v>600</v>
      </c>
      <c r="O163" s="3"/>
      <c r="P163" s="3"/>
      <c r="Q163" s="3"/>
      <c r="R163" s="3"/>
      <c r="S163" s="3"/>
      <c r="T163" s="3"/>
      <c r="U163" s="3"/>
      <c r="V163" s="3"/>
      <c r="W163" s="3"/>
      <c r="X163" s="32"/>
      <c r="Y163" s="208">
        <v>500</v>
      </c>
      <c r="Z163" s="211">
        <f>Y163</f>
        <v>500</v>
      </c>
      <c r="AA163" s="211">
        <f>Z163</f>
        <v>500</v>
      </c>
      <c r="AB163" s="211">
        <f>AA163</f>
        <v>500</v>
      </c>
      <c r="AC163" s="211">
        <f>AB163</f>
        <v>500</v>
      </c>
      <c r="AD163" s="217">
        <v>0</v>
      </c>
      <c r="AE163" s="216">
        <f t="shared" ref="AE163:AO163" si="256">AD163</f>
        <v>0</v>
      </c>
      <c r="AF163" s="216">
        <f t="shared" si="256"/>
        <v>0</v>
      </c>
      <c r="AG163" s="216">
        <f t="shared" si="256"/>
        <v>0</v>
      </c>
      <c r="AH163" s="216">
        <f t="shared" si="256"/>
        <v>0</v>
      </c>
      <c r="AI163" s="216">
        <f t="shared" si="256"/>
        <v>0</v>
      </c>
      <c r="AJ163" s="216">
        <f t="shared" si="256"/>
        <v>0</v>
      </c>
      <c r="AK163" s="216">
        <f t="shared" si="256"/>
        <v>0</v>
      </c>
      <c r="AL163" s="216">
        <f t="shared" si="256"/>
        <v>0</v>
      </c>
      <c r="AM163" s="216">
        <f t="shared" si="256"/>
        <v>0</v>
      </c>
      <c r="AN163" s="218">
        <v>600</v>
      </c>
      <c r="AO163" s="211">
        <f t="shared" si="256"/>
        <v>600</v>
      </c>
      <c r="AP163" s="211">
        <f>AO163</f>
        <v>600</v>
      </c>
      <c r="AQ163" s="211">
        <f t="shared" ref="AQ163:AY163" si="257">AP163</f>
        <v>600</v>
      </c>
      <c r="AR163" s="211">
        <f t="shared" si="257"/>
        <v>600</v>
      </c>
      <c r="AS163" s="211">
        <f t="shared" si="257"/>
        <v>600</v>
      </c>
      <c r="AT163" s="211">
        <f t="shared" si="257"/>
        <v>600</v>
      </c>
      <c r="AU163" s="211">
        <f t="shared" si="257"/>
        <v>600</v>
      </c>
      <c r="AV163" s="211">
        <f t="shared" si="257"/>
        <v>600</v>
      </c>
      <c r="AW163" s="211">
        <f t="shared" si="257"/>
        <v>600</v>
      </c>
      <c r="AX163" s="211">
        <f t="shared" si="257"/>
        <v>600</v>
      </c>
      <c r="AY163" s="211">
        <f t="shared" si="257"/>
        <v>600</v>
      </c>
      <c r="BG163" s="4">
        <v>157</v>
      </c>
      <c r="BH163"/>
      <c r="BI163"/>
      <c r="BJ163"/>
      <c r="BK163"/>
      <c r="BL163"/>
      <c r="BM16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c r="HF163" s="3"/>
      <c r="HG163" s="3"/>
      <c r="HH163" s="3"/>
      <c r="HI163" s="3"/>
      <c r="HJ163" s="3"/>
      <c r="HK163" s="3"/>
      <c r="HL163" s="3"/>
      <c r="HM163" s="3"/>
      <c r="HN163" s="3"/>
      <c r="HO163" s="3"/>
      <c r="HP163" s="3"/>
      <c r="HQ163" s="3"/>
      <c r="HR163" s="3"/>
      <c r="HS163" s="3"/>
      <c r="HT163" s="3"/>
      <c r="HU163" s="3"/>
      <c r="HV163" s="3"/>
      <c r="HW163" s="3"/>
      <c r="HX163" s="3"/>
      <c r="HY163" s="3"/>
      <c r="HZ163" s="3"/>
      <c r="IA163" s="3"/>
      <c r="IB163" s="3"/>
      <c r="IC163" s="3"/>
      <c r="ID163" s="3"/>
      <c r="IE163" s="3"/>
      <c r="IF163" s="3"/>
      <c r="IG163" s="3"/>
      <c r="IH163" s="3"/>
      <c r="II163" s="3"/>
      <c r="IJ163" s="3"/>
      <c r="IK163" s="3"/>
      <c r="IL163" s="3"/>
      <c r="IM163" s="3"/>
      <c r="IN163" s="3"/>
      <c r="IO163" s="3"/>
      <c r="IP163" s="3"/>
      <c r="IQ163" s="3"/>
      <c r="IR163" s="3"/>
      <c r="IS163" s="3"/>
      <c r="IT163" s="3"/>
      <c r="IU163" s="3"/>
      <c r="IV163" s="3"/>
      <c r="IW163" s="3"/>
    </row>
    <row r="164" spans="1:257" s="5" customFormat="1" ht="12.75" customHeight="1" outlineLevel="2">
      <c r="A164" s="2"/>
      <c r="B164" s="213" t="s">
        <v>239</v>
      </c>
      <c r="C164" s="3"/>
      <c r="D164" s="3"/>
      <c r="E164" s="3"/>
      <c r="F164" s="77"/>
      <c r="G164" s="77"/>
      <c r="H164" s="212">
        <f t="shared" si="255"/>
        <v>0</v>
      </c>
      <c r="I164" s="212">
        <f t="shared" si="255"/>
        <v>0</v>
      </c>
      <c r="J164" s="212">
        <f t="shared" si="255"/>
        <v>0</v>
      </c>
      <c r="K164" s="212">
        <f t="shared" si="255"/>
        <v>0</v>
      </c>
      <c r="L164" s="212">
        <f t="shared" si="252"/>
        <v>0</v>
      </c>
      <c r="M164" s="212">
        <f t="shared" si="252"/>
        <v>0</v>
      </c>
      <c r="N164" s="212">
        <f t="shared" si="252"/>
        <v>0</v>
      </c>
      <c r="O164" s="3"/>
      <c r="P164" s="3"/>
      <c r="Q164" s="3"/>
      <c r="R164" s="3"/>
      <c r="S164" s="3"/>
      <c r="T164" s="3"/>
      <c r="U164" s="3"/>
      <c r="V164" s="3"/>
      <c r="W164" s="3"/>
      <c r="X164" s="32"/>
      <c r="Y164" s="214">
        <v>0</v>
      </c>
      <c r="Z164" s="214">
        <v>0</v>
      </c>
      <c r="AA164" s="214">
        <v>0</v>
      </c>
      <c r="AB164" s="214">
        <v>0</v>
      </c>
      <c r="AC164" s="214">
        <v>0</v>
      </c>
      <c r="AD164" s="214">
        <v>0</v>
      </c>
      <c r="AE164" s="214">
        <v>0</v>
      </c>
      <c r="AF164" s="214">
        <v>0</v>
      </c>
      <c r="AG164" s="214">
        <v>0</v>
      </c>
      <c r="AH164" s="214">
        <v>0</v>
      </c>
      <c r="AI164" s="214">
        <v>0</v>
      </c>
      <c r="AJ164" s="214">
        <v>0</v>
      </c>
      <c r="AK164" s="214">
        <v>0</v>
      </c>
      <c r="AL164" s="214">
        <v>0</v>
      </c>
      <c r="AM164" s="214">
        <v>0</v>
      </c>
      <c r="AN164" s="214">
        <v>0</v>
      </c>
      <c r="AO164" s="214">
        <v>0</v>
      </c>
      <c r="AP164" s="214">
        <v>0</v>
      </c>
      <c r="AQ164" s="214">
        <v>0</v>
      </c>
      <c r="AR164" s="214">
        <v>0</v>
      </c>
      <c r="AS164" s="214">
        <v>0</v>
      </c>
      <c r="AT164" s="214">
        <v>0</v>
      </c>
      <c r="AU164" s="214">
        <v>0</v>
      </c>
      <c r="AV164" s="214">
        <v>0</v>
      </c>
      <c r="AW164" s="214">
        <v>0</v>
      </c>
      <c r="AX164" s="214">
        <v>0</v>
      </c>
      <c r="AY164" s="214">
        <v>0</v>
      </c>
      <c r="BG164" s="4">
        <v>158</v>
      </c>
      <c r="BH164"/>
      <c r="BI164"/>
      <c r="BJ164"/>
      <c r="BK164"/>
      <c r="BL164"/>
      <c r="BM164"/>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c r="HF164" s="3"/>
      <c r="HG164" s="3"/>
      <c r="HH164" s="3"/>
      <c r="HI164" s="3"/>
      <c r="HJ164" s="3"/>
      <c r="HK164" s="3"/>
      <c r="HL164" s="3"/>
      <c r="HM164" s="3"/>
      <c r="HN164" s="3"/>
      <c r="HO164" s="3"/>
      <c r="HP164" s="3"/>
      <c r="HQ164" s="3"/>
      <c r="HR164" s="3"/>
      <c r="HS164" s="3"/>
      <c r="HT164" s="3"/>
      <c r="HU164" s="3"/>
      <c r="HV164" s="3"/>
      <c r="HW164" s="3"/>
      <c r="HX164" s="3"/>
      <c r="HY164" s="3"/>
      <c r="HZ164" s="3"/>
      <c r="IA164" s="3"/>
      <c r="IB164" s="3"/>
      <c r="IC164" s="3"/>
      <c r="ID164" s="3"/>
      <c r="IE164" s="3"/>
      <c r="IF164" s="3"/>
      <c r="IG164" s="3"/>
      <c r="IH164" s="3"/>
      <c r="II164" s="3"/>
      <c r="IJ164" s="3"/>
      <c r="IK164" s="3"/>
      <c r="IL164" s="3"/>
      <c r="IM164" s="3"/>
      <c r="IN164" s="3"/>
      <c r="IO164" s="3"/>
      <c r="IP164" s="3"/>
      <c r="IQ164" s="3"/>
      <c r="IR164" s="3"/>
      <c r="IS164" s="3"/>
      <c r="IT164" s="3"/>
      <c r="IU164" s="3"/>
      <c r="IV164" s="3"/>
      <c r="IW164" s="3"/>
    </row>
    <row r="165" spans="1:257" s="5" customFormat="1" ht="12.75" customHeight="1" outlineLevel="2">
      <c r="A165" s="2"/>
      <c r="B165" s="213" t="s">
        <v>238</v>
      </c>
      <c r="C165" s="3"/>
      <c r="D165" s="3"/>
      <c r="E165" s="3"/>
      <c r="F165" s="77"/>
      <c r="G165" s="77"/>
      <c r="H165" s="212">
        <f t="shared" si="255"/>
        <v>0</v>
      </c>
      <c r="I165" s="212">
        <f t="shared" si="255"/>
        <v>0</v>
      </c>
      <c r="J165" s="212">
        <f t="shared" si="255"/>
        <v>0</v>
      </c>
      <c r="K165" s="212">
        <f t="shared" si="255"/>
        <v>0</v>
      </c>
      <c r="L165" s="212">
        <f t="shared" si="252"/>
        <v>0</v>
      </c>
      <c r="M165" s="212">
        <f t="shared" si="252"/>
        <v>0</v>
      </c>
      <c r="N165" s="212">
        <f t="shared" si="252"/>
        <v>0</v>
      </c>
      <c r="O165" s="3"/>
      <c r="P165" s="3"/>
      <c r="Q165" s="3"/>
      <c r="R165" s="3"/>
      <c r="S165" s="3"/>
      <c r="T165" s="3"/>
      <c r="U165" s="3"/>
      <c r="V165" s="3"/>
      <c r="W165" s="3"/>
      <c r="X165" s="32"/>
      <c r="Y165" s="214">
        <v>0</v>
      </c>
      <c r="Z165" s="215">
        <v>0</v>
      </c>
      <c r="AA165" s="215">
        <v>0</v>
      </c>
      <c r="AB165" s="215">
        <v>0</v>
      </c>
      <c r="AC165" s="215">
        <v>0</v>
      </c>
      <c r="AD165" s="214">
        <v>0</v>
      </c>
      <c r="AE165" s="214">
        <v>0</v>
      </c>
      <c r="AF165" s="214">
        <v>0</v>
      </c>
      <c r="AG165" s="214">
        <v>0</v>
      </c>
      <c r="AH165" s="214">
        <v>0</v>
      </c>
      <c r="AI165" s="214">
        <v>0</v>
      </c>
      <c r="AJ165" s="214">
        <v>0</v>
      </c>
      <c r="AK165" s="214">
        <v>0</v>
      </c>
      <c r="AL165" s="214">
        <v>0</v>
      </c>
      <c r="AM165" s="214">
        <v>0</v>
      </c>
      <c r="AN165" s="214">
        <v>0</v>
      </c>
      <c r="AO165" s="214">
        <v>0</v>
      </c>
      <c r="AP165" s="214">
        <v>0</v>
      </c>
      <c r="AQ165" s="214">
        <v>0</v>
      </c>
      <c r="AR165" s="214">
        <v>0</v>
      </c>
      <c r="AS165" s="214">
        <v>0</v>
      </c>
      <c r="AT165" s="214">
        <v>0</v>
      </c>
      <c r="AU165" s="214">
        <v>0</v>
      </c>
      <c r="AV165" s="214">
        <v>0</v>
      </c>
      <c r="AW165" s="214">
        <v>0</v>
      </c>
      <c r="AX165" s="214">
        <v>0</v>
      </c>
      <c r="AY165" s="214">
        <v>0</v>
      </c>
      <c r="BG165" s="4">
        <v>159</v>
      </c>
      <c r="BH165"/>
      <c r="BI165"/>
      <c r="BJ165"/>
      <c r="BK165"/>
      <c r="BL165"/>
      <c r="BM165"/>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c r="HF165" s="3"/>
      <c r="HG165" s="3"/>
      <c r="HH165" s="3"/>
      <c r="HI165" s="3"/>
      <c r="HJ165" s="3"/>
      <c r="HK165" s="3"/>
      <c r="HL165" s="3"/>
      <c r="HM165" s="3"/>
      <c r="HN165" s="3"/>
      <c r="HO165" s="3"/>
      <c r="HP165" s="3"/>
      <c r="HQ165" s="3"/>
      <c r="HR165" s="3"/>
      <c r="HS165" s="3"/>
      <c r="HT165" s="3"/>
      <c r="HU165" s="3"/>
      <c r="HV165" s="3"/>
      <c r="HW165" s="3"/>
      <c r="HX165" s="3"/>
      <c r="HY165" s="3"/>
      <c r="HZ165" s="3"/>
      <c r="IA165" s="3"/>
      <c r="IB165" s="3"/>
      <c r="IC165" s="3"/>
      <c r="ID165" s="3"/>
      <c r="IE165" s="3"/>
      <c r="IF165" s="3"/>
      <c r="IG165" s="3"/>
      <c r="IH165" s="3"/>
      <c r="II165" s="3"/>
      <c r="IJ165" s="3"/>
      <c r="IK165" s="3"/>
      <c r="IL165" s="3"/>
      <c r="IM165" s="3"/>
      <c r="IN165" s="3"/>
      <c r="IO165" s="3"/>
      <c r="IP165" s="3"/>
      <c r="IQ165" s="3"/>
      <c r="IR165" s="3"/>
      <c r="IS165" s="3"/>
      <c r="IT165" s="3"/>
      <c r="IU165" s="3"/>
      <c r="IV165" s="3"/>
      <c r="IW165" s="3"/>
    </row>
    <row r="166" spans="1:257" s="5" customFormat="1" ht="12.75" customHeight="1" outlineLevel="2">
      <c r="A166" s="6"/>
      <c r="B166" s="205" t="s">
        <v>237</v>
      </c>
      <c r="F166" s="77"/>
      <c r="G166" s="77"/>
      <c r="H166" s="212">
        <f t="shared" si="255"/>
        <v>0</v>
      </c>
      <c r="I166" s="212">
        <f t="shared" si="255"/>
        <v>0</v>
      </c>
      <c r="J166" s="212">
        <f t="shared" si="255"/>
        <v>0</v>
      </c>
      <c r="K166" s="212">
        <f t="shared" si="255"/>
        <v>0</v>
      </c>
      <c r="L166" s="212">
        <f t="shared" si="252"/>
        <v>0</v>
      </c>
      <c r="M166" s="212">
        <f t="shared" si="252"/>
        <v>0</v>
      </c>
      <c r="N166" s="212">
        <f t="shared" si="252"/>
        <v>0</v>
      </c>
      <c r="O166" s="3"/>
      <c r="P166" s="3"/>
      <c r="Q166" s="3"/>
      <c r="R166" s="3"/>
      <c r="S166" s="3"/>
      <c r="T166" s="3"/>
      <c r="U166" s="3"/>
      <c r="V166" s="3"/>
      <c r="W166" s="3"/>
      <c r="X166" s="32"/>
      <c r="Y166" s="214">
        <v>0</v>
      </c>
      <c r="Z166" s="215">
        <v>0</v>
      </c>
      <c r="AA166" s="215">
        <v>0</v>
      </c>
      <c r="AB166" s="215">
        <v>0</v>
      </c>
      <c r="AC166" s="215">
        <v>0</v>
      </c>
      <c r="AD166" s="214">
        <v>0</v>
      </c>
      <c r="AE166" s="214">
        <v>0</v>
      </c>
      <c r="AF166" s="214">
        <v>0</v>
      </c>
      <c r="AG166" s="214">
        <v>0</v>
      </c>
      <c r="AH166" s="214">
        <v>0</v>
      </c>
      <c r="AI166" s="214">
        <v>0</v>
      </c>
      <c r="AJ166" s="214">
        <v>0</v>
      </c>
      <c r="AK166" s="214">
        <v>0</v>
      </c>
      <c r="AL166" s="214">
        <v>0</v>
      </c>
      <c r="AM166" s="214">
        <v>0</v>
      </c>
      <c r="AN166" s="214">
        <v>0</v>
      </c>
      <c r="AO166" s="214">
        <v>0</v>
      </c>
      <c r="AP166" s="214">
        <v>0</v>
      </c>
      <c r="AQ166" s="214">
        <v>0</v>
      </c>
      <c r="AR166" s="214">
        <v>0</v>
      </c>
      <c r="AS166" s="214">
        <v>0</v>
      </c>
      <c r="AT166" s="214">
        <v>0</v>
      </c>
      <c r="AU166" s="214">
        <v>0</v>
      </c>
      <c r="AV166" s="214">
        <v>0</v>
      </c>
      <c r="AW166" s="214">
        <v>0</v>
      </c>
      <c r="AX166" s="214">
        <v>0</v>
      </c>
      <c r="AY166" s="214">
        <v>0</v>
      </c>
      <c r="BG166" s="4">
        <v>160</v>
      </c>
      <c r="BH166"/>
      <c r="BI166"/>
      <c r="BJ166"/>
      <c r="BK166"/>
      <c r="BL166"/>
      <c r="BM166"/>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c r="HF166" s="3"/>
      <c r="HG166" s="3"/>
      <c r="HH166" s="3"/>
      <c r="HI166" s="3"/>
      <c r="HJ166" s="3"/>
      <c r="HK166" s="3"/>
      <c r="HL166" s="3"/>
      <c r="HM166" s="3"/>
      <c r="HN166" s="3"/>
      <c r="HO166" s="3"/>
      <c r="HP166" s="3"/>
      <c r="HQ166" s="3"/>
      <c r="HR166" s="3"/>
      <c r="HS166" s="3"/>
      <c r="HT166" s="3"/>
      <c r="HU166" s="3"/>
      <c r="HV166" s="3"/>
      <c r="HW166" s="3"/>
      <c r="HX166" s="3"/>
      <c r="HY166" s="3"/>
      <c r="HZ166" s="3"/>
      <c r="IA166" s="3"/>
      <c r="IB166" s="3"/>
      <c r="IC166" s="3"/>
      <c r="ID166" s="3"/>
      <c r="IE166" s="3"/>
      <c r="IF166" s="3"/>
      <c r="IG166" s="3"/>
      <c r="IH166" s="3"/>
      <c r="II166" s="3"/>
      <c r="IJ166" s="3"/>
      <c r="IK166" s="3"/>
      <c r="IL166" s="3"/>
      <c r="IM166" s="3"/>
      <c r="IN166" s="3"/>
      <c r="IO166" s="3"/>
      <c r="IP166" s="3"/>
      <c r="IQ166" s="3"/>
      <c r="IR166" s="3"/>
      <c r="IS166" s="3"/>
      <c r="IT166" s="3"/>
      <c r="IU166" s="3"/>
      <c r="IV166" s="3"/>
      <c r="IW166" s="3"/>
    </row>
    <row r="167" spans="1:257" s="5" customFormat="1" ht="12.75" customHeight="1" outlineLevel="2">
      <c r="A167" s="2"/>
      <c r="B167" s="213" t="s">
        <v>236</v>
      </c>
      <c r="C167" s="3"/>
      <c r="D167" s="3"/>
      <c r="E167" s="3"/>
      <c r="F167" s="77"/>
      <c r="G167" s="77"/>
      <c r="H167" s="212">
        <f t="shared" si="255"/>
        <v>400</v>
      </c>
      <c r="I167" s="212">
        <f t="shared" si="255"/>
        <v>0</v>
      </c>
      <c r="J167" s="212">
        <f t="shared" si="255"/>
        <v>0</v>
      </c>
      <c r="K167" s="212">
        <f t="shared" si="255"/>
        <v>0</v>
      </c>
      <c r="L167" s="212">
        <f t="shared" si="252"/>
        <v>0</v>
      </c>
      <c r="M167" s="212">
        <f t="shared" si="252"/>
        <v>0</v>
      </c>
      <c r="N167" s="212">
        <f t="shared" si="252"/>
        <v>0</v>
      </c>
      <c r="O167" s="3"/>
      <c r="P167" s="3"/>
      <c r="Q167" s="3"/>
      <c r="R167" s="3"/>
      <c r="S167" s="3"/>
      <c r="T167" s="3"/>
      <c r="U167" s="3"/>
      <c r="V167" s="3"/>
      <c r="W167" s="3"/>
      <c r="X167" s="32"/>
      <c r="Y167" s="208">
        <v>400</v>
      </c>
      <c r="Z167" s="211">
        <f>Y167</f>
        <v>400</v>
      </c>
      <c r="AA167" s="211">
        <f>Z167</f>
        <v>400</v>
      </c>
      <c r="AB167" s="210">
        <v>0</v>
      </c>
      <c r="AC167" s="210">
        <f t="shared" ref="AC167:AY167" si="258">AB167</f>
        <v>0</v>
      </c>
      <c r="AD167" s="210">
        <f t="shared" si="258"/>
        <v>0</v>
      </c>
      <c r="AE167" s="210">
        <f t="shared" si="258"/>
        <v>0</v>
      </c>
      <c r="AF167" s="210">
        <f t="shared" si="258"/>
        <v>0</v>
      </c>
      <c r="AG167" s="210">
        <f t="shared" si="258"/>
        <v>0</v>
      </c>
      <c r="AH167" s="210">
        <f t="shared" si="258"/>
        <v>0</v>
      </c>
      <c r="AI167" s="210">
        <f t="shared" si="258"/>
        <v>0</v>
      </c>
      <c r="AJ167" s="210">
        <f t="shared" si="258"/>
        <v>0</v>
      </c>
      <c r="AK167" s="210">
        <f t="shared" si="258"/>
        <v>0</v>
      </c>
      <c r="AL167" s="210">
        <f t="shared" si="258"/>
        <v>0</v>
      </c>
      <c r="AM167" s="210">
        <f t="shared" si="258"/>
        <v>0</v>
      </c>
      <c r="AN167" s="210">
        <f t="shared" si="258"/>
        <v>0</v>
      </c>
      <c r="AO167" s="210">
        <f t="shared" si="258"/>
        <v>0</v>
      </c>
      <c r="AP167" s="210">
        <f t="shared" si="258"/>
        <v>0</v>
      </c>
      <c r="AQ167" s="210">
        <f t="shared" si="258"/>
        <v>0</v>
      </c>
      <c r="AR167" s="210">
        <f t="shared" si="258"/>
        <v>0</v>
      </c>
      <c r="AS167" s="210">
        <f t="shared" si="258"/>
        <v>0</v>
      </c>
      <c r="AT167" s="210">
        <f t="shared" si="258"/>
        <v>0</v>
      </c>
      <c r="AU167" s="210">
        <f t="shared" si="258"/>
        <v>0</v>
      </c>
      <c r="AV167" s="210">
        <f t="shared" si="258"/>
        <v>0</v>
      </c>
      <c r="AW167" s="210">
        <f t="shared" si="258"/>
        <v>0</v>
      </c>
      <c r="AX167" s="210">
        <f t="shared" si="258"/>
        <v>0</v>
      </c>
      <c r="AY167" s="210">
        <f t="shared" si="258"/>
        <v>0</v>
      </c>
      <c r="BG167" s="4">
        <v>161</v>
      </c>
      <c r="BH167"/>
      <c r="BI167"/>
      <c r="BJ167"/>
      <c r="BK167"/>
      <c r="BL167"/>
      <c r="BM167"/>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c r="HF167" s="3"/>
      <c r="HG167" s="3"/>
      <c r="HH167" s="3"/>
      <c r="HI167" s="3"/>
      <c r="HJ167" s="3"/>
      <c r="HK167" s="3"/>
      <c r="HL167" s="3"/>
      <c r="HM167" s="3"/>
      <c r="HN167" s="3"/>
      <c r="HO167" s="3"/>
      <c r="HP167" s="3"/>
      <c r="HQ167" s="3"/>
      <c r="HR167" s="3"/>
      <c r="HS167" s="3"/>
      <c r="HT167" s="3"/>
      <c r="HU167" s="3"/>
      <c r="HV167" s="3"/>
      <c r="HW167" s="3"/>
      <c r="HX167" s="3"/>
      <c r="HY167" s="3"/>
      <c r="HZ167" s="3"/>
      <c r="IA167" s="3"/>
      <c r="IB167" s="3"/>
      <c r="IC167" s="3"/>
      <c r="ID167" s="3"/>
      <c r="IE167" s="3"/>
      <c r="IF167" s="3"/>
      <c r="IG167" s="3"/>
      <c r="IH167" s="3"/>
      <c r="II167" s="3"/>
      <c r="IJ167" s="3"/>
      <c r="IK167" s="3"/>
      <c r="IL167" s="3"/>
      <c r="IM167" s="3"/>
      <c r="IN167" s="3"/>
      <c r="IO167" s="3"/>
      <c r="IP167" s="3"/>
      <c r="IQ167" s="3"/>
      <c r="IR167" s="3"/>
      <c r="IS167" s="3"/>
      <c r="IT167" s="3"/>
      <c r="IU167" s="3"/>
      <c r="IV167" s="3"/>
      <c r="IW167" s="3"/>
    </row>
    <row r="168" spans="1:257" s="5" customFormat="1" ht="12.75" customHeight="1" outlineLevel="2">
      <c r="A168" s="2"/>
      <c r="B168" s="205" t="s">
        <v>235</v>
      </c>
      <c r="F168" s="72"/>
      <c r="G168" s="72"/>
      <c r="H168" s="207">
        <f t="shared" ref="H168:N168" si="259">SUM(H153:H167)</f>
        <v>8800</v>
      </c>
      <c r="I168" s="207">
        <f t="shared" si="259"/>
        <v>9525</v>
      </c>
      <c r="J168" s="207">
        <f t="shared" si="259"/>
        <v>12275</v>
      </c>
      <c r="K168" s="207">
        <f t="shared" si="259"/>
        <v>13075</v>
      </c>
      <c r="L168" s="207">
        <f t="shared" si="259"/>
        <v>29075</v>
      </c>
      <c r="M168" s="207">
        <f t="shared" si="259"/>
        <v>34700</v>
      </c>
      <c r="N168" s="207">
        <f t="shared" si="259"/>
        <v>34700</v>
      </c>
      <c r="X168" s="204"/>
      <c r="Y168" s="206">
        <f t="shared" ref="Y168:AY168" si="260">SUM(Y153:Y167)</f>
        <v>8800</v>
      </c>
      <c r="Z168" s="206">
        <f t="shared" si="260"/>
        <v>8800</v>
      </c>
      <c r="AA168" s="206">
        <f t="shared" si="260"/>
        <v>8800</v>
      </c>
      <c r="AB168" s="206">
        <f t="shared" si="260"/>
        <v>9400</v>
      </c>
      <c r="AC168" s="206">
        <f t="shared" si="260"/>
        <v>9900</v>
      </c>
      <c r="AD168" s="206">
        <f t="shared" si="260"/>
        <v>9400</v>
      </c>
      <c r="AE168" s="206">
        <f t="shared" si="260"/>
        <v>9400</v>
      </c>
      <c r="AF168" s="206">
        <f t="shared" si="260"/>
        <v>10400</v>
      </c>
      <c r="AG168" s="206">
        <f t="shared" si="260"/>
        <v>12900</v>
      </c>
      <c r="AH168" s="206">
        <f t="shared" si="260"/>
        <v>12900</v>
      </c>
      <c r="AI168" s="206">
        <f t="shared" si="260"/>
        <v>12900</v>
      </c>
      <c r="AJ168" s="206">
        <f t="shared" si="260"/>
        <v>12900</v>
      </c>
      <c r="AK168" s="206">
        <f t="shared" si="260"/>
        <v>12900</v>
      </c>
      <c r="AL168" s="206">
        <f t="shared" si="260"/>
        <v>13400</v>
      </c>
      <c r="AM168" s="206">
        <f t="shared" ref="AM168" si="261">SUM(AM153:AM167)</f>
        <v>13100</v>
      </c>
      <c r="AN168" s="206">
        <f t="shared" si="260"/>
        <v>13700</v>
      </c>
      <c r="AO168" s="206">
        <f t="shared" si="260"/>
        <v>33200</v>
      </c>
      <c r="AP168" s="206">
        <f t="shared" si="260"/>
        <v>34700</v>
      </c>
      <c r="AQ168" s="206">
        <f t="shared" si="260"/>
        <v>34700</v>
      </c>
      <c r="AR168" s="206">
        <f t="shared" si="260"/>
        <v>34700</v>
      </c>
      <c r="AS168" s="206">
        <f t="shared" si="260"/>
        <v>34700</v>
      </c>
      <c r="AT168" s="206">
        <f t="shared" si="260"/>
        <v>34700</v>
      </c>
      <c r="AU168" s="206">
        <f t="shared" si="260"/>
        <v>34700</v>
      </c>
      <c r="AV168" s="206">
        <f t="shared" si="260"/>
        <v>34700</v>
      </c>
      <c r="AW168" s="206">
        <f t="shared" si="260"/>
        <v>34700</v>
      </c>
      <c r="AX168" s="206">
        <f t="shared" si="260"/>
        <v>34700</v>
      </c>
      <c r="AY168" s="206">
        <f t="shared" si="260"/>
        <v>34700</v>
      </c>
      <c r="BG168" s="4">
        <v>162</v>
      </c>
      <c r="BH168"/>
      <c r="BI168"/>
      <c r="BJ168"/>
      <c r="BK168"/>
      <c r="BL168"/>
      <c r="BM168"/>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c r="HF168" s="3"/>
      <c r="HG168" s="3"/>
      <c r="HH168" s="3"/>
      <c r="HI168" s="3"/>
      <c r="HJ168" s="3"/>
      <c r="HK168" s="3"/>
      <c r="HL168" s="3"/>
      <c r="HM168" s="3"/>
      <c r="HN168" s="3"/>
      <c r="HO168" s="3"/>
      <c r="HP168" s="3"/>
      <c r="HQ168" s="3"/>
      <c r="HR168" s="3"/>
      <c r="HS168" s="3"/>
      <c r="HT168" s="3"/>
      <c r="HU168" s="3"/>
      <c r="HV168" s="3"/>
      <c r="HW168" s="3"/>
      <c r="HX168" s="3"/>
      <c r="HY168" s="3"/>
      <c r="HZ168" s="3"/>
      <c r="IA168" s="3"/>
      <c r="IB168" s="3"/>
      <c r="IC168" s="3"/>
      <c r="ID168" s="3"/>
      <c r="IE168" s="3"/>
      <c r="IF168" s="3"/>
      <c r="IG168" s="3"/>
      <c r="IH168" s="3"/>
      <c r="II168" s="3"/>
      <c r="IJ168" s="3"/>
      <c r="IK168" s="3"/>
      <c r="IL168" s="3"/>
      <c r="IM168" s="3"/>
      <c r="IN168" s="3"/>
      <c r="IO168" s="3"/>
      <c r="IP168" s="3"/>
      <c r="IQ168" s="3"/>
      <c r="IR168" s="3"/>
      <c r="IS168" s="3"/>
      <c r="IT168" s="3"/>
      <c r="IU168" s="3"/>
      <c r="IV168" s="3"/>
      <c r="IW168" s="3"/>
    </row>
    <row r="169" spans="1:257" s="5" customFormat="1" ht="12.75" customHeight="1" outlineLevel="2">
      <c r="A169" s="2"/>
      <c r="B169" s="205" t="s">
        <v>234</v>
      </c>
      <c r="F169" s="72"/>
      <c r="G169" s="72"/>
      <c r="H169" s="209">
        <v>0</v>
      </c>
      <c r="I169" s="209">
        <v>0</v>
      </c>
      <c r="J169" s="209">
        <v>0</v>
      </c>
      <c r="K169" s="209">
        <v>0</v>
      </c>
      <c r="L169" s="209">
        <v>0</v>
      </c>
      <c r="M169" s="209">
        <v>0</v>
      </c>
      <c r="N169" s="209">
        <v>0</v>
      </c>
      <c r="X169" s="204"/>
      <c r="Y169" s="208">
        <v>0</v>
      </c>
      <c r="Z169" s="208">
        <v>0</v>
      </c>
      <c r="AA169" s="208">
        <v>0</v>
      </c>
      <c r="AB169" s="208">
        <v>0</v>
      </c>
      <c r="AC169" s="208">
        <f>-AC157-AC156</f>
        <v>-1700</v>
      </c>
      <c r="AD169" s="208">
        <f>-AD157-AD156-AD158-AD155</f>
        <v>-3100</v>
      </c>
      <c r="AE169" s="208">
        <f>-AE157-AE156-AE158-AE155</f>
        <v>-3100</v>
      </c>
      <c r="AF169" s="208">
        <f>-AF157-AF156-AF158-AF155</f>
        <v>-3100</v>
      </c>
      <c r="AG169" s="208">
        <f>-AG157-AG156-AG158-AG155-AG154</f>
        <v>-4400</v>
      </c>
      <c r="AH169" s="208">
        <f>-AH157-AH156-AH158-AH154</f>
        <v>-3800</v>
      </c>
      <c r="AI169" s="208">
        <f>-AI157-AI158-AI156-AI154</f>
        <v>-3800</v>
      </c>
      <c r="AJ169" s="208">
        <f>-AJ157-AJ158</f>
        <v>-1500</v>
      </c>
      <c r="AK169" s="208">
        <f>-AK158-AK157</f>
        <v>-1500</v>
      </c>
      <c r="AL169" s="208">
        <f t="shared" ref="AL169:AY169" si="262">-AL158</f>
        <v>-800</v>
      </c>
      <c r="AM169" s="208">
        <f t="shared" ref="AM169" si="263">-AM158</f>
        <v>-800</v>
      </c>
      <c r="AN169" s="208">
        <f t="shared" si="262"/>
        <v>-800</v>
      </c>
      <c r="AO169" s="208">
        <f t="shared" si="262"/>
        <v>-800</v>
      </c>
      <c r="AP169" s="208">
        <f t="shared" si="262"/>
        <v>-800</v>
      </c>
      <c r="AQ169" s="208">
        <f t="shared" si="262"/>
        <v>-800</v>
      </c>
      <c r="AR169" s="208">
        <f t="shared" si="262"/>
        <v>-800</v>
      </c>
      <c r="AS169" s="208">
        <f t="shared" si="262"/>
        <v>-800</v>
      </c>
      <c r="AT169" s="208">
        <f t="shared" si="262"/>
        <v>-800</v>
      </c>
      <c r="AU169" s="208">
        <f t="shared" si="262"/>
        <v>-800</v>
      </c>
      <c r="AV169" s="208">
        <f t="shared" si="262"/>
        <v>-800</v>
      </c>
      <c r="AW169" s="208">
        <f t="shared" si="262"/>
        <v>-800</v>
      </c>
      <c r="AX169" s="208">
        <f t="shared" si="262"/>
        <v>-800</v>
      </c>
      <c r="AY169" s="208">
        <f t="shared" si="262"/>
        <v>-800</v>
      </c>
      <c r="BG169" s="4">
        <v>163</v>
      </c>
      <c r="BH169"/>
      <c r="BI169"/>
      <c r="BJ169"/>
      <c r="BK169"/>
      <c r="BL169"/>
      <c r="BM169"/>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c r="HF169" s="3"/>
      <c r="HG169" s="3"/>
      <c r="HH169" s="3"/>
      <c r="HI169" s="3"/>
      <c r="HJ169" s="3"/>
      <c r="HK169" s="3"/>
      <c r="HL169" s="3"/>
      <c r="HM169" s="3"/>
      <c r="HN169" s="3"/>
      <c r="HO169" s="3"/>
      <c r="HP169" s="3"/>
      <c r="HQ169" s="3"/>
      <c r="HR169" s="3"/>
      <c r="HS169" s="3"/>
      <c r="HT169" s="3"/>
      <c r="HU169" s="3"/>
      <c r="HV169" s="3"/>
      <c r="HW169" s="3"/>
      <c r="HX169" s="3"/>
      <c r="HY169" s="3"/>
      <c r="HZ169" s="3"/>
      <c r="IA169" s="3"/>
      <c r="IB169" s="3"/>
      <c r="IC169" s="3"/>
      <c r="ID169" s="3"/>
      <c r="IE169" s="3"/>
      <c r="IF169" s="3"/>
      <c r="IG169" s="3"/>
      <c r="IH169" s="3"/>
      <c r="II169" s="3"/>
      <c r="IJ169" s="3"/>
      <c r="IK169" s="3"/>
      <c r="IL169" s="3"/>
      <c r="IM169" s="3"/>
      <c r="IN169" s="3"/>
      <c r="IO169" s="3"/>
      <c r="IP169" s="3"/>
      <c r="IQ169" s="3"/>
      <c r="IR169" s="3"/>
      <c r="IS169" s="3"/>
      <c r="IT169" s="3"/>
      <c r="IU169" s="3"/>
      <c r="IV169" s="3"/>
      <c r="IW169" s="3"/>
    </row>
    <row r="170" spans="1:257" s="5" customFormat="1" ht="12.75" customHeight="1" outlineLevel="2">
      <c r="A170" s="2"/>
      <c r="B170" s="205" t="s">
        <v>233</v>
      </c>
      <c r="F170" s="72"/>
      <c r="G170" s="72"/>
      <c r="H170" s="207">
        <f t="shared" ref="H170:N170" si="264">+H168+H169</f>
        <v>8800</v>
      </c>
      <c r="I170" s="207">
        <f t="shared" si="264"/>
        <v>9525</v>
      </c>
      <c r="J170" s="207">
        <f t="shared" si="264"/>
        <v>12275</v>
      </c>
      <c r="K170" s="207">
        <f t="shared" si="264"/>
        <v>13075</v>
      </c>
      <c r="L170" s="207">
        <f t="shared" si="264"/>
        <v>29075</v>
      </c>
      <c r="M170" s="207">
        <f t="shared" si="264"/>
        <v>34700</v>
      </c>
      <c r="N170" s="207">
        <f t="shared" si="264"/>
        <v>34700</v>
      </c>
      <c r="X170" s="204"/>
      <c r="Y170" s="206">
        <f t="shared" ref="Y170:AY170" si="265">+Y168+Y169</f>
        <v>8800</v>
      </c>
      <c r="Z170" s="206">
        <f t="shared" si="265"/>
        <v>8800</v>
      </c>
      <c r="AA170" s="206">
        <f t="shared" si="265"/>
        <v>8800</v>
      </c>
      <c r="AB170" s="206">
        <f t="shared" si="265"/>
        <v>9400</v>
      </c>
      <c r="AC170" s="206">
        <f t="shared" si="265"/>
        <v>8200</v>
      </c>
      <c r="AD170" s="206">
        <f t="shared" si="265"/>
        <v>6300</v>
      </c>
      <c r="AE170" s="206">
        <f t="shared" si="265"/>
        <v>6300</v>
      </c>
      <c r="AF170" s="206">
        <f t="shared" si="265"/>
        <v>7300</v>
      </c>
      <c r="AG170" s="206">
        <f t="shared" si="265"/>
        <v>8500</v>
      </c>
      <c r="AH170" s="206">
        <f t="shared" si="265"/>
        <v>9100</v>
      </c>
      <c r="AI170" s="206">
        <f t="shared" si="265"/>
        <v>9100</v>
      </c>
      <c r="AJ170" s="206">
        <f t="shared" si="265"/>
        <v>11400</v>
      </c>
      <c r="AK170" s="206">
        <f t="shared" si="265"/>
        <v>11400</v>
      </c>
      <c r="AL170" s="206">
        <f t="shared" si="265"/>
        <v>12600</v>
      </c>
      <c r="AM170" s="206">
        <f t="shared" ref="AM170" si="266">+AM168+AM169</f>
        <v>12300</v>
      </c>
      <c r="AN170" s="206">
        <f t="shared" si="265"/>
        <v>12900</v>
      </c>
      <c r="AO170" s="206">
        <f t="shared" si="265"/>
        <v>32400</v>
      </c>
      <c r="AP170" s="206">
        <f t="shared" si="265"/>
        <v>33900</v>
      </c>
      <c r="AQ170" s="206">
        <f t="shared" si="265"/>
        <v>33900</v>
      </c>
      <c r="AR170" s="206">
        <f t="shared" si="265"/>
        <v>33900</v>
      </c>
      <c r="AS170" s="206">
        <f t="shared" si="265"/>
        <v>33900</v>
      </c>
      <c r="AT170" s="206">
        <f t="shared" si="265"/>
        <v>33900</v>
      </c>
      <c r="AU170" s="206">
        <f t="shared" si="265"/>
        <v>33900</v>
      </c>
      <c r="AV170" s="206">
        <f t="shared" si="265"/>
        <v>33900</v>
      </c>
      <c r="AW170" s="206">
        <f t="shared" si="265"/>
        <v>33900</v>
      </c>
      <c r="AX170" s="206">
        <f t="shared" si="265"/>
        <v>33900</v>
      </c>
      <c r="AY170" s="206">
        <f t="shared" si="265"/>
        <v>33900</v>
      </c>
      <c r="BG170" s="4">
        <v>164</v>
      </c>
      <c r="BH170"/>
      <c r="BI170"/>
      <c r="BJ170"/>
      <c r="BK170"/>
      <c r="BL170"/>
      <c r="BM170"/>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c r="HF170" s="3"/>
      <c r="HG170" s="3"/>
      <c r="HH170" s="3"/>
      <c r="HI170" s="3"/>
      <c r="HJ170" s="3"/>
      <c r="HK170" s="3"/>
      <c r="HL170" s="3"/>
      <c r="HM170" s="3"/>
      <c r="HN170" s="3"/>
      <c r="HO170" s="3"/>
      <c r="HP170" s="3"/>
      <c r="HQ170" s="3"/>
      <c r="HR170" s="3"/>
      <c r="HS170" s="3"/>
      <c r="HT170" s="3"/>
      <c r="HU170" s="3"/>
      <c r="HV170" s="3"/>
      <c r="HW170" s="3"/>
      <c r="HX170" s="3"/>
      <c r="HY170" s="3"/>
      <c r="HZ170" s="3"/>
      <c r="IA170" s="3"/>
      <c r="IB170" s="3"/>
      <c r="IC170" s="3"/>
      <c r="ID170" s="3"/>
      <c r="IE170" s="3"/>
      <c r="IF170" s="3"/>
      <c r="IG170" s="3"/>
      <c r="IH170" s="3"/>
      <c r="II170" s="3"/>
      <c r="IJ170" s="3"/>
      <c r="IK170" s="3"/>
      <c r="IL170" s="3"/>
      <c r="IM170" s="3"/>
      <c r="IN170" s="3"/>
      <c r="IO170" s="3"/>
      <c r="IP170" s="3"/>
      <c r="IQ170" s="3"/>
      <c r="IR170" s="3"/>
      <c r="IS170" s="3"/>
      <c r="IT170" s="3"/>
      <c r="IU170" s="3"/>
      <c r="IV170" s="3"/>
      <c r="IW170" s="3"/>
    </row>
    <row r="171" spans="1:257" s="5" customFormat="1" ht="12.75" customHeight="1" outlineLevel="2">
      <c r="A171" s="2"/>
      <c r="B171" s="205" t="s">
        <v>232</v>
      </c>
      <c r="F171" s="19"/>
      <c r="G171" s="19"/>
      <c r="H171" s="19">
        <f t="shared" ref="H171:N171" si="267">(H90/H170)</f>
        <v>0.81664768749999994</v>
      </c>
      <c r="I171" s="19">
        <f t="shared" si="267"/>
        <v>0.6513131758530184</v>
      </c>
      <c r="J171" s="19">
        <f t="shared" si="267"/>
        <v>0.52260146639511207</v>
      </c>
      <c r="K171" s="19">
        <f t="shared" si="267"/>
        <v>0.78607732313575518</v>
      </c>
      <c r="L171" s="19">
        <f t="shared" si="267"/>
        <v>0.68013757523645746</v>
      </c>
      <c r="M171" s="19">
        <f t="shared" si="267"/>
        <v>0.84582132564841495</v>
      </c>
      <c r="N171" s="19">
        <f t="shared" si="267"/>
        <v>0.85014409221902021</v>
      </c>
      <c r="X171" s="204"/>
      <c r="Y171" s="19">
        <f t="shared" ref="Y171:AY171" si="268">(Y90*4/Y170)</f>
        <v>0.80324152272727289</v>
      </c>
      <c r="Z171" s="19">
        <f t="shared" si="268"/>
        <v>0.88393954545454545</v>
      </c>
      <c r="AA171" s="19">
        <f t="shared" si="268"/>
        <v>0.85968999999999995</v>
      </c>
      <c r="AB171" s="19">
        <f t="shared" si="268"/>
        <v>0.75658808510638298</v>
      </c>
      <c r="AC171" s="19">
        <f t="shared" si="268"/>
        <v>0.7774512195121952</v>
      </c>
      <c r="AD171" s="19">
        <f t="shared" si="268"/>
        <v>0.92973333333333341</v>
      </c>
      <c r="AE171" s="19">
        <f t="shared" si="268"/>
        <v>0.86836253968253974</v>
      </c>
      <c r="AF171" s="19">
        <f t="shared" si="268"/>
        <v>0.83613808219178087</v>
      </c>
      <c r="AG171" s="19">
        <f t="shared" si="268"/>
        <v>0.60701317647058828</v>
      </c>
      <c r="AH171" s="19">
        <f t="shared" si="268"/>
        <v>0.77113450549450546</v>
      </c>
      <c r="AI171" s="19">
        <f t="shared" si="268"/>
        <v>0.81087780219780226</v>
      </c>
      <c r="AJ171" s="19">
        <f t="shared" si="268"/>
        <v>0.73064245614035095</v>
      </c>
      <c r="AK171" s="19">
        <f t="shared" si="268"/>
        <v>0.90768035087719301</v>
      </c>
      <c r="AL171" s="19">
        <f t="shared" si="268"/>
        <v>0.89889873015873012</v>
      </c>
      <c r="AM171" s="19">
        <f t="shared" ref="AM171" si="269">(AM90*4/AM170)</f>
        <v>0.90315772357723578</v>
      </c>
      <c r="AN171" s="19">
        <f t="shared" si="268"/>
        <v>0.81395348837209303</v>
      </c>
      <c r="AO171" s="401">
        <f>(AO90*4/AN170)</f>
        <v>0.89147286821705429</v>
      </c>
      <c r="AP171" s="19">
        <f t="shared" si="268"/>
        <v>0.82595870206489674</v>
      </c>
      <c r="AQ171" s="19">
        <f t="shared" si="268"/>
        <v>0.8584070796460177</v>
      </c>
      <c r="AR171" s="19">
        <f t="shared" si="268"/>
        <v>0.86135693215339237</v>
      </c>
      <c r="AS171" s="19">
        <f t="shared" si="268"/>
        <v>0.86430678466076694</v>
      </c>
      <c r="AT171" s="19">
        <f t="shared" si="268"/>
        <v>0.86725663716814161</v>
      </c>
      <c r="AU171" s="19">
        <f t="shared" si="268"/>
        <v>0.87020648967551617</v>
      </c>
      <c r="AV171" s="19">
        <f t="shared" si="268"/>
        <v>0.87020648967551617</v>
      </c>
      <c r="AW171" s="19">
        <f t="shared" si="268"/>
        <v>0.87020648967551617</v>
      </c>
      <c r="AX171" s="19">
        <f t="shared" si="268"/>
        <v>0.87020648967551617</v>
      </c>
      <c r="AY171" s="19">
        <f t="shared" si="268"/>
        <v>0.87020648967551617</v>
      </c>
      <c r="BG171" s="4">
        <v>165</v>
      </c>
      <c r="BH171"/>
      <c r="BI171"/>
      <c r="BJ171"/>
      <c r="BK171"/>
      <c r="BL171"/>
      <c r="BM171"/>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c r="HF171" s="3"/>
      <c r="HG171" s="3"/>
      <c r="HH171" s="3"/>
      <c r="HI171" s="3"/>
      <c r="HJ171" s="3"/>
      <c r="HK171" s="3"/>
      <c r="HL171" s="3"/>
      <c r="HM171" s="3"/>
      <c r="HN171" s="3"/>
      <c r="HO171" s="3"/>
      <c r="HP171" s="3"/>
      <c r="HQ171" s="3"/>
      <c r="HR171" s="3"/>
      <c r="HS171" s="3"/>
      <c r="HT171" s="3"/>
      <c r="HU171" s="3"/>
      <c r="HV171" s="3"/>
      <c r="HW171" s="3"/>
      <c r="HX171" s="3"/>
      <c r="HY171" s="3"/>
      <c r="HZ171" s="3"/>
      <c r="IA171" s="3"/>
      <c r="IB171" s="3"/>
      <c r="IC171" s="3"/>
      <c r="ID171" s="3"/>
      <c r="IE171" s="3"/>
      <c r="IF171" s="3"/>
      <c r="IG171" s="3"/>
      <c r="IH171" s="3"/>
      <c r="II171" s="3"/>
      <c r="IJ171" s="3"/>
      <c r="IK171" s="3"/>
      <c r="IL171" s="3"/>
      <c r="IM171" s="3"/>
      <c r="IN171" s="3"/>
      <c r="IO171" s="3"/>
      <c r="IP171" s="3"/>
      <c r="IQ171" s="3"/>
      <c r="IR171" s="3"/>
      <c r="IS171" s="3"/>
      <c r="IT171" s="3"/>
      <c r="IU171" s="3"/>
      <c r="IV171" s="3"/>
      <c r="IW171" s="3"/>
    </row>
    <row r="172" spans="1:257" s="3" customFormat="1" ht="11.25" customHeight="1" outlineLevel="2">
      <c r="A172" s="6"/>
      <c r="B172" s="126"/>
      <c r="C172" s="25"/>
      <c r="D172" s="25"/>
      <c r="E172" s="25"/>
      <c r="F172" s="25"/>
      <c r="G172" s="25"/>
      <c r="H172" s="155"/>
      <c r="I172" s="155"/>
      <c r="J172" s="155"/>
      <c r="K172" s="155"/>
      <c r="L172" s="155"/>
      <c r="M172" s="155"/>
      <c r="N172" s="155"/>
      <c r="O172" s="5"/>
      <c r="P172" s="25"/>
      <c r="Q172" s="25"/>
      <c r="R172" s="25"/>
      <c r="S172" s="25"/>
      <c r="T172" s="25"/>
      <c r="U172" s="30"/>
      <c r="V172" s="30"/>
      <c r="W172" s="30"/>
      <c r="X172" s="30"/>
      <c r="Y172" s="30"/>
      <c r="Z172" s="19"/>
      <c r="AA172" s="19"/>
      <c r="AB172" s="19"/>
      <c r="AC172" s="19"/>
      <c r="AD172" s="19"/>
      <c r="AE172" s="19"/>
      <c r="AF172" s="19"/>
      <c r="AG172" s="19"/>
      <c r="AH172" s="20"/>
      <c r="AI172" s="19"/>
      <c r="AJ172" s="19"/>
      <c r="AK172" s="19"/>
      <c r="AL172" s="19"/>
      <c r="AM172" s="19"/>
      <c r="AN172" s="5"/>
      <c r="AO172" s="5"/>
      <c r="AP172" s="5"/>
      <c r="AQ172" s="5"/>
      <c r="AR172" s="5"/>
      <c r="AS172" s="5"/>
      <c r="AT172" s="5"/>
      <c r="AU172" s="5"/>
      <c r="AV172" s="5"/>
      <c r="AW172" s="5"/>
      <c r="AX172" s="5"/>
      <c r="AY172" s="5"/>
      <c r="AZ172" s="5"/>
      <c r="BA172" s="5"/>
      <c r="BB172" s="5"/>
      <c r="BC172" s="5"/>
      <c r="BD172" s="5"/>
      <c r="BE172" s="5"/>
      <c r="BF172" s="5"/>
      <c r="BG172" s="4">
        <v>166</v>
      </c>
      <c r="BH172"/>
      <c r="BI172"/>
      <c r="BJ172"/>
      <c r="BK172"/>
      <c r="BL172"/>
      <c r="BM172"/>
    </row>
    <row r="173" spans="1:257" s="3" customFormat="1" ht="12.75" customHeight="1" outlineLevel="1">
      <c r="A173" s="6" t="s">
        <v>0</v>
      </c>
      <c r="B173" s="9" t="s">
        <v>231</v>
      </c>
      <c r="C173" s="25"/>
      <c r="D173" s="25"/>
      <c r="E173" s="25"/>
      <c r="F173" s="25"/>
      <c r="G173" s="25"/>
      <c r="H173" s="25"/>
      <c r="I173" s="25"/>
      <c r="J173" s="25"/>
      <c r="K173" s="25"/>
      <c r="L173" s="25"/>
      <c r="M173" s="25"/>
      <c r="N173" s="2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4">
        <v>167</v>
      </c>
      <c r="BH173"/>
      <c r="BI173"/>
      <c r="BJ173"/>
      <c r="BK173"/>
      <c r="BL173"/>
      <c r="BM173"/>
    </row>
    <row r="174" spans="1:257" s="3" customFormat="1" ht="12.75" customHeight="1" outlineLevel="1">
      <c r="A174" s="6"/>
      <c r="B174" s="5" t="s">
        <v>230</v>
      </c>
      <c r="C174" s="203">
        <v>1035.0666666666666</v>
      </c>
      <c r="D174" s="203">
        <v>1494.1250000000002</v>
      </c>
      <c r="E174" s="203">
        <v>1826.3416666666665</v>
      </c>
      <c r="F174" s="203">
        <v>1854.0666666666668</v>
      </c>
      <c r="G174" s="203">
        <v>1686.5791666666667</v>
      </c>
      <c r="H174" s="203">
        <v>1790.8291666666664</v>
      </c>
      <c r="I174" s="203">
        <v>937.77500000000009</v>
      </c>
      <c r="J174" s="203">
        <v>484.89166666666665</v>
      </c>
      <c r="K174" s="203">
        <v>851.9</v>
      </c>
      <c r="L174" s="203">
        <v>1053.6538461538462</v>
      </c>
      <c r="M174" s="203">
        <v>1132.5</v>
      </c>
      <c r="N174" s="203">
        <v>1150</v>
      </c>
      <c r="O174" s="5"/>
      <c r="P174" s="203">
        <v>1930.3</v>
      </c>
      <c r="Q174" s="203">
        <v>1903.35</v>
      </c>
      <c r="R174" s="203">
        <v>1838.3166666666666</v>
      </c>
      <c r="S174" s="203">
        <v>1744.2999999999997</v>
      </c>
      <c r="T174" s="203">
        <v>1689.0833333333335</v>
      </c>
      <c r="U174" s="203">
        <v>1687.6666666666667</v>
      </c>
      <c r="V174" s="203">
        <v>1688.6833333333332</v>
      </c>
      <c r="W174" s="203">
        <v>1680.8833333333332</v>
      </c>
      <c r="X174" s="203">
        <v>1707.4666666666665</v>
      </c>
      <c r="Y174" s="203">
        <v>1782.15</v>
      </c>
      <c r="Z174" s="203">
        <v>1829.8999999999999</v>
      </c>
      <c r="AA174" s="203">
        <v>1843.8</v>
      </c>
      <c r="AB174" s="203">
        <v>1323.7666666666669</v>
      </c>
      <c r="AC174" s="203">
        <v>874.48333333333335</v>
      </c>
      <c r="AD174" s="203">
        <v>829.58333333333337</v>
      </c>
      <c r="AE174" s="203">
        <v>723.26666666666688</v>
      </c>
      <c r="AF174" s="203">
        <v>526.04999999999995</v>
      </c>
      <c r="AG174" s="203">
        <v>393.73333333333335</v>
      </c>
      <c r="AH174" s="203">
        <v>457.90000000000003</v>
      </c>
      <c r="AI174" s="203">
        <v>561.88333333333321</v>
      </c>
      <c r="AJ174" s="203">
        <v>715.55000000000018</v>
      </c>
      <c r="AK174" s="203">
        <v>867.88333333333321</v>
      </c>
      <c r="AL174" s="203">
        <v>924.49999999999989</v>
      </c>
      <c r="AM174" s="203">
        <v>899.66666666666663</v>
      </c>
      <c r="AN174" s="203">
        <v>984.61538461538464</v>
      </c>
      <c r="AO174" s="203">
        <v>1045</v>
      </c>
      <c r="AP174" s="203">
        <v>1080</v>
      </c>
      <c r="AQ174" s="203">
        <v>1105</v>
      </c>
      <c r="AR174" s="203">
        <v>1115</v>
      </c>
      <c r="AS174" s="203">
        <v>1125</v>
      </c>
      <c r="AT174" s="203">
        <v>1140</v>
      </c>
      <c r="AU174" s="203">
        <v>1150</v>
      </c>
      <c r="AV174" s="203">
        <v>1150</v>
      </c>
      <c r="AW174" s="203">
        <v>1150</v>
      </c>
      <c r="AX174" s="203">
        <v>1150</v>
      </c>
      <c r="AY174" s="203">
        <v>1150</v>
      </c>
      <c r="AZ174" s="5"/>
      <c r="BA174" s="5"/>
      <c r="BB174" s="5"/>
      <c r="BC174" s="5"/>
      <c r="BD174" s="5"/>
      <c r="BE174" s="5"/>
      <c r="BF174" s="5"/>
      <c r="BG174" s="4">
        <v>168</v>
      </c>
      <c r="BH174"/>
      <c r="BI174"/>
      <c r="BJ174"/>
      <c r="BK174"/>
      <c r="BL174"/>
      <c r="BM174"/>
    </row>
    <row r="175" spans="1:257" s="3" customFormat="1" ht="12.75" customHeight="1" outlineLevel="1">
      <c r="A175" s="6"/>
      <c r="B175" s="126" t="s">
        <v>228</v>
      </c>
      <c r="C175" s="25"/>
      <c r="D175" s="25">
        <f t="shared" ref="D175:N175" si="270">D174/C174-1</f>
        <v>0.44350605436042789</v>
      </c>
      <c r="E175" s="25">
        <f t="shared" si="270"/>
        <v>0.22234864329735871</v>
      </c>
      <c r="F175" s="25">
        <f t="shared" si="270"/>
        <v>1.5180620639621223E-2</v>
      </c>
      <c r="G175" s="25">
        <f t="shared" si="270"/>
        <v>-9.0335209089928536E-2</v>
      </c>
      <c r="H175" s="25">
        <f t="shared" si="270"/>
        <v>6.1811507019879919E-2</v>
      </c>
      <c r="I175" s="25">
        <f t="shared" si="270"/>
        <v>-0.47634591983694696</v>
      </c>
      <c r="J175" s="25">
        <f t="shared" si="270"/>
        <v>-0.4829338949463714</v>
      </c>
      <c r="K175" s="25">
        <f t="shared" si="270"/>
        <v>0.75688727722687199</v>
      </c>
      <c r="L175" s="25">
        <f t="shared" si="270"/>
        <v>0.23682808563663138</v>
      </c>
      <c r="M175" s="25">
        <f t="shared" si="270"/>
        <v>7.4831173571819676E-2</v>
      </c>
      <c r="N175" s="25">
        <f t="shared" si="270"/>
        <v>1.5452538631346657E-2</v>
      </c>
      <c r="O175" s="5"/>
      <c r="P175" s="25"/>
      <c r="Q175" s="25">
        <f t="shared" ref="Q175:AY175" si="271">Q174/P174-1</f>
        <v>-1.3961560379215698E-2</v>
      </c>
      <c r="R175" s="25">
        <f t="shared" si="271"/>
        <v>-3.4167826901690845E-2</v>
      </c>
      <c r="S175" s="25">
        <f t="shared" si="271"/>
        <v>-5.1142802745265281E-2</v>
      </c>
      <c r="T175" s="25">
        <f t="shared" si="271"/>
        <v>-3.1655487397045379E-2</v>
      </c>
      <c r="U175" s="25">
        <f t="shared" si="271"/>
        <v>-8.3871922640488261E-4</v>
      </c>
      <c r="V175" s="25">
        <f t="shared" si="271"/>
        <v>6.0240963855417995E-4</v>
      </c>
      <c r="W175" s="25">
        <f t="shared" si="271"/>
        <v>-4.6189832315116641E-3</v>
      </c>
      <c r="X175" s="25">
        <f t="shared" si="271"/>
        <v>1.5815097220707397E-2</v>
      </c>
      <c r="Y175" s="25">
        <f t="shared" si="271"/>
        <v>4.3739262845541305E-2</v>
      </c>
      <c r="Z175" s="25">
        <f t="shared" si="271"/>
        <v>2.6793479785651941E-2</v>
      </c>
      <c r="AA175" s="25">
        <f t="shared" si="271"/>
        <v>7.5960434996449333E-3</v>
      </c>
      <c r="AB175" s="25">
        <f t="shared" si="271"/>
        <v>-0.28204432874136731</v>
      </c>
      <c r="AC175" s="25">
        <f t="shared" si="271"/>
        <v>-0.33939767834210466</v>
      </c>
      <c r="AD175" s="25">
        <f t="shared" si="271"/>
        <v>-5.1344603480150131E-2</v>
      </c>
      <c r="AE175" s="25">
        <f t="shared" si="271"/>
        <v>-0.12815670517327959</v>
      </c>
      <c r="AF175" s="25">
        <f t="shared" si="271"/>
        <v>-0.27267490091252677</v>
      </c>
      <c r="AG175" s="25">
        <f t="shared" si="271"/>
        <v>-0.25152868865443712</v>
      </c>
      <c r="AH175" s="25">
        <f t="shared" si="271"/>
        <v>0.16296986115814427</v>
      </c>
      <c r="AI175" s="25">
        <f t="shared" si="271"/>
        <v>0.22708742811385285</v>
      </c>
      <c r="AJ175" s="25">
        <f t="shared" si="271"/>
        <v>0.27348500578411938</v>
      </c>
      <c r="AK175" s="25">
        <f t="shared" si="271"/>
        <v>0.21288985162928231</v>
      </c>
      <c r="AL175" s="25">
        <f t="shared" si="271"/>
        <v>6.523534269199005E-2</v>
      </c>
      <c r="AM175" s="25">
        <f t="shared" si="271"/>
        <v>-2.6861366504416728E-2</v>
      </c>
      <c r="AN175" s="25">
        <f t="shared" si="271"/>
        <v>9.4422435659931025E-2</v>
      </c>
      <c r="AO175" s="25">
        <f t="shared" si="271"/>
        <v>6.1328124999999956E-2</v>
      </c>
      <c r="AP175" s="25">
        <f t="shared" si="271"/>
        <v>3.3492822966507241E-2</v>
      </c>
      <c r="AQ175" s="25">
        <f t="shared" si="271"/>
        <v>2.314814814814814E-2</v>
      </c>
      <c r="AR175" s="25">
        <f t="shared" si="271"/>
        <v>9.0497737556560764E-3</v>
      </c>
      <c r="AS175" s="25">
        <f t="shared" si="271"/>
        <v>8.9686098654708779E-3</v>
      </c>
      <c r="AT175" s="25">
        <f t="shared" si="271"/>
        <v>1.3333333333333419E-2</v>
      </c>
      <c r="AU175" s="25">
        <f t="shared" si="271"/>
        <v>8.7719298245614308E-3</v>
      </c>
      <c r="AV175" s="25">
        <f t="shared" si="271"/>
        <v>0</v>
      </c>
      <c r="AW175" s="25">
        <f t="shared" si="271"/>
        <v>0</v>
      </c>
      <c r="AX175" s="25">
        <f t="shared" si="271"/>
        <v>0</v>
      </c>
      <c r="AY175" s="25">
        <f t="shared" si="271"/>
        <v>0</v>
      </c>
      <c r="AZ175" s="5"/>
      <c r="BA175" s="5"/>
      <c r="BB175" s="5"/>
      <c r="BC175" s="5"/>
      <c r="BD175" s="5"/>
      <c r="BE175" s="5"/>
      <c r="BF175" s="5"/>
      <c r="BG175" s="4">
        <v>169</v>
      </c>
      <c r="BH175"/>
      <c r="BI175"/>
      <c r="BJ175"/>
      <c r="BK175"/>
      <c r="BL175"/>
      <c r="BM175"/>
    </row>
    <row r="176" spans="1:257" s="3" customFormat="1" ht="12.75" customHeight="1" outlineLevel="1">
      <c r="A176" s="6"/>
      <c r="B176" s="5" t="s">
        <v>229</v>
      </c>
      <c r="C176" s="203">
        <v>453.67499999999995</v>
      </c>
      <c r="D176" s="203">
        <v>817.22500000000002</v>
      </c>
      <c r="E176" s="203">
        <v>1072.2166666666667</v>
      </c>
      <c r="F176" s="203">
        <v>1150.5666666666666</v>
      </c>
      <c r="G176" s="203">
        <v>1101.925</v>
      </c>
      <c r="H176" s="203">
        <v>1275.1500000000001</v>
      </c>
      <c r="I176" s="203">
        <v>743.9041666666667</v>
      </c>
      <c r="J176" s="203">
        <v>401.43333333333334</v>
      </c>
      <c r="K176" s="203">
        <v>734.7833333333333</v>
      </c>
      <c r="L176" s="203">
        <v>916.15384615384619</v>
      </c>
      <c r="M176" s="203">
        <v>982.5</v>
      </c>
      <c r="N176" s="203">
        <v>1000</v>
      </c>
      <c r="O176" s="5"/>
      <c r="P176" s="203">
        <v>1171.3666666666666</v>
      </c>
      <c r="Q176" s="203">
        <v>1168.1499999999999</v>
      </c>
      <c r="R176" s="203">
        <v>1152.9666666666667</v>
      </c>
      <c r="S176" s="203">
        <v>1109.7833333333333</v>
      </c>
      <c r="T176" s="203">
        <v>1126.9833333333333</v>
      </c>
      <c r="U176" s="203">
        <v>1088.1166666666666</v>
      </c>
      <c r="V176" s="203">
        <v>1072.7</v>
      </c>
      <c r="W176" s="203">
        <v>1119.8999999999999</v>
      </c>
      <c r="X176" s="203">
        <v>1184.2166666666667</v>
      </c>
      <c r="Y176" s="203">
        <v>1242.8</v>
      </c>
      <c r="Z176" s="203">
        <v>1313.6666666666667</v>
      </c>
      <c r="AA176" s="203">
        <v>1359.9166666666667</v>
      </c>
      <c r="AB176" s="203">
        <v>1037.7166666666667</v>
      </c>
      <c r="AC176" s="203">
        <v>702.36666666666667</v>
      </c>
      <c r="AD176" s="203">
        <v>657.9666666666667</v>
      </c>
      <c r="AE176" s="203">
        <v>577.56666666666672</v>
      </c>
      <c r="AF176" s="203">
        <v>437.40000000000003</v>
      </c>
      <c r="AG176" s="203">
        <v>324.7</v>
      </c>
      <c r="AH176" s="203">
        <v>373.09999999999997</v>
      </c>
      <c r="AI176" s="203">
        <v>470.5333333333333</v>
      </c>
      <c r="AJ176" s="203">
        <v>606.69999999999993</v>
      </c>
      <c r="AK176" s="203">
        <v>748.63333333333333</v>
      </c>
      <c r="AL176" s="203">
        <v>799.73333333333323</v>
      </c>
      <c r="AM176" s="203">
        <v>784.06666666666661</v>
      </c>
      <c r="AN176" s="203">
        <v>859.61538461538464</v>
      </c>
      <c r="AO176" s="203">
        <v>910</v>
      </c>
      <c r="AP176" s="203">
        <v>940</v>
      </c>
      <c r="AQ176" s="203">
        <v>955</v>
      </c>
      <c r="AR176" s="203">
        <v>965</v>
      </c>
      <c r="AS176" s="203">
        <v>975</v>
      </c>
      <c r="AT176" s="203">
        <v>990</v>
      </c>
      <c r="AU176" s="203">
        <v>1000</v>
      </c>
      <c r="AV176" s="203">
        <v>1000</v>
      </c>
      <c r="AW176" s="203">
        <v>1000</v>
      </c>
      <c r="AX176" s="203">
        <v>1000</v>
      </c>
      <c r="AY176" s="203">
        <v>1000</v>
      </c>
      <c r="AZ176" s="5"/>
      <c r="BA176" s="5"/>
      <c r="BB176" s="5"/>
      <c r="BC176" s="5"/>
      <c r="BD176" s="5"/>
      <c r="BE176" s="5"/>
      <c r="BF176" s="5"/>
      <c r="BG176" s="4">
        <v>170</v>
      </c>
      <c r="BH176"/>
      <c r="BI176"/>
      <c r="BJ176"/>
      <c r="BK176"/>
      <c r="BL176"/>
      <c r="BM176"/>
    </row>
    <row r="177" spans="1:65" s="3" customFormat="1" ht="12.75" customHeight="1" outlineLevel="1">
      <c r="A177" s="6"/>
      <c r="B177" s="126" t="s">
        <v>228</v>
      </c>
      <c r="C177" s="25"/>
      <c r="D177" s="25">
        <f t="shared" ref="D177:N177" si="272">D176/C176-1</f>
        <v>0.80134457486085875</v>
      </c>
      <c r="E177" s="25">
        <f t="shared" si="272"/>
        <v>0.31202137314285139</v>
      </c>
      <c r="F177" s="25">
        <f t="shared" si="272"/>
        <v>7.3072917476256327E-2</v>
      </c>
      <c r="G177" s="25">
        <f t="shared" si="272"/>
        <v>-4.2276269664223376E-2</v>
      </c>
      <c r="H177" s="25">
        <f t="shared" si="272"/>
        <v>0.15720216893164252</v>
      </c>
      <c r="I177" s="25">
        <f t="shared" si="272"/>
        <v>-0.41661438523572392</v>
      </c>
      <c r="J177" s="25">
        <f t="shared" si="272"/>
        <v>-0.46036955925102363</v>
      </c>
      <c r="K177" s="25">
        <f t="shared" si="272"/>
        <v>0.83039940214232333</v>
      </c>
      <c r="L177" s="25">
        <f t="shared" si="272"/>
        <v>0.24683536573662934</v>
      </c>
      <c r="M177" s="25">
        <f t="shared" si="272"/>
        <v>7.2418136020151014E-2</v>
      </c>
      <c r="N177" s="25">
        <f t="shared" si="272"/>
        <v>1.7811704834605591E-2</v>
      </c>
      <c r="O177" s="5"/>
      <c r="P177" s="25"/>
      <c r="Q177" s="25">
        <f t="shared" ref="Q177:AY177" si="273">Q176/P176-1</f>
        <v>-2.7460800774025129E-3</v>
      </c>
      <c r="R177" s="25">
        <f t="shared" si="273"/>
        <v>-1.2997759990868607E-2</v>
      </c>
      <c r="S177" s="25">
        <f t="shared" si="273"/>
        <v>-3.7454103905866121E-2</v>
      </c>
      <c r="T177" s="25">
        <f t="shared" si="273"/>
        <v>1.549852073227509E-2</v>
      </c>
      <c r="U177" s="25">
        <f t="shared" si="273"/>
        <v>-3.4487348230527015E-2</v>
      </c>
      <c r="V177" s="25">
        <f t="shared" si="273"/>
        <v>-1.4168211129321207E-2</v>
      </c>
      <c r="W177" s="25">
        <f t="shared" si="273"/>
        <v>4.4001118672508444E-2</v>
      </c>
      <c r="X177" s="25">
        <f t="shared" si="273"/>
        <v>5.7430722981218763E-2</v>
      </c>
      <c r="Y177" s="25">
        <f t="shared" si="273"/>
        <v>4.947011385866884E-2</v>
      </c>
      <c r="Z177" s="25">
        <f t="shared" si="273"/>
        <v>5.7021778779100973E-2</v>
      </c>
      <c r="AA177" s="25">
        <f t="shared" si="273"/>
        <v>3.5206800304491193E-2</v>
      </c>
      <c r="AB177" s="25">
        <f t="shared" si="273"/>
        <v>-0.23692628224768675</v>
      </c>
      <c r="AC177" s="25">
        <f t="shared" si="273"/>
        <v>-0.32316142813548976</v>
      </c>
      <c r="AD177" s="25">
        <f t="shared" si="273"/>
        <v>-6.3214845047695811E-2</v>
      </c>
      <c r="AE177" s="25">
        <f t="shared" si="273"/>
        <v>-0.12219464005268754</v>
      </c>
      <c r="AF177" s="25">
        <f t="shared" si="273"/>
        <v>-0.24268482714838113</v>
      </c>
      <c r="AG177" s="25">
        <f t="shared" si="273"/>
        <v>-0.25765889346136273</v>
      </c>
      <c r="AH177" s="25">
        <f t="shared" si="273"/>
        <v>0.14906067138897439</v>
      </c>
      <c r="AI177" s="25">
        <f t="shared" si="273"/>
        <v>0.26114535870633437</v>
      </c>
      <c r="AJ177" s="25">
        <f t="shared" si="273"/>
        <v>0.28938792859166895</v>
      </c>
      <c r="AK177" s="25">
        <f t="shared" si="273"/>
        <v>0.23394318993461916</v>
      </c>
      <c r="AL177" s="25">
        <f t="shared" si="273"/>
        <v>6.8257714056725538E-2</v>
      </c>
      <c r="AM177" s="25">
        <f t="shared" si="273"/>
        <v>-1.9589863287762577E-2</v>
      </c>
      <c r="AN177" s="25">
        <f t="shared" si="273"/>
        <v>9.6354967199283381E-2</v>
      </c>
      <c r="AO177" s="25">
        <f t="shared" si="273"/>
        <v>5.8612975391498789E-2</v>
      </c>
      <c r="AP177" s="25">
        <f t="shared" si="273"/>
        <v>3.2967032967033072E-2</v>
      </c>
      <c r="AQ177" s="25">
        <f t="shared" si="273"/>
        <v>1.5957446808510634E-2</v>
      </c>
      <c r="AR177" s="25">
        <f t="shared" si="273"/>
        <v>1.0471204188481575E-2</v>
      </c>
      <c r="AS177" s="25">
        <f t="shared" si="273"/>
        <v>1.0362694300518172E-2</v>
      </c>
      <c r="AT177" s="25">
        <f t="shared" si="273"/>
        <v>1.538461538461533E-2</v>
      </c>
      <c r="AU177" s="25">
        <f t="shared" si="273"/>
        <v>1.0101010101010166E-2</v>
      </c>
      <c r="AV177" s="25">
        <f t="shared" si="273"/>
        <v>0</v>
      </c>
      <c r="AW177" s="25">
        <f t="shared" si="273"/>
        <v>0</v>
      </c>
      <c r="AX177" s="25">
        <f t="shared" si="273"/>
        <v>0</v>
      </c>
      <c r="AY177" s="25">
        <f t="shared" si="273"/>
        <v>0</v>
      </c>
      <c r="AZ177" s="5"/>
      <c r="BA177" s="5"/>
      <c r="BB177" s="5"/>
      <c r="BC177" s="5"/>
      <c r="BD177" s="5"/>
      <c r="BE177" s="5"/>
      <c r="BF177" s="5"/>
      <c r="BG177" s="4">
        <v>171</v>
      </c>
      <c r="BH177"/>
      <c r="BI177"/>
      <c r="BJ177"/>
      <c r="BK177"/>
      <c r="BL177"/>
      <c r="BM177"/>
    </row>
    <row r="178" spans="1:65" s="3" customFormat="1" ht="12.75" customHeight="1" outlineLevel="1">
      <c r="A178" s="6"/>
      <c r="B178" s="5" t="s">
        <v>227</v>
      </c>
      <c r="C178" s="177"/>
      <c r="D178" s="177">
        <f t="shared" ref="D178:N178" si="274">D44/D174*1000</f>
        <v>1746.1725089935578</v>
      </c>
      <c r="E178" s="177">
        <f t="shared" si="274"/>
        <v>1862.7401773125696</v>
      </c>
      <c r="F178" s="177">
        <f t="shared" si="274"/>
        <v>2030.6713171047425</v>
      </c>
      <c r="G178" s="177">
        <f t="shared" si="274"/>
        <v>3033.951860150848</v>
      </c>
      <c r="H178" s="177">
        <f t="shared" si="274"/>
        <v>4012.9453907524226</v>
      </c>
      <c r="I178" s="177">
        <f t="shared" si="274"/>
        <v>6615.4013489376457</v>
      </c>
      <c r="J178" s="177">
        <f t="shared" si="274"/>
        <v>13229.621049375291</v>
      </c>
      <c r="K178" s="177">
        <f t="shared" si="274"/>
        <v>12064.750557577179</v>
      </c>
      <c r="L178" s="177">
        <f t="shared" si="274"/>
        <v>18768.02336192736</v>
      </c>
      <c r="M178" s="177">
        <f t="shared" si="274"/>
        <v>25916.114790286974</v>
      </c>
      <c r="N178" s="177">
        <f t="shared" si="274"/>
        <v>25652.173913043476</v>
      </c>
      <c r="O178" s="5"/>
      <c r="P178" s="177"/>
      <c r="Q178" s="177"/>
      <c r="R178" s="177"/>
      <c r="S178" s="177"/>
      <c r="T178" s="177">
        <f t="shared" ref="T178:AY178" si="275">T44/T174*1000</f>
        <v>596.77339779959539</v>
      </c>
      <c r="U178" s="177">
        <f t="shared" si="275"/>
        <v>667.19336361840794</v>
      </c>
      <c r="V178" s="177">
        <f t="shared" si="275"/>
        <v>903.15097561216339</v>
      </c>
      <c r="W178" s="177">
        <f t="shared" si="275"/>
        <v>947.87185309311576</v>
      </c>
      <c r="X178" s="177">
        <f t="shared" si="275"/>
        <v>927.32896689052018</v>
      </c>
      <c r="Y178" s="177">
        <f t="shared" si="275"/>
        <v>991.57273517941826</v>
      </c>
      <c r="Z178" s="177">
        <f t="shared" si="275"/>
        <v>1062.7176348434341</v>
      </c>
      <c r="AA178" s="177">
        <f t="shared" si="275"/>
        <v>1025.7717756806594</v>
      </c>
      <c r="AB178" s="177">
        <f t="shared" si="275"/>
        <v>1343.1234104701227</v>
      </c>
      <c r="AC178" s="177">
        <f t="shared" si="275"/>
        <v>1822.5333053803199</v>
      </c>
      <c r="AD178" s="177">
        <f t="shared" si="275"/>
        <v>1765.1391260673031</v>
      </c>
      <c r="AE178" s="177">
        <f t="shared" si="275"/>
        <v>1890.963683288782</v>
      </c>
      <c r="AF178" s="177">
        <f t="shared" si="275"/>
        <v>2900.7736907138105</v>
      </c>
      <c r="AG178" s="177">
        <f t="shared" si="275"/>
        <v>3276.0827971554349</v>
      </c>
      <c r="AH178" s="177">
        <f t="shared" si="275"/>
        <v>3831.2535488097833</v>
      </c>
      <c r="AI178" s="177">
        <f t="shared" si="275"/>
        <v>3283.1495268887384</v>
      </c>
      <c r="AJ178" s="177">
        <f t="shared" si="275"/>
        <v>2910.1125008734534</v>
      </c>
      <c r="AK178" s="177">
        <f t="shared" si="275"/>
        <v>2980.6874963992864</v>
      </c>
      <c r="AL178" s="177">
        <f t="shared" si="275"/>
        <v>3062.7701460248791</v>
      </c>
      <c r="AM178" s="177">
        <f t="shared" si="275"/>
        <v>3086.9321971100408</v>
      </c>
      <c r="AN178" s="177">
        <f t="shared" si="275"/>
        <v>2666.015625</v>
      </c>
      <c r="AO178" s="177">
        <f t="shared" si="275"/>
        <v>2751.196172248804</v>
      </c>
      <c r="AP178" s="177">
        <f t="shared" si="275"/>
        <v>6481.4814814814818</v>
      </c>
      <c r="AQ178" s="177">
        <f t="shared" si="275"/>
        <v>6583.7104072398188</v>
      </c>
      <c r="AR178" s="177">
        <f t="shared" si="275"/>
        <v>6547.0852017937223</v>
      </c>
      <c r="AS178" s="177">
        <f t="shared" si="275"/>
        <v>6511.1111111111113</v>
      </c>
      <c r="AT178" s="177">
        <f t="shared" si="275"/>
        <v>6447.3684210526317</v>
      </c>
      <c r="AU178" s="177">
        <f t="shared" si="275"/>
        <v>6413.0434782608691</v>
      </c>
      <c r="AV178" s="177">
        <f t="shared" si="275"/>
        <v>6413.0434782608691</v>
      </c>
      <c r="AW178" s="177">
        <f t="shared" si="275"/>
        <v>6413.0434782608691</v>
      </c>
      <c r="AX178" s="177">
        <f t="shared" si="275"/>
        <v>6413.0434782608691</v>
      </c>
      <c r="AY178" s="177">
        <f t="shared" si="275"/>
        <v>6413.0434782608691</v>
      </c>
      <c r="AZ178" s="5"/>
      <c r="BA178" s="5"/>
      <c r="BB178" s="5"/>
      <c r="BC178" s="5"/>
      <c r="BD178" s="5"/>
      <c r="BE178" s="5"/>
      <c r="BF178" s="5"/>
      <c r="BG178" s="4">
        <v>172</v>
      </c>
      <c r="BH178"/>
      <c r="BI178"/>
      <c r="BJ178"/>
      <c r="BK178"/>
      <c r="BL178"/>
      <c r="BM178"/>
    </row>
    <row r="179" spans="1:65" s="3" customFormat="1" ht="12.75" customHeight="1" outlineLevel="1">
      <c r="A179" s="6"/>
      <c r="B179" s="5" t="s">
        <v>226</v>
      </c>
      <c r="C179" s="177"/>
      <c r="D179" s="177">
        <f t="shared" ref="D179:N179" si="276">D44*1000/D176</f>
        <v>3192.5112423139281</v>
      </c>
      <c r="E179" s="177">
        <f t="shared" si="276"/>
        <v>3172.8661806537857</v>
      </c>
      <c r="F179" s="177">
        <f t="shared" si="276"/>
        <v>3272.30060549874</v>
      </c>
      <c r="G179" s="177">
        <f t="shared" si="276"/>
        <v>4643.6917213058969</v>
      </c>
      <c r="H179" s="177">
        <f t="shared" si="276"/>
        <v>5635.8072775751871</v>
      </c>
      <c r="I179" s="177">
        <f t="shared" si="276"/>
        <v>8339.4585996180067</v>
      </c>
      <c r="J179" s="177">
        <f t="shared" si="276"/>
        <v>15980.070580420161</v>
      </c>
      <c r="K179" s="177">
        <f t="shared" si="276"/>
        <v>13987.743779345386</v>
      </c>
      <c r="L179" s="177">
        <f t="shared" si="276"/>
        <v>21584.802686817799</v>
      </c>
      <c r="M179" s="177">
        <f t="shared" si="276"/>
        <v>29872.773536895675</v>
      </c>
      <c r="N179" s="177">
        <f t="shared" si="276"/>
        <v>29500</v>
      </c>
      <c r="O179" s="5"/>
      <c r="P179" s="177"/>
      <c r="Q179" s="177"/>
      <c r="R179" s="177"/>
      <c r="S179" s="177"/>
      <c r="T179" s="177">
        <f t="shared" ref="T179:AY179" si="277">T44*1000/T176</f>
        <v>894.42316508673593</v>
      </c>
      <c r="U179" s="177">
        <f t="shared" si="277"/>
        <v>1034.8155069156189</v>
      </c>
      <c r="V179" s="177">
        <f t="shared" si="277"/>
        <v>1421.7730959261676</v>
      </c>
      <c r="W179" s="177">
        <f t="shared" si="277"/>
        <v>1422.6823823555676</v>
      </c>
      <c r="X179" s="177">
        <f t="shared" si="277"/>
        <v>1337.0722981436393</v>
      </c>
      <c r="Y179" s="177">
        <f t="shared" si="277"/>
        <v>1421.8951963308662</v>
      </c>
      <c r="Z179" s="177">
        <f t="shared" si="277"/>
        <v>1480.3351941131691</v>
      </c>
      <c r="AA179" s="177">
        <f t="shared" si="277"/>
        <v>1390.760218150622</v>
      </c>
      <c r="AB179" s="177">
        <f t="shared" si="277"/>
        <v>1713.3597802868476</v>
      </c>
      <c r="AC179" s="177">
        <f t="shared" si="277"/>
        <v>2269.1495420245838</v>
      </c>
      <c r="AD179" s="177">
        <f t="shared" si="277"/>
        <v>2225.5382744819904</v>
      </c>
      <c r="AE179" s="177">
        <f t="shared" si="277"/>
        <v>2367.9881110405722</v>
      </c>
      <c r="AF179" s="177">
        <f t="shared" si="277"/>
        <v>3488.6877000457243</v>
      </c>
      <c r="AG179" s="177">
        <f t="shared" si="277"/>
        <v>3972.5993224514937</v>
      </c>
      <c r="AH179" s="177">
        <f t="shared" si="277"/>
        <v>4702.0396676494238</v>
      </c>
      <c r="AI179" s="177">
        <f t="shared" si="277"/>
        <v>3920.5447718900541</v>
      </c>
      <c r="AJ179" s="177">
        <f t="shared" si="277"/>
        <v>3432.2251524641511</v>
      </c>
      <c r="AK179" s="177">
        <f t="shared" si="277"/>
        <v>3455.4819894029119</v>
      </c>
      <c r="AL179" s="177">
        <f t="shared" si="277"/>
        <v>3540.5939479826611</v>
      </c>
      <c r="AM179" s="177">
        <f t="shared" si="277"/>
        <v>3542.0584984270049</v>
      </c>
      <c r="AN179" s="177">
        <f t="shared" si="277"/>
        <v>3053.6912751677851</v>
      </c>
      <c r="AO179" s="177">
        <f t="shared" si="277"/>
        <v>3159.3406593406594</v>
      </c>
      <c r="AP179" s="177">
        <f t="shared" si="277"/>
        <v>7446.8085106382978</v>
      </c>
      <c r="AQ179" s="177">
        <f t="shared" si="277"/>
        <v>7617.8010471204188</v>
      </c>
      <c r="AR179" s="177">
        <f t="shared" si="277"/>
        <v>7564.7668393782387</v>
      </c>
      <c r="AS179" s="177">
        <f t="shared" si="277"/>
        <v>7512.8205128205127</v>
      </c>
      <c r="AT179" s="177">
        <f t="shared" si="277"/>
        <v>7424.242424242424</v>
      </c>
      <c r="AU179" s="177">
        <f t="shared" si="277"/>
        <v>7375</v>
      </c>
      <c r="AV179" s="177">
        <f t="shared" si="277"/>
        <v>7375</v>
      </c>
      <c r="AW179" s="177">
        <f t="shared" si="277"/>
        <v>7375</v>
      </c>
      <c r="AX179" s="177">
        <f t="shared" si="277"/>
        <v>7375</v>
      </c>
      <c r="AY179" s="177">
        <f t="shared" si="277"/>
        <v>7375</v>
      </c>
      <c r="AZ179" s="5"/>
      <c r="BA179" s="5"/>
      <c r="BB179" s="5"/>
      <c r="BC179" s="5"/>
      <c r="BD179" s="5"/>
      <c r="BE179" s="5"/>
      <c r="BF179" s="5"/>
      <c r="BG179" s="4">
        <v>173</v>
      </c>
      <c r="BH179"/>
      <c r="BI179"/>
      <c r="BJ179"/>
      <c r="BK179"/>
      <c r="BL179"/>
      <c r="BM179"/>
    </row>
    <row r="180" spans="1:65" s="3" customFormat="1" ht="12.75" customHeight="1" outlineLevel="1">
      <c r="A180" s="6"/>
      <c r="B180" s="5" t="s">
        <v>225</v>
      </c>
      <c r="C180" s="177"/>
      <c r="D180" s="177"/>
      <c r="E180" s="203">
        <v>29.045345793025277</v>
      </c>
      <c r="F180" s="203">
        <v>36.169774893710105</v>
      </c>
      <c r="G180" s="203">
        <v>41.538625708647608</v>
      </c>
      <c r="H180" s="203">
        <v>61.459678077254374</v>
      </c>
      <c r="I180" s="203">
        <v>56.841819656136323</v>
      </c>
      <c r="J180" s="203">
        <v>42.4682494302386</v>
      </c>
      <c r="K180" s="203">
        <v>78.792914939383508</v>
      </c>
      <c r="L180" s="203">
        <v>118.97055706033663</v>
      </c>
      <c r="M180" s="203">
        <v>142.22893518324429</v>
      </c>
      <c r="N180" s="203">
        <v>145.9776427670989</v>
      </c>
      <c r="O180" s="5"/>
      <c r="P180" s="177"/>
      <c r="Q180" s="177"/>
      <c r="R180" s="177"/>
      <c r="S180" s="177"/>
      <c r="T180" s="202">
        <v>35.540237791712407</v>
      </c>
      <c r="U180" s="202">
        <v>43.812582179868087</v>
      </c>
      <c r="V180" s="202">
        <v>44.169851602938408</v>
      </c>
      <c r="W180" s="202">
        <v>42.631831260071557</v>
      </c>
      <c r="X180" s="202">
        <v>47.481189092987933</v>
      </c>
      <c r="Y180" s="202">
        <v>58.964705939937389</v>
      </c>
      <c r="Z180" s="202">
        <v>66.470341032507079</v>
      </c>
      <c r="AA180" s="202">
        <v>72.922476243585066</v>
      </c>
      <c r="AB180" s="202">
        <v>64.696367246890034</v>
      </c>
      <c r="AC180" s="202">
        <v>58.326627019866677</v>
      </c>
      <c r="AD180" s="202">
        <v>55.476067894405439</v>
      </c>
      <c r="AE180" s="202">
        <v>48.868216463383149</v>
      </c>
      <c r="AF180" s="202">
        <v>40.973969086176105</v>
      </c>
      <c r="AG180" s="202">
        <v>38.722777977587057</v>
      </c>
      <c r="AH180" s="202">
        <v>41.102960400115997</v>
      </c>
      <c r="AI180" s="202">
        <v>49.073290257075243</v>
      </c>
      <c r="AJ180" s="202">
        <v>59.113389926223796</v>
      </c>
      <c r="AK180" s="202">
        <v>77.439404740936979</v>
      </c>
      <c r="AL180" s="202">
        <v>85.707890373475479</v>
      </c>
      <c r="AM180" s="202">
        <v>92.910974716897798</v>
      </c>
      <c r="AN180" s="202">
        <v>93.198816168671513</v>
      </c>
      <c r="AO180" s="202">
        <v>114.83119976581571</v>
      </c>
      <c r="AP180" s="202">
        <v>130.60155764566062</v>
      </c>
      <c r="AQ180" s="202">
        <v>137.25065466119872</v>
      </c>
      <c r="AR180" s="202">
        <v>139.35725016411922</v>
      </c>
      <c r="AS180" s="202">
        <v>140.38121294665254</v>
      </c>
      <c r="AT180" s="202">
        <v>143.35637729060718</v>
      </c>
      <c r="AU180" s="202">
        <v>145.82090033159824</v>
      </c>
      <c r="AV180" s="202">
        <v>146.23357063788092</v>
      </c>
      <c r="AW180" s="202">
        <v>145.17995073012017</v>
      </c>
      <c r="AX180" s="202">
        <v>145.72171489631685</v>
      </c>
      <c r="AY180" s="202">
        <v>146.77533480407757</v>
      </c>
      <c r="AZ180" s="5"/>
      <c r="BA180" s="5"/>
      <c r="BB180" s="5"/>
      <c r="BC180" s="5"/>
      <c r="BD180" s="5"/>
      <c r="BE180" s="5"/>
      <c r="BF180" s="5"/>
      <c r="BG180" s="4">
        <v>174</v>
      </c>
      <c r="BH180"/>
      <c r="BI180"/>
      <c r="BJ180"/>
      <c r="BK180"/>
      <c r="BL180"/>
      <c r="BM180"/>
    </row>
    <row r="181" spans="1:65" s="3" customFormat="1" ht="12.75" customHeight="1" outlineLevel="1">
      <c r="A181" s="6"/>
      <c r="B181" s="5" t="s">
        <v>224</v>
      </c>
      <c r="C181" s="177"/>
      <c r="D181" s="177"/>
      <c r="E181" s="19">
        <f t="shared" ref="E181" si="278">(E44/1000)/E180</f>
        <v>0.1171271991128069</v>
      </c>
      <c r="F181" s="19">
        <f t="shared" ref="F181:N181" si="279">(F44/1000)/F180</f>
        <v>0.10409243660111168</v>
      </c>
      <c r="G181" s="19">
        <f t="shared" si="279"/>
        <v>0.12318655017358292</v>
      </c>
      <c r="H181" s="19">
        <f t="shared" si="279"/>
        <v>0.11693031715796856</v>
      </c>
      <c r="I181" s="19">
        <f t="shared" si="279"/>
        <v>0.10914073542208069</v>
      </c>
      <c r="J181" s="19">
        <f t="shared" si="279"/>
        <v>0.15105244708844498</v>
      </c>
      <c r="K181" s="19">
        <f t="shared" si="279"/>
        <v>0.13044270551364903</v>
      </c>
      <c r="L181" s="19">
        <f t="shared" si="279"/>
        <v>0.16621759608951808</v>
      </c>
      <c r="M181" s="19">
        <f t="shared" si="279"/>
        <v>0.20635744732382463</v>
      </c>
      <c r="N181" s="19">
        <f t="shared" si="279"/>
        <v>0.20208574026000675</v>
      </c>
      <c r="O181" s="5"/>
      <c r="P181" s="177"/>
      <c r="Q181" s="177"/>
      <c r="R181" s="177"/>
      <c r="S181" s="177"/>
      <c r="T181" s="19">
        <f t="shared" ref="T181:AY181" si="280">(T44*4/1000)/T180</f>
        <v>0.11344887514906324</v>
      </c>
      <c r="U181" s="19">
        <f t="shared" si="280"/>
        <v>0.10280151901363145</v>
      </c>
      <c r="V181" s="19">
        <f t="shared" si="280"/>
        <v>0.13811556477120154</v>
      </c>
      <c r="W181" s="19">
        <f t="shared" si="280"/>
        <v>0.14949036463204707</v>
      </c>
      <c r="X181" s="19">
        <f t="shared" si="280"/>
        <v>0.13339036618472855</v>
      </c>
      <c r="Y181" s="19">
        <f t="shared" si="280"/>
        <v>0.11987722633943329</v>
      </c>
      <c r="Z181" s="19">
        <f t="shared" si="280"/>
        <v>0.11702464406186619</v>
      </c>
      <c r="AA181" s="19">
        <f t="shared" si="280"/>
        <v>0.10374403599144799</v>
      </c>
      <c r="AB181" s="19">
        <f t="shared" si="280"/>
        <v>0.10992777960561412</v>
      </c>
      <c r="AC181" s="19">
        <f t="shared" si="280"/>
        <v>0.10929999428611864</v>
      </c>
      <c r="AD181" s="19">
        <f t="shared" si="280"/>
        <v>0.10558282557352429</v>
      </c>
      <c r="AE181" s="19">
        <f t="shared" si="280"/>
        <v>0.11194769107440564</v>
      </c>
      <c r="AF181" s="19">
        <f t="shared" si="280"/>
        <v>0.14896794565258062</v>
      </c>
      <c r="AG181" s="19">
        <f t="shared" si="280"/>
        <v>0.13324488245617114</v>
      </c>
      <c r="AH181" s="19">
        <f t="shared" si="280"/>
        <v>0.17072551299687397</v>
      </c>
      <c r="AI181" s="19">
        <f t="shared" si="280"/>
        <v>0.15036668544832532</v>
      </c>
      <c r="AJ181" s="19">
        <f t="shared" si="280"/>
        <v>0.14090418449010242</v>
      </c>
      <c r="AK181" s="19">
        <f t="shared" si="280"/>
        <v>0.13362132669558019</v>
      </c>
      <c r="AL181" s="19">
        <f t="shared" si="280"/>
        <v>0.1321479731988032</v>
      </c>
      <c r="AM181" s="19">
        <f t="shared" si="280"/>
        <v>0.11956434677226163</v>
      </c>
      <c r="AN181" s="19">
        <f t="shared" si="280"/>
        <v>0.11266237524945667</v>
      </c>
      <c r="AO181" s="19">
        <f t="shared" si="280"/>
        <v>0.10014699858098543</v>
      </c>
      <c r="AP181" s="19">
        <f t="shared" si="280"/>
        <v>0.21439254251444473</v>
      </c>
      <c r="AQ181" s="19">
        <f t="shared" si="280"/>
        <v>0.21202084661696466</v>
      </c>
      <c r="AR181" s="19">
        <f t="shared" si="280"/>
        <v>0.20953341118321106</v>
      </c>
      <c r="AS181" s="19">
        <f t="shared" si="280"/>
        <v>0.20871738735534751</v>
      </c>
      <c r="AT181" s="19">
        <f t="shared" si="280"/>
        <v>0.20508330745831638</v>
      </c>
      <c r="AU181" s="19">
        <f t="shared" si="280"/>
        <v>0.20230296159821187</v>
      </c>
      <c r="AV181" s="19">
        <f t="shared" si="280"/>
        <v>0.20173206378890268</v>
      </c>
      <c r="AW181" s="19">
        <f t="shared" si="280"/>
        <v>0.20319610147022663</v>
      </c>
      <c r="AX181" s="19">
        <f t="shared" si="280"/>
        <v>0.20244065903966121</v>
      </c>
      <c r="AY181" s="19">
        <f t="shared" si="280"/>
        <v>0.20098744819337627</v>
      </c>
      <c r="AZ181" s="5"/>
      <c r="BA181" s="5"/>
      <c r="BB181" s="5"/>
      <c r="BC181" s="5"/>
      <c r="BD181" s="5"/>
      <c r="BE181" s="5"/>
      <c r="BF181" s="5"/>
      <c r="BG181" s="4">
        <v>175</v>
      </c>
      <c r="BH181"/>
      <c r="BI181"/>
      <c r="BJ181"/>
      <c r="BK181"/>
      <c r="BL181"/>
      <c r="BM181"/>
    </row>
    <row r="182" spans="1:65" s="3" customFormat="1" ht="12.75" customHeight="1" outlineLevel="1">
      <c r="A182" s="6"/>
      <c r="B182" s="5"/>
      <c r="C182" s="5"/>
      <c r="D182" s="5"/>
      <c r="E182" s="5"/>
      <c r="F182" s="5"/>
      <c r="G182" s="5"/>
      <c r="H182" s="201"/>
      <c r="I182" s="201"/>
      <c r="J182" s="201"/>
      <c r="K182" s="201"/>
      <c r="L182" s="201"/>
      <c r="M182" s="201"/>
      <c r="N182" s="201"/>
      <c r="O182" s="5"/>
      <c r="P182" s="176"/>
      <c r="Q182" s="176"/>
      <c r="R182" s="176"/>
      <c r="S182" s="176"/>
      <c r="T182" s="176"/>
      <c r="U182" s="176"/>
      <c r="V182" s="176"/>
      <c r="W182" s="176"/>
      <c r="X182" s="176"/>
      <c r="Y182" s="10"/>
      <c r="AM182" s="5"/>
      <c r="AN182" s="5"/>
      <c r="AO182" s="5"/>
      <c r="AP182" s="5"/>
      <c r="AQ182" s="5"/>
      <c r="AR182" s="5"/>
      <c r="AS182" s="5"/>
      <c r="AT182" s="5"/>
      <c r="AU182" s="5"/>
      <c r="AV182" s="5"/>
      <c r="AW182" s="5"/>
      <c r="AX182" s="5"/>
      <c r="AY182" s="5"/>
      <c r="AZ182" s="5"/>
      <c r="BA182" s="5"/>
      <c r="BB182" s="5"/>
      <c r="BC182" s="5"/>
      <c r="BD182" s="5"/>
      <c r="BE182" s="5"/>
      <c r="BF182" s="5"/>
      <c r="BG182" s="4">
        <v>176</v>
      </c>
      <c r="BH182"/>
      <c r="BI182"/>
      <c r="BJ182"/>
      <c r="BK182"/>
      <c r="BL182"/>
      <c r="BM182"/>
    </row>
    <row r="183" spans="1:65" s="3" customFormat="1" ht="11.25" outlineLevel="1">
      <c r="A183" s="6" t="s">
        <v>0</v>
      </c>
      <c r="B183" s="179" t="s">
        <v>223</v>
      </c>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4">
        <v>177</v>
      </c>
      <c r="BH183"/>
      <c r="BI183"/>
      <c r="BJ183"/>
      <c r="BK183"/>
      <c r="BL183"/>
      <c r="BM183"/>
    </row>
    <row r="184" spans="1:65" s="3" customFormat="1" ht="11.25" outlineLevel="1">
      <c r="A184" s="6"/>
      <c r="B184" s="5" t="s">
        <v>222</v>
      </c>
      <c r="C184" s="200">
        <v>1918</v>
      </c>
      <c r="D184" s="200">
        <v>2228</v>
      </c>
      <c r="E184" s="200">
        <v>2296</v>
      </c>
      <c r="F184" s="178">
        <v>2375</v>
      </c>
      <c r="G184" s="178">
        <v>2462</v>
      </c>
      <c r="H184" s="181">
        <f t="shared" ref="H184:N184" si="281">SUMIF($P$4:$AZ$4,H$4,$P184:$AZ184)</f>
        <v>2425.7559999999999</v>
      </c>
      <c r="I184" s="181">
        <f t="shared" si="281"/>
        <v>2297.7159999999999</v>
      </c>
      <c r="J184" s="181">
        <f t="shared" si="281"/>
        <v>2503.6530000000002</v>
      </c>
      <c r="K184" s="181">
        <f t="shared" si="281"/>
        <v>2478.4670000000001</v>
      </c>
      <c r="L184" s="181">
        <f t="shared" si="281"/>
        <v>8707.8531800000001</v>
      </c>
      <c r="M184" s="181">
        <f t="shared" si="281"/>
        <v>15148</v>
      </c>
      <c r="N184" s="181">
        <f t="shared" si="281"/>
        <v>15148</v>
      </c>
      <c r="O184" s="5"/>
      <c r="P184" s="178"/>
      <c r="Q184" s="178"/>
      <c r="R184" s="178"/>
      <c r="S184" s="178"/>
      <c r="T184" s="199">
        <v>582</v>
      </c>
      <c r="U184" s="199">
        <f>1261-T184</f>
        <v>679</v>
      </c>
      <c r="V184" s="199">
        <v>632.04399999999998</v>
      </c>
      <c r="W184" s="199">
        <v>568.65</v>
      </c>
      <c r="X184" s="199">
        <v>552.56700000000001</v>
      </c>
      <c r="Y184" s="199">
        <v>640.88800000000003</v>
      </c>
      <c r="Z184" s="199">
        <v>638.27</v>
      </c>
      <c r="AA184" s="199">
        <v>594.03099999999995</v>
      </c>
      <c r="AB184" s="199">
        <v>530.76800000000003</v>
      </c>
      <c r="AC184" s="199">
        <v>641.48199999999997</v>
      </c>
      <c r="AD184" s="199">
        <v>569.971</v>
      </c>
      <c r="AE184" s="199">
        <v>555.495</v>
      </c>
      <c r="AF184" s="199">
        <v>587.178</v>
      </c>
      <c r="AG184" s="199">
        <v>661.24400000000003</v>
      </c>
      <c r="AH184" s="199">
        <v>668.33299999999997</v>
      </c>
      <c r="AI184" s="199">
        <v>586.89800000000002</v>
      </c>
      <c r="AJ184" s="199">
        <v>595.37800000000004</v>
      </c>
      <c r="AK184" s="199">
        <v>686.83100000000002</v>
      </c>
      <c r="AL184" s="199">
        <v>614.73800000000006</v>
      </c>
      <c r="AM184" s="199">
        <v>581.52</v>
      </c>
      <c r="AN184" s="198">
        <f>+AJ184*1.02</f>
        <v>607.28556000000003</v>
      </c>
      <c r="AO184" s="198">
        <f>+AK184*1.02</f>
        <v>700.56762000000003</v>
      </c>
      <c r="AP184" s="372">
        <v>3800</v>
      </c>
      <c r="AQ184" s="198">
        <v>3600</v>
      </c>
      <c r="AR184" s="198">
        <v>3600</v>
      </c>
      <c r="AS184" s="198">
        <v>4000</v>
      </c>
      <c r="AT184" s="198">
        <f>+AP184*1.02</f>
        <v>3876</v>
      </c>
      <c r="AU184" s="198">
        <f>+AQ184*1.02</f>
        <v>3672</v>
      </c>
      <c r="AV184" s="198">
        <f>+AR184</f>
        <v>3600</v>
      </c>
      <c r="AW184" s="198">
        <f>+AS184</f>
        <v>4000</v>
      </c>
      <c r="AX184" s="198">
        <f>+AT184</f>
        <v>3876</v>
      </c>
      <c r="AY184" s="198">
        <f>+AU184</f>
        <v>3672</v>
      </c>
      <c r="AZ184" s="5"/>
      <c r="BA184" s="5"/>
      <c r="BB184" s="5"/>
      <c r="BC184" s="5"/>
      <c r="BD184" s="5"/>
      <c r="BE184" s="5"/>
      <c r="BF184" s="5"/>
      <c r="BG184" s="4">
        <v>178</v>
      </c>
      <c r="BH184"/>
      <c r="BI184"/>
      <c r="BJ184"/>
      <c r="BK184"/>
      <c r="BL184"/>
      <c r="BM184"/>
    </row>
    <row r="185" spans="1:65" s="3" customFormat="1" ht="11.25" outlineLevel="1">
      <c r="A185" s="6"/>
      <c r="B185" s="5" t="s">
        <v>211</v>
      </c>
      <c r="C185" s="181">
        <f t="shared" ref="C185:N185" si="282">C12/C184*1000</f>
        <v>38.122002085505727</v>
      </c>
      <c r="D185" s="85">
        <f t="shared" si="282"/>
        <v>39.035906642728897</v>
      </c>
      <c r="E185" s="85">
        <f t="shared" si="282"/>
        <v>44.37848432055749</v>
      </c>
      <c r="F185" s="85">
        <f t="shared" si="282"/>
        <v>53.61642105263158</v>
      </c>
      <c r="G185" s="193">
        <f t="shared" si="282"/>
        <v>53.685621445978882</v>
      </c>
      <c r="H185" s="193">
        <f t="shared" si="282"/>
        <v>51.211218275869463</v>
      </c>
      <c r="I185" s="193">
        <f t="shared" si="282"/>
        <v>51.627790379663978</v>
      </c>
      <c r="J185" s="193">
        <f t="shared" si="282"/>
        <v>47.478224817896084</v>
      </c>
      <c r="K185" s="193">
        <f t="shared" si="282"/>
        <v>50.452961447539948</v>
      </c>
      <c r="L185" s="193">
        <f t="shared" si="282"/>
        <v>44.114639332952102</v>
      </c>
      <c r="M185" s="193">
        <f t="shared" si="282"/>
        <v>43.723126485344601</v>
      </c>
      <c r="N185" s="193">
        <f t="shared" si="282"/>
        <v>44.597589015051497</v>
      </c>
      <c r="O185" s="72"/>
      <c r="P185" s="193"/>
      <c r="Q185" s="193"/>
      <c r="R185" s="193"/>
      <c r="S185" s="193"/>
      <c r="T185" s="193">
        <f>T12*1000/T184</f>
        <v>56.176975945017183</v>
      </c>
      <c r="U185" s="193">
        <f>U12*1000/U184</f>
        <v>54.874815905743738</v>
      </c>
      <c r="V185" s="193">
        <f>V12*1000/V184</f>
        <v>52.98839954180405</v>
      </c>
      <c r="W185" s="193">
        <f>W12*1000/W184</f>
        <v>50.519651806911106</v>
      </c>
      <c r="X185" s="197">
        <v>51.45612025329055</v>
      </c>
      <c r="Y185" s="197">
        <v>52.436494364069851</v>
      </c>
      <c r="Z185" s="196">
        <f t="shared" ref="Z185:AM185" si="283">Z12*1000/Z184</f>
        <v>51.407711470067525</v>
      </c>
      <c r="AA185" s="196">
        <f t="shared" si="283"/>
        <v>49.451964628108641</v>
      </c>
      <c r="AB185" s="196">
        <f t="shared" si="283"/>
        <v>53.923748228981395</v>
      </c>
      <c r="AC185" s="196">
        <f t="shared" si="283"/>
        <v>51.713064435167318</v>
      </c>
      <c r="AD185" s="196">
        <f t="shared" si="283"/>
        <v>51.521919536257109</v>
      </c>
      <c r="AE185" s="196">
        <f t="shared" si="283"/>
        <v>49.444189416646417</v>
      </c>
      <c r="AF185" s="196">
        <f t="shared" si="283"/>
        <v>47.677194990275524</v>
      </c>
      <c r="AG185" s="196">
        <f t="shared" si="283"/>
        <v>48.615942072820317</v>
      </c>
      <c r="AH185" s="196">
        <f t="shared" si="283"/>
        <v>47.334188196602597</v>
      </c>
      <c r="AI185" s="196">
        <f t="shared" si="283"/>
        <v>46.161343197625477</v>
      </c>
      <c r="AJ185" s="196">
        <f t="shared" si="283"/>
        <v>53.058729076317896</v>
      </c>
      <c r="AK185" s="196">
        <f t="shared" si="283"/>
        <v>50.105484464154934</v>
      </c>
      <c r="AL185" s="196">
        <f t="shared" si="283"/>
        <v>49.287664012961613</v>
      </c>
      <c r="AM185" s="196">
        <f t="shared" si="283"/>
        <v>49.427362773421379</v>
      </c>
      <c r="AN185" s="195">
        <f>+AJ185*1.03</f>
        <v>54.650490948607434</v>
      </c>
      <c r="AO185" s="195">
        <f>+AK185*1.03</f>
        <v>51.60864899807958</v>
      </c>
      <c r="AP185" s="403">
        <v>44</v>
      </c>
      <c r="AQ185" s="195">
        <v>41</v>
      </c>
      <c r="AR185" s="195">
        <v>43</v>
      </c>
      <c r="AS185" s="195">
        <v>45</v>
      </c>
      <c r="AT185" s="195">
        <f>+AP185*1.02</f>
        <v>44.88</v>
      </c>
      <c r="AU185" s="195">
        <f>+AQ185*1.02</f>
        <v>41.82</v>
      </c>
      <c r="AV185" s="195">
        <f>+AR185*1.02</f>
        <v>43.86</v>
      </c>
      <c r="AW185" s="195">
        <f>+AS185*1.02</f>
        <v>45.9</v>
      </c>
      <c r="AX185" s="195">
        <f>+AT185*1.02</f>
        <v>45.777600000000007</v>
      </c>
      <c r="AY185" s="195">
        <f>+AU185*1.02</f>
        <v>42.656399999999998</v>
      </c>
      <c r="AZ185" s="5"/>
      <c r="BA185" s="5"/>
      <c r="BB185" s="5"/>
      <c r="BC185" s="5"/>
      <c r="BD185" s="5"/>
      <c r="BE185" s="5"/>
      <c r="BF185" s="5"/>
      <c r="BG185" s="4">
        <v>179</v>
      </c>
      <c r="BH185"/>
      <c r="BI185"/>
      <c r="BJ185"/>
      <c r="BK185"/>
      <c r="BL185"/>
      <c r="BM185"/>
    </row>
    <row r="186" spans="1:65" s="3" customFormat="1" ht="11.25" outlineLevel="1">
      <c r="A186" s="6"/>
      <c r="B186" s="5" t="s">
        <v>210</v>
      </c>
      <c r="C186" s="181"/>
      <c r="D186" s="85">
        <f t="shared" ref="D186:N186" si="284">(D12-D17)/D184*1000</f>
        <v>29.653500897666067</v>
      </c>
      <c r="E186" s="85">
        <f t="shared" si="284"/>
        <v>31.685975609756099</v>
      </c>
      <c r="F186" s="85">
        <f t="shared" si="284"/>
        <v>37.685052631578948</v>
      </c>
      <c r="G186" s="193">
        <f t="shared" si="284"/>
        <v>39.564987814784729</v>
      </c>
      <c r="H186" s="193">
        <f t="shared" si="284"/>
        <v>36.850665936722415</v>
      </c>
      <c r="I186" s="193">
        <f t="shared" si="284"/>
        <v>34.756688816198356</v>
      </c>
      <c r="J186" s="193">
        <f t="shared" si="284"/>
        <v>29.105471085649647</v>
      </c>
      <c r="K186" s="193">
        <f t="shared" si="284"/>
        <v>27.860366912288921</v>
      </c>
      <c r="L186" s="193">
        <f t="shared" si="284"/>
        <v>25.685341332316771</v>
      </c>
      <c r="M186" s="193">
        <f t="shared" si="284"/>
        <v>25.249141800897803</v>
      </c>
      <c r="N186" s="193">
        <f t="shared" si="284"/>
        <v>25.754124636915765</v>
      </c>
      <c r="O186" s="72"/>
      <c r="P186" s="193"/>
      <c r="Q186" s="193"/>
      <c r="R186" s="193"/>
      <c r="S186" s="193"/>
      <c r="T186" s="193">
        <f>((T12-T17)/T184)*1000</f>
        <v>43.676975945017183</v>
      </c>
      <c r="U186" s="193">
        <f>((U12-U17)/U184)*1000</f>
        <v>40.549337260677468</v>
      </c>
      <c r="V186" s="193">
        <f>((V12-V17)/V184)*1000</f>
        <v>37.030649764889787</v>
      </c>
      <c r="W186" s="193">
        <f>((W12-W17)/W184)*1000</f>
        <v>37.01925613294646</v>
      </c>
      <c r="X186" s="193">
        <f>((X12-X17)/X184)*1000</f>
        <v>40.080207468053644</v>
      </c>
      <c r="Y186" s="193">
        <f t="shared" ref="Y186:AO186" si="285">Y185-Y187</f>
        <v>35.409812634968972</v>
      </c>
      <c r="Z186" s="193">
        <f t="shared" si="285"/>
        <v>35.663590643458093</v>
      </c>
      <c r="AA186" s="193">
        <f t="shared" si="285"/>
        <v>36.676537083081527</v>
      </c>
      <c r="AB186" s="193">
        <f t="shared" si="285"/>
        <v>40.592123112169531</v>
      </c>
      <c r="AC186" s="193">
        <f t="shared" si="285"/>
        <v>34.253494252371851</v>
      </c>
      <c r="AD186" s="193">
        <f t="shared" si="285"/>
        <v>32.17005777486925</v>
      </c>
      <c r="AE186" s="193">
        <f t="shared" si="285"/>
        <v>32.416133358536086</v>
      </c>
      <c r="AF186" s="193">
        <f t="shared" si="285"/>
        <v>32.611916659002894</v>
      </c>
      <c r="AG186" s="193">
        <f t="shared" si="285"/>
        <v>29.854335162209409</v>
      </c>
      <c r="AH186" s="193">
        <f t="shared" si="285"/>
        <v>27.065848910647841</v>
      </c>
      <c r="AI186" s="193">
        <f t="shared" si="285"/>
        <v>27.076255158477277</v>
      </c>
      <c r="AJ186" s="193">
        <f t="shared" si="285"/>
        <v>30.409252609266712</v>
      </c>
      <c r="AK186" s="193">
        <f t="shared" si="285"/>
        <v>27.222125966940919</v>
      </c>
      <c r="AL186" s="193">
        <f t="shared" si="285"/>
        <v>25.916732006155463</v>
      </c>
      <c r="AM186" s="193">
        <f t="shared" ref="AM186" si="286">AM185-AM187</f>
        <v>28.059224102352456</v>
      </c>
      <c r="AN186" s="193">
        <f t="shared" si="285"/>
        <v>31.321530187544713</v>
      </c>
      <c r="AO186" s="193">
        <f t="shared" si="285"/>
        <v>28.038789745949146</v>
      </c>
      <c r="AP186" s="404">
        <v>25</v>
      </c>
      <c r="AQ186" s="194">
        <v>25</v>
      </c>
      <c r="AR186" s="194">
        <v>25</v>
      </c>
      <c r="AS186" s="194">
        <v>25</v>
      </c>
      <c r="AT186" s="193">
        <f t="shared" ref="AT186:AY186" si="287">AT185-AT187</f>
        <v>25.500000000000004</v>
      </c>
      <c r="AU186" s="193">
        <f t="shared" si="287"/>
        <v>25.5</v>
      </c>
      <c r="AV186" s="193">
        <f t="shared" si="287"/>
        <v>25.5</v>
      </c>
      <c r="AW186" s="193">
        <f t="shared" si="287"/>
        <v>25.5</v>
      </c>
      <c r="AX186" s="193">
        <f t="shared" si="287"/>
        <v>26.010000000000009</v>
      </c>
      <c r="AY186" s="193">
        <f t="shared" si="287"/>
        <v>26.009999999999998</v>
      </c>
      <c r="AZ186" s="5"/>
      <c r="BA186" s="5"/>
      <c r="BB186" s="5"/>
      <c r="BC186" s="5"/>
      <c r="BD186" s="5"/>
      <c r="BE186" s="5"/>
      <c r="BF186" s="5"/>
      <c r="BG186" s="4">
        <v>180</v>
      </c>
      <c r="BH186"/>
      <c r="BI186"/>
      <c r="BJ186"/>
      <c r="BK186"/>
      <c r="BL186"/>
      <c r="BM186"/>
    </row>
    <row r="187" spans="1:65" s="3" customFormat="1" ht="11.25" outlineLevel="1">
      <c r="A187" s="6"/>
      <c r="B187" s="192" t="s">
        <v>221</v>
      </c>
      <c r="C187" s="191"/>
      <c r="D187" s="190">
        <f t="shared" ref="D187:N187" si="288">D185-D186</f>
        <v>9.3824057450628295</v>
      </c>
      <c r="E187" s="190">
        <f t="shared" si="288"/>
        <v>12.692508710801391</v>
      </c>
      <c r="F187" s="190">
        <f t="shared" si="288"/>
        <v>15.931368421052632</v>
      </c>
      <c r="G187" s="189">
        <f t="shared" si="288"/>
        <v>14.120633631194153</v>
      </c>
      <c r="H187" s="189">
        <f t="shared" si="288"/>
        <v>14.360552339147048</v>
      </c>
      <c r="I187" s="189">
        <f t="shared" si="288"/>
        <v>16.871101563465622</v>
      </c>
      <c r="J187" s="189">
        <f t="shared" si="288"/>
        <v>18.372753732246437</v>
      </c>
      <c r="K187" s="189">
        <f t="shared" si="288"/>
        <v>22.592594535251028</v>
      </c>
      <c r="L187" s="189">
        <f t="shared" si="288"/>
        <v>18.429298000635331</v>
      </c>
      <c r="M187" s="189">
        <f t="shared" si="288"/>
        <v>18.473984684446798</v>
      </c>
      <c r="N187" s="189">
        <f t="shared" si="288"/>
        <v>18.843464378135732</v>
      </c>
      <c r="O187" s="186"/>
      <c r="P187" s="189"/>
      <c r="Q187" s="189"/>
      <c r="R187" s="189"/>
      <c r="S187" s="189"/>
      <c r="T187" s="189">
        <f>T185-T186</f>
        <v>12.5</v>
      </c>
      <c r="U187" s="189">
        <f>U185-U186</f>
        <v>14.325478645066269</v>
      </c>
      <c r="V187" s="189">
        <f>V185-V186</f>
        <v>15.957749776914262</v>
      </c>
      <c r="W187" s="189">
        <f>W185-W186</f>
        <v>13.500395673964647</v>
      </c>
      <c r="X187" s="188">
        <v>11.582968219238571</v>
      </c>
      <c r="Y187" s="188">
        <v>17.026681729100876</v>
      </c>
      <c r="Z187" s="187">
        <f t="shared" ref="Z187:AL187" si="289">Z17*1000/Z184</f>
        <v>15.744120826609429</v>
      </c>
      <c r="AA187" s="187">
        <f t="shared" si="289"/>
        <v>12.775427545027112</v>
      </c>
      <c r="AB187" s="187">
        <f t="shared" si="289"/>
        <v>13.331625116811864</v>
      </c>
      <c r="AC187" s="187">
        <f t="shared" si="289"/>
        <v>17.459570182795463</v>
      </c>
      <c r="AD187" s="187">
        <f t="shared" si="289"/>
        <v>19.351861761387859</v>
      </c>
      <c r="AE187" s="187">
        <f t="shared" si="289"/>
        <v>17.028056058110334</v>
      </c>
      <c r="AF187" s="187">
        <f t="shared" si="289"/>
        <v>15.06527833127263</v>
      </c>
      <c r="AG187" s="187">
        <f t="shared" si="289"/>
        <v>18.761606910610908</v>
      </c>
      <c r="AH187" s="187">
        <f t="shared" si="289"/>
        <v>20.268339285954756</v>
      </c>
      <c r="AI187" s="187">
        <f t="shared" si="289"/>
        <v>19.0850880391482</v>
      </c>
      <c r="AJ187" s="187">
        <f t="shared" si="289"/>
        <v>22.649476467051183</v>
      </c>
      <c r="AK187" s="187">
        <f t="shared" si="289"/>
        <v>22.883358497214015</v>
      </c>
      <c r="AL187" s="187">
        <f t="shared" si="289"/>
        <v>23.37093200680615</v>
      </c>
      <c r="AM187" s="187">
        <f t="shared" ref="AM187" si="290">AM17*1000/AM184</f>
        <v>21.368138671068923</v>
      </c>
      <c r="AN187" s="185">
        <f>+AJ187*1.03</f>
        <v>23.328960761062721</v>
      </c>
      <c r="AO187" s="406">
        <f>+AK187*1.03</f>
        <v>23.569859252130435</v>
      </c>
      <c r="AP187" s="405">
        <f>+AP185-AP186</f>
        <v>19</v>
      </c>
      <c r="AQ187" s="186">
        <f>+AQ185-AQ186</f>
        <v>16</v>
      </c>
      <c r="AR187" s="186">
        <f>+AR185-AR186</f>
        <v>18</v>
      </c>
      <c r="AS187" s="186">
        <f>+AS185-AS186</f>
        <v>20</v>
      </c>
      <c r="AT187" s="185">
        <f t="shared" ref="AT187:AY187" si="291">+AP187*1.02</f>
        <v>19.38</v>
      </c>
      <c r="AU187" s="185">
        <f t="shared" si="291"/>
        <v>16.32</v>
      </c>
      <c r="AV187" s="185">
        <f t="shared" si="291"/>
        <v>18.36</v>
      </c>
      <c r="AW187" s="185">
        <f t="shared" si="291"/>
        <v>20.399999999999999</v>
      </c>
      <c r="AX187" s="185">
        <f t="shared" si="291"/>
        <v>19.767599999999998</v>
      </c>
      <c r="AY187" s="185">
        <f t="shared" si="291"/>
        <v>16.6464</v>
      </c>
      <c r="AZ187" s="5"/>
      <c r="BA187" s="5"/>
      <c r="BB187" s="5"/>
      <c r="BC187" s="5"/>
      <c r="BD187" s="5"/>
      <c r="BE187" s="5"/>
      <c r="BF187" s="5"/>
      <c r="BG187" s="4">
        <v>181</v>
      </c>
      <c r="BH187"/>
      <c r="BI187"/>
      <c r="BJ187"/>
      <c r="BK187"/>
      <c r="BL187"/>
      <c r="BM187"/>
    </row>
    <row r="188" spans="1:65" s="3" customFormat="1" ht="11.25" outlineLevel="1">
      <c r="A188" s="6"/>
      <c r="B188" s="56"/>
      <c r="C188" s="176"/>
      <c r="D188" s="176"/>
      <c r="E188" s="176"/>
      <c r="F188" s="181"/>
      <c r="G188" s="181"/>
      <c r="H188" s="181"/>
      <c r="I188" s="181"/>
      <c r="J188" s="181"/>
      <c r="K188" s="181"/>
      <c r="L188" s="181"/>
      <c r="M188" s="181"/>
      <c r="N188" s="181"/>
      <c r="O188" s="182"/>
      <c r="P188" s="181"/>
      <c r="Q188" s="181"/>
      <c r="R188" s="181"/>
      <c r="S188" s="181"/>
      <c r="T188" s="181"/>
      <c r="U188" s="181"/>
      <c r="V188" s="181"/>
      <c r="W188" s="181"/>
      <c r="X188" s="180"/>
      <c r="Y188" s="180"/>
      <c r="Z188" s="180"/>
      <c r="AA188" s="180"/>
      <c r="AB188" s="180"/>
      <c r="AC188" s="180"/>
      <c r="AD188" s="180"/>
      <c r="AE188" s="180"/>
      <c r="AF188" s="180"/>
      <c r="AG188" s="180"/>
      <c r="AH188" s="180"/>
      <c r="AI188" s="180"/>
      <c r="AJ188" s="180"/>
      <c r="AK188" s="180"/>
      <c r="AL188" s="180"/>
      <c r="AM188" s="180"/>
      <c r="AN188" s="5"/>
      <c r="AO188" s="5"/>
      <c r="AP188" s="5"/>
      <c r="AQ188" s="5"/>
      <c r="AR188" s="5"/>
      <c r="AS188" s="5"/>
      <c r="AT188" s="5"/>
      <c r="AU188" s="5"/>
      <c r="AV188" s="5"/>
      <c r="AW188" s="5"/>
      <c r="AX188" s="5"/>
      <c r="AY188" s="5"/>
      <c r="AZ188" s="5"/>
      <c r="BA188" s="5"/>
      <c r="BB188" s="5"/>
      <c r="BC188" s="5"/>
      <c r="BD188" s="5"/>
      <c r="BE188" s="5"/>
      <c r="BF188" s="5"/>
      <c r="BG188" s="4">
        <v>182</v>
      </c>
      <c r="BH188"/>
      <c r="BI188"/>
      <c r="BJ188"/>
      <c r="BK188"/>
      <c r="BL188"/>
      <c r="BM188"/>
    </row>
    <row r="189" spans="1:65" s="3" customFormat="1" ht="11.25" outlineLevel="1">
      <c r="A189" s="6"/>
      <c r="B189" s="68" t="s">
        <v>220</v>
      </c>
      <c r="C189" s="183">
        <v>3500</v>
      </c>
      <c r="D189" s="183">
        <v>3500</v>
      </c>
      <c r="E189" s="183">
        <v>3500</v>
      </c>
      <c r="F189" s="183">
        <v>3500</v>
      </c>
      <c r="G189" s="183">
        <v>3500</v>
      </c>
      <c r="H189" s="183">
        <v>3500</v>
      </c>
      <c r="I189" s="183">
        <v>3500</v>
      </c>
      <c r="J189" s="184">
        <f>AVERAGEIF($P$4:$AZ$4,J$4,$P189:$AZ189)</f>
        <v>3500</v>
      </c>
      <c r="K189" s="184">
        <f>AVERAGEIF($P$4:$AZ$4,K$4,$P189:$AZ189)</f>
        <v>3500</v>
      </c>
      <c r="L189" s="184">
        <f>AVERAGEIF($P$4:$AZ$4,L$4,$P189:$AZ189)</f>
        <v>11000</v>
      </c>
      <c r="M189" s="184">
        <f>AVERAGEIF($P$4:$AZ$4,M$4,$P189:$AZ189)</f>
        <v>18500</v>
      </c>
      <c r="N189" s="184">
        <f>AVERAGEIF($P$4:$AZ$4,N$4,$P189:$AZ189)</f>
        <v>18500</v>
      </c>
      <c r="O189" s="182"/>
      <c r="P189" s="181"/>
      <c r="Q189" s="181"/>
      <c r="R189" s="181"/>
      <c r="S189" s="181"/>
      <c r="T189" s="183">
        <v>3500</v>
      </c>
      <c r="U189" s="183">
        <v>3500</v>
      </c>
      <c r="V189" s="183">
        <v>3500</v>
      </c>
      <c r="W189" s="183">
        <v>3500</v>
      </c>
      <c r="X189" s="183">
        <v>3500</v>
      </c>
      <c r="Y189" s="183">
        <v>3500</v>
      </c>
      <c r="Z189" s="183">
        <v>3500</v>
      </c>
      <c r="AA189" s="183">
        <v>3500</v>
      </c>
      <c r="AB189" s="183">
        <v>3500</v>
      </c>
      <c r="AC189" s="183">
        <v>3500</v>
      </c>
      <c r="AD189" s="183">
        <v>3500</v>
      </c>
      <c r="AE189" s="183">
        <v>3500</v>
      </c>
      <c r="AF189" s="183">
        <v>3500</v>
      </c>
      <c r="AG189" s="183">
        <v>3500</v>
      </c>
      <c r="AH189" s="183">
        <v>3500</v>
      </c>
      <c r="AI189" s="183">
        <v>3500</v>
      </c>
      <c r="AJ189" s="183">
        <v>3500</v>
      </c>
      <c r="AK189" s="183">
        <v>3500</v>
      </c>
      <c r="AL189" s="183">
        <v>3500</v>
      </c>
      <c r="AM189" s="183">
        <v>3500</v>
      </c>
      <c r="AN189" s="183">
        <v>3500</v>
      </c>
      <c r="AO189" s="183">
        <v>3500</v>
      </c>
      <c r="AP189" s="183">
        <f>+AO189+15000</f>
        <v>18500</v>
      </c>
      <c r="AQ189" s="183">
        <f t="shared" ref="AQ189:AY189" si="292">AP189</f>
        <v>18500</v>
      </c>
      <c r="AR189" s="183">
        <f t="shared" si="292"/>
        <v>18500</v>
      </c>
      <c r="AS189" s="183">
        <f t="shared" si="292"/>
        <v>18500</v>
      </c>
      <c r="AT189" s="183">
        <f t="shared" si="292"/>
        <v>18500</v>
      </c>
      <c r="AU189" s="183">
        <f t="shared" si="292"/>
        <v>18500</v>
      </c>
      <c r="AV189" s="183">
        <f t="shared" si="292"/>
        <v>18500</v>
      </c>
      <c r="AW189" s="183">
        <f t="shared" si="292"/>
        <v>18500</v>
      </c>
      <c r="AX189" s="183">
        <f t="shared" si="292"/>
        <v>18500</v>
      </c>
      <c r="AY189" s="183">
        <f t="shared" si="292"/>
        <v>18500</v>
      </c>
      <c r="AZ189" s="5"/>
      <c r="BA189" s="5"/>
      <c r="BB189" s="5"/>
      <c r="BC189" s="5"/>
      <c r="BD189" s="5"/>
      <c r="BE189" s="5"/>
      <c r="BF189" s="5"/>
      <c r="BG189" s="4">
        <v>183</v>
      </c>
      <c r="BH189"/>
      <c r="BI189"/>
      <c r="BJ189"/>
      <c r="BK189"/>
      <c r="BL189"/>
      <c r="BM189"/>
    </row>
    <row r="190" spans="1:65" s="3" customFormat="1" ht="11.25" outlineLevel="1">
      <c r="A190" s="6"/>
      <c r="B190" s="68" t="s">
        <v>219</v>
      </c>
      <c r="C190" s="14">
        <f t="shared" ref="C190:N190" si="293">+C184/C189</f>
        <v>0.54800000000000004</v>
      </c>
      <c r="D190" s="14">
        <f t="shared" si="293"/>
        <v>0.63657142857142857</v>
      </c>
      <c r="E190" s="14">
        <f t="shared" si="293"/>
        <v>0.65600000000000003</v>
      </c>
      <c r="F190" s="14">
        <f t="shared" si="293"/>
        <v>0.6785714285714286</v>
      </c>
      <c r="G190" s="14">
        <f t="shared" si="293"/>
        <v>0.7034285714285714</v>
      </c>
      <c r="H190" s="14">
        <f t="shared" si="293"/>
        <v>0.69307314285714283</v>
      </c>
      <c r="I190" s="14">
        <f t="shared" si="293"/>
        <v>0.65649028571428569</v>
      </c>
      <c r="J190" s="14">
        <f t="shared" si="293"/>
        <v>0.71532942857142867</v>
      </c>
      <c r="K190" s="14">
        <f t="shared" si="293"/>
        <v>0.70813342857142858</v>
      </c>
      <c r="L190" s="14">
        <f t="shared" si="293"/>
        <v>0.79162301636363641</v>
      </c>
      <c r="M190" s="14">
        <f t="shared" si="293"/>
        <v>0.81881081081081086</v>
      </c>
      <c r="N190" s="14">
        <f t="shared" si="293"/>
        <v>0.81881081081081086</v>
      </c>
      <c r="O190" s="182"/>
      <c r="P190" s="181"/>
      <c r="Q190" s="181"/>
      <c r="R190" s="181"/>
      <c r="S190" s="181"/>
      <c r="T190" s="14">
        <f t="shared" ref="T190:AY190" si="294">+T184*4/T189</f>
        <v>0.66514285714285715</v>
      </c>
      <c r="U190" s="14">
        <f t="shared" si="294"/>
        <v>0.77600000000000002</v>
      </c>
      <c r="V190" s="14">
        <f t="shared" si="294"/>
        <v>0.72233599999999998</v>
      </c>
      <c r="W190" s="14">
        <f t="shared" si="294"/>
        <v>0.64988571428571429</v>
      </c>
      <c r="X190" s="14">
        <f t="shared" si="294"/>
        <v>0.63150514285714288</v>
      </c>
      <c r="Y190" s="14">
        <f t="shared" si="294"/>
        <v>0.73244342857142863</v>
      </c>
      <c r="Z190" s="14">
        <f t="shared" si="294"/>
        <v>0.72945142857142853</v>
      </c>
      <c r="AA190" s="14">
        <f t="shared" si="294"/>
        <v>0.6788925714285714</v>
      </c>
      <c r="AB190" s="14">
        <f t="shared" si="294"/>
        <v>0.60659200000000002</v>
      </c>
      <c r="AC190" s="14">
        <f t="shared" si="294"/>
        <v>0.73312228571428573</v>
      </c>
      <c r="AD190" s="14">
        <f t="shared" si="294"/>
        <v>0.65139542857142863</v>
      </c>
      <c r="AE190" s="14">
        <f t="shared" si="294"/>
        <v>0.63485142857142862</v>
      </c>
      <c r="AF190" s="14">
        <f t="shared" si="294"/>
        <v>0.67106057142857145</v>
      </c>
      <c r="AG190" s="14">
        <f t="shared" si="294"/>
        <v>0.75570742857142859</v>
      </c>
      <c r="AH190" s="14">
        <f t="shared" si="294"/>
        <v>0.76380914285714285</v>
      </c>
      <c r="AI190" s="14">
        <f t="shared" si="294"/>
        <v>0.67074057142857146</v>
      </c>
      <c r="AJ190" s="14">
        <f t="shared" si="294"/>
        <v>0.68043200000000004</v>
      </c>
      <c r="AK190" s="14">
        <f t="shared" si="294"/>
        <v>0.78494971428571425</v>
      </c>
      <c r="AL190" s="14">
        <f t="shared" si="294"/>
        <v>0.70255771428571434</v>
      </c>
      <c r="AM190" s="14">
        <f t="shared" si="294"/>
        <v>0.66459428571428569</v>
      </c>
      <c r="AN190" s="14">
        <f t="shared" si="294"/>
        <v>0.69404063999999999</v>
      </c>
      <c r="AO190" s="14">
        <f t="shared" si="294"/>
        <v>0.80064870857142856</v>
      </c>
      <c r="AP190" s="14">
        <f t="shared" si="294"/>
        <v>0.82162162162162167</v>
      </c>
      <c r="AQ190" s="14">
        <f t="shared" si="294"/>
        <v>0.77837837837837842</v>
      </c>
      <c r="AR190" s="14">
        <f t="shared" si="294"/>
        <v>0.77837837837837842</v>
      </c>
      <c r="AS190" s="14">
        <f t="shared" si="294"/>
        <v>0.86486486486486491</v>
      </c>
      <c r="AT190" s="14">
        <f t="shared" si="294"/>
        <v>0.83805405405405409</v>
      </c>
      <c r="AU190" s="14">
        <f t="shared" si="294"/>
        <v>0.79394594594594592</v>
      </c>
      <c r="AV190" s="14">
        <f t="shared" si="294"/>
        <v>0.77837837837837842</v>
      </c>
      <c r="AW190" s="14">
        <f t="shared" si="294"/>
        <v>0.86486486486486491</v>
      </c>
      <c r="AX190" s="14">
        <f t="shared" si="294"/>
        <v>0.83805405405405409</v>
      </c>
      <c r="AY190" s="14">
        <f t="shared" si="294"/>
        <v>0.79394594594594592</v>
      </c>
      <c r="AZ190" s="5"/>
      <c r="BA190" s="5"/>
      <c r="BB190" s="5"/>
      <c r="BC190" s="5"/>
      <c r="BD190" s="5"/>
      <c r="BE190" s="5"/>
      <c r="BF190" s="5"/>
      <c r="BG190" s="4">
        <v>184</v>
      </c>
      <c r="BH190"/>
      <c r="BI190"/>
      <c r="BJ190"/>
      <c r="BK190"/>
      <c r="BL190"/>
      <c r="BM190"/>
    </row>
    <row r="191" spans="1:65" s="3" customFormat="1" ht="11.25" outlineLevel="1">
      <c r="A191" s="6"/>
      <c r="B191" s="56"/>
      <c r="C191" s="176"/>
      <c r="D191" s="176"/>
      <c r="E191" s="176"/>
      <c r="F191" s="181"/>
      <c r="G191" s="181"/>
      <c r="H191" s="181"/>
      <c r="I191" s="181"/>
      <c r="J191" s="181"/>
      <c r="K191" s="181"/>
      <c r="L191" s="181"/>
      <c r="M191" s="181"/>
      <c r="N191" s="181"/>
      <c r="O191" s="182"/>
      <c r="P191" s="181"/>
      <c r="Q191" s="181"/>
      <c r="R191" s="181"/>
      <c r="S191" s="181"/>
      <c r="T191" s="181"/>
      <c r="U191" s="181"/>
      <c r="V191" s="181"/>
      <c r="W191" s="181"/>
      <c r="X191" s="180"/>
      <c r="Y191" s="180"/>
      <c r="Z191" s="180"/>
      <c r="AA191" s="180"/>
      <c r="AB191" s="180"/>
      <c r="AC191" s="180"/>
      <c r="AD191" s="180"/>
      <c r="AE191" s="180"/>
      <c r="AF191" s="180"/>
      <c r="AG191" s="180"/>
      <c r="AH191" s="180"/>
      <c r="AI191" s="180"/>
      <c r="AJ191" s="180"/>
      <c r="AK191" s="180"/>
      <c r="AL191" s="180"/>
      <c r="AM191" s="180"/>
      <c r="AN191" s="5"/>
      <c r="AO191" s="5"/>
      <c r="AP191" s="5"/>
      <c r="AQ191" s="5"/>
      <c r="AR191" s="5"/>
      <c r="AS191" s="5"/>
      <c r="AT191" s="5"/>
      <c r="AU191" s="5"/>
      <c r="AV191" s="5"/>
      <c r="AW191" s="5"/>
      <c r="AX191" s="5"/>
      <c r="AY191" s="5"/>
      <c r="AZ191" s="5"/>
      <c r="BA191" s="5"/>
      <c r="BB191" s="5"/>
      <c r="BC191" s="5"/>
      <c r="BD191" s="5"/>
      <c r="BE191" s="5"/>
      <c r="BF191" s="5"/>
      <c r="BG191" s="4">
        <v>185</v>
      </c>
      <c r="BH191"/>
      <c r="BI191"/>
      <c r="BJ191"/>
      <c r="BK191"/>
      <c r="BL191"/>
      <c r="BM191"/>
    </row>
    <row r="192" spans="1:65" s="3" customFormat="1" ht="11.25" outlineLevel="1">
      <c r="A192" s="6"/>
      <c r="B192" s="34" t="s">
        <v>218</v>
      </c>
      <c r="C192" s="25"/>
      <c r="D192" s="25">
        <f t="shared" ref="D192:N192" si="295">D184/C184-1</f>
        <v>0.16162669447340972</v>
      </c>
      <c r="E192" s="25">
        <f t="shared" si="295"/>
        <v>3.0520646319569078E-2</v>
      </c>
      <c r="F192" s="25">
        <f t="shared" si="295"/>
        <v>3.4407665505226559E-2</v>
      </c>
      <c r="G192" s="25">
        <f t="shared" si="295"/>
        <v>3.6631578947368348E-2</v>
      </c>
      <c r="H192" s="25">
        <f t="shared" si="295"/>
        <v>-1.4721364744110566E-2</v>
      </c>
      <c r="I192" s="25">
        <f t="shared" si="295"/>
        <v>-5.2783544593932752E-2</v>
      </c>
      <c r="J192" s="25">
        <f t="shared" si="295"/>
        <v>8.9626829425394794E-2</v>
      </c>
      <c r="K192" s="25">
        <f t="shared" si="295"/>
        <v>-1.0059700765241875E-2</v>
      </c>
      <c r="L192" s="25">
        <f t="shared" si="295"/>
        <v>2.5134029139786809</v>
      </c>
      <c r="M192" s="25">
        <f t="shared" si="295"/>
        <v>0.73957916915636379</v>
      </c>
      <c r="N192" s="25">
        <f t="shared" si="295"/>
        <v>0</v>
      </c>
      <c r="O192" s="5"/>
      <c r="P192" s="25"/>
      <c r="Q192" s="25"/>
      <c r="R192" s="25"/>
      <c r="S192" s="25"/>
      <c r="T192" s="25"/>
      <c r="U192" s="25">
        <f t="shared" ref="U192:AY192" si="296">U184/T184-1</f>
        <v>0.16666666666666674</v>
      </c>
      <c r="V192" s="25">
        <f t="shared" si="296"/>
        <v>-6.915463917525777E-2</v>
      </c>
      <c r="W192" s="25">
        <f t="shared" si="296"/>
        <v>-0.10029997911537802</v>
      </c>
      <c r="X192" s="25">
        <f t="shared" si="296"/>
        <v>-2.8282774993405368E-2</v>
      </c>
      <c r="Y192" s="25">
        <f t="shared" si="296"/>
        <v>0.15983763054977951</v>
      </c>
      <c r="Z192" s="25">
        <f t="shared" si="296"/>
        <v>-4.0849571219933045E-3</v>
      </c>
      <c r="AA192" s="25">
        <f t="shared" si="296"/>
        <v>-6.9310793237971402E-2</v>
      </c>
      <c r="AB192" s="25">
        <f t="shared" si="296"/>
        <v>-0.10649780903690198</v>
      </c>
      <c r="AC192" s="25">
        <f t="shared" si="296"/>
        <v>0.20859207789467327</v>
      </c>
      <c r="AD192" s="25">
        <f t="shared" si="296"/>
        <v>-0.11147779672695413</v>
      </c>
      <c r="AE192" s="25">
        <f t="shared" si="296"/>
        <v>-2.5397783395997298E-2</v>
      </c>
      <c r="AF192" s="25">
        <f t="shared" si="296"/>
        <v>5.7035616882240125E-2</v>
      </c>
      <c r="AG192" s="25">
        <f t="shared" si="296"/>
        <v>0.12613892209858002</v>
      </c>
      <c r="AH192" s="25">
        <f t="shared" si="296"/>
        <v>1.0720702191626685E-2</v>
      </c>
      <c r="AI192" s="25">
        <f t="shared" si="296"/>
        <v>-0.12184794107129227</v>
      </c>
      <c r="AJ192" s="25">
        <f t="shared" si="296"/>
        <v>1.4448848011068494E-2</v>
      </c>
      <c r="AK192" s="25">
        <f t="shared" si="296"/>
        <v>0.1536049366956791</v>
      </c>
      <c r="AL192" s="25">
        <f t="shared" si="296"/>
        <v>-0.10496468563591332</v>
      </c>
      <c r="AM192" s="25">
        <f t="shared" si="296"/>
        <v>-5.4036028356795995E-2</v>
      </c>
      <c r="AN192" s="25">
        <f t="shared" si="296"/>
        <v>4.430726372265803E-2</v>
      </c>
      <c r="AO192" s="25">
        <f t="shared" si="296"/>
        <v>0.1536049366956791</v>
      </c>
      <c r="AP192" s="25">
        <f t="shared" si="296"/>
        <v>4.4241730441381231</v>
      </c>
      <c r="AQ192" s="25">
        <f t="shared" si="296"/>
        <v>-5.2631578947368474E-2</v>
      </c>
      <c r="AR192" s="25">
        <f t="shared" si="296"/>
        <v>0</v>
      </c>
      <c r="AS192" s="25">
        <f t="shared" si="296"/>
        <v>0.11111111111111116</v>
      </c>
      <c r="AT192" s="25">
        <f t="shared" si="296"/>
        <v>-3.1000000000000028E-2</v>
      </c>
      <c r="AU192" s="25">
        <f t="shared" si="296"/>
        <v>-5.2631578947368474E-2</v>
      </c>
      <c r="AV192" s="25">
        <f t="shared" si="296"/>
        <v>-1.9607843137254943E-2</v>
      </c>
      <c r="AW192" s="25">
        <f t="shared" si="296"/>
        <v>0.11111111111111116</v>
      </c>
      <c r="AX192" s="25">
        <f t="shared" si="296"/>
        <v>-3.1000000000000028E-2</v>
      </c>
      <c r="AY192" s="25">
        <f t="shared" si="296"/>
        <v>-5.2631578947368474E-2</v>
      </c>
      <c r="AZ192" s="5"/>
      <c r="BA192" s="5"/>
      <c r="BB192" s="5"/>
      <c r="BC192" s="5"/>
      <c r="BD192" s="5"/>
      <c r="BE192" s="5"/>
      <c r="BF192" s="5"/>
      <c r="BG192" s="4">
        <v>186</v>
      </c>
      <c r="BH192"/>
      <c r="BI192"/>
      <c r="BJ192"/>
      <c r="BK192"/>
      <c r="BL192"/>
      <c r="BM192"/>
    </row>
    <row r="193" spans="1:65" s="3" customFormat="1" ht="11.25" outlineLevel="1">
      <c r="A193" s="6"/>
      <c r="B193" s="34" t="s">
        <v>217</v>
      </c>
      <c r="C193" s="25"/>
      <c r="D193" s="25">
        <f t="shared" ref="D193:N193" si="297">D192</f>
        <v>0.16162669447340972</v>
      </c>
      <c r="E193" s="25">
        <f t="shared" si="297"/>
        <v>3.0520646319569078E-2</v>
      </c>
      <c r="F193" s="25">
        <f t="shared" si="297"/>
        <v>3.4407665505226559E-2</v>
      </c>
      <c r="G193" s="25">
        <f t="shared" si="297"/>
        <v>3.6631578947368348E-2</v>
      </c>
      <c r="H193" s="25">
        <f t="shared" si="297"/>
        <v>-1.4721364744110566E-2</v>
      </c>
      <c r="I193" s="25">
        <f t="shared" si="297"/>
        <v>-5.2783544593932752E-2</v>
      </c>
      <c r="J193" s="25">
        <f t="shared" si="297"/>
        <v>8.9626829425394794E-2</v>
      </c>
      <c r="K193" s="25">
        <f t="shared" si="297"/>
        <v>-1.0059700765241875E-2</v>
      </c>
      <c r="L193" s="25">
        <f t="shared" si="297"/>
        <v>2.5134029139786809</v>
      </c>
      <c r="M193" s="25">
        <f t="shared" si="297"/>
        <v>0.73957916915636379</v>
      </c>
      <c r="N193" s="25">
        <f t="shared" si="297"/>
        <v>0</v>
      </c>
      <c r="O193" s="5"/>
      <c r="P193" s="25"/>
      <c r="Q193" s="25"/>
      <c r="R193" s="25"/>
      <c r="S193" s="25"/>
      <c r="T193" s="25"/>
      <c r="U193" s="25"/>
      <c r="V193" s="25"/>
      <c r="W193" s="25"/>
      <c r="X193" s="25">
        <f t="shared" ref="X193:AG196" si="298">X184/T184-1</f>
        <v>-5.0572164948453624E-2</v>
      </c>
      <c r="Y193" s="25">
        <f t="shared" si="298"/>
        <v>-5.6129602356406405E-2</v>
      </c>
      <c r="Z193" s="25">
        <f t="shared" si="298"/>
        <v>9.8505800229098384E-3</v>
      </c>
      <c r="AA193" s="25">
        <f t="shared" si="298"/>
        <v>4.4633781763826486E-2</v>
      </c>
      <c r="AB193" s="25">
        <f t="shared" si="298"/>
        <v>-3.9450419587126917E-2</v>
      </c>
      <c r="AC193" s="25">
        <f t="shared" si="298"/>
        <v>9.2683901087231568E-4</v>
      </c>
      <c r="AD193" s="25">
        <f t="shared" si="298"/>
        <v>-0.10700643928118192</v>
      </c>
      <c r="AE193" s="25">
        <f t="shared" si="298"/>
        <v>-6.487203529782104E-2</v>
      </c>
      <c r="AF193" s="25">
        <f t="shared" si="298"/>
        <v>0.10627995659120359</v>
      </c>
      <c r="AG193" s="25">
        <f t="shared" si="298"/>
        <v>3.0806788031464638E-2</v>
      </c>
      <c r="AH193" s="25">
        <f t="shared" ref="AH193:AQ196" si="299">AH184/AD184-1</f>
        <v>0.17257369234575082</v>
      </c>
      <c r="AI193" s="25">
        <f t="shared" si="299"/>
        <v>5.6531561940251551E-2</v>
      </c>
      <c r="AJ193" s="25">
        <f t="shared" si="299"/>
        <v>1.3965100872308067E-2</v>
      </c>
      <c r="AK193" s="25">
        <f t="shared" si="299"/>
        <v>3.8695247140238642E-2</v>
      </c>
      <c r="AL193" s="25">
        <f t="shared" si="299"/>
        <v>-8.0192059946164407E-2</v>
      </c>
      <c r="AM193" s="25">
        <f t="shared" si="299"/>
        <v>-9.1634321466422808E-3</v>
      </c>
      <c r="AN193" s="25">
        <f t="shared" si="299"/>
        <v>2.0000000000000018E-2</v>
      </c>
      <c r="AO193" s="25">
        <f t="shared" si="299"/>
        <v>2.0000000000000018E-2</v>
      </c>
      <c r="AP193" s="25">
        <f t="shared" si="299"/>
        <v>5.1814952060877966</v>
      </c>
      <c r="AQ193" s="25">
        <f t="shared" si="299"/>
        <v>5.190672719768882</v>
      </c>
      <c r="AR193" s="25">
        <f t="shared" ref="AR193:AY196" si="300">AR184/AN184-1</f>
        <v>4.9280184432509806</v>
      </c>
      <c r="AS193" s="25">
        <f t="shared" si="300"/>
        <v>4.7096558359348668</v>
      </c>
      <c r="AT193" s="25">
        <f t="shared" si="300"/>
        <v>2.0000000000000018E-2</v>
      </c>
      <c r="AU193" s="25">
        <f t="shared" si="300"/>
        <v>2.0000000000000018E-2</v>
      </c>
      <c r="AV193" s="25">
        <f t="shared" si="300"/>
        <v>0</v>
      </c>
      <c r="AW193" s="25">
        <f t="shared" si="300"/>
        <v>0</v>
      </c>
      <c r="AX193" s="25">
        <f t="shared" si="300"/>
        <v>0</v>
      </c>
      <c r="AY193" s="25">
        <f t="shared" si="300"/>
        <v>0</v>
      </c>
      <c r="AZ193" s="5"/>
      <c r="BA193" s="5"/>
      <c r="BB193" s="5"/>
      <c r="BC193" s="5"/>
      <c r="BD193" s="5"/>
      <c r="BE193" s="5"/>
      <c r="BF193" s="5"/>
      <c r="BG193" s="4">
        <v>187</v>
      </c>
      <c r="BH193"/>
      <c r="BI193"/>
      <c r="BJ193"/>
      <c r="BK193"/>
      <c r="BL193"/>
      <c r="BM193"/>
    </row>
    <row r="194" spans="1:65" s="3" customFormat="1" ht="11.25" outlineLevel="1">
      <c r="A194" s="6"/>
      <c r="B194" s="34" t="s">
        <v>216</v>
      </c>
      <c r="C194" s="25"/>
      <c r="D194" s="25">
        <f t="shared" ref="D194:N194" si="301">D185/C185-1</f>
        <v>2.3973152175306156E-2</v>
      </c>
      <c r="E194" s="25">
        <f t="shared" si="301"/>
        <v>0.13686316361820028</v>
      </c>
      <c r="F194" s="25">
        <f t="shared" si="301"/>
        <v>0.20816251103453731</v>
      </c>
      <c r="G194" s="25">
        <f t="shared" si="301"/>
        <v>1.2906567053285745E-3</v>
      </c>
      <c r="H194" s="25">
        <f t="shared" si="301"/>
        <v>-4.6090612410983889E-2</v>
      </c>
      <c r="I194" s="25">
        <f t="shared" si="301"/>
        <v>8.1343916004983363E-3</v>
      </c>
      <c r="J194" s="25">
        <f t="shared" si="301"/>
        <v>-8.0374649607363291E-2</v>
      </c>
      <c r="K194" s="25">
        <f t="shared" si="301"/>
        <v>6.2654756808063983E-2</v>
      </c>
      <c r="L194" s="25">
        <f t="shared" si="301"/>
        <v>-0.12562834633955666</v>
      </c>
      <c r="M194" s="25">
        <f t="shared" si="301"/>
        <v>-8.8748962595519565E-3</v>
      </c>
      <c r="N194" s="25">
        <f t="shared" si="301"/>
        <v>2.0000000000000018E-2</v>
      </c>
      <c r="O194" s="5"/>
      <c r="P194" s="25"/>
      <c r="Q194" s="25"/>
      <c r="R194" s="25"/>
      <c r="S194" s="25"/>
      <c r="T194" s="25"/>
      <c r="U194" s="25"/>
      <c r="V194" s="25"/>
      <c r="W194" s="25"/>
      <c r="X194" s="25">
        <f t="shared" si="298"/>
        <v>-8.4035418644590965E-2</v>
      </c>
      <c r="Y194" s="25">
        <f t="shared" si="298"/>
        <v>-4.4434254610750679E-2</v>
      </c>
      <c r="Z194" s="25">
        <f t="shared" si="298"/>
        <v>-2.9830832510604033E-2</v>
      </c>
      <c r="AA194" s="25">
        <f t="shared" si="298"/>
        <v>-2.1134096151003257E-2</v>
      </c>
      <c r="AB194" s="25">
        <f t="shared" si="298"/>
        <v>4.7955966434003461E-2</v>
      </c>
      <c r="AC194" s="25">
        <f t="shared" si="298"/>
        <v>-1.3796306135183567E-2</v>
      </c>
      <c r="AD194" s="25">
        <f t="shared" si="298"/>
        <v>2.2216135074615284E-3</v>
      </c>
      <c r="AE194" s="25">
        <f t="shared" si="298"/>
        <v>-1.5722755447022951E-4</v>
      </c>
      <c r="AF194" s="25">
        <f t="shared" si="298"/>
        <v>-0.11584048668465252</v>
      </c>
      <c r="AG194" s="25">
        <f t="shared" si="298"/>
        <v>-5.989052082244839E-2</v>
      </c>
      <c r="AH194" s="25">
        <f t="shared" si="299"/>
        <v>-8.1280576836961882E-2</v>
      </c>
      <c r="AI194" s="25">
        <f t="shared" si="299"/>
        <v>-6.6394985088292335E-2</v>
      </c>
      <c r="AJ194" s="25">
        <f t="shared" si="299"/>
        <v>0.11287438548219986</v>
      </c>
      <c r="AK194" s="25">
        <f t="shared" si="299"/>
        <v>3.0638970013241229E-2</v>
      </c>
      <c r="AL194" s="25">
        <f t="shared" si="299"/>
        <v>4.1269870484421434E-2</v>
      </c>
      <c r="AM194" s="25">
        <f t="shared" si="299"/>
        <v>7.0752264764338602E-2</v>
      </c>
      <c r="AN194" s="25">
        <f t="shared" si="299"/>
        <v>3.0000000000000027E-2</v>
      </c>
      <c r="AO194" s="25">
        <f t="shared" si="299"/>
        <v>3.0000000000000027E-2</v>
      </c>
      <c r="AP194" s="25">
        <f t="shared" si="299"/>
        <v>-0.10728169246509778</v>
      </c>
      <c r="AQ194" s="25">
        <f t="shared" si="299"/>
        <v>-0.17049994781338063</v>
      </c>
      <c r="AR194" s="25">
        <f t="shared" si="300"/>
        <v>-0.21318181678483716</v>
      </c>
      <c r="AS194" s="25">
        <f t="shared" si="300"/>
        <v>-0.12805312920176415</v>
      </c>
      <c r="AT194" s="25">
        <f t="shared" si="300"/>
        <v>2.0000000000000018E-2</v>
      </c>
      <c r="AU194" s="25">
        <f t="shared" si="300"/>
        <v>2.0000000000000018E-2</v>
      </c>
      <c r="AV194" s="25">
        <f t="shared" si="300"/>
        <v>2.0000000000000018E-2</v>
      </c>
      <c r="AW194" s="25">
        <f t="shared" si="300"/>
        <v>2.0000000000000018E-2</v>
      </c>
      <c r="AX194" s="25">
        <f t="shared" si="300"/>
        <v>2.0000000000000018E-2</v>
      </c>
      <c r="AY194" s="25">
        <f t="shared" si="300"/>
        <v>2.0000000000000018E-2</v>
      </c>
      <c r="AZ194" s="5"/>
      <c r="BA194" s="5"/>
      <c r="BB194" s="5"/>
      <c r="BC194" s="5"/>
      <c r="BD194" s="5"/>
      <c r="BE194" s="5"/>
      <c r="BF194" s="5"/>
      <c r="BG194" s="4">
        <v>188</v>
      </c>
      <c r="BH194"/>
      <c r="BI194"/>
      <c r="BJ194"/>
      <c r="BK194"/>
      <c r="BL194"/>
      <c r="BM194"/>
    </row>
    <row r="195" spans="1:65" s="3" customFormat="1" ht="11.25" outlineLevel="1">
      <c r="A195" s="6"/>
      <c r="B195" s="34" t="s">
        <v>215</v>
      </c>
      <c r="C195" s="25"/>
      <c r="D195" s="25"/>
      <c r="E195" s="25">
        <f t="shared" ref="E195:N195" si="302">E186/D186-1</f>
        <v>6.8540801273484719E-2</v>
      </c>
      <c r="F195" s="25">
        <f t="shared" si="302"/>
        <v>0.18932909296236833</v>
      </c>
      <c r="G195" s="25">
        <f t="shared" si="302"/>
        <v>4.9885433399406987E-2</v>
      </c>
      <c r="H195" s="25">
        <f t="shared" si="302"/>
        <v>-6.8604137849576752E-2</v>
      </c>
      <c r="I195" s="25">
        <f t="shared" si="302"/>
        <v>-5.6823318311796656E-2</v>
      </c>
      <c r="J195" s="25">
        <f t="shared" si="302"/>
        <v>-0.16259367399563562</v>
      </c>
      <c r="K195" s="25">
        <f t="shared" si="302"/>
        <v>-4.2779042115371202E-2</v>
      </c>
      <c r="L195" s="25">
        <f t="shared" si="302"/>
        <v>-7.8068806014638947E-2</v>
      </c>
      <c r="M195" s="25">
        <f t="shared" si="302"/>
        <v>-1.6982430787094493E-2</v>
      </c>
      <c r="N195" s="25">
        <f t="shared" si="302"/>
        <v>2.000000000000024E-2</v>
      </c>
      <c r="O195" s="5"/>
      <c r="P195" s="25"/>
      <c r="Q195" s="25"/>
      <c r="R195" s="25"/>
      <c r="S195" s="25"/>
      <c r="T195" s="25"/>
      <c r="U195" s="25"/>
      <c r="V195" s="25"/>
      <c r="W195" s="25"/>
      <c r="X195" s="25">
        <f t="shared" si="298"/>
        <v>-8.2349301872257308E-2</v>
      </c>
      <c r="Y195" s="25">
        <f t="shared" si="298"/>
        <v>-0.12674743837780367</v>
      </c>
      <c r="Z195" s="25">
        <f t="shared" si="298"/>
        <v>-3.6916962843246082E-2</v>
      </c>
      <c r="AA195" s="25">
        <f t="shared" si="298"/>
        <v>-9.2578589000852363E-3</v>
      </c>
      <c r="AB195" s="25">
        <f t="shared" si="298"/>
        <v>1.2772280296301286E-2</v>
      </c>
      <c r="AC195" s="25">
        <f t="shared" si="298"/>
        <v>-3.2655309264618904E-2</v>
      </c>
      <c r="AD195" s="25">
        <f t="shared" si="298"/>
        <v>-9.7957967931915912E-2</v>
      </c>
      <c r="AE195" s="25">
        <f t="shared" si="298"/>
        <v>-0.11616155895237767</v>
      </c>
      <c r="AF195" s="25">
        <f t="shared" si="298"/>
        <v>-0.19659495097397772</v>
      </c>
      <c r="AG195" s="25">
        <f t="shared" si="298"/>
        <v>-0.12842949854255603</v>
      </c>
      <c r="AH195" s="25">
        <f t="shared" si="299"/>
        <v>-0.15866334154391037</v>
      </c>
      <c r="AI195" s="25">
        <f t="shared" si="299"/>
        <v>-0.1647290298629237</v>
      </c>
      <c r="AJ195" s="25">
        <f t="shared" si="299"/>
        <v>-6.7541692589482061E-2</v>
      </c>
      <c r="AK195" s="25">
        <f t="shared" si="299"/>
        <v>-8.8168407735986887E-2</v>
      </c>
      <c r="AL195" s="25">
        <f t="shared" si="299"/>
        <v>-4.2456340766770073E-2</v>
      </c>
      <c r="AM195" s="25">
        <f t="shared" si="299"/>
        <v>3.6303725833645162E-2</v>
      </c>
      <c r="AN195" s="25">
        <f t="shared" si="299"/>
        <v>3.0000000000000027E-2</v>
      </c>
      <c r="AO195" s="25">
        <f t="shared" si="299"/>
        <v>3.0000000000000027E-2</v>
      </c>
      <c r="AP195" s="25">
        <f t="shared" si="299"/>
        <v>-3.537220687923659E-2</v>
      </c>
      <c r="AQ195" s="25">
        <f t="shared" si="299"/>
        <v>-0.10902739474168044</v>
      </c>
      <c r="AR195" s="25">
        <f t="shared" si="300"/>
        <v>-0.20182699088113287</v>
      </c>
      <c r="AS195" s="25">
        <f t="shared" si="300"/>
        <v>-0.10837806387089766</v>
      </c>
      <c r="AT195" s="25">
        <f t="shared" si="300"/>
        <v>2.000000000000024E-2</v>
      </c>
      <c r="AU195" s="25">
        <f t="shared" si="300"/>
        <v>2.0000000000000018E-2</v>
      </c>
      <c r="AV195" s="25">
        <f t="shared" si="300"/>
        <v>2.0000000000000018E-2</v>
      </c>
      <c r="AW195" s="25">
        <f t="shared" si="300"/>
        <v>2.0000000000000018E-2</v>
      </c>
      <c r="AX195" s="25">
        <f t="shared" si="300"/>
        <v>2.000000000000024E-2</v>
      </c>
      <c r="AY195" s="25">
        <f t="shared" si="300"/>
        <v>2.0000000000000018E-2</v>
      </c>
      <c r="AZ195" s="5"/>
      <c r="BA195" s="5"/>
      <c r="BB195" s="5"/>
      <c r="BC195" s="5"/>
      <c r="BD195" s="5"/>
      <c r="BE195" s="5"/>
      <c r="BF195" s="5"/>
      <c r="BG195" s="4">
        <v>189</v>
      </c>
      <c r="BH195"/>
      <c r="BI195"/>
      <c r="BJ195"/>
      <c r="BK195"/>
      <c r="BL195"/>
      <c r="BM195"/>
    </row>
    <row r="196" spans="1:65" s="3" customFormat="1" ht="11.25" outlineLevel="1">
      <c r="A196" s="6"/>
      <c r="B196" s="34" t="s">
        <v>214</v>
      </c>
      <c r="C196" s="25"/>
      <c r="D196" s="25"/>
      <c r="E196" s="25">
        <f t="shared" ref="E196:N196" si="303">E187/D187-1</f>
        <v>0.35279895750409107</v>
      </c>
      <c r="F196" s="25">
        <f t="shared" si="303"/>
        <v>0.25517884478542485</v>
      </c>
      <c r="G196" s="25">
        <f t="shared" si="303"/>
        <v>-0.11365845933646668</v>
      </c>
      <c r="H196" s="25">
        <f t="shared" si="303"/>
        <v>1.6990647460952912E-2</v>
      </c>
      <c r="I196" s="25">
        <f t="shared" si="303"/>
        <v>0.17482260884038459</v>
      </c>
      <c r="J196" s="25">
        <f t="shared" si="303"/>
        <v>8.9007357529791831E-2</v>
      </c>
      <c r="K196" s="25">
        <f t="shared" si="303"/>
        <v>0.22967927750526873</v>
      </c>
      <c r="L196" s="25">
        <f t="shared" si="303"/>
        <v>-0.1842770438835496</v>
      </c>
      <c r="M196" s="25">
        <f t="shared" si="303"/>
        <v>2.4247632118123974E-3</v>
      </c>
      <c r="N196" s="25">
        <f t="shared" si="303"/>
        <v>1.9999999999999796E-2</v>
      </c>
      <c r="O196" s="5"/>
      <c r="P196" s="25"/>
      <c r="Q196" s="25"/>
      <c r="R196" s="25"/>
      <c r="S196" s="25"/>
      <c r="T196" s="25"/>
      <c r="U196" s="25"/>
      <c r="V196" s="25"/>
      <c r="W196" s="25"/>
      <c r="X196" s="25">
        <f t="shared" si="298"/>
        <v>-7.3362542460914337E-2</v>
      </c>
      <c r="Y196" s="25">
        <f t="shared" si="298"/>
        <v>0.18855935993209605</v>
      </c>
      <c r="Z196" s="25">
        <f t="shared" si="298"/>
        <v>-1.3387160050215008E-2</v>
      </c>
      <c r="AA196" s="25">
        <f t="shared" si="298"/>
        <v>-5.3699768987928831E-2</v>
      </c>
      <c r="AB196" s="25">
        <f t="shared" si="298"/>
        <v>0.15096794400841795</v>
      </c>
      <c r="AC196" s="25">
        <f t="shared" si="298"/>
        <v>2.5424123183950931E-2</v>
      </c>
      <c r="AD196" s="25">
        <f t="shared" si="298"/>
        <v>0.22914845322330857</v>
      </c>
      <c r="AE196" s="25">
        <f t="shared" si="298"/>
        <v>0.33287563160565803</v>
      </c>
      <c r="AF196" s="25">
        <f t="shared" si="298"/>
        <v>0.13004065140374665</v>
      </c>
      <c r="AG196" s="25">
        <f t="shared" si="298"/>
        <v>7.4574386092188139E-2</v>
      </c>
      <c r="AH196" s="25">
        <f t="shared" si="299"/>
        <v>4.7358622951488627E-2</v>
      </c>
      <c r="AI196" s="25">
        <f t="shared" si="299"/>
        <v>0.12080251404024001</v>
      </c>
      <c r="AJ196" s="25">
        <f t="shared" si="299"/>
        <v>0.50342237089873154</v>
      </c>
      <c r="AK196" s="25">
        <f t="shared" si="299"/>
        <v>0.21969075496790147</v>
      </c>
      <c r="AL196" s="25">
        <f t="shared" si="299"/>
        <v>0.15307582318800939</v>
      </c>
      <c r="AM196" s="25">
        <f t="shared" si="299"/>
        <v>0.11962484151174069</v>
      </c>
      <c r="AN196" s="25">
        <f t="shared" si="299"/>
        <v>3.0000000000000027E-2</v>
      </c>
      <c r="AO196" s="25">
        <f t="shared" si="299"/>
        <v>3.0000000000000027E-2</v>
      </c>
      <c r="AP196" s="25">
        <f t="shared" si="299"/>
        <v>-0.18702429177977309</v>
      </c>
      <c r="AQ196" s="25">
        <f t="shared" si="299"/>
        <v>-0.25122163206180592</v>
      </c>
      <c r="AR196" s="25">
        <f t="shared" si="300"/>
        <v>-0.22842683888246917</v>
      </c>
      <c r="AS196" s="25">
        <f t="shared" si="300"/>
        <v>-0.15145865802349934</v>
      </c>
      <c r="AT196" s="25">
        <f t="shared" si="300"/>
        <v>2.0000000000000018E-2</v>
      </c>
      <c r="AU196" s="25">
        <f t="shared" si="300"/>
        <v>2.0000000000000018E-2</v>
      </c>
      <c r="AV196" s="25">
        <f t="shared" si="300"/>
        <v>2.0000000000000018E-2</v>
      </c>
      <c r="AW196" s="25">
        <f t="shared" si="300"/>
        <v>2.0000000000000018E-2</v>
      </c>
      <c r="AX196" s="25">
        <f t="shared" si="300"/>
        <v>2.0000000000000018E-2</v>
      </c>
      <c r="AY196" s="25">
        <f t="shared" si="300"/>
        <v>2.0000000000000018E-2</v>
      </c>
      <c r="AZ196" s="5"/>
      <c r="BA196" s="5"/>
      <c r="BB196" s="5"/>
      <c r="BC196" s="5"/>
      <c r="BD196" s="5"/>
      <c r="BE196" s="5"/>
      <c r="BF196" s="5"/>
      <c r="BG196" s="4">
        <v>190</v>
      </c>
      <c r="BH196"/>
      <c r="BI196"/>
      <c r="BJ196"/>
      <c r="BK196"/>
      <c r="BL196"/>
      <c r="BM196"/>
    </row>
    <row r="197" spans="1:65" s="3" customFormat="1" ht="11.25" outlineLevel="1">
      <c r="A197" s="6"/>
      <c r="B197" s="5"/>
      <c r="C197" s="5"/>
      <c r="D197" s="5"/>
      <c r="E197" s="5"/>
      <c r="F197" s="5"/>
      <c r="G197" s="5"/>
      <c r="H197" s="5"/>
      <c r="I197" s="5"/>
      <c r="J197" s="5"/>
      <c r="K197" s="5"/>
      <c r="L197" s="5"/>
      <c r="M197" s="5"/>
      <c r="N197" s="5"/>
      <c r="O197" s="5"/>
      <c r="P197" s="30"/>
      <c r="Q197" s="30"/>
      <c r="R197" s="30"/>
      <c r="S197" s="30"/>
      <c r="T197" s="30"/>
      <c r="U197" s="30"/>
      <c r="V197" s="30"/>
      <c r="W197" s="30"/>
      <c r="X197" s="30"/>
      <c r="Y197" s="30"/>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4">
        <v>191</v>
      </c>
      <c r="BH197"/>
      <c r="BI197"/>
      <c r="BJ197"/>
      <c r="BK197"/>
      <c r="BL197"/>
      <c r="BM197"/>
    </row>
    <row r="198" spans="1:65" s="3" customFormat="1" ht="11.25" outlineLevel="1">
      <c r="A198" s="6" t="s">
        <v>0</v>
      </c>
      <c r="B198" s="179" t="s">
        <v>213</v>
      </c>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4">
        <v>192</v>
      </c>
      <c r="BH198"/>
      <c r="BI198"/>
      <c r="BJ198"/>
      <c r="BK198"/>
      <c r="BL198"/>
      <c r="BM198"/>
    </row>
    <row r="199" spans="1:65" s="3" customFormat="1" ht="11.25" outlineLevel="1">
      <c r="A199" s="6"/>
      <c r="B199" s="5" t="s">
        <v>212</v>
      </c>
      <c r="C199" s="178">
        <f t="shared" ref="C199:N199" si="304">C44+C184</f>
        <v>3648</v>
      </c>
      <c r="D199" s="178">
        <f t="shared" si="304"/>
        <v>4837</v>
      </c>
      <c r="E199" s="178">
        <f t="shared" si="304"/>
        <v>5698</v>
      </c>
      <c r="F199" s="178">
        <f t="shared" si="304"/>
        <v>6140</v>
      </c>
      <c r="G199" s="178">
        <f t="shared" si="304"/>
        <v>7579</v>
      </c>
      <c r="H199" s="178">
        <f t="shared" si="304"/>
        <v>9612.255650000001</v>
      </c>
      <c r="I199" s="178">
        <f t="shared" si="304"/>
        <v>8501.4740000000002</v>
      </c>
      <c r="J199" s="178">
        <f t="shared" si="304"/>
        <v>8918.5859999999993</v>
      </c>
      <c r="K199" s="178">
        <f t="shared" si="304"/>
        <v>12756.428</v>
      </c>
      <c r="L199" s="178">
        <f t="shared" si="304"/>
        <v>28482.853179999998</v>
      </c>
      <c r="M199" s="178">
        <f t="shared" si="304"/>
        <v>44498</v>
      </c>
      <c r="N199" s="178">
        <f t="shared" si="304"/>
        <v>44648</v>
      </c>
      <c r="O199" s="5"/>
      <c r="P199" s="177"/>
      <c r="Q199" s="177"/>
      <c r="R199" s="177"/>
      <c r="S199" s="177"/>
      <c r="T199" s="177">
        <f t="shared" ref="T199:AY199" si="305">T184+T44</f>
        <v>1590</v>
      </c>
      <c r="U199" s="177">
        <f t="shared" si="305"/>
        <v>1805</v>
      </c>
      <c r="V199" s="177">
        <f t="shared" si="305"/>
        <v>2157.1799999999998</v>
      </c>
      <c r="W199" s="177">
        <f t="shared" si="305"/>
        <v>2161.9119999999998</v>
      </c>
      <c r="X199" s="177">
        <f t="shared" si="305"/>
        <v>2135.9503</v>
      </c>
      <c r="Y199" s="177">
        <f t="shared" si="305"/>
        <v>2408.0193500000005</v>
      </c>
      <c r="Z199" s="177">
        <f t="shared" si="305"/>
        <v>2582.9369999999999</v>
      </c>
      <c r="AA199" s="177">
        <f t="shared" si="305"/>
        <v>2485.3490000000002</v>
      </c>
      <c r="AB199" s="177">
        <f t="shared" si="305"/>
        <v>2308.75</v>
      </c>
      <c r="AC199" s="177">
        <f t="shared" si="305"/>
        <v>2235.2570000000001</v>
      </c>
      <c r="AD199" s="177">
        <f t="shared" si="305"/>
        <v>2034.3010000000002</v>
      </c>
      <c r="AE199" s="177">
        <f t="shared" si="305"/>
        <v>1923.1660000000002</v>
      </c>
      <c r="AF199" s="177">
        <f t="shared" si="305"/>
        <v>2113.13</v>
      </c>
      <c r="AG199" s="177">
        <f t="shared" si="305"/>
        <v>1951.1469999999999</v>
      </c>
      <c r="AH199" s="177">
        <f t="shared" si="305"/>
        <v>2422.6639999999998</v>
      </c>
      <c r="AI199" s="177">
        <f t="shared" si="305"/>
        <v>2431.645</v>
      </c>
      <c r="AJ199" s="177">
        <f t="shared" si="305"/>
        <v>2677.7090000000003</v>
      </c>
      <c r="AK199" s="177">
        <f t="shared" si="305"/>
        <v>3273.7200000000003</v>
      </c>
      <c r="AL199" s="177">
        <f t="shared" si="305"/>
        <v>3446.2690000000002</v>
      </c>
      <c r="AM199" s="177">
        <f t="shared" ref="AM199" si="306">AM184+AM44</f>
        <v>3358.73</v>
      </c>
      <c r="AN199" s="177">
        <f t="shared" si="305"/>
        <v>3232.2855600000003</v>
      </c>
      <c r="AO199" s="177">
        <f t="shared" si="305"/>
        <v>3575.5676199999998</v>
      </c>
      <c r="AP199" s="177">
        <f t="shared" si="305"/>
        <v>10800</v>
      </c>
      <c r="AQ199" s="177">
        <f t="shared" si="305"/>
        <v>10875</v>
      </c>
      <c r="AR199" s="177">
        <f t="shared" si="305"/>
        <v>10900</v>
      </c>
      <c r="AS199" s="177">
        <f t="shared" si="305"/>
        <v>11325</v>
      </c>
      <c r="AT199" s="177">
        <f t="shared" si="305"/>
        <v>11226</v>
      </c>
      <c r="AU199" s="177">
        <f t="shared" si="305"/>
        <v>11047</v>
      </c>
      <c r="AV199" s="177">
        <f t="shared" si="305"/>
        <v>10975</v>
      </c>
      <c r="AW199" s="177">
        <f t="shared" si="305"/>
        <v>11375</v>
      </c>
      <c r="AX199" s="177">
        <f t="shared" si="305"/>
        <v>11251</v>
      </c>
      <c r="AY199" s="177">
        <f t="shared" si="305"/>
        <v>11047</v>
      </c>
      <c r="AZ199" s="5"/>
      <c r="BA199" s="5"/>
      <c r="BB199" s="5"/>
      <c r="BC199" s="5"/>
      <c r="BD199" s="5"/>
      <c r="BE199" s="5"/>
      <c r="BF199" s="5"/>
      <c r="BG199" s="4">
        <v>193</v>
      </c>
      <c r="BH199"/>
      <c r="BI199"/>
      <c r="BJ199"/>
      <c r="BK199"/>
      <c r="BL199"/>
      <c r="BM199"/>
    </row>
    <row r="200" spans="1:65" s="3" customFormat="1" ht="11.25" outlineLevel="1">
      <c r="A200" s="6"/>
      <c r="B200" s="5" t="s">
        <v>211</v>
      </c>
      <c r="C200" s="176">
        <f t="shared" ref="C200:N200" si="307">C13/C199*1000</f>
        <v>109.28179824561403</v>
      </c>
      <c r="D200" s="176">
        <f t="shared" si="307"/>
        <v>137.91378953897043</v>
      </c>
      <c r="E200" s="176">
        <f t="shared" si="307"/>
        <v>159.65988065988068</v>
      </c>
      <c r="F200" s="176">
        <f t="shared" si="307"/>
        <v>144.16775244299677</v>
      </c>
      <c r="G200" s="176">
        <f t="shared" si="307"/>
        <v>130.41113603377755</v>
      </c>
      <c r="H200" s="176">
        <f t="shared" si="307"/>
        <v>141.11752014211152</v>
      </c>
      <c r="I200" s="176">
        <f t="shared" si="307"/>
        <v>97.47827259131769</v>
      </c>
      <c r="J200" s="176">
        <f t="shared" si="307"/>
        <v>59.98854526939585</v>
      </c>
      <c r="K200" s="176">
        <f t="shared" si="307"/>
        <v>75.240106399691214</v>
      </c>
      <c r="L200" s="176">
        <f t="shared" si="307"/>
        <v>68.867399640679082</v>
      </c>
      <c r="M200" s="176">
        <f t="shared" si="307"/>
        <v>60.039764200804683</v>
      </c>
      <c r="N200" s="176">
        <f t="shared" si="307"/>
        <v>60.445110325376426</v>
      </c>
      <c r="O200" s="176"/>
      <c r="P200" s="176"/>
      <c r="Q200" s="176"/>
      <c r="R200" s="176"/>
      <c r="S200" s="176"/>
      <c r="T200" s="176">
        <f t="shared" ref="T200:AY200" si="308">T13/T199*1000</f>
        <v>138.3943396226415</v>
      </c>
      <c r="U200" s="176">
        <f t="shared" si="308"/>
        <v>126.42326869806095</v>
      </c>
      <c r="V200" s="176">
        <f t="shared" si="308"/>
        <v>123.15476687156379</v>
      </c>
      <c r="W200" s="176">
        <f t="shared" si="308"/>
        <v>126.96076436043651</v>
      </c>
      <c r="X200" s="176">
        <f t="shared" si="308"/>
        <v>138.07999184250681</v>
      </c>
      <c r="Y200" s="176">
        <f t="shared" si="308"/>
        <v>138.82391779783666</v>
      </c>
      <c r="Z200" s="176">
        <f t="shared" si="308"/>
        <v>144.59469975458168</v>
      </c>
      <c r="AA200" s="176">
        <f t="shared" si="308"/>
        <v>142.3365491124184</v>
      </c>
      <c r="AB200" s="176">
        <f t="shared" si="308"/>
        <v>130.58581483486736</v>
      </c>
      <c r="AC200" s="176">
        <f t="shared" si="308"/>
        <v>99.014565215543442</v>
      </c>
      <c r="AD200" s="176">
        <f t="shared" si="308"/>
        <v>84.03377867876975</v>
      </c>
      <c r="AE200" s="176">
        <f t="shared" si="308"/>
        <v>70.16866978721545</v>
      </c>
      <c r="AF200" s="176">
        <f t="shared" si="308"/>
        <v>68.835329582183775</v>
      </c>
      <c r="AG200" s="176">
        <f t="shared" si="308"/>
        <v>58.554788542329206</v>
      </c>
      <c r="AH200" s="176">
        <f t="shared" si="308"/>
        <v>55.630908784709732</v>
      </c>
      <c r="AI200" s="176">
        <f t="shared" si="308"/>
        <v>57.79256429289638</v>
      </c>
      <c r="AJ200" s="176">
        <f t="shared" si="308"/>
        <v>64.451738407720924</v>
      </c>
      <c r="AK200" s="176">
        <f t="shared" si="308"/>
        <v>71.241889960045455</v>
      </c>
      <c r="AL200" s="176">
        <f t="shared" si="308"/>
        <v>81.261793551228877</v>
      </c>
      <c r="AM200" s="176">
        <f t="shared" ref="AM200" si="309">AM13/AM199*1000</f>
        <v>81.559398939480104</v>
      </c>
      <c r="AN200" s="176">
        <f t="shared" si="308"/>
        <v>85.702016100763913</v>
      </c>
      <c r="AO200" s="176">
        <f t="shared" si="308"/>
        <v>81.208868564652747</v>
      </c>
      <c r="AP200" s="176">
        <f t="shared" si="308"/>
        <v>64.673758425925911</v>
      </c>
      <c r="AQ200" s="176">
        <f t="shared" si="308"/>
        <v>63.97078177948061</v>
      </c>
      <c r="AR200" s="176">
        <f t="shared" si="308"/>
        <v>61.742179068977222</v>
      </c>
      <c r="AS200" s="176">
        <f t="shared" si="308"/>
        <v>59.010794865505659</v>
      </c>
      <c r="AT200" s="176">
        <f t="shared" si="308"/>
        <v>59.772147857816819</v>
      </c>
      <c r="AU200" s="176">
        <f t="shared" si="308"/>
        <v>59.6868192135287</v>
      </c>
      <c r="AV200" s="176">
        <f t="shared" si="308"/>
        <v>60.473189234792848</v>
      </c>
      <c r="AW200" s="176">
        <f t="shared" si="308"/>
        <v>60.606351811151789</v>
      </c>
      <c r="AX200" s="176">
        <f t="shared" si="308"/>
        <v>60.726266949769055</v>
      </c>
      <c r="AY200" s="176">
        <f t="shared" si="308"/>
        <v>59.964836847275421</v>
      </c>
      <c r="AZ200" s="5"/>
      <c r="BA200" s="5"/>
      <c r="BB200" s="5"/>
      <c r="BC200" s="5"/>
      <c r="BD200" s="5"/>
      <c r="BE200" s="5"/>
      <c r="BF200" s="5"/>
      <c r="BG200" s="4">
        <v>194</v>
      </c>
      <c r="BH200"/>
      <c r="BI200"/>
      <c r="BJ200"/>
      <c r="BK200"/>
      <c r="BL200"/>
      <c r="BM200"/>
    </row>
    <row r="201" spans="1:65" s="3" customFormat="1" ht="11.25" outlineLevel="1">
      <c r="A201" s="6"/>
      <c r="B201" s="5" t="s">
        <v>210</v>
      </c>
      <c r="C201" s="176"/>
      <c r="D201" s="176">
        <f t="shared" ref="D201:N201" si="310">(D13-D18)/D199*1000</f>
        <v>82.281992970849686</v>
      </c>
      <c r="E201" s="176">
        <f t="shared" si="310"/>
        <v>95.042120042120047</v>
      </c>
      <c r="F201" s="176">
        <f t="shared" si="310"/>
        <v>86.498697068403928</v>
      </c>
      <c r="G201" s="176">
        <f t="shared" si="310"/>
        <v>86.726481066103702</v>
      </c>
      <c r="H201" s="176">
        <f t="shared" si="310"/>
        <v>92.677025324435704</v>
      </c>
      <c r="I201" s="176">
        <f t="shared" si="310"/>
        <v>74.903951949979515</v>
      </c>
      <c r="J201" s="176">
        <f t="shared" si="310"/>
        <v>51.596295645969001</v>
      </c>
      <c r="K201" s="176">
        <f t="shared" si="310"/>
        <v>51.719650673370325</v>
      </c>
      <c r="L201" s="176">
        <f t="shared" si="310"/>
        <v>43.703286899725498</v>
      </c>
      <c r="M201" s="176">
        <f t="shared" si="310"/>
        <v>39.394339552582309</v>
      </c>
      <c r="N201" s="176">
        <f t="shared" si="310"/>
        <v>39.661749718034564</v>
      </c>
      <c r="O201" s="5"/>
      <c r="P201" s="176"/>
      <c r="Q201" s="176"/>
      <c r="R201" s="176"/>
      <c r="S201" s="176"/>
      <c r="T201" s="176">
        <f t="shared" ref="T201:AY201" si="311">(T13-T18)/T199*1000</f>
        <v>87.045911949685532</v>
      </c>
      <c r="U201" s="176">
        <f t="shared" si="311"/>
        <v>78.985595567867023</v>
      </c>
      <c r="V201" s="176">
        <f t="shared" si="311"/>
        <v>80.260803456364329</v>
      </c>
      <c r="W201" s="176">
        <f t="shared" si="311"/>
        <v>93.987174316068391</v>
      </c>
      <c r="X201" s="176">
        <f t="shared" si="311"/>
        <v>93.460507952830184</v>
      </c>
      <c r="Y201" s="176">
        <f t="shared" si="311"/>
        <v>91.138080057371639</v>
      </c>
      <c r="Z201" s="176">
        <f t="shared" si="311"/>
        <v>92.285255118494945</v>
      </c>
      <c r="AA201" s="176">
        <f t="shared" si="311"/>
        <v>93.901902710645444</v>
      </c>
      <c r="AB201" s="176">
        <f t="shared" si="311"/>
        <v>91.216025988088816</v>
      </c>
      <c r="AC201" s="176">
        <f t="shared" si="311"/>
        <v>77.093148573072355</v>
      </c>
      <c r="AD201" s="176">
        <f t="shared" si="311"/>
        <v>67.766766078372868</v>
      </c>
      <c r="AE201" s="176">
        <f t="shared" si="311"/>
        <v>60.326565673478001</v>
      </c>
      <c r="AF201" s="176">
        <f t="shared" si="311"/>
        <v>58.646652122680571</v>
      </c>
      <c r="AG201" s="176">
        <f t="shared" si="311"/>
        <v>55.924540795747319</v>
      </c>
      <c r="AH201" s="176">
        <f t="shared" si="311"/>
        <v>47.415985047864673</v>
      </c>
      <c r="AI201" s="176">
        <f t="shared" si="311"/>
        <v>46.161343452683269</v>
      </c>
      <c r="AJ201" s="176">
        <f t="shared" si="311"/>
        <v>49.203255469507695</v>
      </c>
      <c r="AK201" s="176">
        <f t="shared" si="311"/>
        <v>49.831995405838001</v>
      </c>
      <c r="AL201" s="176">
        <f t="shared" si="311"/>
        <v>52.399275854554588</v>
      </c>
      <c r="AM201" s="176">
        <f t="shared" ref="AM201" si="312">(AM13-AM18)/AM199*1000</f>
        <v>54.868357980546229</v>
      </c>
      <c r="AN201" s="176">
        <f t="shared" si="311"/>
        <v>57.872294852511935</v>
      </c>
      <c r="AO201" s="176">
        <f t="shared" si="311"/>
        <v>50.581580265865064</v>
      </c>
      <c r="AP201" s="176">
        <f t="shared" si="311"/>
        <v>40.563803736361272</v>
      </c>
      <c r="AQ201" s="176">
        <f t="shared" si="311"/>
        <v>40.348283250823158</v>
      </c>
      <c r="AR201" s="176">
        <f t="shared" si="311"/>
        <v>39.818034894743299</v>
      </c>
      <c r="AS201" s="176">
        <f t="shared" si="311"/>
        <v>38.776651686772794</v>
      </c>
      <c r="AT201" s="176">
        <f t="shared" si="311"/>
        <v>39.283589912052541</v>
      </c>
      <c r="AU201" s="176">
        <f t="shared" si="311"/>
        <v>39.722058509342069</v>
      </c>
      <c r="AV201" s="176">
        <f t="shared" si="311"/>
        <v>39.815360396601534</v>
      </c>
      <c r="AW201" s="176">
        <f t="shared" si="311"/>
        <v>39.311963107929827</v>
      </c>
      <c r="AX201" s="176">
        <f t="shared" si="311"/>
        <v>39.639884486063629</v>
      </c>
      <c r="AY201" s="176">
        <f t="shared" si="311"/>
        <v>39.891581456748597</v>
      </c>
      <c r="AZ201" s="5"/>
      <c r="BA201" s="5"/>
      <c r="BB201" s="5"/>
      <c r="BC201" s="5"/>
      <c r="BD201" s="5"/>
      <c r="BE201" s="5"/>
      <c r="BF201" s="5"/>
      <c r="BG201" s="4">
        <v>195</v>
      </c>
      <c r="BH201"/>
      <c r="BI201"/>
      <c r="BJ201"/>
      <c r="BK201"/>
      <c r="BL201"/>
      <c r="BM201"/>
    </row>
    <row r="202" spans="1:65" s="3" customFormat="1" ht="11.25" outlineLevel="1">
      <c r="A202" s="6"/>
      <c r="B202" s="5" t="s">
        <v>209</v>
      </c>
      <c r="C202" s="30"/>
      <c r="D202" s="30">
        <f t="shared" ref="D202:N202" si="313">D200-D201</f>
        <v>55.631796568120748</v>
      </c>
      <c r="E202" s="30">
        <f t="shared" si="313"/>
        <v>64.617760617760638</v>
      </c>
      <c r="F202" s="30">
        <f t="shared" si="313"/>
        <v>57.669055374592844</v>
      </c>
      <c r="G202" s="30">
        <f t="shared" si="313"/>
        <v>43.68465496767385</v>
      </c>
      <c r="H202" s="30">
        <f t="shared" si="313"/>
        <v>48.440494817675813</v>
      </c>
      <c r="I202" s="30">
        <f t="shared" si="313"/>
        <v>22.574320641338176</v>
      </c>
      <c r="J202" s="30">
        <f t="shared" si="313"/>
        <v>8.3922496234268493</v>
      </c>
      <c r="K202" s="30">
        <f t="shared" si="313"/>
        <v>23.52045572632089</v>
      </c>
      <c r="L202" s="30">
        <f t="shared" si="313"/>
        <v>25.164112740953584</v>
      </c>
      <c r="M202" s="30">
        <f t="shared" si="313"/>
        <v>20.645424648222374</v>
      </c>
      <c r="N202" s="30">
        <f t="shared" si="313"/>
        <v>20.783360607341862</v>
      </c>
      <c r="O202" s="5"/>
      <c r="P202" s="30"/>
      <c r="Q202" s="30"/>
      <c r="R202" s="30"/>
      <c r="S202" s="30"/>
      <c r="T202" s="30">
        <f t="shared" ref="T202:AY202" si="314">T200-T201</f>
        <v>51.348427672955964</v>
      </c>
      <c r="U202" s="30">
        <f t="shared" si="314"/>
        <v>47.437673130193929</v>
      </c>
      <c r="V202" s="30">
        <f t="shared" si="314"/>
        <v>42.893963415199465</v>
      </c>
      <c r="W202" s="30">
        <f t="shared" si="314"/>
        <v>32.973590044368123</v>
      </c>
      <c r="X202" s="30">
        <f t="shared" si="314"/>
        <v>44.61948388967663</v>
      </c>
      <c r="Y202" s="30">
        <f t="shared" si="314"/>
        <v>47.685837740465018</v>
      </c>
      <c r="Z202" s="30">
        <f t="shared" si="314"/>
        <v>52.309444636086738</v>
      </c>
      <c r="AA202" s="30">
        <f t="shared" si="314"/>
        <v>48.434646401772952</v>
      </c>
      <c r="AB202" s="30">
        <f t="shared" si="314"/>
        <v>39.369788846778548</v>
      </c>
      <c r="AC202" s="30">
        <f t="shared" si="314"/>
        <v>21.921416642471087</v>
      </c>
      <c r="AD202" s="30">
        <f t="shared" si="314"/>
        <v>16.267012600396882</v>
      </c>
      <c r="AE202" s="30">
        <f t="shared" si="314"/>
        <v>9.8421041137374488</v>
      </c>
      <c r="AF202" s="30">
        <f t="shared" si="314"/>
        <v>10.188677459503204</v>
      </c>
      <c r="AG202" s="30">
        <f t="shared" si="314"/>
        <v>2.6302477465818868</v>
      </c>
      <c r="AH202" s="30">
        <f t="shared" si="314"/>
        <v>8.2149237368450585</v>
      </c>
      <c r="AI202" s="30">
        <f t="shared" si="314"/>
        <v>11.631220840213111</v>
      </c>
      <c r="AJ202" s="30">
        <f t="shared" si="314"/>
        <v>15.248482938213229</v>
      </c>
      <c r="AK202" s="30">
        <f t="shared" si="314"/>
        <v>21.409894554207455</v>
      </c>
      <c r="AL202" s="30">
        <f t="shared" si="314"/>
        <v>28.862517696674288</v>
      </c>
      <c r="AM202" s="30">
        <f t="shared" ref="AM202" si="315">AM200-AM201</f>
        <v>26.691040958933876</v>
      </c>
      <c r="AN202" s="30">
        <f t="shared" si="314"/>
        <v>27.829721248251978</v>
      </c>
      <c r="AO202" s="30">
        <f t="shared" si="314"/>
        <v>30.627288298787683</v>
      </c>
      <c r="AP202" s="30">
        <f t="shared" si="314"/>
        <v>24.109954689564638</v>
      </c>
      <c r="AQ202" s="30">
        <f t="shared" si="314"/>
        <v>23.622498528657452</v>
      </c>
      <c r="AR202" s="30">
        <f t="shared" si="314"/>
        <v>21.924144174233923</v>
      </c>
      <c r="AS202" s="30">
        <f t="shared" si="314"/>
        <v>20.234143178732864</v>
      </c>
      <c r="AT202" s="30">
        <f t="shared" si="314"/>
        <v>20.488557945764278</v>
      </c>
      <c r="AU202" s="30">
        <f t="shared" si="314"/>
        <v>19.964760704186631</v>
      </c>
      <c r="AV202" s="30">
        <f t="shared" si="314"/>
        <v>20.657828838191314</v>
      </c>
      <c r="AW202" s="30">
        <f t="shared" si="314"/>
        <v>21.294388703221962</v>
      </c>
      <c r="AX202" s="30">
        <f t="shared" si="314"/>
        <v>21.086382463705426</v>
      </c>
      <c r="AY202" s="30">
        <f t="shared" si="314"/>
        <v>20.073255390526825</v>
      </c>
      <c r="AZ202" s="5"/>
      <c r="BA202" s="5"/>
      <c r="BB202" s="5"/>
      <c r="BC202" s="5"/>
      <c r="BD202" s="5"/>
      <c r="BE202" s="5"/>
      <c r="BF202" s="5"/>
      <c r="BG202" s="4">
        <v>196</v>
      </c>
      <c r="BH202"/>
      <c r="BI202"/>
      <c r="BJ202"/>
      <c r="BK202"/>
      <c r="BL202"/>
      <c r="BM202"/>
    </row>
    <row r="203" spans="1:65" s="3" customFormat="1" ht="11.25" outlineLevel="1">
      <c r="A203" s="6"/>
      <c r="B203" s="5"/>
      <c r="C203" s="5"/>
      <c r="D203" s="5"/>
      <c r="E203" s="5"/>
      <c r="F203" s="5"/>
      <c r="G203" s="5"/>
      <c r="H203" s="5"/>
      <c r="I203" s="5"/>
      <c r="J203" s="72"/>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175"/>
      <c r="AM203" s="175"/>
      <c r="AN203" s="175"/>
      <c r="AO203" s="175"/>
      <c r="AP203" s="175"/>
      <c r="AQ203" s="175"/>
      <c r="AR203" s="175"/>
      <c r="AS203" s="175"/>
      <c r="AT203" s="175"/>
      <c r="AU203" s="175"/>
      <c r="AV203" s="175"/>
      <c r="AW203" s="175"/>
      <c r="AX203" s="175"/>
      <c r="AY203" s="175"/>
      <c r="AZ203" s="5"/>
      <c r="BA203" s="5"/>
      <c r="BB203" s="5"/>
      <c r="BC203" s="5"/>
      <c r="BD203" s="5"/>
      <c r="BE203" s="5"/>
      <c r="BF203" s="5"/>
      <c r="BG203" s="4">
        <v>197</v>
      </c>
      <c r="BH203"/>
      <c r="BI203"/>
      <c r="BJ203"/>
      <c r="BK203"/>
      <c r="BL203"/>
      <c r="BM203"/>
    </row>
    <row r="204" spans="1:65" s="3" customFormat="1" ht="11.25" outlineLevel="1">
      <c r="A204" s="6" t="s">
        <v>0</v>
      </c>
      <c r="B204" s="9" t="s">
        <v>208</v>
      </c>
      <c r="C204" s="5"/>
      <c r="D204" s="5"/>
      <c r="E204" s="5"/>
      <c r="F204" s="5"/>
      <c r="G204" s="5"/>
      <c r="H204" s="5"/>
      <c r="I204" s="5"/>
      <c r="J204" s="72"/>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4">
        <v>198</v>
      </c>
      <c r="BH204"/>
      <c r="BI204"/>
      <c r="BJ204"/>
      <c r="BK204"/>
      <c r="BL204"/>
      <c r="BM204"/>
    </row>
    <row r="205" spans="1:65" s="3" customFormat="1" ht="11.25" outlineLevel="2">
      <c r="A205" s="6"/>
      <c r="B205" s="174" t="s">
        <v>207</v>
      </c>
      <c r="C205" s="25"/>
      <c r="D205" s="25"/>
      <c r="E205" s="25"/>
      <c r="F205" s="25"/>
      <c r="G205" s="25"/>
      <c r="H205" s="25"/>
      <c r="I205" s="25"/>
      <c r="J205" s="25"/>
      <c r="K205" s="25"/>
      <c r="L205" s="25"/>
      <c r="M205" s="25"/>
      <c r="N205" s="25"/>
      <c r="O205" s="5"/>
      <c r="P205" s="25"/>
      <c r="Q205" s="25"/>
      <c r="R205" s="25"/>
      <c r="S205" s="25"/>
      <c r="T205" s="25"/>
      <c r="U205" s="25"/>
      <c r="V205" s="25"/>
      <c r="W205" s="25"/>
      <c r="X205" s="25"/>
      <c r="Y205" s="25"/>
      <c r="Z205" s="173"/>
      <c r="AA205" s="173"/>
      <c r="AB205" s="173"/>
      <c r="AC205" s="173"/>
      <c r="AD205" s="173"/>
      <c r="AE205" s="173"/>
      <c r="AF205" s="173"/>
      <c r="AG205" s="173"/>
      <c r="AH205" s="173"/>
      <c r="AI205" s="173"/>
      <c r="AJ205" s="173"/>
      <c r="AK205" s="173"/>
      <c r="AL205" s="173"/>
      <c r="AM205" s="173"/>
      <c r="AN205" s="172"/>
      <c r="AO205" s="172"/>
      <c r="AP205" s="172"/>
      <c r="AQ205" s="172"/>
      <c r="AR205" s="172"/>
      <c r="AS205" s="172"/>
      <c r="AT205" s="172"/>
      <c r="AU205" s="172"/>
      <c r="AV205" s="172"/>
      <c r="AW205" s="172"/>
      <c r="AX205" s="172"/>
      <c r="AY205" s="172"/>
      <c r="AZ205" s="5"/>
      <c r="BA205" s="5"/>
      <c r="BB205" s="5"/>
      <c r="BC205" s="5"/>
      <c r="BD205" s="5"/>
      <c r="BE205" s="5"/>
      <c r="BF205" s="5"/>
      <c r="BG205" s="4">
        <v>199</v>
      </c>
      <c r="BH205"/>
      <c r="BI205"/>
      <c r="BJ205"/>
      <c r="BK205"/>
      <c r="BL205"/>
      <c r="BM205"/>
    </row>
    <row r="206" spans="1:65" s="3" customFormat="1" ht="12.75" customHeight="1" outlineLevel="2">
      <c r="A206" s="6"/>
      <c r="B206" s="126" t="s">
        <v>206</v>
      </c>
      <c r="C206" s="158">
        <f t="shared" ref="C206:N206" si="316">C32</f>
        <v>48.901000000000003</v>
      </c>
      <c r="D206" s="158">
        <f t="shared" si="316"/>
        <v>99.453999999999994</v>
      </c>
      <c r="E206" s="158">
        <f t="shared" si="316"/>
        <v>145.18299999999999</v>
      </c>
      <c r="F206" s="158">
        <f t="shared" si="316"/>
        <v>148.88599999999997</v>
      </c>
      <c r="G206" s="158">
        <f t="shared" si="316"/>
        <v>103.96099999999994</v>
      </c>
      <c r="H206" s="158">
        <f t="shared" si="316"/>
        <v>170.4496803000001</v>
      </c>
      <c r="I206" s="158">
        <f t="shared" si="316"/>
        <v>-92.134999999999962</v>
      </c>
      <c r="J206" s="158">
        <f t="shared" si="316"/>
        <v>-140.19200000000001</v>
      </c>
      <c r="K206" s="158">
        <f t="shared" si="316"/>
        <v>53.788000000000011</v>
      </c>
      <c r="L206" s="158">
        <f t="shared" si="316"/>
        <v>287.26855886198518</v>
      </c>
      <c r="M206" s="158">
        <f t="shared" si="316"/>
        <v>274.33708806925284</v>
      </c>
      <c r="N206" s="158">
        <f t="shared" si="316"/>
        <v>291.72012663577055</v>
      </c>
      <c r="O206" s="5"/>
      <c r="P206" s="158"/>
      <c r="Q206" s="158"/>
      <c r="R206" s="158"/>
      <c r="S206" s="158"/>
      <c r="T206" s="158">
        <f t="shared" ref="T206:AY206" si="317">T32</f>
        <v>33.556999999999995</v>
      </c>
      <c r="U206" s="158">
        <f t="shared" si="317"/>
        <v>35.007000000000005</v>
      </c>
      <c r="V206" s="158">
        <f t="shared" si="317"/>
        <v>24.746999999999986</v>
      </c>
      <c r="W206" s="158">
        <f t="shared" si="317"/>
        <v>10.649999999999983</v>
      </c>
      <c r="X206" s="158">
        <f t="shared" si="317"/>
        <v>34.539000000000016</v>
      </c>
      <c r="Y206" s="158">
        <f t="shared" si="317"/>
        <v>43.920680300000065</v>
      </c>
      <c r="Z206" s="158">
        <f t="shared" si="317"/>
        <v>54.077000000000005</v>
      </c>
      <c r="AA206" s="158">
        <f t="shared" si="317"/>
        <v>37.913000000000011</v>
      </c>
      <c r="AB206" s="158">
        <f t="shared" si="317"/>
        <v>30.758999999999993</v>
      </c>
      <c r="AC206" s="158">
        <f t="shared" si="317"/>
        <v>14.137000000000031</v>
      </c>
      <c r="AD206" s="158">
        <f t="shared" si="317"/>
        <v>-46.199999999999996</v>
      </c>
      <c r="AE206" s="158">
        <f t="shared" si="317"/>
        <v>-90.831000000000017</v>
      </c>
      <c r="AF206" s="158">
        <f t="shared" si="317"/>
        <v>-11.775999999999996</v>
      </c>
      <c r="AG206" s="158">
        <f t="shared" si="317"/>
        <v>-87.885999999999981</v>
      </c>
      <c r="AH206" s="158">
        <f t="shared" si="317"/>
        <v>-20.624999999999996</v>
      </c>
      <c r="AI206" s="158">
        <f t="shared" si="317"/>
        <v>-19.905000000000022</v>
      </c>
      <c r="AJ206" s="158">
        <f t="shared" si="317"/>
        <v>-11.588000000000031</v>
      </c>
      <c r="AK206" s="158">
        <f t="shared" si="317"/>
        <v>10.483000000000047</v>
      </c>
      <c r="AL206" s="158">
        <f t="shared" si="317"/>
        <v>34.944000000000003</v>
      </c>
      <c r="AM206" s="158">
        <f t="shared" ref="AM206" si="318">AM32</f>
        <v>19.948999999999987</v>
      </c>
      <c r="AN206" s="158">
        <f t="shared" si="317"/>
        <v>29.4915140060452</v>
      </c>
      <c r="AO206" s="158">
        <f t="shared" si="317"/>
        <v>47.733277671530089</v>
      </c>
      <c r="AP206" s="158">
        <f t="shared" si="317"/>
        <v>104.93892227128377</v>
      </c>
      <c r="AQ206" s="158">
        <f t="shared" si="317"/>
        <v>105.1048449131262</v>
      </c>
      <c r="AR206" s="158">
        <f t="shared" si="317"/>
        <v>74.957684232584015</v>
      </c>
      <c r="AS206" s="158">
        <f t="shared" si="317"/>
        <v>67.855661459374474</v>
      </c>
      <c r="AT206" s="158">
        <f t="shared" si="317"/>
        <v>69.176983747244776</v>
      </c>
      <c r="AU206" s="158">
        <f t="shared" si="317"/>
        <v>62.346758630049457</v>
      </c>
      <c r="AV206" s="158">
        <f t="shared" si="317"/>
        <v>67.849480131633598</v>
      </c>
      <c r="AW206" s="158">
        <f t="shared" si="317"/>
        <v>80.717987827895044</v>
      </c>
      <c r="AX206" s="158">
        <f t="shared" si="317"/>
        <v>77.394788811683654</v>
      </c>
      <c r="AY206" s="158">
        <f t="shared" si="317"/>
        <v>65.757869864558231</v>
      </c>
      <c r="AZ206" s="5"/>
      <c r="BA206" s="5"/>
      <c r="BB206" s="5"/>
      <c r="BC206" s="5"/>
      <c r="BD206" s="5"/>
      <c r="BE206" s="5"/>
      <c r="BF206" s="5"/>
      <c r="BG206" s="4">
        <v>200</v>
      </c>
      <c r="BH206"/>
      <c r="BI206"/>
      <c r="BJ206"/>
      <c r="BK206"/>
      <c r="BL206"/>
      <c r="BM206"/>
    </row>
    <row r="207" spans="1:65" s="3" customFormat="1" ht="12.75" customHeight="1" outlineLevel="2">
      <c r="A207" s="6"/>
      <c r="B207" s="126" t="s">
        <v>205</v>
      </c>
      <c r="C207" s="158">
        <f>-C24</f>
        <v>8.5389999999999997</v>
      </c>
      <c r="D207" s="158">
        <f>-D24</f>
        <v>22.927</v>
      </c>
      <c r="E207" s="158">
        <f>-E24</f>
        <v>64.665000000000006</v>
      </c>
      <c r="F207" s="158">
        <f>-F24</f>
        <v>56.713999999999999</v>
      </c>
      <c r="G207" s="158">
        <f>-G24</f>
        <v>61.926000000000002</v>
      </c>
      <c r="H207" s="158">
        <f t="shared" ref="H207:N214" si="319">SUMIF($P$4:$AZ$4,H$4,$P207:$AZ207)</f>
        <v>60.841999999999999</v>
      </c>
      <c r="I207" s="158">
        <f t="shared" si="319"/>
        <v>62.242000000000004</v>
      </c>
      <c r="J207" s="158">
        <f t="shared" si="319"/>
        <v>65.367000000000004</v>
      </c>
      <c r="K207" s="158">
        <f t="shared" si="319"/>
        <v>51.707999999999998</v>
      </c>
      <c r="L207" s="158">
        <f t="shared" si="319"/>
        <v>91.799817461482647</v>
      </c>
      <c r="M207" s="158">
        <f t="shared" si="319"/>
        <v>121.154478125</v>
      </c>
      <c r="N207" s="158">
        <f t="shared" si="319"/>
        <v>118.01885312499999</v>
      </c>
      <c r="O207" s="5"/>
      <c r="P207" s="158"/>
      <c r="Q207" s="158"/>
      <c r="R207" s="158"/>
      <c r="S207" s="158"/>
      <c r="T207" s="158">
        <f t="shared" ref="T207:AY207" si="320">-T24</f>
        <v>12.993</v>
      </c>
      <c r="U207" s="158">
        <f t="shared" si="320"/>
        <v>13.548</v>
      </c>
      <c r="V207" s="158">
        <f t="shared" si="320"/>
        <v>16.224</v>
      </c>
      <c r="W207" s="158">
        <f t="shared" si="320"/>
        <v>19.161000000000001</v>
      </c>
      <c r="X207" s="158">
        <f t="shared" si="320"/>
        <v>17.905999999999999</v>
      </c>
      <c r="Y207" s="158">
        <f t="shared" si="320"/>
        <v>16.571999999999999</v>
      </c>
      <c r="Z207" s="158">
        <f t="shared" si="320"/>
        <v>16.567</v>
      </c>
      <c r="AA207" s="158">
        <f t="shared" si="320"/>
        <v>9.7970000000000006</v>
      </c>
      <c r="AB207" s="158">
        <f t="shared" si="320"/>
        <v>15.308</v>
      </c>
      <c r="AC207" s="158">
        <f t="shared" si="320"/>
        <v>14.894</v>
      </c>
      <c r="AD207" s="158">
        <f t="shared" si="320"/>
        <v>15.962999999999999</v>
      </c>
      <c r="AE207" s="158">
        <f t="shared" si="320"/>
        <v>16.077000000000002</v>
      </c>
      <c r="AF207" s="158">
        <f t="shared" si="320"/>
        <v>17.262</v>
      </c>
      <c r="AG207" s="158">
        <f t="shared" si="320"/>
        <v>16.606000000000002</v>
      </c>
      <c r="AH207" s="158">
        <f t="shared" si="320"/>
        <v>16.175000000000001</v>
      </c>
      <c r="AI207" s="158">
        <f t="shared" si="320"/>
        <v>15.324</v>
      </c>
      <c r="AJ207" s="158">
        <f t="shared" si="320"/>
        <v>12.537000000000001</v>
      </c>
      <c r="AK207" s="158">
        <f t="shared" si="320"/>
        <v>12.983000000000001</v>
      </c>
      <c r="AL207" s="158">
        <f t="shared" si="320"/>
        <v>12.11</v>
      </c>
      <c r="AM207" s="158">
        <f t="shared" ref="AM207" si="321">-AM24</f>
        <v>14.077999999999999</v>
      </c>
      <c r="AN207" s="158">
        <f t="shared" si="320"/>
        <v>14.9786</v>
      </c>
      <c r="AO207" s="158">
        <f t="shared" si="320"/>
        <v>15.068119023982641</v>
      </c>
      <c r="AP207" s="158">
        <f t="shared" si="320"/>
        <v>30.9745375</v>
      </c>
      <c r="AQ207" s="158">
        <f t="shared" si="320"/>
        <v>30.7785609375</v>
      </c>
      <c r="AR207" s="158">
        <f t="shared" si="320"/>
        <v>30.582584375</v>
      </c>
      <c r="AS207" s="158">
        <f t="shared" si="320"/>
        <v>30.386607812499999</v>
      </c>
      <c r="AT207" s="158">
        <f t="shared" si="320"/>
        <v>30.190631249999999</v>
      </c>
      <c r="AU207" s="158">
        <f t="shared" si="320"/>
        <v>29.994654687499999</v>
      </c>
      <c r="AV207" s="158">
        <f t="shared" si="320"/>
        <v>29.798678124999999</v>
      </c>
      <c r="AW207" s="158">
        <f t="shared" si="320"/>
        <v>29.602701562499998</v>
      </c>
      <c r="AX207" s="158">
        <f t="shared" si="320"/>
        <v>29.406724999999998</v>
      </c>
      <c r="AY207" s="158">
        <f t="shared" si="320"/>
        <v>29.210748437499998</v>
      </c>
      <c r="AZ207" s="5"/>
      <c r="BA207" s="5"/>
      <c r="BB207" s="5"/>
      <c r="BC207" s="5"/>
      <c r="BD207" s="5"/>
      <c r="BE207" s="5"/>
      <c r="BF207" s="5"/>
      <c r="BG207" s="4">
        <v>201</v>
      </c>
      <c r="BH207"/>
      <c r="BI207"/>
      <c r="BJ207"/>
      <c r="BK207"/>
      <c r="BL207"/>
      <c r="BM207"/>
    </row>
    <row r="208" spans="1:65" s="3" customFormat="1" ht="12.75" customHeight="1" outlineLevel="2">
      <c r="A208" s="6"/>
      <c r="B208" s="126" t="s">
        <v>204</v>
      </c>
      <c r="C208" s="158">
        <f>-C27-C85</f>
        <v>20.02</v>
      </c>
      <c r="D208" s="158">
        <f>-D27-D85</f>
        <v>46.107999999999997</v>
      </c>
      <c r="E208" s="158">
        <f>-E27-E85</f>
        <v>71.757000000000005</v>
      </c>
      <c r="F208" s="158">
        <f>-F27-F85</f>
        <v>70.369</v>
      </c>
      <c r="G208" s="158">
        <f>-G27-G85</f>
        <v>45.219000000000001</v>
      </c>
      <c r="H208" s="158">
        <f t="shared" si="319"/>
        <v>77.413000000000011</v>
      </c>
      <c r="I208" s="158">
        <f t="shared" si="319"/>
        <v>-1.9389999999999983</v>
      </c>
      <c r="J208" s="158">
        <f t="shared" si="319"/>
        <v>-99.441000000000003</v>
      </c>
      <c r="K208" s="158">
        <f t="shared" si="319"/>
        <v>-4.6660000000000004</v>
      </c>
      <c r="L208" s="158">
        <f t="shared" si="319"/>
        <v>11.986856619249387</v>
      </c>
      <c r="M208" s="158">
        <f t="shared" si="319"/>
        <v>73.035631005750702</v>
      </c>
      <c r="N208" s="158">
        <f t="shared" si="319"/>
        <v>77.656438725964307</v>
      </c>
      <c r="O208" s="5"/>
      <c r="P208" s="158"/>
      <c r="Q208" s="158"/>
      <c r="R208" s="158"/>
      <c r="S208" s="158"/>
      <c r="T208" s="158">
        <f t="shared" ref="T208:AY208" si="322">-T27-T85</f>
        <v>14.504</v>
      </c>
      <c r="U208" s="158">
        <f t="shared" si="322"/>
        <v>15.19</v>
      </c>
      <c r="V208" s="158">
        <f t="shared" si="322"/>
        <v>11.031999999999998</v>
      </c>
      <c r="W208" s="158">
        <f t="shared" si="322"/>
        <v>4.4930000000000003</v>
      </c>
      <c r="X208" s="158">
        <f t="shared" si="322"/>
        <v>14.266</v>
      </c>
      <c r="Y208" s="158">
        <f t="shared" si="322"/>
        <v>18.146000000000001</v>
      </c>
      <c r="Z208" s="158">
        <f t="shared" si="322"/>
        <v>21.436</v>
      </c>
      <c r="AA208" s="158">
        <f t="shared" si="322"/>
        <v>23.565000000000005</v>
      </c>
      <c r="AB208" s="158">
        <f t="shared" si="322"/>
        <v>10.617000000000001</v>
      </c>
      <c r="AC208" s="158">
        <f t="shared" si="322"/>
        <v>-26.677</v>
      </c>
      <c r="AD208" s="158">
        <f t="shared" si="322"/>
        <v>28.117000000000001</v>
      </c>
      <c r="AE208" s="158">
        <f t="shared" si="322"/>
        <v>-13.996</v>
      </c>
      <c r="AF208" s="158">
        <f t="shared" si="322"/>
        <v>-15.754</v>
      </c>
      <c r="AG208" s="158">
        <f t="shared" si="322"/>
        <v>-63.018999999999998</v>
      </c>
      <c r="AH208" s="158">
        <f t="shared" si="322"/>
        <v>-20.012999999999998</v>
      </c>
      <c r="AI208" s="158">
        <f t="shared" si="322"/>
        <v>-0.65499999999999992</v>
      </c>
      <c r="AJ208" s="158">
        <f t="shared" si="322"/>
        <v>-1.1479999999999999</v>
      </c>
      <c r="AK208" s="158">
        <f t="shared" si="322"/>
        <v>0.52</v>
      </c>
      <c r="AL208" s="158">
        <f t="shared" si="322"/>
        <v>2.754</v>
      </c>
      <c r="AM208" s="158">
        <f t="shared" ref="AM208" si="323">-AM27-AM85</f>
        <v>-6.7920000000000007</v>
      </c>
      <c r="AN208" s="158">
        <f t="shared" si="322"/>
        <v>1.23314641691855</v>
      </c>
      <c r="AO208" s="158">
        <f t="shared" si="322"/>
        <v>1.9932199029804205</v>
      </c>
      <c r="AP208" s="158">
        <f t="shared" si="322"/>
        <v>4.3767884279701574</v>
      </c>
      <c r="AQ208" s="158">
        <f t="shared" si="322"/>
        <v>4.383701871380258</v>
      </c>
      <c r="AR208" s="158">
        <f t="shared" si="322"/>
        <v>19.953105935243848</v>
      </c>
      <c r="AS208" s="158">
        <f t="shared" si="322"/>
        <v>18.06522646388435</v>
      </c>
      <c r="AT208" s="158">
        <f t="shared" si="322"/>
        <v>18.416464034077723</v>
      </c>
      <c r="AU208" s="158">
        <f t="shared" si="322"/>
        <v>16.600834572544791</v>
      </c>
      <c r="AV208" s="158">
        <f t="shared" si="322"/>
        <v>18.063583326130452</v>
      </c>
      <c r="AW208" s="158">
        <f t="shared" si="322"/>
        <v>21.484325878301213</v>
      </c>
      <c r="AX208" s="158">
        <f t="shared" si="322"/>
        <v>20.600943861333626</v>
      </c>
      <c r="AY208" s="158">
        <f t="shared" si="322"/>
        <v>17.507585660199023</v>
      </c>
      <c r="AZ208" s="5"/>
      <c r="BA208" s="5"/>
      <c r="BB208" s="5"/>
      <c r="BC208" s="5"/>
      <c r="BD208" s="5"/>
      <c r="BE208" s="5"/>
      <c r="BF208" s="5"/>
      <c r="BG208" s="4">
        <v>202</v>
      </c>
      <c r="BH208"/>
      <c r="BI208"/>
      <c r="BJ208"/>
      <c r="BK208"/>
      <c r="BL208"/>
      <c r="BM208"/>
    </row>
    <row r="209" spans="1:65" s="3" customFormat="1" ht="12.75" customHeight="1" outlineLevel="2">
      <c r="A209" s="6"/>
      <c r="B209" s="126" t="s">
        <v>34</v>
      </c>
      <c r="C209" s="158">
        <f>-C21</f>
        <v>19.062000000000001</v>
      </c>
      <c r="D209" s="158">
        <f>-D21</f>
        <v>24.331</v>
      </c>
      <c r="E209" s="158">
        <f>-E21</f>
        <v>21.622</v>
      </c>
      <c r="F209" s="158">
        <f>-F21</f>
        <v>27.69</v>
      </c>
      <c r="G209" s="158">
        <f>-G21</f>
        <v>37.771000000000001</v>
      </c>
      <c r="H209" s="158">
        <f t="shared" si="319"/>
        <v>59.379000000000005</v>
      </c>
      <c r="I209" s="158">
        <f t="shared" si="319"/>
        <v>66.753999999999991</v>
      </c>
      <c r="J209" s="158">
        <f t="shared" si="319"/>
        <v>72.275999999999996</v>
      </c>
      <c r="K209" s="158">
        <f t="shared" si="319"/>
        <v>79.143999999999991</v>
      </c>
      <c r="L209" s="158">
        <f t="shared" si="319"/>
        <v>169.77449566283082</v>
      </c>
      <c r="M209" s="158">
        <f t="shared" si="319"/>
        <v>249.73690879659557</v>
      </c>
      <c r="N209" s="158">
        <f t="shared" si="319"/>
        <v>240.12406590986421</v>
      </c>
      <c r="O209" s="5"/>
      <c r="P209" s="158"/>
      <c r="Q209" s="158"/>
      <c r="R209" s="158"/>
      <c r="S209" s="158"/>
      <c r="T209" s="158">
        <f t="shared" ref="T209:AY209" si="324">-T21</f>
        <v>7.3330000000000002</v>
      </c>
      <c r="U209" s="158">
        <f t="shared" si="324"/>
        <v>8.2200000000000006</v>
      </c>
      <c r="V209" s="158">
        <f t="shared" si="324"/>
        <v>8.9570000000000007</v>
      </c>
      <c r="W209" s="158">
        <f t="shared" si="324"/>
        <v>13.260999999999999</v>
      </c>
      <c r="X209" s="158">
        <f t="shared" si="324"/>
        <v>12.938000000000001</v>
      </c>
      <c r="Y209" s="158">
        <f t="shared" si="324"/>
        <v>14.584</v>
      </c>
      <c r="Z209" s="158">
        <f t="shared" si="324"/>
        <v>15.27</v>
      </c>
      <c r="AA209" s="158">
        <f t="shared" si="324"/>
        <v>16.587</v>
      </c>
      <c r="AB209" s="158">
        <f t="shared" si="324"/>
        <v>16.222999999999999</v>
      </c>
      <c r="AC209" s="158">
        <f t="shared" si="324"/>
        <v>16.276</v>
      </c>
      <c r="AD209" s="158">
        <f t="shared" si="324"/>
        <v>15.26</v>
      </c>
      <c r="AE209" s="158">
        <f t="shared" si="324"/>
        <v>18.995000000000001</v>
      </c>
      <c r="AF209" s="158">
        <f t="shared" si="324"/>
        <v>18.585999999999999</v>
      </c>
      <c r="AG209" s="158">
        <f t="shared" si="324"/>
        <v>18.056000000000001</v>
      </c>
      <c r="AH209" s="158">
        <f t="shared" si="324"/>
        <v>17.759</v>
      </c>
      <c r="AI209" s="158">
        <f t="shared" si="324"/>
        <v>17.875</v>
      </c>
      <c r="AJ209" s="158">
        <f t="shared" si="324"/>
        <v>19.442</v>
      </c>
      <c r="AK209" s="158">
        <f t="shared" si="324"/>
        <v>19.846</v>
      </c>
      <c r="AL209" s="158">
        <f t="shared" si="324"/>
        <v>20.173999999999999</v>
      </c>
      <c r="AM209" s="158">
        <f t="shared" ref="AM209" si="325">-AM21</f>
        <v>19.681999999999999</v>
      </c>
      <c r="AN209" s="158">
        <f t="shared" si="324"/>
        <v>20.146345706586327</v>
      </c>
      <c r="AO209" s="158">
        <f t="shared" si="324"/>
        <v>20.61132373105697</v>
      </c>
      <c r="AP209" s="158">
        <f t="shared" si="324"/>
        <v>64.993262448044177</v>
      </c>
      <c r="AQ209" s="158">
        <f t="shared" si="324"/>
        <v>64.023563777143352</v>
      </c>
      <c r="AR209" s="158">
        <f t="shared" si="324"/>
        <v>63.375796956321913</v>
      </c>
      <c r="AS209" s="158">
        <f t="shared" si="324"/>
        <v>62.740175763390873</v>
      </c>
      <c r="AT209" s="158">
        <f t="shared" si="324"/>
        <v>62.116472467827286</v>
      </c>
      <c r="AU209" s="158">
        <f t="shared" si="324"/>
        <v>61.50446360905552</v>
      </c>
      <c r="AV209" s="158">
        <f t="shared" si="324"/>
        <v>60.903929916385721</v>
      </c>
      <c r="AW209" s="158">
        <f t="shared" si="324"/>
        <v>60.314656230453494</v>
      </c>
      <c r="AX209" s="158">
        <f t="shared" si="324"/>
        <v>59.736431426132484</v>
      </c>
      <c r="AY209" s="158">
        <f t="shared" si="324"/>
        <v>59.169048336892502</v>
      </c>
      <c r="AZ209" s="5"/>
      <c r="BA209" s="5"/>
      <c r="BB209" s="5"/>
      <c r="BC209" s="5"/>
      <c r="BD209" s="5"/>
      <c r="BE209" s="5"/>
      <c r="BF209" s="5"/>
      <c r="BG209" s="4">
        <v>203</v>
      </c>
      <c r="BH209"/>
      <c r="BI209"/>
      <c r="BJ209"/>
      <c r="BK209"/>
      <c r="BL209"/>
      <c r="BM209"/>
    </row>
    <row r="210" spans="1:65" s="170" customFormat="1" ht="12.75" customHeight="1" outlineLevel="2">
      <c r="A210" s="171"/>
      <c r="B210" s="165" t="s">
        <v>203</v>
      </c>
      <c r="C210" s="164">
        <f>SUM(C206:C209)</f>
        <v>96.522000000000006</v>
      </c>
      <c r="D210" s="164">
        <f>SUM(D206:D209)</f>
        <v>192.82</v>
      </c>
      <c r="E210" s="164">
        <f>SUM(E206:E209)</f>
        <v>303.22700000000003</v>
      </c>
      <c r="F210" s="164">
        <f>SUM(F206:F209)</f>
        <v>303.65899999999993</v>
      </c>
      <c r="G210" s="164">
        <f>SUM(G206:G209)</f>
        <v>248.87699999999995</v>
      </c>
      <c r="H210" s="164">
        <f t="shared" si="319"/>
        <v>368.08368030000014</v>
      </c>
      <c r="I210" s="164">
        <f t="shared" si="319"/>
        <v>34.922000000000025</v>
      </c>
      <c r="J210" s="164">
        <f t="shared" si="319"/>
        <v>-101.99</v>
      </c>
      <c r="K210" s="164">
        <f t="shared" si="319"/>
        <v>179.97399999999999</v>
      </c>
      <c r="L210" s="164">
        <f t="shared" si="319"/>
        <v>560.8297286055481</v>
      </c>
      <c r="M210" s="164">
        <f t="shared" si="319"/>
        <v>718.26410599659903</v>
      </c>
      <c r="N210" s="164">
        <f t="shared" si="319"/>
        <v>727.51948439659907</v>
      </c>
      <c r="O210" s="9"/>
      <c r="P210" s="164"/>
      <c r="Q210" s="164"/>
      <c r="R210" s="164"/>
      <c r="S210" s="164"/>
      <c r="T210" s="164">
        <f t="shared" ref="T210:AY210" si="326">SUM(T206:T209)</f>
        <v>68.387</v>
      </c>
      <c r="U210" s="164">
        <f t="shared" si="326"/>
        <v>71.965000000000003</v>
      </c>
      <c r="V210" s="164">
        <f t="shared" si="326"/>
        <v>60.959999999999987</v>
      </c>
      <c r="W210" s="164">
        <f t="shared" si="326"/>
        <v>47.564999999999984</v>
      </c>
      <c r="X210" s="164">
        <f t="shared" si="326"/>
        <v>79.649000000000015</v>
      </c>
      <c r="Y210" s="164">
        <f t="shared" si="326"/>
        <v>93.222680300000064</v>
      </c>
      <c r="Z210" s="164">
        <f t="shared" si="326"/>
        <v>107.35000000000001</v>
      </c>
      <c r="AA210" s="164">
        <f t="shared" si="326"/>
        <v>87.862000000000009</v>
      </c>
      <c r="AB210" s="164">
        <f t="shared" si="326"/>
        <v>72.906999999999996</v>
      </c>
      <c r="AC210" s="164">
        <f t="shared" si="326"/>
        <v>18.630000000000031</v>
      </c>
      <c r="AD210" s="164">
        <f t="shared" si="326"/>
        <v>13.140000000000006</v>
      </c>
      <c r="AE210" s="164">
        <f t="shared" si="326"/>
        <v>-69.75500000000001</v>
      </c>
      <c r="AF210" s="164">
        <f t="shared" si="326"/>
        <v>8.3180000000000032</v>
      </c>
      <c r="AG210" s="164">
        <f t="shared" si="326"/>
        <v>-116.24299999999998</v>
      </c>
      <c r="AH210" s="164">
        <f t="shared" si="326"/>
        <v>-6.7039999999999935</v>
      </c>
      <c r="AI210" s="164">
        <f t="shared" si="326"/>
        <v>12.638999999999978</v>
      </c>
      <c r="AJ210" s="164">
        <f t="shared" si="326"/>
        <v>19.24299999999997</v>
      </c>
      <c r="AK210" s="164">
        <f t="shared" si="326"/>
        <v>43.83200000000005</v>
      </c>
      <c r="AL210" s="164">
        <f t="shared" si="326"/>
        <v>69.981999999999999</v>
      </c>
      <c r="AM210" s="164">
        <f t="shared" ref="AM210" si="327">SUM(AM206:AM209)</f>
        <v>46.916999999999987</v>
      </c>
      <c r="AN210" s="164">
        <f t="shared" si="326"/>
        <v>65.849606129550082</v>
      </c>
      <c r="AO210" s="164">
        <f t="shared" si="326"/>
        <v>85.40594032955012</v>
      </c>
      <c r="AP210" s="164">
        <f t="shared" si="326"/>
        <v>205.2835106472981</v>
      </c>
      <c r="AQ210" s="164">
        <f t="shared" si="326"/>
        <v>204.29067149914979</v>
      </c>
      <c r="AR210" s="164">
        <f t="shared" si="326"/>
        <v>188.86917149914979</v>
      </c>
      <c r="AS210" s="164">
        <f t="shared" si="326"/>
        <v>179.04767149914971</v>
      </c>
      <c r="AT210" s="164">
        <f t="shared" si="326"/>
        <v>179.90055149914977</v>
      </c>
      <c r="AU210" s="164">
        <f t="shared" si="326"/>
        <v>170.44671149914979</v>
      </c>
      <c r="AV210" s="164">
        <f t="shared" si="326"/>
        <v>176.61567149914976</v>
      </c>
      <c r="AW210" s="164">
        <f t="shared" si="326"/>
        <v>192.11967149914975</v>
      </c>
      <c r="AX210" s="164">
        <f t="shared" si="326"/>
        <v>187.13888909914976</v>
      </c>
      <c r="AY210" s="164">
        <f t="shared" si="326"/>
        <v>171.64525229914977</v>
      </c>
      <c r="AZ210" s="9"/>
      <c r="BA210" s="9"/>
      <c r="BB210" s="9"/>
      <c r="BC210" s="9"/>
      <c r="BD210" s="9"/>
      <c r="BE210" s="9"/>
      <c r="BF210" s="9"/>
      <c r="BG210" s="4">
        <v>204</v>
      </c>
      <c r="BH210"/>
      <c r="BI210"/>
      <c r="BJ210"/>
      <c r="BK210"/>
      <c r="BL210"/>
      <c r="BM210"/>
    </row>
    <row r="211" spans="1:65" s="3" customFormat="1" ht="12.75" customHeight="1" outlineLevel="2">
      <c r="A211" s="6"/>
      <c r="B211" s="126" t="s">
        <v>202</v>
      </c>
      <c r="C211" s="158">
        <f>-C20</f>
        <v>3.9060000000000001</v>
      </c>
      <c r="D211" s="158">
        <f>-D20</f>
        <v>23.277999999999999</v>
      </c>
      <c r="E211" s="158">
        <f>-E20</f>
        <v>17.539000000000001</v>
      </c>
      <c r="F211" s="158">
        <f>-F20</f>
        <v>11.433999999999999</v>
      </c>
      <c r="G211" s="158">
        <f>-G20</f>
        <v>10.132999999999999</v>
      </c>
      <c r="H211" s="158">
        <f t="shared" si="319"/>
        <v>16.570999999999998</v>
      </c>
      <c r="I211" s="158">
        <f t="shared" si="319"/>
        <v>4.0600000000000005</v>
      </c>
      <c r="J211" s="158">
        <f t="shared" si="319"/>
        <v>8.8699999999999992</v>
      </c>
      <c r="K211" s="158">
        <f t="shared" si="319"/>
        <v>10.071000000000002</v>
      </c>
      <c r="L211" s="158">
        <f t="shared" si="319"/>
        <v>16</v>
      </c>
      <c r="M211" s="158">
        <f t="shared" si="319"/>
        <v>20</v>
      </c>
      <c r="N211" s="158">
        <f t="shared" si="319"/>
        <v>20</v>
      </c>
      <c r="O211" s="5"/>
      <c r="P211" s="158"/>
      <c r="Q211" s="158"/>
      <c r="R211" s="158"/>
      <c r="S211" s="158"/>
      <c r="T211" s="158">
        <f t="shared" ref="T211:AY211" si="328">-T20</f>
        <v>1.839</v>
      </c>
      <c r="U211" s="158">
        <f t="shared" si="328"/>
        <v>1.87</v>
      </c>
      <c r="V211" s="158">
        <f t="shared" si="328"/>
        <v>2.0219999999999998</v>
      </c>
      <c r="W211" s="158">
        <f t="shared" si="328"/>
        <v>4.4020000000000001</v>
      </c>
      <c r="X211" s="158">
        <f t="shared" si="328"/>
        <v>2.0939999999999999</v>
      </c>
      <c r="Y211" s="158">
        <f t="shared" si="328"/>
        <v>2.2189999999999999</v>
      </c>
      <c r="Z211" s="158">
        <f t="shared" si="328"/>
        <v>4.3609999999999998</v>
      </c>
      <c r="AA211" s="158">
        <f t="shared" si="328"/>
        <v>7.8970000000000002</v>
      </c>
      <c r="AB211" s="158">
        <f t="shared" si="328"/>
        <v>1.883</v>
      </c>
      <c r="AC211" s="158">
        <f t="shared" si="328"/>
        <v>2.153</v>
      </c>
      <c r="AD211" s="158">
        <f t="shared" si="328"/>
        <v>2.6789999999999998</v>
      </c>
      <c r="AE211" s="158">
        <f t="shared" si="328"/>
        <v>-2.6549999999999998</v>
      </c>
      <c r="AF211" s="158">
        <f t="shared" si="328"/>
        <v>1.653</v>
      </c>
      <c r="AG211" s="158">
        <f t="shared" si="328"/>
        <v>3.9140000000000001</v>
      </c>
      <c r="AH211" s="158">
        <f t="shared" si="328"/>
        <v>1.7989999999999999</v>
      </c>
      <c r="AI211" s="158">
        <f t="shared" si="328"/>
        <v>1.5039999999999996</v>
      </c>
      <c r="AJ211" s="158">
        <f t="shared" si="328"/>
        <v>2.4159999999999999</v>
      </c>
      <c r="AK211" s="158">
        <f t="shared" si="328"/>
        <v>2.7629999999999999</v>
      </c>
      <c r="AL211" s="158">
        <f t="shared" si="328"/>
        <v>2.4020000000000001</v>
      </c>
      <c r="AM211" s="158">
        <f t="shared" ref="AM211" si="329">-AM20</f>
        <v>2.4900000000000002</v>
      </c>
      <c r="AN211" s="158">
        <f t="shared" si="328"/>
        <v>3</v>
      </c>
      <c r="AO211" s="158">
        <f t="shared" si="328"/>
        <v>3</v>
      </c>
      <c r="AP211" s="158">
        <f t="shared" si="328"/>
        <v>5</v>
      </c>
      <c r="AQ211" s="158">
        <f t="shared" si="328"/>
        <v>5</v>
      </c>
      <c r="AR211" s="158">
        <f t="shared" si="328"/>
        <v>5</v>
      </c>
      <c r="AS211" s="158">
        <f t="shared" si="328"/>
        <v>5</v>
      </c>
      <c r="AT211" s="158">
        <f t="shared" si="328"/>
        <v>5</v>
      </c>
      <c r="AU211" s="158">
        <f t="shared" si="328"/>
        <v>5</v>
      </c>
      <c r="AV211" s="158">
        <f t="shared" si="328"/>
        <v>5</v>
      </c>
      <c r="AW211" s="158">
        <f t="shared" si="328"/>
        <v>5</v>
      </c>
      <c r="AX211" s="158">
        <f t="shared" si="328"/>
        <v>5</v>
      </c>
      <c r="AY211" s="158">
        <f t="shared" si="328"/>
        <v>5</v>
      </c>
      <c r="AZ211" s="5"/>
      <c r="BA211" s="5"/>
      <c r="BB211" s="5"/>
      <c r="BC211" s="5"/>
      <c r="BD211" s="5"/>
      <c r="BE211" s="5"/>
      <c r="BF211" s="5"/>
      <c r="BG211" s="4">
        <v>205</v>
      </c>
      <c r="BH211"/>
      <c r="BI211"/>
      <c r="BJ211"/>
      <c r="BK211"/>
      <c r="BL211"/>
      <c r="BM211"/>
    </row>
    <row r="212" spans="1:65" s="3" customFormat="1" ht="12.75" customHeight="1" outlineLevel="2">
      <c r="A212" s="6"/>
      <c r="B212" s="126" t="s">
        <v>201</v>
      </c>
      <c r="C212" s="168">
        <v>0</v>
      </c>
      <c r="D212" s="168">
        <v>0.503</v>
      </c>
      <c r="E212" s="168">
        <v>1.119</v>
      </c>
      <c r="F212" s="169">
        <v>1.274</v>
      </c>
      <c r="G212" s="169">
        <v>2.9279999999999999</v>
      </c>
      <c r="H212" s="169">
        <f t="shared" si="319"/>
        <v>0.86399999999999988</v>
      </c>
      <c r="I212" s="169">
        <f t="shared" si="319"/>
        <v>3.7999999999999999E-2</v>
      </c>
      <c r="J212" s="169">
        <f t="shared" si="319"/>
        <v>-1.02</v>
      </c>
      <c r="K212" s="169">
        <f t="shared" si="319"/>
        <v>0</v>
      </c>
      <c r="L212" s="169">
        <f t="shared" si="319"/>
        <v>0</v>
      </c>
      <c r="M212" s="169">
        <f t="shared" si="319"/>
        <v>0</v>
      </c>
      <c r="N212" s="169">
        <f t="shared" si="319"/>
        <v>0</v>
      </c>
      <c r="O212" s="5"/>
      <c r="P212" s="168"/>
      <c r="Q212" s="168"/>
      <c r="R212" s="168"/>
      <c r="S212" s="168"/>
      <c r="T212" s="168">
        <v>0.32</v>
      </c>
      <c r="U212" s="168">
        <f>0.57-T212</f>
        <v>0.24999999999999994</v>
      </c>
      <c r="V212" s="168">
        <v>0</v>
      </c>
      <c r="W212" s="168">
        <v>0.32100000000000001</v>
      </c>
      <c r="X212" s="168">
        <v>0.29099999999999998</v>
      </c>
      <c r="Y212" s="168">
        <v>0.25</v>
      </c>
      <c r="Z212" s="168">
        <v>0.28499999999999998</v>
      </c>
      <c r="AA212" s="168">
        <v>3.7999999999999999E-2</v>
      </c>
      <c r="AB212" s="168">
        <v>3.7999999999999999E-2</v>
      </c>
      <c r="AC212" s="168">
        <v>0</v>
      </c>
      <c r="AD212" s="168">
        <v>0</v>
      </c>
      <c r="AE212" s="168">
        <v>0</v>
      </c>
      <c r="AF212" s="168">
        <v>0</v>
      </c>
      <c r="AG212" s="168">
        <v>0</v>
      </c>
      <c r="AH212" s="168">
        <v>0</v>
      </c>
      <c r="AI212" s="168">
        <f>0.18-1.2</f>
        <v>-1.02</v>
      </c>
      <c r="AJ212" s="168">
        <v>0</v>
      </c>
      <c r="AK212" s="168">
        <v>0</v>
      </c>
      <c r="AL212" s="168">
        <v>0</v>
      </c>
      <c r="AM212" s="168">
        <v>0</v>
      </c>
      <c r="AN212" s="168">
        <v>0</v>
      </c>
      <c r="AO212" s="168">
        <v>0</v>
      </c>
      <c r="AP212" s="168">
        <v>0</v>
      </c>
      <c r="AQ212" s="168">
        <v>0</v>
      </c>
      <c r="AR212" s="168">
        <v>0</v>
      </c>
      <c r="AS212" s="168">
        <v>0</v>
      </c>
      <c r="AT212" s="168">
        <v>0</v>
      </c>
      <c r="AU212" s="168">
        <v>0</v>
      </c>
      <c r="AV212" s="168">
        <v>0</v>
      </c>
      <c r="AW212" s="168">
        <v>0</v>
      </c>
      <c r="AX212" s="168">
        <v>0</v>
      </c>
      <c r="AY212" s="168">
        <v>0</v>
      </c>
      <c r="AZ212" s="5"/>
      <c r="BA212" s="5"/>
      <c r="BB212" s="5"/>
      <c r="BC212" s="5"/>
      <c r="BD212" s="5"/>
      <c r="BE212" s="5"/>
      <c r="BF212" s="5"/>
      <c r="BG212" s="4">
        <v>206</v>
      </c>
      <c r="BH212"/>
      <c r="BI212"/>
      <c r="BJ212"/>
      <c r="BK212"/>
      <c r="BL212"/>
      <c r="BM212"/>
    </row>
    <row r="213" spans="1:65" s="3" customFormat="1" ht="12.75" customHeight="1" outlineLevel="2">
      <c r="A213" s="6"/>
      <c r="B213" s="126" t="s">
        <v>200</v>
      </c>
      <c r="C213" s="166">
        <f>-C83</f>
        <v>2.4260000000000002</v>
      </c>
      <c r="D213" s="166">
        <f>-D83</f>
        <v>22.542999999999999</v>
      </c>
      <c r="E213" s="166">
        <f>-E83</f>
        <v>13.225</v>
      </c>
      <c r="F213" s="166">
        <f>-F83</f>
        <v>2.2829999999999999</v>
      </c>
      <c r="G213" s="166">
        <f>-G83</f>
        <v>30.646000000000001</v>
      </c>
      <c r="H213" s="166">
        <f t="shared" si="319"/>
        <v>11.771000000000001</v>
      </c>
      <c r="I213" s="166">
        <f t="shared" si="319"/>
        <v>98.614999999999981</v>
      </c>
      <c r="J213" s="166">
        <f t="shared" si="319"/>
        <v>115.79299999999999</v>
      </c>
      <c r="K213" s="166">
        <f t="shared" si="319"/>
        <v>14.821999999999999</v>
      </c>
      <c r="L213" s="166">
        <f t="shared" si="319"/>
        <v>0</v>
      </c>
      <c r="M213" s="166">
        <f t="shared" si="319"/>
        <v>0</v>
      </c>
      <c r="N213" s="166">
        <f t="shared" si="319"/>
        <v>0</v>
      </c>
      <c r="O213" s="5"/>
      <c r="P213" s="166"/>
      <c r="Q213" s="166"/>
      <c r="R213" s="166"/>
      <c r="S213" s="166"/>
      <c r="T213" s="166">
        <f t="shared" ref="T213:Z213" si="330">-T83</f>
        <v>0.19700000000000001</v>
      </c>
      <c r="U213" s="166">
        <f t="shared" si="330"/>
        <v>1.502</v>
      </c>
      <c r="V213" s="166">
        <f t="shared" si="330"/>
        <v>19.151</v>
      </c>
      <c r="W213" s="166">
        <f t="shared" si="330"/>
        <v>11.833</v>
      </c>
      <c r="X213" s="166">
        <f t="shared" si="330"/>
        <v>5.1999999999999998E-2</v>
      </c>
      <c r="Y213" s="166">
        <f t="shared" si="330"/>
        <v>2.206</v>
      </c>
      <c r="Z213" s="166">
        <f t="shared" si="330"/>
        <v>4.9379999999999997</v>
      </c>
      <c r="AA213" s="166">
        <f t="shared" ref="AA213:AH213" si="331">-AA83-AA212</f>
        <v>4.5750000000000002</v>
      </c>
      <c r="AB213" s="166">
        <f t="shared" si="331"/>
        <v>0.28600000000000003</v>
      </c>
      <c r="AC213" s="166">
        <f t="shared" si="331"/>
        <v>15.289</v>
      </c>
      <c r="AD213" s="166">
        <f t="shared" si="331"/>
        <v>5.944</v>
      </c>
      <c r="AE213" s="166">
        <f t="shared" si="331"/>
        <v>77.095999999999989</v>
      </c>
      <c r="AF213" s="166">
        <f t="shared" si="331"/>
        <v>7.5999999999999998E-2</v>
      </c>
      <c r="AG213" s="166">
        <f t="shared" si="331"/>
        <v>107.333</v>
      </c>
      <c r="AH213" s="166">
        <f t="shared" si="331"/>
        <v>9.8000000000000007</v>
      </c>
      <c r="AI213" s="166">
        <f>-AI83</f>
        <v>-1.4160000000000001</v>
      </c>
      <c r="AJ213" s="166">
        <f>-AJ83</f>
        <v>0</v>
      </c>
      <c r="AK213" s="167">
        <v>0.38900000000000001</v>
      </c>
      <c r="AL213" s="167">
        <v>0</v>
      </c>
      <c r="AM213" s="166">
        <f t="shared" ref="AM213:AY213" si="332">-AM83</f>
        <v>14.433</v>
      </c>
      <c r="AN213" s="166">
        <f t="shared" si="332"/>
        <v>0</v>
      </c>
      <c r="AO213" s="166">
        <f t="shared" si="332"/>
        <v>0</v>
      </c>
      <c r="AP213" s="166">
        <f t="shared" si="332"/>
        <v>0</v>
      </c>
      <c r="AQ213" s="166">
        <f t="shared" si="332"/>
        <v>0</v>
      </c>
      <c r="AR213" s="166">
        <f t="shared" si="332"/>
        <v>0</v>
      </c>
      <c r="AS213" s="166">
        <f t="shared" si="332"/>
        <v>0</v>
      </c>
      <c r="AT213" s="166">
        <f t="shared" si="332"/>
        <v>0</v>
      </c>
      <c r="AU213" s="166">
        <f t="shared" si="332"/>
        <v>0</v>
      </c>
      <c r="AV213" s="166">
        <f t="shared" si="332"/>
        <v>0</v>
      </c>
      <c r="AW213" s="166">
        <f t="shared" si="332"/>
        <v>0</v>
      </c>
      <c r="AX213" s="166">
        <f t="shared" si="332"/>
        <v>0</v>
      </c>
      <c r="AY213" s="166">
        <f t="shared" si="332"/>
        <v>0</v>
      </c>
      <c r="AZ213" s="5"/>
      <c r="BA213" s="5"/>
      <c r="BB213" s="5"/>
      <c r="BC213" s="5"/>
      <c r="BD213" s="5"/>
      <c r="BE213" s="5"/>
      <c r="BF213" s="5"/>
      <c r="BG213" s="4">
        <v>207</v>
      </c>
      <c r="BH213"/>
      <c r="BI213"/>
      <c r="BJ213"/>
      <c r="BK213"/>
      <c r="BL213"/>
      <c r="BM213"/>
    </row>
    <row r="214" spans="1:65" s="3" customFormat="1" ht="12.75" customHeight="1" outlineLevel="2">
      <c r="A214" s="6"/>
      <c r="B214" s="165" t="s">
        <v>199</v>
      </c>
      <c r="C214" s="164">
        <f>SUM(C210:C213)</f>
        <v>102.85400000000001</v>
      </c>
      <c r="D214" s="164">
        <f>SUM(D210:D213)</f>
        <v>239.14399999999998</v>
      </c>
      <c r="E214" s="164">
        <f>SUM(E210:E213)</f>
        <v>335.11000000000007</v>
      </c>
      <c r="F214" s="164">
        <f>SUM(F210:F213)</f>
        <v>318.64999999999998</v>
      </c>
      <c r="G214" s="164">
        <f>SUM(G210:G213)</f>
        <v>292.58399999999995</v>
      </c>
      <c r="H214" s="164">
        <f t="shared" si="319"/>
        <v>397.2896803000001</v>
      </c>
      <c r="I214" s="164">
        <f t="shared" si="319"/>
        <v>137.63499999999999</v>
      </c>
      <c r="J214" s="164">
        <f t="shared" si="319"/>
        <v>21.653000000000006</v>
      </c>
      <c r="K214" s="164">
        <f t="shared" si="319"/>
        <v>204.86700000000002</v>
      </c>
      <c r="L214" s="164">
        <f t="shared" si="319"/>
        <v>576.8297286055481</v>
      </c>
      <c r="M214" s="164">
        <f t="shared" si="319"/>
        <v>738.26410599659903</v>
      </c>
      <c r="N214" s="164">
        <f t="shared" si="319"/>
        <v>747.51948439659907</v>
      </c>
      <c r="O214" s="9"/>
      <c r="P214" s="164"/>
      <c r="Q214" s="164"/>
      <c r="R214" s="164"/>
      <c r="S214" s="164"/>
      <c r="T214" s="164">
        <f t="shared" ref="T214:AY214" si="333">SUM(T210:T213)</f>
        <v>70.742999999999995</v>
      </c>
      <c r="U214" s="164">
        <f t="shared" si="333"/>
        <v>75.587000000000003</v>
      </c>
      <c r="V214" s="164">
        <f t="shared" si="333"/>
        <v>82.132999999999981</v>
      </c>
      <c r="W214" s="164">
        <f t="shared" si="333"/>
        <v>64.120999999999981</v>
      </c>
      <c r="X214" s="164">
        <f t="shared" si="333"/>
        <v>82.086000000000013</v>
      </c>
      <c r="Y214" s="164">
        <f t="shared" si="333"/>
        <v>97.897680300000061</v>
      </c>
      <c r="Z214" s="164">
        <f t="shared" si="333"/>
        <v>116.93400000000001</v>
      </c>
      <c r="AA214" s="164">
        <f t="shared" si="333"/>
        <v>100.37200000000001</v>
      </c>
      <c r="AB214" s="164">
        <f t="shared" si="333"/>
        <v>75.11399999999999</v>
      </c>
      <c r="AC214" s="164">
        <f t="shared" si="333"/>
        <v>36.072000000000031</v>
      </c>
      <c r="AD214" s="164">
        <f t="shared" si="333"/>
        <v>21.763000000000005</v>
      </c>
      <c r="AE214" s="164">
        <f t="shared" si="333"/>
        <v>4.6859999999999786</v>
      </c>
      <c r="AF214" s="164">
        <f t="shared" si="333"/>
        <v>10.047000000000004</v>
      </c>
      <c r="AG214" s="164">
        <f t="shared" si="333"/>
        <v>-4.9959999999999809</v>
      </c>
      <c r="AH214" s="164">
        <f t="shared" si="333"/>
        <v>4.8950000000000067</v>
      </c>
      <c r="AI214" s="164">
        <f t="shared" si="333"/>
        <v>11.706999999999978</v>
      </c>
      <c r="AJ214" s="164">
        <f t="shared" si="333"/>
        <v>21.65899999999997</v>
      </c>
      <c r="AK214" s="164">
        <f t="shared" si="333"/>
        <v>46.984000000000052</v>
      </c>
      <c r="AL214" s="164">
        <f t="shared" si="333"/>
        <v>72.384</v>
      </c>
      <c r="AM214" s="164">
        <f t="shared" ref="AM214" si="334">SUM(AM210:AM213)</f>
        <v>63.839999999999989</v>
      </c>
      <c r="AN214" s="164">
        <f t="shared" si="333"/>
        <v>68.849606129550082</v>
      </c>
      <c r="AO214" s="164">
        <f t="shared" si="333"/>
        <v>88.40594032955012</v>
      </c>
      <c r="AP214" s="164">
        <f t="shared" si="333"/>
        <v>210.2835106472981</v>
      </c>
      <c r="AQ214" s="164">
        <f t="shared" si="333"/>
        <v>209.29067149914979</v>
      </c>
      <c r="AR214" s="164">
        <f t="shared" si="333"/>
        <v>193.86917149914979</v>
      </c>
      <c r="AS214" s="164">
        <f t="shared" si="333"/>
        <v>184.04767149914971</v>
      </c>
      <c r="AT214" s="164">
        <f t="shared" si="333"/>
        <v>184.90055149914977</v>
      </c>
      <c r="AU214" s="164">
        <f t="shared" si="333"/>
        <v>175.44671149914979</v>
      </c>
      <c r="AV214" s="164">
        <f t="shared" si="333"/>
        <v>181.61567149914976</v>
      </c>
      <c r="AW214" s="164">
        <f t="shared" si="333"/>
        <v>197.11967149914975</v>
      </c>
      <c r="AX214" s="164">
        <f t="shared" si="333"/>
        <v>192.13888909914976</v>
      </c>
      <c r="AY214" s="164">
        <f t="shared" si="333"/>
        <v>176.64525229914977</v>
      </c>
      <c r="AZ214" s="5"/>
      <c r="BA214" s="5"/>
      <c r="BB214" s="5"/>
      <c r="BC214" s="5"/>
      <c r="BD214" s="5"/>
      <c r="BE214" s="5"/>
      <c r="BF214" s="5"/>
      <c r="BG214" s="4">
        <v>208</v>
      </c>
      <c r="BH214"/>
      <c r="BI214"/>
      <c r="BJ214"/>
      <c r="BK214"/>
      <c r="BL214"/>
      <c r="BM214"/>
    </row>
    <row r="215" spans="1:65" s="3" customFormat="1" ht="12.75" customHeight="1" outlineLevel="2">
      <c r="A215" s="6"/>
      <c r="B215" s="126" t="s">
        <v>198</v>
      </c>
      <c r="C215" s="155">
        <f t="shared" ref="C215:N215" si="335">C214/C13</f>
        <v>0.25799929764711788</v>
      </c>
      <c r="D215" s="155">
        <f t="shared" si="335"/>
        <v>0.35848889728357086</v>
      </c>
      <c r="E215" s="155">
        <f t="shared" si="335"/>
        <v>0.36835718258583205</v>
      </c>
      <c r="F215" s="155">
        <f t="shared" si="335"/>
        <v>0.35997921350218592</v>
      </c>
      <c r="G215" s="155">
        <f t="shared" si="335"/>
        <v>0.29602199950221875</v>
      </c>
      <c r="H215" s="155">
        <f t="shared" si="335"/>
        <v>0.29288763377574284</v>
      </c>
      <c r="I215" s="155">
        <f t="shared" si="335"/>
        <v>0.16608363128673634</v>
      </c>
      <c r="J215" s="155">
        <f t="shared" si="335"/>
        <v>4.047191376658138E-2</v>
      </c>
      <c r="K215" s="155">
        <f t="shared" si="335"/>
        <v>0.21344870519225459</v>
      </c>
      <c r="L215" s="155">
        <f t="shared" si="335"/>
        <v>0.29406982215209643</v>
      </c>
      <c r="M215" s="155">
        <f t="shared" si="335"/>
        <v>0.27633270234598756</v>
      </c>
      <c r="N215" s="155">
        <f t="shared" si="335"/>
        <v>0.27698696591784161</v>
      </c>
      <c r="O215" s="5"/>
      <c r="P215" s="155"/>
      <c r="Q215" s="155"/>
      <c r="R215" s="155"/>
      <c r="S215" s="155"/>
      <c r="T215" s="155">
        <f t="shared" ref="T215:AY215" si="336">T214/T13</f>
        <v>0.32149040886719654</v>
      </c>
      <c r="U215" s="155">
        <f t="shared" si="336"/>
        <v>0.33124008519067111</v>
      </c>
      <c r="V215" s="155">
        <f t="shared" si="336"/>
        <v>0.30915770494641787</v>
      </c>
      <c r="W215" s="155">
        <f t="shared" si="336"/>
        <v>0.23361070832635031</v>
      </c>
      <c r="X215" s="155">
        <f t="shared" si="336"/>
        <v>0.27832178264820367</v>
      </c>
      <c r="Y215" s="155">
        <f t="shared" si="336"/>
        <v>0.29285195809869558</v>
      </c>
      <c r="Z215" s="155">
        <f t="shared" si="336"/>
        <v>0.31309390889447603</v>
      </c>
      <c r="AA215" s="155">
        <f t="shared" si="336"/>
        <v>0.28373229005303097</v>
      </c>
      <c r="AB215" s="155">
        <f t="shared" si="336"/>
        <v>0.24914259179408932</v>
      </c>
      <c r="AC215" s="155">
        <f t="shared" si="336"/>
        <v>0.16298351278448253</v>
      </c>
      <c r="AD215" s="155">
        <f t="shared" si="336"/>
        <v>0.12730622989178125</v>
      </c>
      <c r="AE215" s="155">
        <f t="shared" si="336"/>
        <v>3.4725001111555576E-2</v>
      </c>
      <c r="AF215" s="155">
        <f t="shared" si="336"/>
        <v>6.9071484552241907E-2</v>
      </c>
      <c r="AG215" s="155">
        <f t="shared" si="336"/>
        <v>-4.3729047956655907E-2</v>
      </c>
      <c r="AH215" s="155">
        <f t="shared" si="336"/>
        <v>3.6319792246336538E-2</v>
      </c>
      <c r="AI215" s="155">
        <f t="shared" si="336"/>
        <v>8.3305462851612652E-2</v>
      </c>
      <c r="AJ215" s="155">
        <f t="shared" si="336"/>
        <v>0.12549903524680861</v>
      </c>
      <c r="AK215" s="155">
        <f t="shared" si="336"/>
        <v>0.20145266822738481</v>
      </c>
      <c r="AL215" s="155">
        <f t="shared" si="336"/>
        <v>0.25846813069094804</v>
      </c>
      <c r="AM215" s="155">
        <f t="shared" ref="AM215" si="337">AM214/AM13</f>
        <v>0.23304713509724892</v>
      </c>
      <c r="AN215" s="155">
        <f t="shared" si="336"/>
        <v>0.24854252118245806</v>
      </c>
      <c r="AO215" s="155">
        <f t="shared" si="336"/>
        <v>0.3044619274470759</v>
      </c>
      <c r="AP215" s="155">
        <f t="shared" si="336"/>
        <v>0.30106021211997658</v>
      </c>
      <c r="AQ215" s="155">
        <f t="shared" si="336"/>
        <v>0.30084233274894451</v>
      </c>
      <c r="AR215" s="155">
        <f t="shared" si="336"/>
        <v>0.28807150623866723</v>
      </c>
      <c r="AS215" s="155">
        <f t="shared" si="336"/>
        <v>0.27539791760201565</v>
      </c>
      <c r="AT215" s="155">
        <f t="shared" si="336"/>
        <v>0.27555881378328223</v>
      </c>
      <c r="AU215" s="155">
        <f t="shared" si="336"/>
        <v>0.26608625612925146</v>
      </c>
      <c r="AV215" s="155">
        <f t="shared" si="336"/>
        <v>0.27364399290244656</v>
      </c>
      <c r="AW215" s="155">
        <f t="shared" si="336"/>
        <v>0.28593045732289907</v>
      </c>
      <c r="AX215" s="155">
        <f t="shared" si="336"/>
        <v>0.28122088220894198</v>
      </c>
      <c r="AY215" s="155">
        <f t="shared" si="336"/>
        <v>0.26666189373377824</v>
      </c>
      <c r="AZ215" s="5"/>
      <c r="BA215" s="5"/>
      <c r="BB215" s="5"/>
      <c r="BC215" s="5"/>
      <c r="BD215" s="5"/>
      <c r="BE215" s="5"/>
      <c r="BF215" s="5"/>
      <c r="BG215" s="4">
        <v>209</v>
      </c>
      <c r="BH215"/>
      <c r="BI215"/>
      <c r="BJ215"/>
      <c r="BK215"/>
      <c r="BL215"/>
      <c r="BM215"/>
    </row>
    <row r="216" spans="1:65" s="3" customFormat="1" ht="12.75" customHeight="1" outlineLevel="2">
      <c r="A216" s="6"/>
      <c r="B216" s="126" t="s">
        <v>197</v>
      </c>
      <c r="C216" s="158"/>
      <c r="D216" s="158"/>
      <c r="E216" s="158"/>
      <c r="F216" s="158">
        <f>F214-F39</f>
        <v>10.251000000000033</v>
      </c>
      <c r="G216" s="158">
        <f>G214-G39</f>
        <v>7.9710000000000036</v>
      </c>
      <c r="H216" s="158">
        <f t="shared" ref="H216:N216" si="338">SUMIF($P$4:$AZ$4,H$4,$P216:$AZ216)</f>
        <v>16.359000000000009</v>
      </c>
      <c r="I216" s="158">
        <f t="shared" si="338"/>
        <v>1.9139999999999837</v>
      </c>
      <c r="J216" s="158">
        <f t="shared" si="338"/>
        <v>7.7930000000000081</v>
      </c>
      <c r="K216" s="158">
        <f t="shared" si="338"/>
        <v>10.163000000000025</v>
      </c>
      <c r="L216" s="158">
        <f t="shared" si="338"/>
        <v>15.584000000000003</v>
      </c>
      <c r="M216" s="158">
        <f t="shared" si="338"/>
        <v>19.584000000000032</v>
      </c>
      <c r="N216" s="158">
        <f t="shared" si="338"/>
        <v>19.584000000000003</v>
      </c>
      <c r="O216" s="5"/>
      <c r="P216" s="158"/>
      <c r="Q216" s="158"/>
      <c r="R216" s="158"/>
      <c r="S216" s="158"/>
      <c r="T216" s="158">
        <f t="shared" ref="T216:AY216" si="339">T214-T39</f>
        <v>1.8029999999999973</v>
      </c>
      <c r="U216" s="158">
        <f t="shared" si="339"/>
        <v>1.6539999999999964</v>
      </c>
      <c r="V216" s="158">
        <f t="shared" si="339"/>
        <v>1.7529999999999859</v>
      </c>
      <c r="W216" s="158">
        <f t="shared" si="339"/>
        <v>9.1850000000000023</v>
      </c>
      <c r="X216" s="158">
        <f t="shared" si="339"/>
        <v>2.0210000000000008</v>
      </c>
      <c r="Y216" s="158">
        <f t="shared" si="339"/>
        <v>1.9369999999999976</v>
      </c>
      <c r="Z216" s="158">
        <f t="shared" si="339"/>
        <v>4.2760000000000105</v>
      </c>
      <c r="AA216" s="158">
        <f t="shared" si="339"/>
        <v>8.125</v>
      </c>
      <c r="AB216" s="158">
        <f t="shared" si="339"/>
        <v>1.4380000000000024</v>
      </c>
      <c r="AC216" s="158">
        <f t="shared" si="339"/>
        <v>2.1490000000000009</v>
      </c>
      <c r="AD216" s="158">
        <f t="shared" si="339"/>
        <v>2.6069999999999993</v>
      </c>
      <c r="AE216" s="158">
        <f t="shared" si="339"/>
        <v>-4.2800000000000189</v>
      </c>
      <c r="AF216" s="158">
        <f t="shared" si="339"/>
        <v>1.6610000000000014</v>
      </c>
      <c r="AG216" s="158">
        <f t="shared" si="339"/>
        <v>3.8980000000000032</v>
      </c>
      <c r="AH216" s="158">
        <f t="shared" si="339"/>
        <v>1.7970000000000006</v>
      </c>
      <c r="AI216" s="158">
        <f t="shared" si="339"/>
        <v>0.43700000000000294</v>
      </c>
      <c r="AJ216" s="158">
        <f t="shared" si="339"/>
        <v>2.2379999999999995</v>
      </c>
      <c r="AK216" s="158">
        <f t="shared" si="339"/>
        <v>3.112000000000009</v>
      </c>
      <c r="AL216" s="158">
        <f t="shared" si="339"/>
        <v>2.4270000000000067</v>
      </c>
      <c r="AM216" s="158">
        <f t="shared" ref="AM216" si="340">AM214-AM39</f>
        <v>2.3860000000000099</v>
      </c>
      <c r="AN216" s="158">
        <f t="shared" si="339"/>
        <v>2.8960000000000008</v>
      </c>
      <c r="AO216" s="158">
        <f t="shared" si="339"/>
        <v>2.8960000000000008</v>
      </c>
      <c r="AP216" s="158">
        <f t="shared" si="339"/>
        <v>4.896000000000015</v>
      </c>
      <c r="AQ216" s="158">
        <f t="shared" si="339"/>
        <v>4.8959999999999866</v>
      </c>
      <c r="AR216" s="158">
        <f t="shared" si="339"/>
        <v>4.896000000000015</v>
      </c>
      <c r="AS216" s="158">
        <f t="shared" si="339"/>
        <v>4.896000000000015</v>
      </c>
      <c r="AT216" s="158">
        <f t="shared" si="339"/>
        <v>4.8959999999999866</v>
      </c>
      <c r="AU216" s="158">
        <f t="shared" si="339"/>
        <v>4.896000000000015</v>
      </c>
      <c r="AV216" s="158">
        <f t="shared" si="339"/>
        <v>4.8959999999999866</v>
      </c>
      <c r="AW216" s="158">
        <f t="shared" si="339"/>
        <v>4.8959999999999866</v>
      </c>
      <c r="AX216" s="158">
        <f t="shared" si="339"/>
        <v>4.896000000000015</v>
      </c>
      <c r="AY216" s="158">
        <f t="shared" si="339"/>
        <v>4.896000000000015</v>
      </c>
      <c r="AZ216" s="5"/>
      <c r="BA216" s="5"/>
      <c r="BB216" s="5"/>
      <c r="BC216" s="5"/>
      <c r="BD216" s="5"/>
      <c r="BE216" s="5"/>
      <c r="BF216" s="5"/>
      <c r="BG216" s="4">
        <v>210</v>
      </c>
      <c r="BH216"/>
      <c r="BI216"/>
      <c r="BJ216"/>
      <c r="BK216"/>
      <c r="BL216"/>
      <c r="BM216"/>
    </row>
    <row r="217" spans="1:65" s="3" customFormat="1" ht="11.25" outlineLevel="2">
      <c r="A217" s="2"/>
      <c r="B217" s="16"/>
      <c r="C217" s="15"/>
      <c r="D217" s="15"/>
      <c r="E217" s="15"/>
      <c r="F217" s="15"/>
      <c r="G217" s="15"/>
      <c r="H217" s="15"/>
      <c r="I217" s="15"/>
      <c r="J217" s="162"/>
      <c r="K217" s="162"/>
      <c r="L217" s="163"/>
      <c r="M217" s="162"/>
      <c r="N217" s="162"/>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15"/>
      <c r="AU217" s="15"/>
      <c r="AV217" s="15"/>
      <c r="AW217" s="15"/>
      <c r="AX217" s="15"/>
      <c r="AY217" s="15"/>
      <c r="BG217" s="4">
        <v>211</v>
      </c>
      <c r="BH217"/>
      <c r="BI217"/>
      <c r="BJ217"/>
      <c r="BK217"/>
      <c r="BL217"/>
      <c r="BM217"/>
    </row>
    <row r="218" spans="1:65" s="3" customFormat="1" ht="12.75" customHeight="1" outlineLevel="2">
      <c r="A218" s="6"/>
      <c r="B218" s="161" t="s">
        <v>196</v>
      </c>
      <c r="C218" s="25"/>
      <c r="D218" s="25"/>
      <c r="E218" s="25"/>
      <c r="F218" s="25"/>
      <c r="G218" s="25"/>
      <c r="H218" s="155"/>
      <c r="I218" s="155"/>
      <c r="J218" s="155"/>
      <c r="K218" s="155"/>
      <c r="L218" s="155"/>
      <c r="M218" s="155"/>
      <c r="N218" s="155"/>
      <c r="O218" s="5"/>
      <c r="P218" s="25"/>
      <c r="Q218" s="25"/>
      <c r="R218" s="25"/>
      <c r="S218" s="25"/>
      <c r="T218" s="25"/>
      <c r="U218" s="30"/>
      <c r="V218" s="30"/>
      <c r="W218" s="30"/>
      <c r="X218" s="30"/>
      <c r="Y218" s="30"/>
      <c r="Z218" s="19"/>
      <c r="AA218" s="19"/>
      <c r="AB218" s="19"/>
      <c r="AC218" s="19"/>
      <c r="AD218" s="19"/>
      <c r="AE218" s="19"/>
      <c r="AF218" s="19"/>
      <c r="AG218" s="19"/>
      <c r="AH218" s="19"/>
      <c r="AI218" s="19"/>
      <c r="AJ218" s="19"/>
      <c r="AK218" s="19"/>
      <c r="AL218" s="19"/>
      <c r="AM218" s="19"/>
      <c r="AN218" s="5"/>
      <c r="AO218" s="5"/>
      <c r="AP218" s="5"/>
      <c r="AQ218" s="5"/>
      <c r="AR218" s="5"/>
      <c r="AS218" s="5"/>
      <c r="AT218" s="5"/>
      <c r="AU218" s="5"/>
      <c r="AV218" s="5"/>
      <c r="AW218" s="5"/>
      <c r="AX218" s="5"/>
      <c r="AY218" s="5"/>
      <c r="AZ218" s="5"/>
      <c r="BA218" s="5"/>
      <c r="BB218" s="5"/>
      <c r="BC218" s="5"/>
      <c r="BD218" s="5"/>
      <c r="BE218" s="5"/>
      <c r="BF218" s="5"/>
      <c r="BG218" s="4">
        <v>212</v>
      </c>
      <c r="BH218"/>
      <c r="BI218"/>
      <c r="BJ218"/>
      <c r="BK218"/>
      <c r="BL218"/>
      <c r="BM218"/>
    </row>
    <row r="219" spans="1:65" s="3" customFormat="1" ht="12.75" customHeight="1" outlineLevel="2">
      <c r="A219" s="6"/>
      <c r="B219" s="126" t="s">
        <v>195</v>
      </c>
      <c r="C219" s="158">
        <f t="shared" ref="C219:N222" si="341">SUMIF($P$4:$AZ$4,C$4,$P219:$AZ219)</f>
        <v>0</v>
      </c>
      <c r="D219" s="158">
        <f t="shared" si="341"/>
        <v>0</v>
      </c>
      <c r="E219" s="158">
        <f t="shared" si="341"/>
        <v>0</v>
      </c>
      <c r="F219" s="158">
        <f t="shared" si="341"/>
        <v>0</v>
      </c>
      <c r="G219" s="158">
        <f t="shared" si="341"/>
        <v>-81.858000000000004</v>
      </c>
      <c r="H219" s="158">
        <f t="shared" si="341"/>
        <v>-114.227</v>
      </c>
      <c r="I219" s="158">
        <f t="shared" si="341"/>
        <v>-80.665999999999997</v>
      </c>
      <c r="J219" s="158">
        <f t="shared" si="341"/>
        <v>-70.27000000000001</v>
      </c>
      <c r="K219" s="158">
        <f t="shared" si="341"/>
        <v>-103.169</v>
      </c>
      <c r="L219" s="158">
        <f t="shared" si="341"/>
        <v>-139.5</v>
      </c>
      <c r="M219" s="158">
        <f t="shared" si="341"/>
        <v>-180</v>
      </c>
      <c r="N219" s="158">
        <f t="shared" si="341"/>
        <v>-180</v>
      </c>
      <c r="O219" s="5"/>
      <c r="P219" s="25"/>
      <c r="Q219" s="25"/>
      <c r="R219" s="25"/>
      <c r="S219" s="25"/>
      <c r="T219" s="154">
        <f t="shared" ref="T219:AY219" si="342">T76</f>
        <v>-16.991</v>
      </c>
      <c r="U219" s="154">
        <f t="shared" si="342"/>
        <v>-19.289000000000001</v>
      </c>
      <c r="V219" s="154">
        <f t="shared" si="342"/>
        <v>-22.885000000000002</v>
      </c>
      <c r="W219" s="154">
        <f t="shared" si="342"/>
        <v>-22.693000000000001</v>
      </c>
      <c r="X219" s="154">
        <f t="shared" si="342"/>
        <v>-21.777999999999999</v>
      </c>
      <c r="Y219" s="154">
        <f t="shared" si="342"/>
        <v>-27.39</v>
      </c>
      <c r="Z219" s="154">
        <f t="shared" si="342"/>
        <v>-29.954000000000001</v>
      </c>
      <c r="AA219" s="154">
        <f t="shared" si="342"/>
        <v>-35.104999999999997</v>
      </c>
      <c r="AB219" s="154">
        <f t="shared" si="342"/>
        <v>-24.02</v>
      </c>
      <c r="AC219" s="154">
        <f t="shared" si="342"/>
        <v>-19.204000000000001</v>
      </c>
      <c r="AD219" s="154">
        <f t="shared" si="342"/>
        <v>-18.314</v>
      </c>
      <c r="AE219" s="154">
        <f t="shared" si="342"/>
        <v>-19.128</v>
      </c>
      <c r="AF219" s="154">
        <f t="shared" si="342"/>
        <v>-16.625</v>
      </c>
      <c r="AG219" s="154">
        <f t="shared" si="342"/>
        <v>-21.126000000000001</v>
      </c>
      <c r="AH219" s="154">
        <f t="shared" si="342"/>
        <v>-15.443</v>
      </c>
      <c r="AI219" s="154">
        <f t="shared" si="342"/>
        <v>-17.076000000000001</v>
      </c>
      <c r="AJ219" s="154">
        <f t="shared" si="342"/>
        <v>-20.053999999999998</v>
      </c>
      <c r="AK219" s="154">
        <f t="shared" si="342"/>
        <v>-23.1</v>
      </c>
      <c r="AL219" s="154">
        <f t="shared" si="342"/>
        <v>-28.702999999999999</v>
      </c>
      <c r="AM219" s="154">
        <f t="shared" ref="AM219" si="343">AM76</f>
        <v>-31.311999999999998</v>
      </c>
      <c r="AN219" s="154">
        <f t="shared" si="342"/>
        <v>-21</v>
      </c>
      <c r="AO219" s="154">
        <f t="shared" si="342"/>
        <v>-21</v>
      </c>
      <c r="AP219" s="154">
        <f t="shared" si="342"/>
        <v>-50</v>
      </c>
      <c r="AQ219" s="154">
        <f t="shared" si="342"/>
        <v>-47.5</v>
      </c>
      <c r="AR219" s="154">
        <f t="shared" si="342"/>
        <v>-45</v>
      </c>
      <c r="AS219" s="154">
        <f t="shared" si="342"/>
        <v>-45</v>
      </c>
      <c r="AT219" s="154">
        <f t="shared" si="342"/>
        <v>-45</v>
      </c>
      <c r="AU219" s="154">
        <f t="shared" si="342"/>
        <v>-45</v>
      </c>
      <c r="AV219" s="154">
        <f t="shared" si="342"/>
        <v>-45</v>
      </c>
      <c r="AW219" s="154">
        <f t="shared" si="342"/>
        <v>-45</v>
      </c>
      <c r="AX219" s="154">
        <f t="shared" si="342"/>
        <v>-45</v>
      </c>
      <c r="AY219" s="154">
        <f t="shared" si="342"/>
        <v>-45</v>
      </c>
      <c r="AZ219" s="5"/>
      <c r="BA219" s="5"/>
      <c r="BB219" s="5"/>
      <c r="BC219" s="5"/>
      <c r="BD219" s="5"/>
      <c r="BE219" s="5"/>
      <c r="BF219" s="5"/>
      <c r="BG219" s="4">
        <v>213</v>
      </c>
      <c r="BH219"/>
      <c r="BI219"/>
      <c r="BJ219"/>
      <c r="BK219"/>
      <c r="BL219"/>
      <c r="BM219"/>
    </row>
    <row r="220" spans="1:65" s="3" customFormat="1" ht="12.75" customHeight="1" outlineLevel="2">
      <c r="A220" s="6"/>
      <c r="B220" s="126" t="s">
        <v>194</v>
      </c>
      <c r="C220" s="158">
        <f t="shared" si="341"/>
        <v>0</v>
      </c>
      <c r="D220" s="158">
        <f t="shared" si="341"/>
        <v>0</v>
      </c>
      <c r="E220" s="158">
        <f t="shared" si="341"/>
        <v>0</v>
      </c>
      <c r="F220" s="158">
        <f t="shared" si="341"/>
        <v>0</v>
      </c>
      <c r="G220" s="158">
        <f t="shared" si="341"/>
        <v>-39.937000000000033</v>
      </c>
      <c r="H220" s="158">
        <f t="shared" si="341"/>
        <v>-64.957739699999877</v>
      </c>
      <c r="I220" s="158">
        <f t="shared" si="341"/>
        <v>-52.411999999999978</v>
      </c>
      <c r="J220" s="158">
        <f t="shared" si="341"/>
        <v>-53.018000000000015</v>
      </c>
      <c r="K220" s="158">
        <f t="shared" si="341"/>
        <v>-96.334000000000003</v>
      </c>
      <c r="L220" s="158">
        <f t="shared" si="341"/>
        <v>-139.5</v>
      </c>
      <c r="M220" s="158">
        <f t="shared" si="341"/>
        <v>-180</v>
      </c>
      <c r="N220" s="158">
        <f t="shared" si="341"/>
        <v>-180</v>
      </c>
      <c r="O220" s="5"/>
      <c r="P220" s="25"/>
      <c r="Q220" s="25"/>
      <c r="R220" s="25"/>
      <c r="S220" s="25"/>
      <c r="T220" s="154">
        <f t="shared" ref="T220:AY220" si="344">T81</f>
        <v>-10.524000000000004</v>
      </c>
      <c r="U220" s="154">
        <f t="shared" si="344"/>
        <v>-9.4909999999999943</v>
      </c>
      <c r="V220" s="154">
        <f t="shared" si="344"/>
        <v>-10.060000000000016</v>
      </c>
      <c r="W220" s="154">
        <f t="shared" si="344"/>
        <v>-9.8620000000000161</v>
      </c>
      <c r="X220" s="154">
        <f t="shared" si="344"/>
        <v>-13.210999999999977</v>
      </c>
      <c r="Y220" s="154">
        <f t="shared" si="344"/>
        <v>-16.911739699999931</v>
      </c>
      <c r="Z220" s="154">
        <f t="shared" si="344"/>
        <v>-17.152999999999988</v>
      </c>
      <c r="AA220" s="154">
        <f t="shared" si="344"/>
        <v>-17.681999999999988</v>
      </c>
      <c r="AB220" s="154">
        <f t="shared" si="344"/>
        <v>-15.649000000000013</v>
      </c>
      <c r="AC220" s="154">
        <f t="shared" si="344"/>
        <v>-12.010999999999967</v>
      </c>
      <c r="AD220" s="154">
        <f t="shared" si="344"/>
        <v>-12.134999999999991</v>
      </c>
      <c r="AE220" s="154">
        <f t="shared" si="344"/>
        <v>-12.617000000000001</v>
      </c>
      <c r="AF220" s="154">
        <f t="shared" si="344"/>
        <v>-11.161000000000001</v>
      </c>
      <c r="AG220" s="154">
        <f t="shared" si="344"/>
        <v>-10.53799999999999</v>
      </c>
      <c r="AH220" s="154">
        <f t="shared" si="344"/>
        <v>-15.442999999999998</v>
      </c>
      <c r="AI220" s="154">
        <f t="shared" si="344"/>
        <v>-15.876000000000023</v>
      </c>
      <c r="AJ220" s="154">
        <f t="shared" si="344"/>
        <v>-20.05400000000003</v>
      </c>
      <c r="AK220" s="154">
        <f t="shared" si="344"/>
        <v>-23.099999999999966</v>
      </c>
      <c r="AL220" s="154">
        <f t="shared" si="344"/>
        <v>-28.703000000000003</v>
      </c>
      <c r="AM220" s="154">
        <f t="shared" ref="AM220" si="345">AM81</f>
        <v>-24.477000000000011</v>
      </c>
      <c r="AN220" s="154">
        <f t="shared" si="344"/>
        <v>-21</v>
      </c>
      <c r="AO220" s="154">
        <f t="shared" si="344"/>
        <v>-21</v>
      </c>
      <c r="AP220" s="154">
        <f t="shared" si="344"/>
        <v>-50</v>
      </c>
      <c r="AQ220" s="154">
        <f t="shared" si="344"/>
        <v>-47.5</v>
      </c>
      <c r="AR220" s="154">
        <f t="shared" si="344"/>
        <v>-45</v>
      </c>
      <c r="AS220" s="154">
        <f t="shared" si="344"/>
        <v>-45</v>
      </c>
      <c r="AT220" s="154">
        <f t="shared" si="344"/>
        <v>-45</v>
      </c>
      <c r="AU220" s="154">
        <f t="shared" si="344"/>
        <v>-45</v>
      </c>
      <c r="AV220" s="154">
        <f t="shared" si="344"/>
        <v>-45</v>
      </c>
      <c r="AW220" s="154">
        <f t="shared" si="344"/>
        <v>-45</v>
      </c>
      <c r="AX220" s="154">
        <f t="shared" si="344"/>
        <v>-45</v>
      </c>
      <c r="AY220" s="154">
        <f t="shared" si="344"/>
        <v>-45</v>
      </c>
      <c r="AZ220" s="5"/>
      <c r="BA220" s="5"/>
      <c r="BB220" s="5"/>
      <c r="BC220" s="5"/>
      <c r="BD220" s="5"/>
      <c r="BE220" s="5"/>
      <c r="BF220" s="5"/>
      <c r="BG220" s="4">
        <v>214</v>
      </c>
      <c r="BH220"/>
      <c r="BI220"/>
      <c r="BJ220"/>
      <c r="BK220"/>
      <c r="BL220"/>
      <c r="BM220"/>
    </row>
    <row r="221" spans="1:65" s="3" customFormat="1" ht="12.75" customHeight="1" outlineLevel="2">
      <c r="A221" s="6"/>
      <c r="B221" s="126" t="s">
        <v>193</v>
      </c>
      <c r="C221" s="158">
        <f t="shared" si="341"/>
        <v>0</v>
      </c>
      <c r="D221" s="158">
        <f t="shared" si="341"/>
        <v>0</v>
      </c>
      <c r="E221" s="158">
        <f t="shared" si="341"/>
        <v>0</v>
      </c>
      <c r="F221" s="158">
        <f t="shared" si="341"/>
        <v>0</v>
      </c>
      <c r="G221" s="158">
        <f t="shared" si="341"/>
        <v>-12.462</v>
      </c>
      <c r="H221" s="158">
        <f t="shared" si="341"/>
        <v>-9.8880000000000017</v>
      </c>
      <c r="I221" s="158">
        <f t="shared" si="341"/>
        <v>-0.32400000000000001</v>
      </c>
      <c r="J221" s="158">
        <f t="shared" si="341"/>
        <v>-6.5</v>
      </c>
      <c r="K221" s="158">
        <f t="shared" si="341"/>
        <v>-6.835</v>
      </c>
      <c r="L221" s="158">
        <f t="shared" si="341"/>
        <v>0</v>
      </c>
      <c r="M221" s="158">
        <f t="shared" si="341"/>
        <v>0</v>
      </c>
      <c r="N221" s="158">
        <f t="shared" si="341"/>
        <v>0</v>
      </c>
      <c r="O221" s="5"/>
      <c r="P221" s="25"/>
      <c r="Q221" s="25"/>
      <c r="R221" s="25"/>
      <c r="S221" s="25"/>
      <c r="T221" s="154">
        <f t="shared" ref="T221:AF221" si="346">T80</f>
        <v>-0.19700000000000001</v>
      </c>
      <c r="U221" s="154">
        <f t="shared" si="346"/>
        <v>-1.502</v>
      </c>
      <c r="V221" s="154">
        <f t="shared" si="346"/>
        <v>-5.3540000000000001</v>
      </c>
      <c r="W221" s="154">
        <f t="shared" si="346"/>
        <v>-5.4089999999999998</v>
      </c>
      <c r="X221" s="154">
        <f t="shared" si="346"/>
        <v>-5.1999999999999998E-2</v>
      </c>
      <c r="Y221" s="154">
        <f t="shared" si="346"/>
        <v>-2.206</v>
      </c>
      <c r="Z221" s="154">
        <f t="shared" si="346"/>
        <v>-3.0169999999999999</v>
      </c>
      <c r="AA221" s="154">
        <f t="shared" si="346"/>
        <v>-4.6130000000000004</v>
      </c>
      <c r="AB221" s="154">
        <f t="shared" si="346"/>
        <v>-0.32400000000000001</v>
      </c>
      <c r="AC221" s="154">
        <f t="shared" si="346"/>
        <v>0</v>
      </c>
      <c r="AD221" s="154">
        <f t="shared" si="346"/>
        <v>0</v>
      </c>
      <c r="AE221" s="154">
        <f t="shared" si="346"/>
        <v>0</v>
      </c>
      <c r="AF221" s="154">
        <f t="shared" si="346"/>
        <v>0</v>
      </c>
      <c r="AG221" s="160">
        <v>-5.3</v>
      </c>
      <c r="AH221" s="154">
        <f t="shared" ref="AH221:AY221" si="347">AH80</f>
        <v>0</v>
      </c>
      <c r="AI221" s="154">
        <f t="shared" si="347"/>
        <v>-1.2</v>
      </c>
      <c r="AJ221" s="154">
        <f t="shared" si="347"/>
        <v>0</v>
      </c>
      <c r="AK221" s="154">
        <f t="shared" si="347"/>
        <v>0</v>
      </c>
      <c r="AL221" s="154">
        <f t="shared" si="347"/>
        <v>0</v>
      </c>
      <c r="AM221" s="154">
        <f t="shared" ref="AM221" si="348">AM80</f>
        <v>-6.835</v>
      </c>
      <c r="AN221" s="154">
        <f t="shared" si="347"/>
        <v>0</v>
      </c>
      <c r="AO221" s="154">
        <f t="shared" si="347"/>
        <v>0</v>
      </c>
      <c r="AP221" s="154">
        <f t="shared" si="347"/>
        <v>0</v>
      </c>
      <c r="AQ221" s="154">
        <f t="shared" si="347"/>
        <v>0</v>
      </c>
      <c r="AR221" s="154">
        <f t="shared" si="347"/>
        <v>0</v>
      </c>
      <c r="AS221" s="154">
        <f t="shared" si="347"/>
        <v>0</v>
      </c>
      <c r="AT221" s="154">
        <f t="shared" si="347"/>
        <v>0</v>
      </c>
      <c r="AU221" s="154">
        <f t="shared" si="347"/>
        <v>0</v>
      </c>
      <c r="AV221" s="154">
        <f t="shared" si="347"/>
        <v>0</v>
      </c>
      <c r="AW221" s="154">
        <f t="shared" si="347"/>
        <v>0</v>
      </c>
      <c r="AX221" s="154">
        <f t="shared" si="347"/>
        <v>0</v>
      </c>
      <c r="AY221" s="154">
        <f t="shared" si="347"/>
        <v>0</v>
      </c>
      <c r="AZ221" s="5"/>
      <c r="BA221" s="5"/>
      <c r="BB221" s="5"/>
      <c r="BC221" s="5"/>
      <c r="BD221" s="5"/>
      <c r="BE221" s="5"/>
      <c r="BF221" s="5"/>
      <c r="BG221" s="4">
        <v>215</v>
      </c>
      <c r="BH221"/>
      <c r="BI221"/>
      <c r="BJ221"/>
      <c r="BK221"/>
      <c r="BL221"/>
      <c r="BM221"/>
    </row>
    <row r="222" spans="1:65" s="3" customFormat="1" ht="12.75" customHeight="1" outlineLevel="2">
      <c r="A222" s="6"/>
      <c r="B222" s="126" t="s">
        <v>192</v>
      </c>
      <c r="C222" s="158">
        <f t="shared" si="341"/>
        <v>0</v>
      </c>
      <c r="D222" s="158">
        <f t="shared" si="341"/>
        <v>0</v>
      </c>
      <c r="E222" s="158">
        <f t="shared" si="341"/>
        <v>0</v>
      </c>
      <c r="F222" s="158">
        <f t="shared" si="341"/>
        <v>0</v>
      </c>
      <c r="G222" s="158">
        <f t="shared" si="341"/>
        <v>-29.458999999999975</v>
      </c>
      <c r="H222" s="158">
        <f t="shared" si="341"/>
        <v>-39.381260300000115</v>
      </c>
      <c r="I222" s="158">
        <f t="shared" si="341"/>
        <v>-27.930000000000028</v>
      </c>
      <c r="J222" s="158">
        <f t="shared" si="341"/>
        <v>-10.75199999999999</v>
      </c>
      <c r="K222" s="158">
        <f t="shared" si="341"/>
        <v>1.3322676295501878E-14</v>
      </c>
      <c r="L222" s="158">
        <f t="shared" si="341"/>
        <v>0</v>
      </c>
      <c r="M222" s="158">
        <f t="shared" si="341"/>
        <v>0</v>
      </c>
      <c r="N222" s="158">
        <f t="shared" si="341"/>
        <v>0</v>
      </c>
      <c r="O222" s="5"/>
      <c r="P222" s="25"/>
      <c r="Q222" s="25"/>
      <c r="R222" s="25"/>
      <c r="S222" s="25"/>
      <c r="T222" s="154">
        <f t="shared" ref="T222:AY222" si="349">+T219-T220-T221</f>
        <v>-6.2699999999999951</v>
      </c>
      <c r="U222" s="154">
        <f t="shared" si="349"/>
        <v>-8.2960000000000065</v>
      </c>
      <c r="V222" s="154">
        <f t="shared" si="349"/>
        <v>-7.470999999999985</v>
      </c>
      <c r="W222" s="154">
        <f t="shared" si="349"/>
        <v>-7.4219999999999855</v>
      </c>
      <c r="X222" s="154">
        <f t="shared" si="349"/>
        <v>-8.5150000000000219</v>
      </c>
      <c r="Y222" s="154">
        <f t="shared" si="349"/>
        <v>-8.2722603000000703</v>
      </c>
      <c r="Z222" s="154">
        <f t="shared" si="349"/>
        <v>-9.7840000000000131</v>
      </c>
      <c r="AA222" s="154">
        <f t="shared" si="349"/>
        <v>-12.810000000000009</v>
      </c>
      <c r="AB222" s="159">
        <f t="shared" si="349"/>
        <v>-8.0469999999999864</v>
      </c>
      <c r="AC222" s="159">
        <f t="shared" si="349"/>
        <v>-7.1930000000000334</v>
      </c>
      <c r="AD222" s="159">
        <f t="shared" si="349"/>
        <v>-6.1790000000000092</v>
      </c>
      <c r="AE222" s="159">
        <f t="shared" si="349"/>
        <v>-6.5109999999999992</v>
      </c>
      <c r="AF222" s="159">
        <f t="shared" si="349"/>
        <v>-5.4639999999999986</v>
      </c>
      <c r="AG222" s="159">
        <f t="shared" si="349"/>
        <v>-5.2880000000000118</v>
      </c>
      <c r="AH222" s="159">
        <f t="shared" si="349"/>
        <v>-1.7763568394002505E-15</v>
      </c>
      <c r="AI222" s="159">
        <f t="shared" si="349"/>
        <v>2.19824158875781E-14</v>
      </c>
      <c r="AJ222" s="159">
        <f t="shared" si="349"/>
        <v>3.1974423109204508E-14</v>
      </c>
      <c r="AK222" s="159">
        <f t="shared" si="349"/>
        <v>-3.5527136788005009E-14</v>
      </c>
      <c r="AL222" s="159">
        <f t="shared" si="349"/>
        <v>3.5527136788005009E-15</v>
      </c>
      <c r="AM222" s="159">
        <f t="shared" ref="AM222" si="350">+AM219-AM220-AM221</f>
        <v>1.3322676295501878E-14</v>
      </c>
      <c r="AN222" s="159">
        <f t="shared" si="349"/>
        <v>0</v>
      </c>
      <c r="AO222" s="159">
        <f t="shared" si="349"/>
        <v>0</v>
      </c>
      <c r="AP222" s="159">
        <f t="shared" si="349"/>
        <v>0</v>
      </c>
      <c r="AQ222" s="159">
        <f t="shared" si="349"/>
        <v>0</v>
      </c>
      <c r="AR222" s="159">
        <f t="shared" si="349"/>
        <v>0</v>
      </c>
      <c r="AS222" s="159">
        <f t="shared" si="349"/>
        <v>0</v>
      </c>
      <c r="AT222" s="159">
        <f t="shared" si="349"/>
        <v>0</v>
      </c>
      <c r="AU222" s="159">
        <f t="shared" si="349"/>
        <v>0</v>
      </c>
      <c r="AV222" s="154">
        <f t="shared" si="349"/>
        <v>0</v>
      </c>
      <c r="AW222" s="154">
        <f t="shared" si="349"/>
        <v>0</v>
      </c>
      <c r="AX222" s="154">
        <f t="shared" si="349"/>
        <v>0</v>
      </c>
      <c r="AY222" s="154">
        <f t="shared" si="349"/>
        <v>0</v>
      </c>
      <c r="AZ222" s="5"/>
      <c r="BA222" s="5"/>
      <c r="BB222" s="5"/>
      <c r="BC222" s="5"/>
      <c r="BD222" s="5"/>
      <c r="BE222" s="5"/>
      <c r="BF222" s="5"/>
      <c r="BG222" s="4">
        <v>216</v>
      </c>
      <c r="BH222"/>
      <c r="BI222"/>
      <c r="BJ222"/>
      <c r="BK222"/>
      <c r="BL222"/>
      <c r="BM222"/>
    </row>
    <row r="223" spans="1:65" s="3" customFormat="1" ht="12.75" customHeight="1" outlineLevel="2">
      <c r="A223" s="6"/>
      <c r="B223" s="126"/>
      <c r="C223" s="25"/>
      <c r="D223" s="25"/>
      <c r="E223" s="25"/>
      <c r="F223" s="25"/>
      <c r="G223" s="25"/>
      <c r="H223" s="155"/>
      <c r="I223" s="155"/>
      <c r="J223" s="155"/>
      <c r="K223" s="155"/>
      <c r="L223" s="155"/>
      <c r="M223" s="155"/>
      <c r="N223" s="155"/>
      <c r="O223" s="5"/>
      <c r="P223" s="25"/>
      <c r="Q223" s="25"/>
      <c r="R223" s="25"/>
      <c r="S223" s="25"/>
      <c r="T223" s="25"/>
      <c r="U223" s="30"/>
      <c r="V223" s="30"/>
      <c r="W223" s="30"/>
      <c r="X223" s="30"/>
      <c r="Y223" s="30"/>
      <c r="Z223" s="19"/>
      <c r="AA223" s="19"/>
      <c r="AB223" s="19"/>
      <c r="AC223" s="19"/>
      <c r="AD223" s="19"/>
      <c r="AE223" s="19"/>
      <c r="AF223" s="19"/>
      <c r="AG223" s="19"/>
      <c r="AH223" s="19"/>
      <c r="AI223" s="19"/>
      <c r="AJ223" s="19"/>
      <c r="AK223" s="19"/>
      <c r="AL223" s="19"/>
      <c r="AM223" s="19"/>
      <c r="AN223" s="5"/>
      <c r="AO223" s="5"/>
      <c r="AP223" s="5"/>
      <c r="AQ223" s="5"/>
      <c r="AR223" s="5"/>
      <c r="AS223" s="5"/>
      <c r="AT223" s="5"/>
      <c r="AU223" s="5"/>
      <c r="AV223" s="5"/>
      <c r="AW223" s="5"/>
      <c r="AX223" s="5"/>
      <c r="AY223" s="5"/>
      <c r="AZ223" s="5"/>
      <c r="BA223" s="5"/>
      <c r="BB223" s="5"/>
      <c r="BC223" s="5"/>
      <c r="BD223" s="5"/>
      <c r="BE223" s="5"/>
      <c r="BF223" s="5"/>
      <c r="BG223" s="4">
        <v>217</v>
      </c>
      <c r="BH223"/>
      <c r="BI223"/>
      <c r="BJ223"/>
      <c r="BK223"/>
      <c r="BL223"/>
      <c r="BM223"/>
    </row>
    <row r="224" spans="1:65" s="3" customFormat="1" ht="12.75" customHeight="1" outlineLevel="2">
      <c r="A224" s="6"/>
      <c r="B224" s="126" t="s">
        <v>191</v>
      </c>
      <c r="C224" s="25"/>
      <c r="D224" s="25"/>
      <c r="E224" s="25"/>
      <c r="F224" s="25"/>
      <c r="G224" s="25"/>
      <c r="H224" s="155"/>
      <c r="I224" s="155"/>
      <c r="J224" s="155"/>
      <c r="K224" s="155"/>
      <c r="L224" s="155"/>
      <c r="M224" s="155"/>
      <c r="N224" s="155"/>
      <c r="O224" s="5"/>
      <c r="P224" s="25"/>
      <c r="Q224" s="25"/>
      <c r="R224" s="25"/>
      <c r="S224" s="25"/>
      <c r="T224" s="25"/>
      <c r="U224" s="30"/>
      <c r="V224" s="30"/>
      <c r="W224" s="30"/>
      <c r="X224" s="30"/>
      <c r="Y224" s="30"/>
      <c r="Z224" s="19"/>
      <c r="AA224" s="19"/>
      <c r="AB224" s="19"/>
      <c r="AC224" s="19"/>
      <c r="AD224" s="19"/>
      <c r="AE224" s="19"/>
      <c r="AF224" s="19"/>
      <c r="AG224" s="19"/>
      <c r="AH224" s="19"/>
      <c r="AI224" s="19"/>
      <c r="AJ224" s="19"/>
      <c r="AK224" s="19"/>
      <c r="AL224" s="19"/>
      <c r="AM224" s="19"/>
      <c r="AN224" s="5"/>
      <c r="AO224" s="5"/>
      <c r="AP224" s="5"/>
      <c r="AQ224" s="5"/>
      <c r="AR224" s="5"/>
      <c r="AS224" s="5"/>
      <c r="AT224" s="5"/>
      <c r="AU224" s="5"/>
      <c r="AV224" s="5"/>
      <c r="AW224" s="5"/>
      <c r="AX224" s="5"/>
      <c r="AY224" s="5"/>
      <c r="AZ224" s="5"/>
      <c r="BA224" s="5"/>
      <c r="BB224" s="5"/>
      <c r="BC224" s="5"/>
      <c r="BD224" s="5"/>
      <c r="BE224" s="5"/>
      <c r="BF224" s="5"/>
      <c r="BG224" s="4">
        <v>218</v>
      </c>
      <c r="BH224"/>
      <c r="BI224"/>
      <c r="BJ224"/>
      <c r="BK224"/>
      <c r="BL224"/>
      <c r="BM224"/>
    </row>
    <row r="225" spans="1:65" s="3" customFormat="1" ht="12.75" customHeight="1" outlineLevel="2">
      <c r="A225" s="6"/>
      <c r="B225" s="156" t="s">
        <v>189</v>
      </c>
      <c r="C225" s="158">
        <f t="shared" ref="C225:N229" si="351">SUMIF($P$4:$AZ$4,C$4,$P225:$AZ225)</f>
        <v>0</v>
      </c>
      <c r="D225" s="158">
        <f t="shared" si="351"/>
        <v>0</v>
      </c>
      <c r="E225" s="158">
        <f t="shared" si="351"/>
        <v>0</v>
      </c>
      <c r="F225" s="158">
        <f t="shared" si="351"/>
        <v>0</v>
      </c>
      <c r="G225" s="158">
        <f t="shared" si="351"/>
        <v>856.21199999999999</v>
      </c>
      <c r="H225" s="158">
        <f t="shared" si="351"/>
        <v>1232.2317603000001</v>
      </c>
      <c r="I225" s="158">
        <f t="shared" si="351"/>
        <v>710.08300000000008</v>
      </c>
      <c r="J225" s="158">
        <f t="shared" si="351"/>
        <v>416.14400000000001</v>
      </c>
      <c r="K225" s="158">
        <f t="shared" si="351"/>
        <v>834.74900000000002</v>
      </c>
      <c r="L225" s="158">
        <f t="shared" si="351"/>
        <v>1577.3962304538466</v>
      </c>
      <c r="M225" s="158">
        <f t="shared" si="351"/>
        <v>2009.3315074074064</v>
      </c>
      <c r="N225" s="158">
        <f t="shared" si="351"/>
        <v>2023.1890074074063</v>
      </c>
      <c r="O225" s="5"/>
      <c r="P225" s="25"/>
      <c r="Q225" s="25"/>
      <c r="R225" s="25"/>
      <c r="S225" s="25"/>
      <c r="T225" s="72">
        <f t="shared" ref="T225:AY225" si="352">T11</f>
        <v>187.352</v>
      </c>
      <c r="U225" s="72">
        <f t="shared" si="352"/>
        <v>190.934</v>
      </c>
      <c r="V225" s="72">
        <f t="shared" si="352"/>
        <v>232.17599999999999</v>
      </c>
      <c r="W225" s="72">
        <f t="shared" si="352"/>
        <v>245.75</v>
      </c>
      <c r="X225" s="72">
        <f t="shared" si="352"/>
        <v>266.5</v>
      </c>
      <c r="Y225" s="72">
        <f t="shared" si="352"/>
        <v>300.68476030000005</v>
      </c>
      <c r="Z225" s="72">
        <f t="shared" si="352"/>
        <v>340.66699999999997</v>
      </c>
      <c r="AA225" s="72">
        <f t="shared" si="352"/>
        <v>324.38</v>
      </c>
      <c r="AB225" s="72">
        <f t="shared" si="352"/>
        <v>272.86900000000003</v>
      </c>
      <c r="AC225" s="72">
        <f t="shared" si="352"/>
        <v>188.15</v>
      </c>
      <c r="AD225" s="72">
        <f t="shared" si="352"/>
        <v>141.584</v>
      </c>
      <c r="AE225" s="72">
        <f t="shared" si="352"/>
        <v>107.48</v>
      </c>
      <c r="AF225" s="72">
        <f t="shared" si="352"/>
        <v>117.46299999999999</v>
      </c>
      <c r="AG225" s="72">
        <f t="shared" si="352"/>
        <v>82.102000000000004</v>
      </c>
      <c r="AH225" s="72">
        <f t="shared" si="352"/>
        <v>103.14</v>
      </c>
      <c r="AI225" s="72">
        <f t="shared" si="352"/>
        <v>113.43899999999999</v>
      </c>
      <c r="AJ225" s="72">
        <f t="shared" si="352"/>
        <v>140.99299999999999</v>
      </c>
      <c r="AK225" s="72">
        <f t="shared" si="352"/>
        <v>198.81200000000001</v>
      </c>
      <c r="AL225" s="72">
        <f t="shared" si="352"/>
        <v>249.751</v>
      </c>
      <c r="AM225" s="72">
        <f t="shared" ref="AM225" si="353">AM11</f>
        <v>245.19300000000001</v>
      </c>
      <c r="AN225" s="72">
        <f t="shared" si="352"/>
        <v>243.82493510538674</v>
      </c>
      <c r="AO225" s="72">
        <f t="shared" si="352"/>
        <v>254.21245249660822</v>
      </c>
      <c r="AP225" s="72">
        <f t="shared" si="352"/>
        <v>531.27659099999994</v>
      </c>
      <c r="AQ225" s="72">
        <f t="shared" si="352"/>
        <v>548.08225185185165</v>
      </c>
      <c r="AR225" s="72">
        <f t="shared" si="352"/>
        <v>518.18975185185161</v>
      </c>
      <c r="AS225" s="72">
        <f t="shared" si="352"/>
        <v>488.29725185185163</v>
      </c>
      <c r="AT225" s="72">
        <f t="shared" si="352"/>
        <v>497.04725185185157</v>
      </c>
      <c r="AU225" s="72">
        <f t="shared" si="352"/>
        <v>505.79725185185157</v>
      </c>
      <c r="AV225" s="72">
        <f t="shared" si="352"/>
        <v>505.79725185185157</v>
      </c>
      <c r="AW225" s="72">
        <f t="shared" si="352"/>
        <v>505.79725185185157</v>
      </c>
      <c r="AX225" s="72">
        <f t="shared" si="352"/>
        <v>505.79725185185157</v>
      </c>
      <c r="AY225" s="72">
        <f t="shared" si="352"/>
        <v>505.79725185185157</v>
      </c>
      <c r="AZ225" s="5"/>
      <c r="BA225" s="5"/>
      <c r="BB225" s="5"/>
      <c r="BC225" s="5"/>
      <c r="BD225" s="5"/>
      <c r="BE225" s="5"/>
      <c r="BF225" s="5"/>
      <c r="BG225" s="4">
        <v>219</v>
      </c>
      <c r="BH225"/>
      <c r="BI225"/>
      <c r="BJ225"/>
      <c r="BK225"/>
      <c r="BL225"/>
      <c r="BM225"/>
    </row>
    <row r="226" spans="1:65" s="3" customFormat="1" ht="12.75" customHeight="1" outlineLevel="2">
      <c r="A226" s="6"/>
      <c r="B226" s="156" t="s">
        <v>188</v>
      </c>
      <c r="C226" s="158">
        <f t="shared" si="351"/>
        <v>0</v>
      </c>
      <c r="D226" s="158">
        <f t="shared" si="351"/>
        <v>0</v>
      </c>
      <c r="E226" s="158">
        <f t="shared" si="351"/>
        <v>0</v>
      </c>
      <c r="F226" s="158">
        <f t="shared" si="351"/>
        <v>0</v>
      </c>
      <c r="G226" s="158">
        <f t="shared" si="351"/>
        <v>-559.89199999999994</v>
      </c>
      <c r="H226" s="158">
        <f t="shared" si="351"/>
        <v>-801.4445363000001</v>
      </c>
      <c r="I226" s="158">
        <f t="shared" si="351"/>
        <v>-556.93299999999999</v>
      </c>
      <c r="J226" s="158">
        <f t="shared" si="351"/>
        <v>-387.29600000000005</v>
      </c>
      <c r="K226" s="158">
        <f t="shared" si="351"/>
        <v>-590.70699999999999</v>
      </c>
      <c r="L226" s="158">
        <f t="shared" si="351"/>
        <v>-1021.1301230482985</v>
      </c>
      <c r="M226" s="158">
        <f t="shared" si="351"/>
        <v>-1370.4953214108073</v>
      </c>
      <c r="N226" s="158">
        <f t="shared" si="351"/>
        <v>-1380.6943214108073</v>
      </c>
      <c r="O226" s="5"/>
      <c r="P226" s="25"/>
      <c r="Q226" s="25"/>
      <c r="R226" s="25"/>
      <c r="S226" s="25"/>
      <c r="T226" s="72">
        <f t="shared" ref="T226:AY226" si="354">T77</f>
        <v>-112.983</v>
      </c>
      <c r="U226" s="72">
        <f t="shared" si="354"/>
        <v>-115.036</v>
      </c>
      <c r="V226" s="72">
        <f t="shared" si="354"/>
        <v>-149.73199999999997</v>
      </c>
      <c r="W226" s="72">
        <f t="shared" si="354"/>
        <v>-182.14099999999999</v>
      </c>
      <c r="X226" s="72">
        <f t="shared" si="354"/>
        <v>-177.48000000000002</v>
      </c>
      <c r="Y226" s="72">
        <f t="shared" si="354"/>
        <v>-196.76853630000005</v>
      </c>
      <c r="Z226" s="72">
        <f t="shared" si="354"/>
        <v>-215.60399999999998</v>
      </c>
      <c r="AA226" s="72">
        <f t="shared" si="354"/>
        <v>-211.59199999999998</v>
      </c>
      <c r="AB226" s="72">
        <f t="shared" si="354"/>
        <v>-189.05</v>
      </c>
      <c r="AC226" s="72">
        <f t="shared" si="354"/>
        <v>-150.35000000000002</v>
      </c>
      <c r="AD226" s="72">
        <f t="shared" si="354"/>
        <v>-119.52200000000001</v>
      </c>
      <c r="AE226" s="72">
        <f t="shared" si="354"/>
        <v>-98.01100000000001</v>
      </c>
      <c r="AF226" s="72">
        <f t="shared" si="354"/>
        <v>-104.779</v>
      </c>
      <c r="AG226" s="72">
        <f t="shared" si="354"/>
        <v>-89.376000000000005</v>
      </c>
      <c r="AH226" s="72">
        <f t="shared" si="354"/>
        <v>-96.784000000000006</v>
      </c>
      <c r="AI226" s="72">
        <f t="shared" si="354"/>
        <v>-96.356999999999999</v>
      </c>
      <c r="AJ226" s="72">
        <f t="shared" si="354"/>
        <v>-113.64699999999999</v>
      </c>
      <c r="AK226" s="72">
        <f t="shared" si="354"/>
        <v>-144.43900000000002</v>
      </c>
      <c r="AL226" s="72">
        <f t="shared" si="354"/>
        <v>-164.65</v>
      </c>
      <c r="AM226" s="72">
        <f t="shared" ref="AM226" si="355">AM77</f>
        <v>-167.971</v>
      </c>
      <c r="AN226" s="72">
        <f t="shared" si="354"/>
        <v>-168.03866997583668</v>
      </c>
      <c r="AO226" s="72">
        <f t="shared" si="354"/>
        <v>-161.21479236705812</v>
      </c>
      <c r="AP226" s="72">
        <f t="shared" si="354"/>
        <v>-343.0890803527019</v>
      </c>
      <c r="AQ226" s="72">
        <f t="shared" si="354"/>
        <v>-348.78758035270187</v>
      </c>
      <c r="AR226" s="72">
        <f t="shared" si="354"/>
        <v>-344.01658035270185</v>
      </c>
      <c r="AS226" s="72">
        <f t="shared" si="354"/>
        <v>-339.14558035270193</v>
      </c>
      <c r="AT226" s="72">
        <f t="shared" si="354"/>
        <v>-342.15958035270177</v>
      </c>
      <c r="AU226" s="72">
        <f t="shared" si="354"/>
        <v>-345.17358035270183</v>
      </c>
      <c r="AV226" s="72">
        <f t="shared" si="354"/>
        <v>-345.17358035270183</v>
      </c>
      <c r="AW226" s="72">
        <f t="shared" si="354"/>
        <v>-345.17358035270183</v>
      </c>
      <c r="AX226" s="72">
        <f t="shared" si="354"/>
        <v>-345.17358035270183</v>
      </c>
      <c r="AY226" s="72">
        <f t="shared" si="354"/>
        <v>-345.17358035270183</v>
      </c>
      <c r="AZ226" s="5"/>
      <c r="BA226" s="5"/>
      <c r="BB226" s="5"/>
      <c r="BC226" s="5"/>
      <c r="BD226" s="5"/>
      <c r="BE226" s="5"/>
      <c r="BF226" s="5"/>
      <c r="BG226" s="4">
        <v>220</v>
      </c>
      <c r="BH226"/>
      <c r="BI226"/>
      <c r="BJ226"/>
      <c r="BK226"/>
      <c r="BL226"/>
      <c r="BM226"/>
    </row>
    <row r="227" spans="1:65" s="3" customFormat="1" ht="12.75" customHeight="1" outlineLevel="2">
      <c r="A227" s="6"/>
      <c r="B227" s="156" t="s">
        <v>187</v>
      </c>
      <c r="C227" s="158">
        <f t="shared" si="351"/>
        <v>0</v>
      </c>
      <c r="D227" s="158">
        <f t="shared" si="351"/>
        <v>0</v>
      </c>
      <c r="E227" s="158">
        <f t="shared" si="351"/>
        <v>0</v>
      </c>
      <c r="F227" s="158">
        <f t="shared" si="351"/>
        <v>0</v>
      </c>
      <c r="G227" s="158">
        <f t="shared" si="351"/>
        <v>-22.434999999999974</v>
      </c>
      <c r="H227" s="158">
        <f t="shared" si="351"/>
        <v>-32.357260300000114</v>
      </c>
      <c r="I227" s="158">
        <f t="shared" si="351"/>
        <v>-22.076000000000008</v>
      </c>
      <c r="J227" s="158">
        <f t="shared" si="351"/>
        <v>-7.5529999999999973</v>
      </c>
      <c r="K227" s="158">
        <f t="shared" si="351"/>
        <v>0</v>
      </c>
      <c r="L227" s="158">
        <f t="shared" si="351"/>
        <v>0</v>
      </c>
      <c r="M227" s="158">
        <f t="shared" si="351"/>
        <v>0</v>
      </c>
      <c r="N227" s="158">
        <f t="shared" si="351"/>
        <v>0</v>
      </c>
      <c r="O227" s="5"/>
      <c r="P227" s="25"/>
      <c r="Q227" s="25"/>
      <c r="R227" s="25"/>
      <c r="S227" s="25"/>
      <c r="T227" s="157">
        <f t="shared" ref="T227:AA227" si="356">+T222-T236</f>
        <v>-4.5139999999999949</v>
      </c>
      <c r="U227" s="157">
        <f t="shared" si="356"/>
        <v>-6.5400000000000063</v>
      </c>
      <c r="V227" s="157">
        <f t="shared" si="356"/>
        <v>-5.7149999999999848</v>
      </c>
      <c r="W227" s="157">
        <f t="shared" si="356"/>
        <v>-5.6659999999999853</v>
      </c>
      <c r="X227" s="157">
        <f t="shared" si="356"/>
        <v>-6.7590000000000217</v>
      </c>
      <c r="Y227" s="157">
        <f t="shared" si="356"/>
        <v>-6.5162603000000701</v>
      </c>
      <c r="Z227" s="157">
        <f t="shared" si="356"/>
        <v>-8.0280000000000129</v>
      </c>
      <c r="AA227" s="157">
        <f t="shared" si="356"/>
        <v>-11.054000000000009</v>
      </c>
      <c r="AB227" s="72">
        <f t="shared" ref="AB227:AY227" si="357">+AB226-AB228</f>
        <v>-6.2909999999999968</v>
      </c>
      <c r="AC227" s="72">
        <f t="shared" si="357"/>
        <v>-5.7940000000000111</v>
      </c>
      <c r="AD227" s="72">
        <f t="shared" si="357"/>
        <v>-4.7259999999999991</v>
      </c>
      <c r="AE227" s="72">
        <f t="shared" si="357"/>
        <v>-5.2650000000000006</v>
      </c>
      <c r="AF227" s="72">
        <f t="shared" si="357"/>
        <v>-3.9080000000000013</v>
      </c>
      <c r="AG227" s="72">
        <f t="shared" si="357"/>
        <v>-3.644999999999996</v>
      </c>
      <c r="AH227" s="72">
        <f t="shared" si="357"/>
        <v>0</v>
      </c>
      <c r="AI227" s="72">
        <f t="shared" si="357"/>
        <v>0</v>
      </c>
      <c r="AJ227" s="72">
        <f t="shared" si="357"/>
        <v>0</v>
      </c>
      <c r="AK227" s="72">
        <f t="shared" si="357"/>
        <v>0</v>
      </c>
      <c r="AL227" s="72">
        <f t="shared" si="357"/>
        <v>0</v>
      </c>
      <c r="AM227" s="72">
        <f t="shared" ref="AM227" si="358">+AM226-AM228</f>
        <v>0</v>
      </c>
      <c r="AN227" s="72">
        <f t="shared" si="357"/>
        <v>0</v>
      </c>
      <c r="AO227" s="72">
        <f t="shared" si="357"/>
        <v>0</v>
      </c>
      <c r="AP227" s="72">
        <f t="shared" si="357"/>
        <v>0</v>
      </c>
      <c r="AQ227" s="72">
        <f t="shared" si="357"/>
        <v>0</v>
      </c>
      <c r="AR227" s="72">
        <f t="shared" si="357"/>
        <v>0</v>
      </c>
      <c r="AS227" s="72">
        <f t="shared" si="357"/>
        <v>0</v>
      </c>
      <c r="AT227" s="72">
        <f t="shared" si="357"/>
        <v>0</v>
      </c>
      <c r="AU227" s="72">
        <f t="shared" si="357"/>
        <v>0</v>
      </c>
      <c r="AV227" s="72">
        <f t="shared" si="357"/>
        <v>0</v>
      </c>
      <c r="AW227" s="72">
        <f t="shared" si="357"/>
        <v>0</v>
      </c>
      <c r="AX227" s="72">
        <f t="shared" si="357"/>
        <v>0</v>
      </c>
      <c r="AY227" s="72">
        <f t="shared" si="357"/>
        <v>0</v>
      </c>
      <c r="AZ227" s="5"/>
      <c r="BA227" s="5"/>
      <c r="BB227" s="5"/>
      <c r="BC227" s="5"/>
      <c r="BD227" s="5"/>
      <c r="BE227" s="5"/>
      <c r="BF227" s="5"/>
      <c r="BG227" s="4">
        <v>221</v>
      </c>
      <c r="BH227"/>
      <c r="BI227"/>
      <c r="BJ227"/>
      <c r="BK227"/>
      <c r="BL227"/>
      <c r="BM227"/>
    </row>
    <row r="228" spans="1:65" s="3" customFormat="1" ht="12.75" customHeight="1" outlineLevel="2">
      <c r="A228" s="6"/>
      <c r="B228" s="156" t="s">
        <v>186</v>
      </c>
      <c r="C228" s="158">
        <f t="shared" si="351"/>
        <v>0</v>
      </c>
      <c r="D228" s="158">
        <f t="shared" si="351"/>
        <v>0</v>
      </c>
      <c r="E228" s="158">
        <f t="shared" si="351"/>
        <v>0</v>
      </c>
      <c r="F228" s="158">
        <f t="shared" si="351"/>
        <v>0</v>
      </c>
      <c r="G228" s="158">
        <f t="shared" si="351"/>
        <v>-537.45699999999999</v>
      </c>
      <c r="H228" s="158">
        <f t="shared" si="351"/>
        <v>-769.08727599999997</v>
      </c>
      <c r="I228" s="158">
        <f t="shared" si="351"/>
        <v>-534.85700000000008</v>
      </c>
      <c r="J228" s="158">
        <f t="shared" si="351"/>
        <v>-379.74300000000005</v>
      </c>
      <c r="K228" s="158">
        <f t="shared" si="351"/>
        <v>-590.70699999999999</v>
      </c>
      <c r="L228" s="158">
        <f t="shared" si="351"/>
        <v>-1021.1301230482985</v>
      </c>
      <c r="M228" s="158">
        <f t="shared" si="351"/>
        <v>-1370.4953214108073</v>
      </c>
      <c r="N228" s="158">
        <f t="shared" si="351"/>
        <v>-1380.6943214108073</v>
      </c>
      <c r="O228" s="5"/>
      <c r="P228" s="25"/>
      <c r="Q228" s="25"/>
      <c r="R228" s="25"/>
      <c r="S228" s="25"/>
      <c r="T228" s="157">
        <f t="shared" ref="T228:AA228" si="359">+T226-T227</f>
        <v>-108.46900000000001</v>
      </c>
      <c r="U228" s="157">
        <f t="shared" si="359"/>
        <v>-108.496</v>
      </c>
      <c r="V228" s="157">
        <f t="shared" si="359"/>
        <v>-144.017</v>
      </c>
      <c r="W228" s="157">
        <f t="shared" si="359"/>
        <v>-176.47499999999999</v>
      </c>
      <c r="X228" s="157">
        <f t="shared" si="359"/>
        <v>-170.721</v>
      </c>
      <c r="Y228" s="157">
        <f t="shared" si="359"/>
        <v>-190.25227599999999</v>
      </c>
      <c r="Z228" s="157">
        <f t="shared" si="359"/>
        <v>-207.57599999999996</v>
      </c>
      <c r="AA228" s="157">
        <f t="shared" si="359"/>
        <v>-200.53799999999998</v>
      </c>
      <c r="AB228" s="72">
        <f t="shared" ref="AB228:AY228" si="360">+AB229-AB225</f>
        <v>-182.75900000000001</v>
      </c>
      <c r="AC228" s="72">
        <f t="shared" si="360"/>
        <v>-144.55600000000001</v>
      </c>
      <c r="AD228" s="72">
        <f t="shared" si="360"/>
        <v>-114.79600000000001</v>
      </c>
      <c r="AE228" s="72">
        <f t="shared" si="360"/>
        <v>-92.746000000000009</v>
      </c>
      <c r="AF228" s="72">
        <f t="shared" si="360"/>
        <v>-100.871</v>
      </c>
      <c r="AG228" s="72">
        <f t="shared" si="360"/>
        <v>-85.731000000000009</v>
      </c>
      <c r="AH228" s="72">
        <f t="shared" si="360"/>
        <v>-96.784000000000006</v>
      </c>
      <c r="AI228" s="72">
        <f t="shared" si="360"/>
        <v>-96.356999999999999</v>
      </c>
      <c r="AJ228" s="72">
        <f t="shared" si="360"/>
        <v>-113.64699999999999</v>
      </c>
      <c r="AK228" s="72">
        <f t="shared" si="360"/>
        <v>-144.43900000000002</v>
      </c>
      <c r="AL228" s="72">
        <f t="shared" si="360"/>
        <v>-164.65</v>
      </c>
      <c r="AM228" s="72">
        <f t="shared" ref="AM228" si="361">+AM229-AM225</f>
        <v>-167.971</v>
      </c>
      <c r="AN228" s="72">
        <f t="shared" si="360"/>
        <v>-168.03866997583668</v>
      </c>
      <c r="AO228" s="72">
        <f t="shared" si="360"/>
        <v>-161.21479236705812</v>
      </c>
      <c r="AP228" s="72">
        <f t="shared" si="360"/>
        <v>-343.0890803527019</v>
      </c>
      <c r="AQ228" s="72">
        <f t="shared" si="360"/>
        <v>-348.78758035270187</v>
      </c>
      <c r="AR228" s="72">
        <f t="shared" si="360"/>
        <v>-344.01658035270185</v>
      </c>
      <c r="AS228" s="72">
        <f t="shared" si="360"/>
        <v>-339.14558035270193</v>
      </c>
      <c r="AT228" s="72">
        <f t="shared" si="360"/>
        <v>-342.15958035270177</v>
      </c>
      <c r="AU228" s="72">
        <f t="shared" si="360"/>
        <v>-345.17358035270183</v>
      </c>
      <c r="AV228" s="72">
        <f t="shared" si="360"/>
        <v>-345.17358035270183</v>
      </c>
      <c r="AW228" s="72">
        <f t="shared" si="360"/>
        <v>-345.17358035270183</v>
      </c>
      <c r="AX228" s="72">
        <f t="shared" si="360"/>
        <v>-345.17358035270183</v>
      </c>
      <c r="AY228" s="72">
        <f t="shared" si="360"/>
        <v>-345.17358035270183</v>
      </c>
      <c r="AZ228" s="5"/>
      <c r="BA228" s="5"/>
      <c r="BB228" s="5"/>
      <c r="BC228" s="5"/>
      <c r="BD228" s="5"/>
      <c r="BE228" s="5"/>
      <c r="BF228" s="5"/>
      <c r="BG228" s="4">
        <v>222</v>
      </c>
      <c r="BH228"/>
      <c r="BI228"/>
      <c r="BJ228"/>
      <c r="BK228"/>
      <c r="BL228"/>
      <c r="BM228"/>
    </row>
    <row r="229" spans="1:65" s="3" customFormat="1" ht="12.75" customHeight="1" outlineLevel="2">
      <c r="A229" s="6"/>
      <c r="B229" s="156" t="s">
        <v>185</v>
      </c>
      <c r="C229" s="158">
        <f t="shared" si="351"/>
        <v>0</v>
      </c>
      <c r="D229" s="158">
        <f t="shared" si="351"/>
        <v>0</v>
      </c>
      <c r="E229" s="158">
        <f t="shared" si="351"/>
        <v>0</v>
      </c>
      <c r="F229" s="158">
        <f t="shared" si="351"/>
        <v>0</v>
      </c>
      <c r="G229" s="158">
        <f t="shared" si="351"/>
        <v>318.755</v>
      </c>
      <c r="H229" s="158">
        <f t="shared" si="351"/>
        <v>463.14448430000004</v>
      </c>
      <c r="I229" s="158">
        <f t="shared" si="351"/>
        <v>175.22600000000003</v>
      </c>
      <c r="J229" s="158">
        <f t="shared" si="351"/>
        <v>36.400999999999996</v>
      </c>
      <c r="K229" s="158">
        <f t="shared" si="351"/>
        <v>244.04199999999997</v>
      </c>
      <c r="L229" s="158">
        <f t="shared" si="351"/>
        <v>556.26610740554804</v>
      </c>
      <c r="M229" s="158">
        <f t="shared" si="351"/>
        <v>638.83618599659906</v>
      </c>
      <c r="N229" s="158">
        <f t="shared" si="351"/>
        <v>642.49468599659906</v>
      </c>
      <c r="O229" s="5"/>
      <c r="P229" s="25"/>
      <c r="Q229" s="25"/>
      <c r="R229" s="25"/>
      <c r="S229" s="25"/>
      <c r="T229" s="157">
        <f t="shared" ref="T229:AA229" si="362">+T225+T228</f>
        <v>78.882999999999996</v>
      </c>
      <c r="U229" s="157">
        <f t="shared" si="362"/>
        <v>82.438000000000002</v>
      </c>
      <c r="V229" s="157">
        <f t="shared" si="362"/>
        <v>88.158999999999992</v>
      </c>
      <c r="W229" s="157">
        <f t="shared" si="362"/>
        <v>69.275000000000006</v>
      </c>
      <c r="X229" s="157">
        <f t="shared" si="362"/>
        <v>95.778999999999996</v>
      </c>
      <c r="Y229" s="157">
        <f t="shared" si="362"/>
        <v>110.43248430000006</v>
      </c>
      <c r="Z229" s="157">
        <f t="shared" si="362"/>
        <v>133.09100000000001</v>
      </c>
      <c r="AA229" s="157">
        <f t="shared" si="362"/>
        <v>123.84200000000001</v>
      </c>
      <c r="AB229" s="73">
        <v>90.11</v>
      </c>
      <c r="AC229" s="73">
        <v>43.594000000000001</v>
      </c>
      <c r="AD229" s="73">
        <v>26.788</v>
      </c>
      <c r="AE229" s="73">
        <v>14.734</v>
      </c>
      <c r="AF229" s="73">
        <v>16.591999999999999</v>
      </c>
      <c r="AG229" s="73">
        <f>-13.529+9.9</f>
        <v>-3.6289999999999996</v>
      </c>
      <c r="AH229" s="72">
        <f t="shared" ref="AH229:AY229" si="363">AH16</f>
        <v>6.3559999999999999</v>
      </c>
      <c r="AI229" s="72">
        <f t="shared" si="363"/>
        <v>17.082000000000001</v>
      </c>
      <c r="AJ229" s="72">
        <f t="shared" si="363"/>
        <v>27.346</v>
      </c>
      <c r="AK229" s="72">
        <f t="shared" si="363"/>
        <v>54.372999999999998</v>
      </c>
      <c r="AL229" s="72">
        <f t="shared" si="363"/>
        <v>85.100999999999999</v>
      </c>
      <c r="AM229" s="72">
        <f t="shared" ref="AM229" si="364">AM16</f>
        <v>77.221999999999994</v>
      </c>
      <c r="AN229" s="72">
        <f t="shared" si="363"/>
        <v>75.786265129550074</v>
      </c>
      <c r="AO229" s="72">
        <f t="shared" si="363"/>
        <v>92.997660129550113</v>
      </c>
      <c r="AP229" s="72">
        <f t="shared" si="363"/>
        <v>188.18751064729807</v>
      </c>
      <c r="AQ229" s="72">
        <f t="shared" si="363"/>
        <v>199.29467149914979</v>
      </c>
      <c r="AR229" s="72">
        <f t="shared" si="363"/>
        <v>174.17317149914976</v>
      </c>
      <c r="AS229" s="72">
        <f t="shared" si="363"/>
        <v>149.1516714991497</v>
      </c>
      <c r="AT229" s="72">
        <f t="shared" si="363"/>
        <v>154.8876714991498</v>
      </c>
      <c r="AU229" s="72">
        <f t="shared" si="363"/>
        <v>160.62367149914976</v>
      </c>
      <c r="AV229" s="72">
        <f t="shared" si="363"/>
        <v>160.62367149914976</v>
      </c>
      <c r="AW229" s="72">
        <f t="shared" si="363"/>
        <v>160.62367149914976</v>
      </c>
      <c r="AX229" s="72">
        <f t="shared" si="363"/>
        <v>160.62367149914976</v>
      </c>
      <c r="AY229" s="72">
        <f t="shared" si="363"/>
        <v>160.62367149914976</v>
      </c>
      <c r="AZ229" s="5"/>
      <c r="BA229" s="5"/>
      <c r="BB229" s="5"/>
      <c r="BC229" s="5"/>
      <c r="BD229" s="5"/>
      <c r="BE229" s="5"/>
      <c r="BF229" s="5"/>
      <c r="BG229" s="4">
        <v>223</v>
      </c>
      <c r="BH229"/>
      <c r="BI229"/>
      <c r="BJ229"/>
      <c r="BK229"/>
      <c r="BL229"/>
      <c r="BM229"/>
    </row>
    <row r="230" spans="1:65" s="3" customFormat="1" ht="12.75" customHeight="1" outlineLevel="2">
      <c r="A230" s="6"/>
      <c r="B230" s="156" t="s">
        <v>184</v>
      </c>
      <c r="C230" s="72">
        <f t="shared" ref="C230:N230" si="365">+C229*1000/C44</f>
        <v>0</v>
      </c>
      <c r="D230" s="72">
        <f t="shared" si="365"/>
        <v>0</v>
      </c>
      <c r="E230" s="72">
        <f t="shared" si="365"/>
        <v>0</v>
      </c>
      <c r="F230" s="72">
        <f t="shared" si="365"/>
        <v>0</v>
      </c>
      <c r="G230" s="72">
        <f t="shared" si="365"/>
        <v>62.293335939026775</v>
      </c>
      <c r="H230" s="72">
        <f t="shared" si="365"/>
        <v>64.446463070515847</v>
      </c>
      <c r="I230" s="72">
        <f t="shared" si="365"/>
        <v>28.245137866435151</v>
      </c>
      <c r="J230" s="72">
        <f t="shared" si="365"/>
        <v>5.6744162409802241</v>
      </c>
      <c r="K230" s="72">
        <f t="shared" si="365"/>
        <v>23.744203738465245</v>
      </c>
      <c r="L230" s="72">
        <f t="shared" si="365"/>
        <v>28.12976522910483</v>
      </c>
      <c r="M230" s="72">
        <f t="shared" si="365"/>
        <v>21.766139216238468</v>
      </c>
      <c r="N230" s="72">
        <f t="shared" si="365"/>
        <v>21.779480881240644</v>
      </c>
      <c r="O230" s="5"/>
      <c r="P230" s="25"/>
      <c r="Q230" s="25"/>
      <c r="R230" s="25"/>
      <c r="S230" s="25"/>
      <c r="T230" s="72">
        <f t="shared" ref="T230:AY230" si="366">+T229*1000/T44</f>
        <v>78.256944444444443</v>
      </c>
      <c r="U230" s="72">
        <f t="shared" si="366"/>
        <v>73.213143872113676</v>
      </c>
      <c r="V230" s="72">
        <f t="shared" si="366"/>
        <v>57.804025345936353</v>
      </c>
      <c r="W230" s="72">
        <f t="shared" si="366"/>
        <v>43.479980066053166</v>
      </c>
      <c r="X230" s="72">
        <f t="shared" si="366"/>
        <v>60.490091060073702</v>
      </c>
      <c r="Y230" s="72">
        <f t="shared" si="366"/>
        <v>62.492516076974148</v>
      </c>
      <c r="Z230" s="72">
        <f t="shared" si="366"/>
        <v>68.438966671414704</v>
      </c>
      <c r="AA230" s="72">
        <f t="shared" si="366"/>
        <v>65.479205506424634</v>
      </c>
      <c r="AB230" s="72">
        <f t="shared" si="366"/>
        <v>50.681053014035015</v>
      </c>
      <c r="AC230" s="72">
        <f t="shared" si="366"/>
        <v>27.352668977741523</v>
      </c>
      <c r="AD230" s="72">
        <f t="shared" si="366"/>
        <v>18.293690629844363</v>
      </c>
      <c r="AE230" s="72">
        <f t="shared" si="366"/>
        <v>10.773058725380592</v>
      </c>
      <c r="AF230" s="72">
        <f t="shared" si="366"/>
        <v>10.873212263557438</v>
      </c>
      <c r="AG230" s="72">
        <f t="shared" si="366"/>
        <v>-2.8133898440425362</v>
      </c>
      <c r="AH230" s="72">
        <f t="shared" si="366"/>
        <v>3.6230335096398574</v>
      </c>
      <c r="AI230" s="72">
        <f t="shared" si="366"/>
        <v>9.2598063582702661</v>
      </c>
      <c r="AJ230" s="72">
        <f t="shared" si="366"/>
        <v>13.132398259450586</v>
      </c>
      <c r="AK230" s="72">
        <f t="shared" si="366"/>
        <v>21.018683059072114</v>
      </c>
      <c r="AL230" s="72">
        <f t="shared" si="366"/>
        <v>30.054765425488895</v>
      </c>
      <c r="AM230" s="72">
        <f t="shared" ref="AM230" si="367">+AM229*1000/AM44</f>
        <v>27.805603465348316</v>
      </c>
      <c r="AN230" s="72">
        <f t="shared" si="366"/>
        <v>28.870958144590503</v>
      </c>
      <c r="AO230" s="72">
        <f t="shared" si="366"/>
        <v>32.347012218973951</v>
      </c>
      <c r="AP230" s="72">
        <f t="shared" si="366"/>
        <v>26.883930092471154</v>
      </c>
      <c r="AQ230" s="72">
        <f t="shared" si="366"/>
        <v>27.394456563457016</v>
      </c>
      <c r="AR230" s="72">
        <f t="shared" si="366"/>
        <v>23.859338561527363</v>
      </c>
      <c r="AS230" s="72">
        <f t="shared" si="366"/>
        <v>20.362002935037502</v>
      </c>
      <c r="AT230" s="72">
        <f t="shared" si="366"/>
        <v>21.073152584918343</v>
      </c>
      <c r="AU230" s="72">
        <f t="shared" si="366"/>
        <v>21.779480881240644</v>
      </c>
      <c r="AV230" s="72">
        <f t="shared" si="366"/>
        <v>21.779480881240644</v>
      </c>
      <c r="AW230" s="72">
        <f t="shared" si="366"/>
        <v>21.779480881240644</v>
      </c>
      <c r="AX230" s="72">
        <f t="shared" si="366"/>
        <v>21.779480881240644</v>
      </c>
      <c r="AY230" s="72">
        <f t="shared" si="366"/>
        <v>21.779480881240644</v>
      </c>
      <c r="AZ230" s="5"/>
      <c r="BA230" s="5"/>
      <c r="BB230" s="5"/>
      <c r="BC230" s="5"/>
      <c r="BD230" s="5"/>
      <c r="BE230" s="5"/>
      <c r="BF230" s="5"/>
      <c r="BG230" s="4">
        <v>224</v>
      </c>
      <c r="BH230"/>
      <c r="BI230"/>
      <c r="BJ230"/>
      <c r="BK230"/>
      <c r="BL230"/>
      <c r="BM230"/>
    </row>
    <row r="231" spans="1:65" s="3" customFormat="1" ht="12.75" customHeight="1" outlineLevel="2">
      <c r="A231" s="6"/>
      <c r="B231" s="156" t="s">
        <v>183</v>
      </c>
      <c r="C231" s="72">
        <f t="shared" ref="C231:N231" si="368">+C227*1000/C44</f>
        <v>0</v>
      </c>
      <c r="D231" s="72">
        <f t="shared" si="368"/>
        <v>0</v>
      </c>
      <c r="E231" s="72">
        <f t="shared" si="368"/>
        <v>0</v>
      </c>
      <c r="F231" s="72">
        <f t="shared" si="368"/>
        <v>0</v>
      </c>
      <c r="G231" s="72">
        <f t="shared" si="368"/>
        <v>-4.384404924760597</v>
      </c>
      <c r="H231" s="72">
        <f t="shared" si="368"/>
        <v>-4.5025063488314663</v>
      </c>
      <c r="I231" s="72">
        <f t="shared" si="368"/>
        <v>-3.5584882582460509</v>
      </c>
      <c r="J231" s="72">
        <f t="shared" si="368"/>
        <v>-1.177409023601649</v>
      </c>
      <c r="K231" s="72">
        <f t="shared" si="368"/>
        <v>0</v>
      </c>
      <c r="L231" s="72">
        <f t="shared" si="368"/>
        <v>0</v>
      </c>
      <c r="M231" s="72">
        <f t="shared" si="368"/>
        <v>0</v>
      </c>
      <c r="N231" s="72">
        <f t="shared" si="368"/>
        <v>0</v>
      </c>
      <c r="O231" s="5"/>
      <c r="P231" s="25"/>
      <c r="Q231" s="25"/>
      <c r="R231" s="25"/>
      <c r="S231" s="25"/>
      <c r="T231" s="72">
        <f t="shared" ref="T231:AY231" si="369">+T227*1000/T44</f>
        <v>-4.4781746031745975</v>
      </c>
      <c r="U231" s="72">
        <f t="shared" si="369"/>
        <v>-5.8081705150976966</v>
      </c>
      <c r="V231" s="72">
        <f t="shared" si="369"/>
        <v>-3.7472068064749533</v>
      </c>
      <c r="W231" s="72">
        <f t="shared" si="369"/>
        <v>-3.5562261574053644</v>
      </c>
      <c r="X231" s="72">
        <f t="shared" si="369"/>
        <v>-4.2687073938445748</v>
      </c>
      <c r="Y231" s="72">
        <f t="shared" si="369"/>
        <v>-3.6874793149926681</v>
      </c>
      <c r="Z231" s="72">
        <f t="shared" si="369"/>
        <v>-4.1282132107965079</v>
      </c>
      <c r="AA231" s="72">
        <f t="shared" si="369"/>
        <v>-5.8446014895432761</v>
      </c>
      <c r="AB231" s="72">
        <f t="shared" si="369"/>
        <v>-3.5382810399655318</v>
      </c>
      <c r="AC231" s="72">
        <f t="shared" si="369"/>
        <v>-3.6353939546046403</v>
      </c>
      <c r="AD231" s="72">
        <f t="shared" si="369"/>
        <v>-3.227414585510096</v>
      </c>
      <c r="AE231" s="72">
        <f t="shared" si="369"/>
        <v>-3.8496100304824776</v>
      </c>
      <c r="AF231" s="72">
        <f t="shared" si="369"/>
        <v>-2.5610241999748364</v>
      </c>
      <c r="AG231" s="72">
        <f t="shared" si="369"/>
        <v>-2.8257938775241205</v>
      </c>
      <c r="AH231" s="72">
        <f t="shared" si="369"/>
        <v>0</v>
      </c>
      <c r="AI231" s="72">
        <f t="shared" si="369"/>
        <v>0</v>
      </c>
      <c r="AJ231" s="72">
        <f t="shared" si="369"/>
        <v>0</v>
      </c>
      <c r="AK231" s="72">
        <f t="shared" si="369"/>
        <v>0</v>
      </c>
      <c r="AL231" s="72">
        <f t="shared" si="369"/>
        <v>0</v>
      </c>
      <c r="AM231" s="72">
        <f t="shared" ref="AM231" si="370">+AM227*1000/AM44</f>
        <v>0</v>
      </c>
      <c r="AN231" s="72">
        <f t="shared" si="369"/>
        <v>0</v>
      </c>
      <c r="AO231" s="72">
        <f t="shared" si="369"/>
        <v>0</v>
      </c>
      <c r="AP231" s="72">
        <f t="shared" si="369"/>
        <v>0</v>
      </c>
      <c r="AQ231" s="72">
        <f t="shared" si="369"/>
        <v>0</v>
      </c>
      <c r="AR231" s="72">
        <f t="shared" si="369"/>
        <v>0</v>
      </c>
      <c r="AS231" s="72">
        <f t="shared" si="369"/>
        <v>0</v>
      </c>
      <c r="AT231" s="72">
        <f t="shared" si="369"/>
        <v>0</v>
      </c>
      <c r="AU231" s="72">
        <f t="shared" si="369"/>
        <v>0</v>
      </c>
      <c r="AV231" s="72">
        <f t="shared" si="369"/>
        <v>0</v>
      </c>
      <c r="AW231" s="72">
        <f t="shared" si="369"/>
        <v>0</v>
      </c>
      <c r="AX231" s="72">
        <f t="shared" si="369"/>
        <v>0</v>
      </c>
      <c r="AY231" s="72">
        <f t="shared" si="369"/>
        <v>0</v>
      </c>
      <c r="AZ231" s="5"/>
      <c r="BA231" s="5"/>
      <c r="BB231" s="5"/>
      <c r="BC231" s="5"/>
      <c r="BD231" s="5"/>
      <c r="BE231" s="5"/>
      <c r="BF231" s="5"/>
      <c r="BG231" s="4">
        <v>225</v>
      </c>
      <c r="BH231"/>
      <c r="BI231"/>
      <c r="BJ231"/>
      <c r="BK231"/>
      <c r="BL231"/>
      <c r="BM231"/>
    </row>
    <row r="232" spans="1:65" s="3" customFormat="1" ht="12.75" customHeight="1" outlineLevel="2">
      <c r="A232" s="6"/>
      <c r="B232" s="126"/>
      <c r="C232" s="25"/>
      <c r="D232" s="25"/>
      <c r="E232" s="25"/>
      <c r="F232" s="25"/>
      <c r="G232" s="25"/>
      <c r="H232" s="155"/>
      <c r="I232" s="155"/>
      <c r="J232" s="155"/>
      <c r="K232" s="155"/>
      <c r="L232" s="155"/>
      <c r="M232" s="155"/>
      <c r="N232" s="155"/>
      <c r="O232" s="5"/>
      <c r="P232" s="25"/>
      <c r="Q232" s="25"/>
      <c r="R232" s="25"/>
      <c r="S232" s="25"/>
      <c r="T232" s="72"/>
      <c r="U232" s="72"/>
      <c r="V232" s="72"/>
      <c r="W232" s="72"/>
      <c r="X232" s="72"/>
      <c r="Y232" s="72"/>
      <c r="Z232" s="72"/>
      <c r="AA232" s="72"/>
      <c r="AB232" s="72"/>
      <c r="AC232" s="72"/>
      <c r="AD232" s="72"/>
      <c r="AE232" s="72"/>
      <c r="AF232" s="72"/>
      <c r="AG232" s="72"/>
      <c r="AH232" s="72"/>
      <c r="AI232" s="72"/>
      <c r="AJ232" s="72"/>
      <c r="AK232" s="72"/>
      <c r="AL232" s="72"/>
      <c r="AM232" s="72"/>
      <c r="AN232" s="5"/>
      <c r="AO232" s="5"/>
      <c r="AP232" s="5"/>
      <c r="AQ232" s="5"/>
      <c r="AR232" s="5"/>
      <c r="AS232" s="5"/>
      <c r="AT232" s="5"/>
      <c r="AU232" s="5"/>
      <c r="AV232" s="5"/>
      <c r="AW232" s="5"/>
      <c r="AX232" s="5"/>
      <c r="AY232" s="5"/>
      <c r="AZ232" s="5"/>
      <c r="BA232" s="5"/>
      <c r="BB232" s="5"/>
      <c r="BC232" s="5"/>
      <c r="BD232" s="5"/>
      <c r="BE232" s="5"/>
      <c r="BF232" s="5"/>
      <c r="BG232" s="4">
        <v>226</v>
      </c>
      <c r="BH232"/>
      <c r="BI232"/>
      <c r="BJ232"/>
      <c r="BK232"/>
      <c r="BL232"/>
      <c r="BM232"/>
    </row>
    <row r="233" spans="1:65" s="3" customFormat="1" ht="12.75" customHeight="1" outlineLevel="2">
      <c r="A233" s="6"/>
      <c r="B233" s="109" t="s">
        <v>190</v>
      </c>
      <c r="C233" s="25"/>
      <c r="D233" s="25"/>
      <c r="E233" s="25"/>
      <c r="F233" s="25"/>
      <c r="G233" s="25"/>
      <c r="H233" s="155"/>
      <c r="I233" s="155"/>
      <c r="J233" s="155"/>
      <c r="K233" s="155"/>
      <c r="L233" s="155"/>
      <c r="M233" s="155"/>
      <c r="N233" s="155"/>
      <c r="O233" s="5"/>
      <c r="P233" s="25"/>
      <c r="Q233" s="25"/>
      <c r="R233" s="25"/>
      <c r="S233" s="25"/>
      <c r="T233" s="72"/>
      <c r="U233" s="72"/>
      <c r="V233" s="72"/>
      <c r="W233" s="72"/>
      <c r="X233" s="72"/>
      <c r="Y233" s="72"/>
      <c r="Z233" s="72"/>
      <c r="AA233" s="72"/>
      <c r="AB233" s="72"/>
      <c r="AC233" s="72"/>
      <c r="AD233" s="72"/>
      <c r="AE233" s="72"/>
      <c r="AF233" s="72"/>
      <c r="AG233" s="72"/>
      <c r="AH233" s="72"/>
      <c r="AI233" s="72"/>
      <c r="AJ233" s="72"/>
      <c r="AK233" s="72"/>
      <c r="AL233" s="72"/>
      <c r="AM233" s="72"/>
      <c r="AN233" s="5"/>
      <c r="AO233" s="5"/>
      <c r="AP233" s="5"/>
      <c r="AQ233" s="5"/>
      <c r="AR233" s="5"/>
      <c r="AS233" s="5"/>
      <c r="AT233" s="5"/>
      <c r="AU233" s="5"/>
      <c r="AV233" s="5"/>
      <c r="AW233" s="5"/>
      <c r="AX233" s="5"/>
      <c r="AY233" s="5"/>
      <c r="AZ233" s="5"/>
      <c r="BA233" s="5"/>
      <c r="BB233" s="5"/>
      <c r="BC233" s="5"/>
      <c r="BD233" s="5"/>
      <c r="BE233" s="5"/>
      <c r="BF233" s="5"/>
      <c r="BG233" s="4">
        <v>227</v>
      </c>
      <c r="BH233"/>
      <c r="BI233"/>
      <c r="BJ233"/>
      <c r="BK233"/>
      <c r="BL233"/>
      <c r="BM233"/>
    </row>
    <row r="234" spans="1:65" s="3" customFormat="1" ht="12.75" customHeight="1" outlineLevel="2">
      <c r="A234" s="6"/>
      <c r="B234" s="156" t="s">
        <v>189</v>
      </c>
      <c r="C234" s="158">
        <f t="shared" ref="C234:N238" si="371">SUMIF($P$4:$AZ$4,C$4,$P234:$AZ234)</f>
        <v>0</v>
      </c>
      <c r="D234" s="158">
        <f t="shared" si="371"/>
        <v>0</v>
      </c>
      <c r="E234" s="158">
        <f t="shared" si="371"/>
        <v>0</v>
      </c>
      <c r="F234" s="158">
        <f t="shared" si="371"/>
        <v>0</v>
      </c>
      <c r="G234" s="158">
        <f t="shared" si="371"/>
        <v>132.17400000000001</v>
      </c>
      <c r="H234" s="158">
        <f t="shared" si="371"/>
        <v>124.22592</v>
      </c>
      <c r="I234" s="158">
        <f t="shared" si="371"/>
        <v>118.626</v>
      </c>
      <c r="J234" s="158">
        <f t="shared" si="371"/>
        <v>118.869</v>
      </c>
      <c r="K234" s="158">
        <f t="shared" si="371"/>
        <v>125.04599999999999</v>
      </c>
      <c r="L234" s="158">
        <f t="shared" si="371"/>
        <v>384.14380240000003</v>
      </c>
      <c r="M234" s="158">
        <f t="shared" si="371"/>
        <v>662.31791999999996</v>
      </c>
      <c r="N234" s="158">
        <f t="shared" si="371"/>
        <v>675.56427840000003</v>
      </c>
      <c r="O234" s="5"/>
      <c r="P234" s="25"/>
      <c r="Q234" s="25"/>
      <c r="R234" s="25"/>
      <c r="S234" s="25"/>
      <c r="T234" s="72">
        <f t="shared" ref="T234:AY234" si="372">T12</f>
        <v>32.695</v>
      </c>
      <c r="U234" s="72">
        <f t="shared" si="372"/>
        <v>37.26</v>
      </c>
      <c r="V234" s="72">
        <f t="shared" si="372"/>
        <v>33.491</v>
      </c>
      <c r="W234" s="72">
        <f t="shared" si="372"/>
        <v>28.728000000000002</v>
      </c>
      <c r="X234" s="72">
        <f t="shared" si="372"/>
        <v>28.431999999999999</v>
      </c>
      <c r="Y234" s="72">
        <f t="shared" si="372"/>
        <v>33.605919999999998</v>
      </c>
      <c r="Z234" s="72">
        <f t="shared" si="372"/>
        <v>32.811999999999998</v>
      </c>
      <c r="AA234" s="72">
        <f t="shared" si="372"/>
        <v>29.376000000000001</v>
      </c>
      <c r="AB234" s="72">
        <f t="shared" si="372"/>
        <v>28.620999999999999</v>
      </c>
      <c r="AC234" s="72">
        <f t="shared" si="372"/>
        <v>33.173000000000002</v>
      </c>
      <c r="AD234" s="72">
        <f t="shared" si="372"/>
        <v>29.366</v>
      </c>
      <c r="AE234" s="72">
        <f t="shared" si="372"/>
        <v>27.466000000000001</v>
      </c>
      <c r="AF234" s="72">
        <f t="shared" si="372"/>
        <v>27.995000000000001</v>
      </c>
      <c r="AG234" s="72">
        <f t="shared" si="372"/>
        <v>32.146999999999998</v>
      </c>
      <c r="AH234" s="72">
        <f t="shared" si="372"/>
        <v>31.635000000000002</v>
      </c>
      <c r="AI234" s="72">
        <f t="shared" si="372"/>
        <v>27.091999999999999</v>
      </c>
      <c r="AJ234" s="72">
        <f t="shared" si="372"/>
        <v>31.59</v>
      </c>
      <c r="AK234" s="72">
        <f t="shared" si="372"/>
        <v>34.414000000000001</v>
      </c>
      <c r="AL234" s="72">
        <f t="shared" si="372"/>
        <v>30.298999999999999</v>
      </c>
      <c r="AM234" s="72">
        <f t="shared" ref="AM234" si="373">AM12</f>
        <v>28.742999999999999</v>
      </c>
      <c r="AN234" s="72">
        <f t="shared" si="372"/>
        <v>33.188454</v>
      </c>
      <c r="AO234" s="72">
        <f t="shared" si="372"/>
        <v>36.155348400000001</v>
      </c>
      <c r="AP234" s="72">
        <f t="shared" si="372"/>
        <v>167.2</v>
      </c>
      <c r="AQ234" s="72">
        <f t="shared" si="372"/>
        <v>147.6</v>
      </c>
      <c r="AR234" s="72">
        <f t="shared" si="372"/>
        <v>154.80000000000001</v>
      </c>
      <c r="AS234" s="72">
        <f t="shared" si="372"/>
        <v>180</v>
      </c>
      <c r="AT234" s="72">
        <f t="shared" si="372"/>
        <v>173.95488</v>
      </c>
      <c r="AU234" s="72">
        <f t="shared" si="372"/>
        <v>153.56304</v>
      </c>
      <c r="AV234" s="72">
        <f t="shared" si="372"/>
        <v>157.89600000000002</v>
      </c>
      <c r="AW234" s="72">
        <f t="shared" si="372"/>
        <v>183.6</v>
      </c>
      <c r="AX234" s="72">
        <f t="shared" si="372"/>
        <v>177.43397760000002</v>
      </c>
      <c r="AY234" s="72">
        <f t="shared" si="372"/>
        <v>156.63430080000001</v>
      </c>
      <c r="AZ234" s="5"/>
      <c r="BA234" s="5"/>
      <c r="BB234" s="5"/>
      <c r="BC234" s="5"/>
      <c r="BD234" s="5"/>
      <c r="BE234" s="5"/>
      <c r="BF234" s="5"/>
      <c r="BG234" s="4">
        <v>228</v>
      </c>
      <c r="BH234"/>
      <c r="BI234"/>
      <c r="BJ234"/>
      <c r="BK234"/>
      <c r="BL234"/>
      <c r="BM234"/>
    </row>
    <row r="235" spans="1:65" s="3" customFormat="1" ht="12.75" customHeight="1" outlineLevel="2">
      <c r="A235" s="6"/>
      <c r="B235" s="156" t="s">
        <v>188</v>
      </c>
      <c r="C235" s="158">
        <f t="shared" si="371"/>
        <v>0</v>
      </c>
      <c r="D235" s="158">
        <f t="shared" si="371"/>
        <v>0</v>
      </c>
      <c r="E235" s="158">
        <f t="shared" si="371"/>
        <v>0</v>
      </c>
      <c r="F235" s="158">
        <f t="shared" si="371"/>
        <v>0</v>
      </c>
      <c r="G235" s="158">
        <f t="shared" si="371"/>
        <v>-97.409000000000006</v>
      </c>
      <c r="H235" s="158">
        <f t="shared" si="371"/>
        <v>-89.390724000000006</v>
      </c>
      <c r="I235" s="158">
        <f t="shared" si="371"/>
        <v>-79.861000000000004</v>
      </c>
      <c r="J235" s="158">
        <f t="shared" si="371"/>
        <v>-72.87</v>
      </c>
      <c r="K235" s="158">
        <f t="shared" si="371"/>
        <v>-69.051000000000016</v>
      </c>
      <c r="L235" s="158">
        <f t="shared" si="371"/>
        <v>-223.66418119999997</v>
      </c>
      <c r="M235" s="158">
        <f t="shared" si="371"/>
        <v>-382.47400000000005</v>
      </c>
      <c r="N235" s="158">
        <f t="shared" si="371"/>
        <v>-390.12348000000009</v>
      </c>
      <c r="O235" s="5"/>
      <c r="P235" s="25"/>
      <c r="Q235" s="25"/>
      <c r="R235" s="25"/>
      <c r="S235" s="25"/>
      <c r="T235" s="72">
        <f t="shared" ref="T235:AY235" si="374">T78</f>
        <v>-25.42</v>
      </c>
      <c r="U235" s="72">
        <f t="shared" si="374"/>
        <v>-27.533000000000001</v>
      </c>
      <c r="V235" s="72">
        <f t="shared" si="374"/>
        <v>-23.405000000000001</v>
      </c>
      <c r="W235" s="72">
        <f t="shared" si="374"/>
        <v>-21.051000000000002</v>
      </c>
      <c r="X235" s="72">
        <f t="shared" si="374"/>
        <v>-22.146999999999998</v>
      </c>
      <c r="Y235" s="72">
        <f t="shared" si="374"/>
        <v>-22.693723999999996</v>
      </c>
      <c r="Z235" s="72">
        <f t="shared" si="374"/>
        <v>-22.762999999999998</v>
      </c>
      <c r="AA235" s="72">
        <f t="shared" si="374"/>
        <v>-21.786999999999999</v>
      </c>
      <c r="AB235" s="72">
        <f t="shared" si="374"/>
        <v>-21.544999999999998</v>
      </c>
      <c r="AC235" s="72">
        <f t="shared" si="374"/>
        <v>-21.973000000000003</v>
      </c>
      <c r="AD235" s="72">
        <f t="shared" si="374"/>
        <v>-18.335999999999999</v>
      </c>
      <c r="AE235" s="72">
        <f t="shared" si="374"/>
        <v>-18.007000000000001</v>
      </c>
      <c r="AF235" s="72">
        <f t="shared" si="374"/>
        <v>-19.149000000000001</v>
      </c>
      <c r="AG235" s="72">
        <f t="shared" si="374"/>
        <v>-19.741</v>
      </c>
      <c r="AH235" s="72">
        <f t="shared" si="374"/>
        <v>-18.089000000000002</v>
      </c>
      <c r="AI235" s="72">
        <f t="shared" si="374"/>
        <v>-15.890999999999998</v>
      </c>
      <c r="AJ235" s="72">
        <f t="shared" si="374"/>
        <v>-18.105</v>
      </c>
      <c r="AK235" s="72">
        <f t="shared" si="374"/>
        <v>-18.697000000000003</v>
      </c>
      <c r="AL235" s="72">
        <f t="shared" si="374"/>
        <v>-15.931999999999999</v>
      </c>
      <c r="AM235" s="72">
        <f t="shared" ref="AM235" si="375">AM78</f>
        <v>-16.317</v>
      </c>
      <c r="AN235" s="72">
        <f t="shared" si="374"/>
        <v>-19.021113</v>
      </c>
      <c r="AO235" s="72">
        <f t="shared" si="374"/>
        <v>-19.643068200000002</v>
      </c>
      <c r="AP235" s="72">
        <f t="shared" si="374"/>
        <v>-94.999999999999986</v>
      </c>
      <c r="AQ235" s="72">
        <f t="shared" si="374"/>
        <v>-90</v>
      </c>
      <c r="AR235" s="72">
        <f t="shared" si="374"/>
        <v>-90.000000000000014</v>
      </c>
      <c r="AS235" s="72">
        <f t="shared" si="374"/>
        <v>-100</v>
      </c>
      <c r="AT235" s="72">
        <f t="shared" si="374"/>
        <v>-98.838000000000008</v>
      </c>
      <c r="AU235" s="72">
        <f t="shared" si="374"/>
        <v>-93.635999999999996</v>
      </c>
      <c r="AV235" s="72">
        <f t="shared" si="374"/>
        <v>-91.800000000000011</v>
      </c>
      <c r="AW235" s="72">
        <f t="shared" si="374"/>
        <v>-102</v>
      </c>
      <c r="AX235" s="72">
        <f t="shared" si="374"/>
        <v>-100.81476000000004</v>
      </c>
      <c r="AY235" s="72">
        <f t="shared" si="374"/>
        <v>-95.508720000000011</v>
      </c>
      <c r="AZ235" s="5"/>
      <c r="BA235" s="5"/>
      <c r="BB235" s="5"/>
      <c r="BC235" s="5"/>
      <c r="BD235" s="5"/>
      <c r="BE235" s="5"/>
      <c r="BF235" s="5"/>
      <c r="BG235" s="4">
        <v>229</v>
      </c>
      <c r="BH235"/>
      <c r="BI235"/>
      <c r="BJ235"/>
      <c r="BK235"/>
      <c r="BL235"/>
      <c r="BM235"/>
    </row>
    <row r="236" spans="1:65" s="3" customFormat="1" ht="12.75" customHeight="1" outlineLevel="2">
      <c r="A236" s="6"/>
      <c r="B236" s="156" t="s">
        <v>187</v>
      </c>
      <c r="C236" s="158">
        <f t="shared" si="371"/>
        <v>0</v>
      </c>
      <c r="D236" s="158">
        <f t="shared" si="371"/>
        <v>0</v>
      </c>
      <c r="E236" s="158">
        <f t="shared" si="371"/>
        <v>0</v>
      </c>
      <c r="F236" s="158">
        <f t="shared" si="371"/>
        <v>0</v>
      </c>
      <c r="G236" s="158">
        <f t="shared" si="371"/>
        <v>-7.0240000000000009</v>
      </c>
      <c r="H236" s="158">
        <f t="shared" si="371"/>
        <v>-7.0240000000000009</v>
      </c>
      <c r="I236" s="158">
        <f t="shared" si="371"/>
        <v>-5.8730000000000011</v>
      </c>
      <c r="J236" s="158">
        <f t="shared" si="371"/>
        <v>-2.7989999999999995</v>
      </c>
      <c r="K236" s="158">
        <f t="shared" si="371"/>
        <v>0</v>
      </c>
      <c r="L236" s="158">
        <f t="shared" si="371"/>
        <v>0</v>
      </c>
      <c r="M236" s="158">
        <f t="shared" si="371"/>
        <v>0</v>
      </c>
      <c r="N236" s="158">
        <f t="shared" si="371"/>
        <v>0</v>
      </c>
      <c r="O236" s="5"/>
      <c r="P236" s="25"/>
      <c r="Q236" s="25"/>
      <c r="R236" s="25"/>
      <c r="S236" s="25"/>
      <c r="T236" s="157">
        <f t="shared" ref="T236:AA236" si="376">U236</f>
        <v>-1.7560000000000002</v>
      </c>
      <c r="U236" s="157">
        <f t="shared" si="376"/>
        <v>-1.7560000000000002</v>
      </c>
      <c r="V236" s="157">
        <f t="shared" si="376"/>
        <v>-1.7560000000000002</v>
      </c>
      <c r="W236" s="157">
        <f t="shared" si="376"/>
        <v>-1.7560000000000002</v>
      </c>
      <c r="X236" s="157">
        <f t="shared" si="376"/>
        <v>-1.7560000000000002</v>
      </c>
      <c r="Y236" s="157">
        <f t="shared" si="376"/>
        <v>-1.7560000000000002</v>
      </c>
      <c r="Z236" s="157">
        <f t="shared" si="376"/>
        <v>-1.7560000000000002</v>
      </c>
      <c r="AA236" s="157">
        <f t="shared" si="376"/>
        <v>-1.7560000000000002</v>
      </c>
      <c r="AB236" s="72">
        <f t="shared" ref="AB236:AY236" si="377">+AB235-AB237</f>
        <v>-1.7560000000000002</v>
      </c>
      <c r="AC236" s="72">
        <f t="shared" si="377"/>
        <v>-1.3990000000000009</v>
      </c>
      <c r="AD236" s="72">
        <f t="shared" si="377"/>
        <v>-1.4529999999999994</v>
      </c>
      <c r="AE236" s="72">
        <f t="shared" si="377"/>
        <v>-1.2650000000000006</v>
      </c>
      <c r="AF236" s="72">
        <f t="shared" si="377"/>
        <v>-1.5559999999999974</v>
      </c>
      <c r="AG236" s="72">
        <f t="shared" si="377"/>
        <v>-1.2430000000000021</v>
      </c>
      <c r="AH236" s="72">
        <f t="shared" si="377"/>
        <v>0</v>
      </c>
      <c r="AI236" s="72">
        <f t="shared" si="377"/>
        <v>0</v>
      </c>
      <c r="AJ236" s="72">
        <f t="shared" si="377"/>
        <v>0</v>
      </c>
      <c r="AK236" s="72">
        <f t="shared" si="377"/>
        <v>0</v>
      </c>
      <c r="AL236" s="72">
        <f t="shared" si="377"/>
        <v>0</v>
      </c>
      <c r="AM236" s="72">
        <f t="shared" ref="AM236" si="378">+AM235-AM237</f>
        <v>0</v>
      </c>
      <c r="AN236" s="72">
        <f t="shared" si="377"/>
        <v>0</v>
      </c>
      <c r="AO236" s="72">
        <f t="shared" si="377"/>
        <v>0</v>
      </c>
      <c r="AP236" s="72">
        <f t="shared" si="377"/>
        <v>0</v>
      </c>
      <c r="AQ236" s="72">
        <f t="shared" si="377"/>
        <v>0</v>
      </c>
      <c r="AR236" s="72">
        <f t="shared" si="377"/>
        <v>0</v>
      </c>
      <c r="AS236" s="72">
        <f t="shared" si="377"/>
        <v>0</v>
      </c>
      <c r="AT236" s="72">
        <f t="shared" si="377"/>
        <v>0</v>
      </c>
      <c r="AU236" s="72">
        <f t="shared" si="377"/>
        <v>0</v>
      </c>
      <c r="AV236" s="72">
        <f t="shared" si="377"/>
        <v>0</v>
      </c>
      <c r="AW236" s="72">
        <f t="shared" si="377"/>
        <v>0</v>
      </c>
      <c r="AX236" s="72">
        <f t="shared" si="377"/>
        <v>0</v>
      </c>
      <c r="AY236" s="72">
        <f t="shared" si="377"/>
        <v>0</v>
      </c>
      <c r="AZ236" s="5"/>
      <c r="BA236" s="5"/>
      <c r="BB236" s="5"/>
      <c r="BC236" s="5"/>
      <c r="BD236" s="5"/>
      <c r="BE236" s="5"/>
      <c r="BF236" s="5"/>
      <c r="BG236" s="4">
        <v>230</v>
      </c>
      <c r="BH236"/>
      <c r="BI236"/>
      <c r="BJ236"/>
      <c r="BK236"/>
      <c r="BL236"/>
      <c r="BM236"/>
    </row>
    <row r="237" spans="1:65" s="3" customFormat="1" ht="12.75" customHeight="1" outlineLevel="2">
      <c r="A237" s="6"/>
      <c r="B237" s="156" t="s">
        <v>186</v>
      </c>
      <c r="C237" s="158">
        <f t="shared" si="371"/>
        <v>0</v>
      </c>
      <c r="D237" s="158">
        <f t="shared" si="371"/>
        <v>0</v>
      </c>
      <c r="E237" s="158">
        <f t="shared" si="371"/>
        <v>0</v>
      </c>
      <c r="F237" s="158">
        <f t="shared" si="371"/>
        <v>0</v>
      </c>
      <c r="G237" s="158">
        <f t="shared" si="371"/>
        <v>-90.385000000000005</v>
      </c>
      <c r="H237" s="158">
        <f t="shared" si="371"/>
        <v>-82.366723999999991</v>
      </c>
      <c r="I237" s="158">
        <f t="shared" si="371"/>
        <v>-73.988</v>
      </c>
      <c r="J237" s="158">
        <f t="shared" si="371"/>
        <v>-70.070999999999998</v>
      </c>
      <c r="K237" s="158">
        <f t="shared" si="371"/>
        <v>-69.051000000000016</v>
      </c>
      <c r="L237" s="158">
        <f t="shared" si="371"/>
        <v>-223.66418119999997</v>
      </c>
      <c r="M237" s="158">
        <f t="shared" si="371"/>
        <v>-382.47400000000005</v>
      </c>
      <c r="N237" s="158">
        <f t="shared" si="371"/>
        <v>-390.12348000000009</v>
      </c>
      <c r="O237" s="5"/>
      <c r="P237" s="25"/>
      <c r="Q237" s="25"/>
      <c r="R237" s="25"/>
      <c r="S237" s="25"/>
      <c r="T237" s="157">
        <f t="shared" ref="T237:AA237" si="379">+T235-T236</f>
        <v>-23.664000000000001</v>
      </c>
      <c r="U237" s="157">
        <f t="shared" si="379"/>
        <v>-25.777000000000001</v>
      </c>
      <c r="V237" s="157">
        <f t="shared" si="379"/>
        <v>-21.649000000000001</v>
      </c>
      <c r="W237" s="157">
        <f t="shared" si="379"/>
        <v>-19.295000000000002</v>
      </c>
      <c r="X237" s="157">
        <f t="shared" si="379"/>
        <v>-20.390999999999998</v>
      </c>
      <c r="Y237" s="157">
        <f t="shared" si="379"/>
        <v>-20.937723999999996</v>
      </c>
      <c r="Z237" s="157">
        <f t="shared" si="379"/>
        <v>-21.006999999999998</v>
      </c>
      <c r="AA237" s="157">
        <f t="shared" si="379"/>
        <v>-20.030999999999999</v>
      </c>
      <c r="AB237" s="72">
        <f t="shared" ref="AB237:AY237" si="380">+AB238-AB234</f>
        <v>-19.788999999999998</v>
      </c>
      <c r="AC237" s="72">
        <f t="shared" si="380"/>
        <v>-20.574000000000002</v>
      </c>
      <c r="AD237" s="72">
        <f t="shared" si="380"/>
        <v>-16.882999999999999</v>
      </c>
      <c r="AE237" s="72">
        <f t="shared" si="380"/>
        <v>-16.742000000000001</v>
      </c>
      <c r="AF237" s="72">
        <f t="shared" si="380"/>
        <v>-17.593000000000004</v>
      </c>
      <c r="AG237" s="72">
        <f t="shared" si="380"/>
        <v>-18.497999999999998</v>
      </c>
      <c r="AH237" s="72">
        <f t="shared" si="380"/>
        <v>-18.089000000000002</v>
      </c>
      <c r="AI237" s="72">
        <f t="shared" si="380"/>
        <v>-15.890999999999998</v>
      </c>
      <c r="AJ237" s="72">
        <f t="shared" si="380"/>
        <v>-18.105</v>
      </c>
      <c r="AK237" s="72">
        <f t="shared" si="380"/>
        <v>-18.697000000000003</v>
      </c>
      <c r="AL237" s="72">
        <f t="shared" si="380"/>
        <v>-15.931999999999999</v>
      </c>
      <c r="AM237" s="72">
        <f t="shared" ref="AM237" si="381">+AM238-AM234</f>
        <v>-16.317</v>
      </c>
      <c r="AN237" s="72">
        <f t="shared" si="380"/>
        <v>-19.021113</v>
      </c>
      <c r="AO237" s="72">
        <f t="shared" si="380"/>
        <v>-19.643068200000002</v>
      </c>
      <c r="AP237" s="72">
        <f t="shared" si="380"/>
        <v>-94.999999999999986</v>
      </c>
      <c r="AQ237" s="72">
        <f t="shared" si="380"/>
        <v>-90</v>
      </c>
      <c r="AR237" s="72">
        <f t="shared" si="380"/>
        <v>-90.000000000000014</v>
      </c>
      <c r="AS237" s="72">
        <f t="shared" si="380"/>
        <v>-100</v>
      </c>
      <c r="AT237" s="72">
        <f t="shared" si="380"/>
        <v>-98.838000000000008</v>
      </c>
      <c r="AU237" s="72">
        <f t="shared" si="380"/>
        <v>-93.635999999999996</v>
      </c>
      <c r="AV237" s="72">
        <f t="shared" si="380"/>
        <v>-91.800000000000011</v>
      </c>
      <c r="AW237" s="72">
        <f t="shared" si="380"/>
        <v>-102</v>
      </c>
      <c r="AX237" s="72">
        <f t="shared" si="380"/>
        <v>-100.81476000000004</v>
      </c>
      <c r="AY237" s="72">
        <f t="shared" si="380"/>
        <v>-95.508720000000011</v>
      </c>
      <c r="AZ237" s="5"/>
      <c r="BA237" s="5"/>
      <c r="BB237" s="5"/>
      <c r="BC237" s="5"/>
      <c r="BD237" s="5"/>
      <c r="BE237" s="5"/>
      <c r="BF237" s="5"/>
      <c r="BG237" s="4">
        <v>231</v>
      </c>
      <c r="BH237"/>
      <c r="BI237"/>
      <c r="BJ237"/>
      <c r="BK237"/>
      <c r="BL237"/>
      <c r="BM237"/>
    </row>
    <row r="238" spans="1:65" s="3" customFormat="1" ht="12.75" customHeight="1" outlineLevel="2">
      <c r="A238" s="6"/>
      <c r="B238" s="156" t="s">
        <v>185</v>
      </c>
      <c r="C238" s="158">
        <f t="shared" si="371"/>
        <v>0</v>
      </c>
      <c r="D238" s="158">
        <f t="shared" si="371"/>
        <v>0</v>
      </c>
      <c r="E238" s="158">
        <f t="shared" si="371"/>
        <v>0</v>
      </c>
      <c r="F238" s="158">
        <f t="shared" si="371"/>
        <v>0</v>
      </c>
      <c r="G238" s="158">
        <f t="shared" si="371"/>
        <v>41.788999999999994</v>
      </c>
      <c r="H238" s="158">
        <f t="shared" si="371"/>
        <v>41.859195999999997</v>
      </c>
      <c r="I238" s="158">
        <f t="shared" si="371"/>
        <v>44.638000000000005</v>
      </c>
      <c r="J238" s="158">
        <f t="shared" si="371"/>
        <v>48.797999999999995</v>
      </c>
      <c r="K238" s="158">
        <f t="shared" si="371"/>
        <v>55.995000000000005</v>
      </c>
      <c r="L238" s="158">
        <f t="shared" si="371"/>
        <v>160.4796212</v>
      </c>
      <c r="M238" s="158">
        <f t="shared" si="371"/>
        <v>279.84392000000003</v>
      </c>
      <c r="N238" s="158">
        <f t="shared" si="371"/>
        <v>285.44079840000001</v>
      </c>
      <c r="O238" s="5"/>
      <c r="P238" s="25"/>
      <c r="Q238" s="25"/>
      <c r="R238" s="25"/>
      <c r="S238" s="25"/>
      <c r="T238" s="157">
        <f t="shared" ref="T238:AA238" si="382">+T234+T237</f>
        <v>9.0309999999999988</v>
      </c>
      <c r="U238" s="157">
        <f t="shared" si="382"/>
        <v>11.482999999999997</v>
      </c>
      <c r="V238" s="157">
        <f t="shared" si="382"/>
        <v>11.841999999999999</v>
      </c>
      <c r="W238" s="157">
        <f t="shared" si="382"/>
        <v>9.4329999999999998</v>
      </c>
      <c r="X238" s="157">
        <f t="shared" si="382"/>
        <v>8.0410000000000004</v>
      </c>
      <c r="Y238" s="157">
        <f t="shared" si="382"/>
        <v>12.668196000000002</v>
      </c>
      <c r="Z238" s="157">
        <f t="shared" si="382"/>
        <v>11.805</v>
      </c>
      <c r="AA238" s="157">
        <f t="shared" si="382"/>
        <v>9.3450000000000024</v>
      </c>
      <c r="AB238" s="73">
        <v>8.8320000000000007</v>
      </c>
      <c r="AC238" s="73">
        <v>12.599</v>
      </c>
      <c r="AD238" s="73">
        <v>12.483000000000001</v>
      </c>
      <c r="AE238" s="73">
        <v>10.724</v>
      </c>
      <c r="AF238" s="73">
        <v>10.401999999999999</v>
      </c>
      <c r="AG238" s="73">
        <v>13.648999999999999</v>
      </c>
      <c r="AH238" s="72">
        <f t="shared" ref="AH238:AY238" si="383">AH17</f>
        <v>13.545999999999999</v>
      </c>
      <c r="AI238" s="72">
        <f t="shared" si="383"/>
        <v>11.201000000000001</v>
      </c>
      <c r="AJ238" s="72">
        <f t="shared" si="383"/>
        <v>13.484999999999999</v>
      </c>
      <c r="AK238" s="72">
        <f t="shared" si="383"/>
        <v>15.717000000000001</v>
      </c>
      <c r="AL238" s="72">
        <f t="shared" si="383"/>
        <v>14.367000000000001</v>
      </c>
      <c r="AM238" s="72">
        <f t="shared" ref="AM238" si="384">AM17</f>
        <v>12.426</v>
      </c>
      <c r="AN238" s="72">
        <f t="shared" si="383"/>
        <v>14.167341</v>
      </c>
      <c r="AO238" s="72">
        <f t="shared" si="383"/>
        <v>16.512280199999999</v>
      </c>
      <c r="AP238" s="72">
        <f t="shared" si="383"/>
        <v>72.2</v>
      </c>
      <c r="AQ238" s="72">
        <f t="shared" si="383"/>
        <v>57.6</v>
      </c>
      <c r="AR238" s="72">
        <f t="shared" si="383"/>
        <v>64.8</v>
      </c>
      <c r="AS238" s="72">
        <f t="shared" si="383"/>
        <v>80</v>
      </c>
      <c r="AT238" s="72">
        <f t="shared" si="383"/>
        <v>75.116879999999995</v>
      </c>
      <c r="AU238" s="72">
        <f t="shared" si="383"/>
        <v>59.927040000000005</v>
      </c>
      <c r="AV238" s="72">
        <f t="shared" si="383"/>
        <v>66.096000000000004</v>
      </c>
      <c r="AW238" s="72">
        <f t="shared" si="383"/>
        <v>81.599999999999994</v>
      </c>
      <c r="AX238" s="72">
        <f t="shared" si="383"/>
        <v>76.619217599999985</v>
      </c>
      <c r="AY238" s="72">
        <f t="shared" si="383"/>
        <v>61.125580800000002</v>
      </c>
      <c r="AZ238" s="5"/>
      <c r="BA238" s="5"/>
      <c r="BB238" s="5"/>
      <c r="BC238" s="5"/>
      <c r="BD238" s="5"/>
      <c r="BE238" s="5"/>
      <c r="BF238" s="5"/>
      <c r="BG238" s="4">
        <v>232</v>
      </c>
      <c r="BH238"/>
      <c r="BI238"/>
      <c r="BJ238"/>
      <c r="BK238"/>
      <c r="BL238"/>
      <c r="BM238"/>
    </row>
    <row r="239" spans="1:65" s="3" customFormat="1" ht="12.75" customHeight="1" outlineLevel="2">
      <c r="A239" s="6"/>
      <c r="B239" s="156" t="s">
        <v>184</v>
      </c>
      <c r="C239" s="72">
        <f t="shared" ref="C239:N239" si="385">+C238*1000/C184</f>
        <v>0</v>
      </c>
      <c r="D239" s="72">
        <f t="shared" si="385"/>
        <v>0</v>
      </c>
      <c r="E239" s="72">
        <f t="shared" si="385"/>
        <v>0</v>
      </c>
      <c r="F239" s="72">
        <f t="shared" si="385"/>
        <v>0</v>
      </c>
      <c r="G239" s="72">
        <f t="shared" si="385"/>
        <v>16.973598700243702</v>
      </c>
      <c r="H239" s="72">
        <f t="shared" si="385"/>
        <v>17.256144476196287</v>
      </c>
      <c r="I239" s="72">
        <f t="shared" si="385"/>
        <v>19.42711805984726</v>
      </c>
      <c r="J239" s="72">
        <f t="shared" si="385"/>
        <v>19.490720159702636</v>
      </c>
      <c r="K239" s="72">
        <f t="shared" si="385"/>
        <v>22.592594535251028</v>
      </c>
      <c r="L239" s="72">
        <f t="shared" si="385"/>
        <v>18.429298000635328</v>
      </c>
      <c r="M239" s="72">
        <f t="shared" si="385"/>
        <v>18.473984684446794</v>
      </c>
      <c r="N239" s="72">
        <f t="shared" si="385"/>
        <v>18.843464378135728</v>
      </c>
      <c r="O239" s="5"/>
      <c r="P239" s="25"/>
      <c r="Q239" s="25"/>
      <c r="R239" s="25"/>
      <c r="S239" s="25"/>
      <c r="T239" s="72">
        <f t="shared" ref="T239:AY239" si="386">+T238*1000/T184</f>
        <v>15.517182130584189</v>
      </c>
      <c r="U239" s="72">
        <f t="shared" si="386"/>
        <v>16.911634756995575</v>
      </c>
      <c r="V239" s="72">
        <f t="shared" si="386"/>
        <v>18.736037364487281</v>
      </c>
      <c r="W239" s="72">
        <f t="shared" si="386"/>
        <v>16.588411149213048</v>
      </c>
      <c r="X239" s="72">
        <f t="shared" si="386"/>
        <v>14.552081467043815</v>
      </c>
      <c r="Y239" s="72">
        <f t="shared" si="386"/>
        <v>19.766630050804512</v>
      </c>
      <c r="Z239" s="72">
        <f t="shared" si="386"/>
        <v>18.49530762843311</v>
      </c>
      <c r="AA239" s="72">
        <f t="shared" si="386"/>
        <v>15.731502227998206</v>
      </c>
      <c r="AB239" s="72">
        <f t="shared" si="386"/>
        <v>16.64003858559672</v>
      </c>
      <c r="AC239" s="72">
        <f t="shared" si="386"/>
        <v>19.640457565450006</v>
      </c>
      <c r="AD239" s="72">
        <f t="shared" si="386"/>
        <v>21.901114267217103</v>
      </c>
      <c r="AE239" s="72">
        <f t="shared" si="386"/>
        <v>19.305304278166322</v>
      </c>
      <c r="AF239" s="72">
        <f t="shared" si="386"/>
        <v>17.71524137484715</v>
      </c>
      <c r="AG239" s="72">
        <f t="shared" si="386"/>
        <v>20.641397124208311</v>
      </c>
      <c r="AH239" s="72">
        <f t="shared" si="386"/>
        <v>20.268339285954756</v>
      </c>
      <c r="AI239" s="72">
        <f t="shared" si="386"/>
        <v>19.0850880391482</v>
      </c>
      <c r="AJ239" s="72">
        <f t="shared" si="386"/>
        <v>22.649476467051183</v>
      </c>
      <c r="AK239" s="72">
        <f t="shared" si="386"/>
        <v>22.883358497214015</v>
      </c>
      <c r="AL239" s="72">
        <f t="shared" si="386"/>
        <v>23.37093200680615</v>
      </c>
      <c r="AM239" s="72">
        <f t="shared" ref="AM239" si="387">+AM238*1000/AM184</f>
        <v>21.368138671068923</v>
      </c>
      <c r="AN239" s="72">
        <f t="shared" si="386"/>
        <v>23.328960761062721</v>
      </c>
      <c r="AO239" s="72">
        <f t="shared" si="386"/>
        <v>23.569859252130438</v>
      </c>
      <c r="AP239" s="72">
        <f t="shared" si="386"/>
        <v>19</v>
      </c>
      <c r="AQ239" s="72">
        <f t="shared" si="386"/>
        <v>16</v>
      </c>
      <c r="AR239" s="72">
        <f t="shared" si="386"/>
        <v>18</v>
      </c>
      <c r="AS239" s="72">
        <f t="shared" si="386"/>
        <v>20</v>
      </c>
      <c r="AT239" s="72">
        <f t="shared" si="386"/>
        <v>19.38</v>
      </c>
      <c r="AU239" s="72">
        <f t="shared" si="386"/>
        <v>16.320000000000004</v>
      </c>
      <c r="AV239" s="72">
        <f t="shared" si="386"/>
        <v>18.36</v>
      </c>
      <c r="AW239" s="72">
        <f t="shared" si="386"/>
        <v>20.399999999999999</v>
      </c>
      <c r="AX239" s="72">
        <f t="shared" si="386"/>
        <v>19.767599999999998</v>
      </c>
      <c r="AY239" s="72">
        <f t="shared" si="386"/>
        <v>16.6464</v>
      </c>
      <c r="AZ239" s="5"/>
      <c r="BA239" s="5"/>
      <c r="BB239" s="5"/>
      <c r="BC239" s="5"/>
      <c r="BD239" s="5"/>
      <c r="BE239" s="5"/>
      <c r="BF239" s="5"/>
      <c r="BG239" s="4">
        <v>233</v>
      </c>
      <c r="BH239"/>
      <c r="BI239"/>
      <c r="BJ239"/>
      <c r="BK239"/>
      <c r="BL239"/>
      <c r="BM239"/>
    </row>
    <row r="240" spans="1:65" s="3" customFormat="1" ht="12.75" customHeight="1" outlineLevel="2">
      <c r="A240" s="6"/>
      <c r="B240" s="156" t="s">
        <v>183</v>
      </c>
      <c r="C240" s="72">
        <f t="shared" ref="C240:N240" si="388">+C236*1000/C184</f>
        <v>0</v>
      </c>
      <c r="D240" s="72">
        <f t="shared" si="388"/>
        <v>0</v>
      </c>
      <c r="E240" s="72">
        <f t="shared" si="388"/>
        <v>0</v>
      </c>
      <c r="F240" s="72">
        <f t="shared" si="388"/>
        <v>0</v>
      </c>
      <c r="G240" s="72">
        <f t="shared" si="388"/>
        <v>-2.8529650690495534</v>
      </c>
      <c r="H240" s="72">
        <f t="shared" si="388"/>
        <v>-2.8955921370492339</v>
      </c>
      <c r="I240" s="72">
        <f t="shared" si="388"/>
        <v>-2.5560164963816248</v>
      </c>
      <c r="J240" s="72">
        <f t="shared" si="388"/>
        <v>-1.1179664274562007</v>
      </c>
      <c r="K240" s="72">
        <f t="shared" si="388"/>
        <v>0</v>
      </c>
      <c r="L240" s="72">
        <f t="shared" si="388"/>
        <v>0</v>
      </c>
      <c r="M240" s="72">
        <f t="shared" si="388"/>
        <v>0</v>
      </c>
      <c r="N240" s="72">
        <f t="shared" si="388"/>
        <v>0</v>
      </c>
      <c r="O240" s="5"/>
      <c r="P240" s="25"/>
      <c r="Q240" s="25"/>
      <c r="R240" s="25"/>
      <c r="S240" s="25"/>
      <c r="T240" s="72">
        <f t="shared" ref="T240:AY240" si="389">+T236*1000/T184</f>
        <v>-3.0171821305841928</v>
      </c>
      <c r="U240" s="72">
        <f t="shared" si="389"/>
        <v>-2.5861561119293079</v>
      </c>
      <c r="V240" s="72">
        <f t="shared" si="389"/>
        <v>-2.7782875875730175</v>
      </c>
      <c r="W240" s="72">
        <f t="shared" si="389"/>
        <v>-3.0880154752483957</v>
      </c>
      <c r="X240" s="72">
        <f t="shared" si="389"/>
        <v>-3.1778951692735906</v>
      </c>
      <c r="Y240" s="72">
        <f t="shared" si="389"/>
        <v>-2.7399483217036362</v>
      </c>
      <c r="Z240" s="72">
        <f t="shared" si="389"/>
        <v>-2.75118680182368</v>
      </c>
      <c r="AA240" s="72">
        <f t="shared" si="389"/>
        <v>-2.9560746829710913</v>
      </c>
      <c r="AB240" s="72">
        <f t="shared" si="389"/>
        <v>-3.3084134687848552</v>
      </c>
      <c r="AC240" s="72">
        <f t="shared" si="389"/>
        <v>-2.1808873826545421</v>
      </c>
      <c r="AD240" s="72">
        <f t="shared" si="389"/>
        <v>-2.5492525058292426</v>
      </c>
      <c r="AE240" s="72">
        <f t="shared" si="389"/>
        <v>-2.2772482200559869</v>
      </c>
      <c r="AF240" s="72">
        <f t="shared" si="389"/>
        <v>-2.6499630435745161</v>
      </c>
      <c r="AG240" s="72">
        <f t="shared" si="389"/>
        <v>-1.8797902135974043</v>
      </c>
      <c r="AH240" s="72">
        <f t="shared" si="389"/>
        <v>0</v>
      </c>
      <c r="AI240" s="72">
        <f t="shared" si="389"/>
        <v>0</v>
      </c>
      <c r="AJ240" s="72">
        <f t="shared" si="389"/>
        <v>0</v>
      </c>
      <c r="AK240" s="72">
        <f t="shared" si="389"/>
        <v>0</v>
      </c>
      <c r="AL240" s="72">
        <f t="shared" si="389"/>
        <v>0</v>
      </c>
      <c r="AM240" s="72">
        <f t="shared" ref="AM240" si="390">+AM236*1000/AM184</f>
        <v>0</v>
      </c>
      <c r="AN240" s="72">
        <f t="shared" si="389"/>
        <v>0</v>
      </c>
      <c r="AO240" s="72">
        <f t="shared" si="389"/>
        <v>0</v>
      </c>
      <c r="AP240" s="72">
        <f t="shared" si="389"/>
        <v>0</v>
      </c>
      <c r="AQ240" s="72">
        <f t="shared" si="389"/>
        <v>0</v>
      </c>
      <c r="AR240" s="72">
        <f t="shared" si="389"/>
        <v>0</v>
      </c>
      <c r="AS240" s="72">
        <f t="shared" si="389"/>
        <v>0</v>
      </c>
      <c r="AT240" s="72">
        <f t="shared" si="389"/>
        <v>0</v>
      </c>
      <c r="AU240" s="72">
        <f t="shared" si="389"/>
        <v>0</v>
      </c>
      <c r="AV240" s="72">
        <f t="shared" si="389"/>
        <v>0</v>
      </c>
      <c r="AW240" s="72">
        <f t="shared" si="389"/>
        <v>0</v>
      </c>
      <c r="AX240" s="72">
        <f t="shared" si="389"/>
        <v>0</v>
      </c>
      <c r="AY240" s="72">
        <f t="shared" si="389"/>
        <v>0</v>
      </c>
      <c r="AZ240" s="5"/>
      <c r="BA240" s="5"/>
      <c r="BB240" s="5"/>
      <c r="BC240" s="5"/>
      <c r="BD240" s="5"/>
      <c r="BE240" s="5"/>
      <c r="BF240" s="5"/>
      <c r="BG240" s="4">
        <v>234</v>
      </c>
      <c r="BH240"/>
      <c r="BI240"/>
      <c r="BJ240"/>
      <c r="BK240"/>
      <c r="BL240"/>
      <c r="BM240"/>
    </row>
    <row r="241" spans="1:65" s="3" customFormat="1" ht="12.75" customHeight="1" outlineLevel="1">
      <c r="A241" s="6"/>
      <c r="B241" s="126"/>
      <c r="C241" s="25"/>
      <c r="D241" s="25"/>
      <c r="E241" s="25"/>
      <c r="F241" s="25"/>
      <c r="G241" s="25"/>
      <c r="H241" s="155"/>
      <c r="I241" s="155"/>
      <c r="J241" s="155"/>
      <c r="K241" s="155"/>
      <c r="L241" s="155"/>
      <c r="M241" s="155"/>
      <c r="N241" s="155"/>
      <c r="O241" s="5"/>
      <c r="P241" s="25"/>
      <c r="Q241" s="25"/>
      <c r="R241" s="25"/>
      <c r="S241" s="25"/>
      <c r="T241" s="25"/>
      <c r="U241" s="30"/>
      <c r="V241" s="30"/>
      <c r="W241" s="30"/>
      <c r="X241" s="30"/>
      <c r="Y241" s="30"/>
      <c r="Z241" s="19"/>
      <c r="AA241" s="19"/>
      <c r="AB241" s="19"/>
      <c r="AC241" s="19"/>
      <c r="AD241" s="19"/>
      <c r="AE241" s="19"/>
      <c r="AF241" s="19"/>
      <c r="AG241" s="19"/>
      <c r="AH241" s="19"/>
      <c r="AI241" s="19"/>
      <c r="AJ241" s="19"/>
      <c r="AK241" s="19"/>
      <c r="AL241" s="19"/>
      <c r="AM241" s="19"/>
      <c r="AN241" s="5"/>
      <c r="AO241" s="5"/>
      <c r="AP241" s="5"/>
      <c r="AQ241" s="5"/>
      <c r="AR241" s="5"/>
      <c r="AS241" s="5"/>
      <c r="AT241" s="5"/>
      <c r="AU241" s="5"/>
      <c r="AV241" s="5"/>
      <c r="AW241" s="5"/>
      <c r="AX241" s="5"/>
      <c r="AY241" s="5"/>
      <c r="AZ241" s="5"/>
      <c r="BA241" s="5"/>
      <c r="BB241" s="5"/>
      <c r="BC241" s="5"/>
      <c r="BD241" s="5"/>
      <c r="BE241" s="5"/>
      <c r="BF241" s="5"/>
      <c r="BG241" s="4">
        <v>235</v>
      </c>
      <c r="BH241"/>
      <c r="BI241"/>
      <c r="BJ241"/>
      <c r="BK241"/>
      <c r="BL241"/>
      <c r="BM241"/>
    </row>
    <row r="242" spans="1:65" s="3" customFormat="1" ht="11.25">
      <c r="A242" s="2" t="s">
        <v>0</v>
      </c>
      <c r="B242" s="112" t="s">
        <v>182</v>
      </c>
      <c r="J242" s="77"/>
      <c r="P242" s="5"/>
      <c r="Q242" s="5"/>
      <c r="R242" s="5"/>
      <c r="S242" s="5"/>
      <c r="AN242" s="12"/>
      <c r="AO242" s="12"/>
      <c r="BG242" s="4">
        <v>236</v>
      </c>
      <c r="BH242"/>
      <c r="BI242"/>
      <c r="BJ242"/>
      <c r="BK242"/>
      <c r="BL242"/>
      <c r="BM242"/>
    </row>
    <row r="243" spans="1:65" s="3" customFormat="1" ht="11.25" outlineLevel="1">
      <c r="A243" s="2"/>
      <c r="B243" s="111" t="s">
        <v>147</v>
      </c>
      <c r="C243" s="86">
        <f t="shared" ref="C243:N243" si="391">C$7</f>
        <v>2009</v>
      </c>
      <c r="D243" s="86">
        <f t="shared" si="391"/>
        <v>2010</v>
      </c>
      <c r="E243" s="86">
        <f t="shared" si="391"/>
        <v>2011</v>
      </c>
      <c r="F243" s="86">
        <f t="shared" si="391"/>
        <v>2012</v>
      </c>
      <c r="G243" s="86">
        <f t="shared" si="391"/>
        <v>2013</v>
      </c>
      <c r="H243" s="86">
        <f t="shared" si="391"/>
        <v>2014</v>
      </c>
      <c r="I243" s="86">
        <f t="shared" si="391"/>
        <v>2015</v>
      </c>
      <c r="J243" s="86">
        <f t="shared" si="391"/>
        <v>2016</v>
      </c>
      <c r="K243" s="86">
        <f t="shared" si="391"/>
        <v>2017</v>
      </c>
      <c r="L243" s="86" t="str">
        <f t="shared" si="391"/>
        <v>2018E</v>
      </c>
      <c r="M243" s="86" t="str">
        <f t="shared" si="391"/>
        <v>2019E</v>
      </c>
      <c r="N243" s="86" t="str">
        <f t="shared" si="391"/>
        <v>2020E</v>
      </c>
      <c r="P243" s="87" t="str">
        <f t="shared" ref="P243:AY243" si="392">P$7</f>
        <v>1Q12</v>
      </c>
      <c r="Q243" s="87" t="str">
        <f t="shared" si="392"/>
        <v>2Q12</v>
      </c>
      <c r="R243" s="87" t="str">
        <f t="shared" si="392"/>
        <v>3Q12</v>
      </c>
      <c r="S243" s="87" t="str">
        <f t="shared" si="392"/>
        <v>4Q12</v>
      </c>
      <c r="T243" s="86" t="str">
        <f t="shared" si="392"/>
        <v>1Q13</v>
      </c>
      <c r="U243" s="86" t="str">
        <f t="shared" si="392"/>
        <v>2Q13</v>
      </c>
      <c r="V243" s="86" t="str">
        <f t="shared" si="392"/>
        <v>3Q13</v>
      </c>
      <c r="W243" s="86" t="str">
        <f t="shared" si="392"/>
        <v>4Q13</v>
      </c>
      <c r="X243" s="86" t="str">
        <f t="shared" si="392"/>
        <v>1Q14</v>
      </c>
      <c r="Y243" s="87" t="str">
        <f t="shared" si="392"/>
        <v>2Q14</v>
      </c>
      <c r="Z243" s="87" t="str">
        <f t="shared" si="392"/>
        <v>3Q14</v>
      </c>
      <c r="AA243" s="87" t="str">
        <f t="shared" si="392"/>
        <v>4Q14</v>
      </c>
      <c r="AB243" s="87" t="str">
        <f t="shared" si="392"/>
        <v>1Q15</v>
      </c>
      <c r="AC243" s="87" t="str">
        <f t="shared" si="392"/>
        <v>2Q15</v>
      </c>
      <c r="AD243" s="87" t="str">
        <f t="shared" si="392"/>
        <v>3Q15</v>
      </c>
      <c r="AE243" s="87" t="str">
        <f t="shared" si="392"/>
        <v>4Q15</v>
      </c>
      <c r="AF243" s="87" t="str">
        <f t="shared" si="392"/>
        <v>1Q16</v>
      </c>
      <c r="AG243" s="87" t="str">
        <f t="shared" si="392"/>
        <v>2Q16</v>
      </c>
      <c r="AH243" s="87" t="str">
        <f t="shared" si="392"/>
        <v>3Q16</v>
      </c>
      <c r="AI243" s="87" t="str">
        <f t="shared" si="392"/>
        <v>4Q16</v>
      </c>
      <c r="AJ243" s="87" t="str">
        <f t="shared" si="392"/>
        <v>1Q17</v>
      </c>
      <c r="AK243" s="87" t="str">
        <f t="shared" si="392"/>
        <v>2Q17</v>
      </c>
      <c r="AL243" s="87" t="str">
        <f t="shared" si="392"/>
        <v>3Q17</v>
      </c>
      <c r="AM243" s="87" t="str">
        <f t="shared" si="392"/>
        <v>4Q17</v>
      </c>
      <c r="AN243" s="86" t="str">
        <f t="shared" si="392"/>
        <v>1Q18E</v>
      </c>
      <c r="AO243" s="86" t="str">
        <f t="shared" si="392"/>
        <v>2Q18E</v>
      </c>
      <c r="AP243" s="86" t="str">
        <f t="shared" si="392"/>
        <v>3Q18E</v>
      </c>
      <c r="AQ243" s="86" t="str">
        <f t="shared" si="392"/>
        <v>4Q18E</v>
      </c>
      <c r="AR243" s="86" t="str">
        <f t="shared" si="392"/>
        <v>1Q19E</v>
      </c>
      <c r="AS243" s="86" t="str">
        <f t="shared" si="392"/>
        <v>2Q19E</v>
      </c>
      <c r="AT243" s="86" t="str">
        <f t="shared" si="392"/>
        <v>3Q19E</v>
      </c>
      <c r="AU243" s="86" t="str">
        <f t="shared" si="392"/>
        <v>4Q19E</v>
      </c>
      <c r="AV243" s="86" t="str">
        <f t="shared" si="392"/>
        <v>1Q20E</v>
      </c>
      <c r="AW243" s="86" t="str">
        <f t="shared" si="392"/>
        <v>2Q20E</v>
      </c>
      <c r="AX243" s="86" t="str">
        <f t="shared" si="392"/>
        <v>3Q20E</v>
      </c>
      <c r="AY243" s="86" t="str">
        <f t="shared" si="392"/>
        <v>4Q20E</v>
      </c>
      <c r="BG243" s="4">
        <v>237</v>
      </c>
      <c r="BH243"/>
      <c r="BI243"/>
      <c r="BJ243"/>
      <c r="BK243"/>
      <c r="BL243"/>
      <c r="BM243"/>
    </row>
    <row r="244" spans="1:65" s="3" customFormat="1" ht="11.25" outlineLevel="1">
      <c r="A244" s="2"/>
      <c r="B244" s="153" t="s">
        <v>181</v>
      </c>
      <c r="P244" s="5"/>
      <c r="Q244" s="5"/>
      <c r="R244" s="5"/>
      <c r="S244" s="5"/>
      <c r="Y244" s="5"/>
      <c r="Z244" s="5"/>
      <c r="AA244" s="5"/>
      <c r="AB244" s="5"/>
      <c r="AC244" s="5"/>
      <c r="AD244" s="5"/>
      <c r="AE244" s="5"/>
      <c r="AF244" s="5"/>
      <c r="AG244" s="5"/>
      <c r="AH244" s="5"/>
      <c r="AI244" s="5"/>
      <c r="AJ244" s="5"/>
      <c r="AK244" s="5"/>
      <c r="AL244" s="5"/>
      <c r="AM244" s="5"/>
      <c r="BG244" s="4">
        <v>238</v>
      </c>
      <c r="BH244"/>
      <c r="BI244"/>
      <c r="BJ244"/>
      <c r="BK244"/>
      <c r="BL244"/>
      <c r="BM244"/>
    </row>
    <row r="245" spans="1:65" s="3" customFormat="1" ht="11.25" outlineLevel="1">
      <c r="A245" s="2"/>
      <c r="B245" s="126" t="s">
        <v>180</v>
      </c>
      <c r="C245" s="120">
        <f>C32-C29</f>
        <v>48.901000000000003</v>
      </c>
      <c r="D245" s="120">
        <f>D32-D29</f>
        <v>99.453999999999994</v>
      </c>
      <c r="E245" s="120">
        <f>E32-E29</f>
        <v>145.18299999999999</v>
      </c>
      <c r="F245" s="120">
        <f>F32-F29</f>
        <v>149.47299999999996</v>
      </c>
      <c r="G245" s="120">
        <f>G32-G29</f>
        <v>104.65699999999994</v>
      </c>
      <c r="H245" s="120">
        <f t="shared" ref="H245:N249" si="393">SUMIF($P$4:$AZ$4,H$4,$P245:$AZ245)</f>
        <v>170.62300000000002</v>
      </c>
      <c r="I245" s="120">
        <f t="shared" si="393"/>
        <v>-91.929999999999993</v>
      </c>
      <c r="J245" s="120">
        <f t="shared" si="393"/>
        <v>-140.125</v>
      </c>
      <c r="K245" s="120">
        <f t="shared" si="393"/>
        <v>54.085000000000008</v>
      </c>
      <c r="L245" s="120">
        <f t="shared" si="393"/>
        <v>287.68455886198524</v>
      </c>
      <c r="M245" s="120">
        <f t="shared" si="393"/>
        <v>274.75308806925273</v>
      </c>
      <c r="N245" s="120">
        <f t="shared" si="393"/>
        <v>292.13612663577055</v>
      </c>
      <c r="O245" s="120"/>
      <c r="P245" s="124"/>
      <c r="Q245" s="124"/>
      <c r="R245" s="124"/>
      <c r="S245" s="124"/>
      <c r="T245" s="120">
        <f>T32-T29</f>
        <v>33.592999999999996</v>
      </c>
      <c r="U245" s="120">
        <f>U32-U29</f>
        <v>35.223000000000006</v>
      </c>
      <c r="V245" s="120">
        <f>V32-V29</f>
        <v>25.015999999999984</v>
      </c>
      <c r="W245" s="120">
        <f>+G245-SUM(T245:V245)</f>
        <v>10.824999999999946</v>
      </c>
      <c r="X245" s="124">
        <f>X32-X29</f>
        <v>34.612000000000016</v>
      </c>
      <c r="Y245" s="124">
        <f>78.815-X245</f>
        <v>44.202999999999982</v>
      </c>
      <c r="Z245" s="124">
        <f t="shared" ref="Z245:AY245" si="394">Z32-Z29</f>
        <v>54.162000000000006</v>
      </c>
      <c r="AA245" s="124">
        <f t="shared" si="394"/>
        <v>37.646000000000008</v>
      </c>
      <c r="AB245" s="124">
        <f t="shared" si="394"/>
        <v>30.879999999999992</v>
      </c>
      <c r="AC245" s="124">
        <f t="shared" si="394"/>
        <v>14.14100000000003</v>
      </c>
      <c r="AD245" s="124">
        <f t="shared" si="394"/>
        <v>-46.128999999999998</v>
      </c>
      <c r="AE245" s="124">
        <f t="shared" si="394"/>
        <v>-90.822000000000017</v>
      </c>
      <c r="AF245" s="124">
        <f t="shared" si="394"/>
        <v>-11.778999999999996</v>
      </c>
      <c r="AG245" s="124">
        <f t="shared" si="394"/>
        <v>-87.869999999999976</v>
      </c>
      <c r="AH245" s="124">
        <f t="shared" si="394"/>
        <v>-20.622999999999998</v>
      </c>
      <c r="AI245" s="124">
        <f t="shared" si="394"/>
        <v>-19.853000000000023</v>
      </c>
      <c r="AJ245" s="124">
        <f t="shared" si="394"/>
        <v>-11.41000000000003</v>
      </c>
      <c r="AK245" s="124">
        <f t="shared" si="394"/>
        <v>10.523000000000046</v>
      </c>
      <c r="AL245" s="124">
        <f t="shared" si="394"/>
        <v>34.919000000000004</v>
      </c>
      <c r="AM245" s="124">
        <f t="shared" si="394"/>
        <v>20.052999999999987</v>
      </c>
      <c r="AN245" s="120">
        <f t="shared" si="394"/>
        <v>29.5955140060452</v>
      </c>
      <c r="AO245" s="120">
        <f t="shared" si="394"/>
        <v>47.837277671530089</v>
      </c>
      <c r="AP245" s="120">
        <f t="shared" si="394"/>
        <v>105.04292227128377</v>
      </c>
      <c r="AQ245" s="120">
        <f t="shared" si="394"/>
        <v>105.2088449131262</v>
      </c>
      <c r="AR245" s="120">
        <f t="shared" si="394"/>
        <v>75.061684232584014</v>
      </c>
      <c r="AS245" s="120">
        <f t="shared" si="394"/>
        <v>67.959661459374473</v>
      </c>
      <c r="AT245" s="120">
        <f t="shared" si="394"/>
        <v>69.280983747244775</v>
      </c>
      <c r="AU245" s="120">
        <f t="shared" si="394"/>
        <v>62.450758630049457</v>
      </c>
      <c r="AV245" s="120">
        <f t="shared" si="394"/>
        <v>67.953480131633597</v>
      </c>
      <c r="AW245" s="120">
        <f t="shared" si="394"/>
        <v>80.821987827895043</v>
      </c>
      <c r="AX245" s="120">
        <f t="shared" si="394"/>
        <v>77.498788811683653</v>
      </c>
      <c r="AY245" s="120">
        <f t="shared" si="394"/>
        <v>65.86186986455823</v>
      </c>
      <c r="BG245" s="4">
        <v>239</v>
      </c>
      <c r="BH245"/>
      <c r="BI245"/>
      <c r="BJ245"/>
      <c r="BK245"/>
      <c r="BL245"/>
      <c r="BM245"/>
    </row>
    <row r="246" spans="1:65" s="3" customFormat="1" ht="11.25" outlineLevel="1">
      <c r="A246" s="2"/>
      <c r="B246" s="147" t="s">
        <v>34</v>
      </c>
      <c r="C246" s="120"/>
      <c r="D246" s="120"/>
      <c r="E246" s="120"/>
      <c r="F246" s="120">
        <f>F280</f>
        <v>27.562000000000001</v>
      </c>
      <c r="G246" s="120">
        <f>G280</f>
        <v>44.317</v>
      </c>
      <c r="H246" s="120">
        <f t="shared" si="393"/>
        <v>66.10199999999999</v>
      </c>
      <c r="I246" s="120">
        <f t="shared" si="393"/>
        <v>73.634000000000015</v>
      </c>
      <c r="J246" s="120">
        <f t="shared" si="393"/>
        <v>79.254999999999995</v>
      </c>
      <c r="K246" s="120">
        <f t="shared" si="393"/>
        <v>84.181000000000012</v>
      </c>
      <c r="L246" s="120">
        <f t="shared" si="393"/>
        <v>169.77449566283082</v>
      </c>
      <c r="M246" s="120">
        <f t="shared" si="393"/>
        <v>249.73690879659557</v>
      </c>
      <c r="N246" s="120">
        <f t="shared" si="393"/>
        <v>240.12406590986421</v>
      </c>
      <c r="O246" s="120"/>
      <c r="P246" s="124"/>
      <c r="Q246" s="124"/>
      <c r="R246" s="124"/>
      <c r="S246" s="124"/>
      <c r="T246" s="120">
        <f>T280</f>
        <v>8.9770000000000003</v>
      </c>
      <c r="U246" s="120">
        <f>U280</f>
        <v>9.9139999999999997</v>
      </c>
      <c r="V246" s="120">
        <f>V280</f>
        <v>10.344000000000003</v>
      </c>
      <c r="W246" s="120">
        <f>+G246-SUM(T246:V246)</f>
        <v>15.082000000000001</v>
      </c>
      <c r="X246" s="120">
        <f t="shared" ref="X246:AY246" si="395">X280</f>
        <v>14.553000000000001</v>
      </c>
      <c r="Y246" s="124">
        <f t="shared" si="395"/>
        <v>16.206</v>
      </c>
      <c r="Z246" s="124">
        <f t="shared" si="395"/>
        <v>16.875999999999998</v>
      </c>
      <c r="AA246" s="124">
        <f t="shared" si="395"/>
        <v>18.466999999999992</v>
      </c>
      <c r="AB246" s="124">
        <f t="shared" si="395"/>
        <v>17.913</v>
      </c>
      <c r="AC246" s="124">
        <f t="shared" si="395"/>
        <v>17.968000000000004</v>
      </c>
      <c r="AD246" s="124">
        <f t="shared" si="395"/>
        <v>17.059999999999999</v>
      </c>
      <c r="AE246" s="124">
        <f t="shared" si="395"/>
        <v>20.693000000000008</v>
      </c>
      <c r="AF246" s="124">
        <f t="shared" si="395"/>
        <v>20.277999999999999</v>
      </c>
      <c r="AG246" s="124">
        <f t="shared" si="395"/>
        <v>19.750999999999998</v>
      </c>
      <c r="AH246" s="124">
        <f t="shared" si="395"/>
        <v>19.332999999999998</v>
      </c>
      <c r="AI246" s="124">
        <f t="shared" si="395"/>
        <v>19.893000000000004</v>
      </c>
      <c r="AJ246" s="124">
        <f t="shared" si="395"/>
        <v>20.66</v>
      </c>
      <c r="AK246" s="124">
        <f t="shared" si="395"/>
        <v>21.153000000000002</v>
      </c>
      <c r="AL246" s="124">
        <f t="shared" si="395"/>
        <v>21.332999999999995</v>
      </c>
      <c r="AM246" s="124">
        <f t="shared" si="395"/>
        <v>21.035000000000011</v>
      </c>
      <c r="AN246" s="120">
        <f t="shared" si="395"/>
        <v>20.146345706586331</v>
      </c>
      <c r="AO246" s="120">
        <f t="shared" si="395"/>
        <v>20.61132373105697</v>
      </c>
      <c r="AP246" s="120">
        <f t="shared" si="395"/>
        <v>64.993262448044177</v>
      </c>
      <c r="AQ246" s="120">
        <f t="shared" si="395"/>
        <v>64.023563777143352</v>
      </c>
      <c r="AR246" s="120">
        <f t="shared" si="395"/>
        <v>63.375796956321913</v>
      </c>
      <c r="AS246" s="120">
        <f t="shared" si="395"/>
        <v>62.740175763390873</v>
      </c>
      <c r="AT246" s="120">
        <f t="shared" si="395"/>
        <v>62.116472467827286</v>
      </c>
      <c r="AU246" s="120">
        <f t="shared" si="395"/>
        <v>61.50446360905552</v>
      </c>
      <c r="AV246" s="120">
        <f t="shared" si="395"/>
        <v>60.903929916385721</v>
      </c>
      <c r="AW246" s="120">
        <f t="shared" si="395"/>
        <v>60.314656230453494</v>
      </c>
      <c r="AX246" s="120">
        <f t="shared" si="395"/>
        <v>59.736431426132484</v>
      </c>
      <c r="AY246" s="120">
        <f t="shared" si="395"/>
        <v>59.169048336892502</v>
      </c>
      <c r="BG246" s="4">
        <v>240</v>
      </c>
      <c r="BH246"/>
      <c r="BI246"/>
      <c r="BJ246"/>
      <c r="BK246"/>
      <c r="BL246"/>
      <c r="BM246"/>
    </row>
    <row r="247" spans="1:65" s="3" customFormat="1" ht="11.25" outlineLevel="1">
      <c r="A247" s="2"/>
      <c r="B247" s="147" t="s">
        <v>179</v>
      </c>
      <c r="C247" s="124"/>
      <c r="D247" s="124"/>
      <c r="E247" s="124"/>
      <c r="F247" s="120">
        <v>10.085000000000001</v>
      </c>
      <c r="G247" s="120">
        <v>0.82599999999999996</v>
      </c>
      <c r="H247" s="120">
        <f t="shared" si="393"/>
        <v>37.81</v>
      </c>
      <c r="I247" s="120">
        <f t="shared" si="393"/>
        <v>20.983000000000001</v>
      </c>
      <c r="J247" s="120">
        <f t="shared" si="393"/>
        <v>-82.731999999999999</v>
      </c>
      <c r="K247" s="120">
        <f t="shared" si="393"/>
        <v>-5.6340000000000003</v>
      </c>
      <c r="L247" s="120">
        <f t="shared" si="393"/>
        <v>11.910526487327173</v>
      </c>
      <c r="M247" s="120">
        <f t="shared" si="393"/>
        <v>-0.60519618277549547</v>
      </c>
      <c r="N247" s="120">
        <f t="shared" si="393"/>
        <v>-0.56106717224408875</v>
      </c>
      <c r="O247" s="120"/>
      <c r="P247" s="124"/>
      <c r="Q247" s="124"/>
      <c r="R247" s="124"/>
      <c r="S247" s="124"/>
      <c r="T247" s="123">
        <v>0</v>
      </c>
      <c r="U247" s="123">
        <v>0</v>
      </c>
      <c r="V247" s="123">
        <v>0</v>
      </c>
      <c r="W247" s="120">
        <f>+G247-SUM(T247:V247)</f>
        <v>0.82599999999999996</v>
      </c>
      <c r="X247" s="120"/>
      <c r="Y247" s="124"/>
      <c r="Z247" s="124"/>
      <c r="AA247" s="127">
        <f>37.81-Z247-Y247-X247</f>
        <v>37.81</v>
      </c>
      <c r="AB247" s="127">
        <v>0.26200000000000001</v>
      </c>
      <c r="AC247" s="127">
        <f>-13.456-AB247</f>
        <v>-13.718</v>
      </c>
      <c r="AD247" s="127">
        <f>4.417-AC247-AB247</f>
        <v>17.872999999999998</v>
      </c>
      <c r="AE247" s="127">
        <f>20.983-AD247-AC247-AB247</f>
        <v>16.566000000000003</v>
      </c>
      <c r="AF247" s="127">
        <v>-16.138999999999999</v>
      </c>
      <c r="AG247" s="127">
        <f>-59.913-AF247</f>
        <v>-43.774000000000001</v>
      </c>
      <c r="AH247" s="127">
        <f>-80.248-AG247-AF247</f>
        <v>-20.335000000000004</v>
      </c>
      <c r="AI247" s="127">
        <f>-82.732-AH247-AG247-AF247</f>
        <v>-2.4839999999999911</v>
      </c>
      <c r="AJ247" s="127">
        <v>0.11899999999999999</v>
      </c>
      <c r="AK247" s="127">
        <f>1.044-AJ247</f>
        <v>0.92500000000000004</v>
      </c>
      <c r="AL247" s="127">
        <f>3.965-AK247-AJ247</f>
        <v>2.9210000000000003</v>
      </c>
      <c r="AM247" s="127">
        <f>-5.634-AL247-AK247-AJ247</f>
        <v>-9.5990000000000002</v>
      </c>
      <c r="AN247" s="124">
        <f t="shared" ref="AN247:AY247" si="396">-(AN288-AM288)+AN303-AM303</f>
        <v>8.3226545432156573E-2</v>
      </c>
      <c r="AO247" s="124">
        <f t="shared" si="396"/>
        <v>12.223309891275903</v>
      </c>
      <c r="AP247" s="124">
        <f t="shared" si="396"/>
        <v>-0.23741484658770595</v>
      </c>
      <c r="AQ247" s="124">
        <f t="shared" si="396"/>
        <v>-0.15859510279318023</v>
      </c>
      <c r="AR247" s="124">
        <f t="shared" si="396"/>
        <v>-0.15562144461580729</v>
      </c>
      <c r="AS247" s="124">
        <f t="shared" si="396"/>
        <v>-0.15270354252926488</v>
      </c>
      <c r="AT247" s="124">
        <f t="shared" si="396"/>
        <v>-0.14984035110683713</v>
      </c>
      <c r="AU247" s="124">
        <f t="shared" si="396"/>
        <v>-0.14703084452358617</v>
      </c>
      <c r="AV247" s="124">
        <f t="shared" si="396"/>
        <v>-0.14427401618876523</v>
      </c>
      <c r="AW247" s="124">
        <f t="shared" si="396"/>
        <v>-0.14156887838523069</v>
      </c>
      <c r="AX247" s="124">
        <f t="shared" si="396"/>
        <v>-0.13891446191550472</v>
      </c>
      <c r="AY247" s="124">
        <f t="shared" si="396"/>
        <v>-0.13630981575458812</v>
      </c>
      <c r="BG247" s="4">
        <v>241</v>
      </c>
      <c r="BH247"/>
      <c r="BI247"/>
      <c r="BJ247"/>
      <c r="BK247"/>
      <c r="BL247"/>
      <c r="BM247"/>
    </row>
    <row r="248" spans="1:65" s="3" customFormat="1" ht="11.25" outlineLevel="1">
      <c r="A248" s="2"/>
      <c r="B248" s="147" t="s">
        <v>178</v>
      </c>
      <c r="C248" s="120">
        <f>-C20</f>
        <v>3.9060000000000001</v>
      </c>
      <c r="D248" s="120">
        <f>-D20</f>
        <v>23.277999999999999</v>
      </c>
      <c r="E248" s="120">
        <f>-E20</f>
        <v>17.539000000000001</v>
      </c>
      <c r="F248" s="120">
        <f>-F20</f>
        <v>11.433999999999999</v>
      </c>
      <c r="G248" s="120">
        <f>-G20</f>
        <v>10.132999999999999</v>
      </c>
      <c r="H248" s="120">
        <f t="shared" si="393"/>
        <v>16.570999999999998</v>
      </c>
      <c r="I248" s="120">
        <f t="shared" si="393"/>
        <v>4.0600000000000005</v>
      </c>
      <c r="J248" s="120">
        <f t="shared" si="393"/>
        <v>8.8699999999999992</v>
      </c>
      <c r="K248" s="120">
        <f t="shared" si="393"/>
        <v>10.071000000000002</v>
      </c>
      <c r="L248" s="120">
        <f t="shared" si="393"/>
        <v>16</v>
      </c>
      <c r="M248" s="120">
        <f t="shared" si="393"/>
        <v>20</v>
      </c>
      <c r="N248" s="120">
        <f t="shared" si="393"/>
        <v>20</v>
      </c>
      <c r="O248" s="120"/>
      <c r="P248" s="124"/>
      <c r="Q248" s="124"/>
      <c r="R248" s="124"/>
      <c r="S248" s="124"/>
      <c r="T248" s="120">
        <f>-T20</f>
        <v>1.839</v>
      </c>
      <c r="U248" s="120">
        <f>-U20</f>
        <v>1.87</v>
      </c>
      <c r="V248" s="120">
        <f>-V20</f>
        <v>2.0219999999999998</v>
      </c>
      <c r="W248" s="120">
        <f>+G248-SUM(T248:V248)</f>
        <v>4.4019999999999992</v>
      </c>
      <c r="X248" s="120">
        <f t="shared" ref="X248:AY248" si="397">-X20</f>
        <v>2.0939999999999999</v>
      </c>
      <c r="Y248" s="124">
        <f t="shared" si="397"/>
        <v>2.2189999999999999</v>
      </c>
      <c r="Z248" s="124">
        <f t="shared" si="397"/>
        <v>4.3609999999999998</v>
      </c>
      <c r="AA248" s="124">
        <f t="shared" si="397"/>
        <v>7.8970000000000002</v>
      </c>
      <c r="AB248" s="124">
        <f t="shared" si="397"/>
        <v>1.883</v>
      </c>
      <c r="AC248" s="124">
        <f t="shared" si="397"/>
        <v>2.153</v>
      </c>
      <c r="AD248" s="124">
        <f t="shared" si="397"/>
        <v>2.6789999999999998</v>
      </c>
      <c r="AE248" s="124">
        <f t="shared" si="397"/>
        <v>-2.6549999999999998</v>
      </c>
      <c r="AF248" s="124">
        <f t="shared" si="397"/>
        <v>1.653</v>
      </c>
      <c r="AG248" s="124">
        <f t="shared" si="397"/>
        <v>3.9140000000000001</v>
      </c>
      <c r="AH248" s="124">
        <f t="shared" si="397"/>
        <v>1.7989999999999999</v>
      </c>
      <c r="AI248" s="124">
        <f t="shared" si="397"/>
        <v>1.5039999999999996</v>
      </c>
      <c r="AJ248" s="124">
        <f t="shared" si="397"/>
        <v>2.4159999999999999</v>
      </c>
      <c r="AK248" s="124">
        <f t="shared" si="397"/>
        <v>2.7629999999999999</v>
      </c>
      <c r="AL248" s="124">
        <f t="shared" si="397"/>
        <v>2.4020000000000001</v>
      </c>
      <c r="AM248" s="124">
        <f t="shared" si="397"/>
        <v>2.4900000000000002</v>
      </c>
      <c r="AN248" s="120">
        <f t="shared" si="397"/>
        <v>3</v>
      </c>
      <c r="AO248" s="120">
        <f t="shared" si="397"/>
        <v>3</v>
      </c>
      <c r="AP248" s="120">
        <f t="shared" si="397"/>
        <v>5</v>
      </c>
      <c r="AQ248" s="120">
        <f t="shared" si="397"/>
        <v>5</v>
      </c>
      <c r="AR248" s="120">
        <f t="shared" si="397"/>
        <v>5</v>
      </c>
      <c r="AS248" s="120">
        <f t="shared" si="397"/>
        <v>5</v>
      </c>
      <c r="AT248" s="120">
        <f t="shared" si="397"/>
        <v>5</v>
      </c>
      <c r="AU248" s="120">
        <f t="shared" si="397"/>
        <v>5</v>
      </c>
      <c r="AV248" s="120">
        <f t="shared" si="397"/>
        <v>5</v>
      </c>
      <c r="AW248" s="120">
        <f t="shared" si="397"/>
        <v>5</v>
      </c>
      <c r="AX248" s="120">
        <f t="shared" si="397"/>
        <v>5</v>
      </c>
      <c r="AY248" s="120">
        <f t="shared" si="397"/>
        <v>5</v>
      </c>
      <c r="BG248" s="4">
        <v>242</v>
      </c>
      <c r="BH248"/>
      <c r="BI248"/>
      <c r="BJ248"/>
      <c r="BK248"/>
      <c r="BL248"/>
      <c r="BM248"/>
    </row>
    <row r="249" spans="1:65" s="3" customFormat="1" ht="11.25" outlineLevel="1">
      <c r="A249" s="2"/>
      <c r="B249" s="147" t="s">
        <v>71</v>
      </c>
      <c r="C249" s="124">
        <v>-1.8460000000000001</v>
      </c>
      <c r="D249" s="124">
        <v>-2.1</v>
      </c>
      <c r="E249" s="124">
        <v>0</v>
      </c>
      <c r="F249" s="120">
        <f>0.273-0.123</f>
        <v>0.15000000000000002</v>
      </c>
      <c r="G249" s="120">
        <f>11.358+3.009</f>
        <v>14.367000000000001</v>
      </c>
      <c r="H249" s="120">
        <f t="shared" si="393"/>
        <v>1.2620000000000002</v>
      </c>
      <c r="I249" s="120">
        <f t="shared" si="393"/>
        <v>88.880999999999943</v>
      </c>
      <c r="J249" s="120">
        <f t="shared" si="393"/>
        <v>105.589</v>
      </c>
      <c r="K249" s="120">
        <f t="shared" si="393"/>
        <v>30.765000000000015</v>
      </c>
      <c r="L249" s="120">
        <f t="shared" si="393"/>
        <v>0</v>
      </c>
      <c r="M249" s="120">
        <f t="shared" si="393"/>
        <v>0</v>
      </c>
      <c r="N249" s="120">
        <f t="shared" si="393"/>
        <v>0</v>
      </c>
      <c r="O249" s="120"/>
      <c r="P249" s="124"/>
      <c r="Q249" s="124"/>
      <c r="R249" s="124"/>
      <c r="S249" s="124"/>
      <c r="T249" s="123">
        <v>0.113</v>
      </c>
      <c r="U249" s="123">
        <f>-0.01-T249</f>
        <v>-0.123</v>
      </c>
      <c r="V249" s="123">
        <f>11.358+0.793-U249-T249</f>
        <v>12.161</v>
      </c>
      <c r="W249" s="120">
        <f>+G249-SUM(T249:V249)</f>
        <v>2.2160000000000011</v>
      </c>
      <c r="X249" s="123">
        <v>0.1</v>
      </c>
      <c r="Y249" s="122">
        <f>0.145-0.953-X249</f>
        <v>-0.90799999999999992</v>
      </c>
      <c r="Z249" s="122">
        <f>-1.067+0.197-Y249-X249</f>
        <v>-6.1999999999999972E-2</v>
      </c>
      <c r="AA249" s="122">
        <f>0.2+0.854+0.208-Z249-Y249-X249</f>
        <v>2.1320000000000001</v>
      </c>
      <c r="AB249" s="122">
        <f>1.241+0.018</f>
        <v>1.2590000000000001</v>
      </c>
      <c r="AC249" s="152">
        <f t="shared" ref="AC249:AM249" si="398">AC257-SUM(AC245:AC248,AC251:AC256)</f>
        <v>8.1239999999999526</v>
      </c>
      <c r="AD249" s="152">
        <f t="shared" si="398"/>
        <v>0.46400000000000574</v>
      </c>
      <c r="AE249" s="152">
        <f t="shared" si="398"/>
        <v>79.033999999999992</v>
      </c>
      <c r="AF249" s="152">
        <f t="shared" si="398"/>
        <v>1.841999999999997</v>
      </c>
      <c r="AG249" s="152">
        <f t="shared" si="398"/>
        <v>85.567999999999984</v>
      </c>
      <c r="AH249" s="152">
        <f t="shared" si="398"/>
        <v>22.428000000000008</v>
      </c>
      <c r="AI249" s="152">
        <f t="shared" si="398"/>
        <v>-4.2489999999999917</v>
      </c>
      <c r="AJ249" s="152">
        <f t="shared" si="398"/>
        <v>0.78400000000002734</v>
      </c>
      <c r="AK249" s="152">
        <f t="shared" si="398"/>
        <v>18.700999999999951</v>
      </c>
      <c r="AL249" s="152">
        <f t="shared" si="398"/>
        <v>1.6009999999999991</v>
      </c>
      <c r="AM249" s="152">
        <f t="shared" si="398"/>
        <v>9.6790000000000376</v>
      </c>
      <c r="AN249" s="130">
        <v>0</v>
      </c>
      <c r="AO249" s="130">
        <v>0</v>
      </c>
      <c r="AP249" s="130">
        <v>0</v>
      </c>
      <c r="AQ249" s="130">
        <v>0</v>
      </c>
      <c r="AR249" s="130">
        <v>0</v>
      </c>
      <c r="AS249" s="130">
        <v>0</v>
      </c>
      <c r="AT249" s="130">
        <v>0</v>
      </c>
      <c r="AU249" s="130">
        <v>0</v>
      </c>
      <c r="AV249" s="130">
        <v>0</v>
      </c>
      <c r="AW249" s="130">
        <v>0</v>
      </c>
      <c r="AX249" s="130">
        <v>0</v>
      </c>
      <c r="AY249" s="130">
        <v>0</v>
      </c>
      <c r="BG249" s="4">
        <v>243</v>
      </c>
      <c r="BH249"/>
      <c r="BI249"/>
      <c r="BJ249"/>
      <c r="BK249"/>
      <c r="BL249"/>
      <c r="BM249"/>
    </row>
    <row r="250" spans="1:65" s="3" customFormat="1" ht="11.25" outlineLevel="1">
      <c r="A250" s="2"/>
      <c r="B250" s="151" t="s">
        <v>177</v>
      </c>
      <c r="C250" s="120"/>
      <c r="D250" s="120"/>
      <c r="E250" s="120"/>
      <c r="F250" s="120"/>
      <c r="G250" s="120"/>
      <c r="H250" s="120"/>
      <c r="I250" s="120"/>
      <c r="J250" s="120"/>
      <c r="K250" s="120"/>
      <c r="L250" s="120"/>
      <c r="M250" s="120"/>
      <c r="N250" s="120"/>
      <c r="O250" s="120"/>
      <c r="P250" s="124"/>
      <c r="Q250" s="124"/>
      <c r="R250" s="124"/>
      <c r="S250" s="124"/>
      <c r="T250" s="120"/>
      <c r="U250" s="120"/>
      <c r="V250" s="120"/>
      <c r="W250" s="120"/>
      <c r="X250" s="120"/>
      <c r="Y250" s="124"/>
      <c r="Z250" s="124"/>
      <c r="AA250" s="124"/>
      <c r="AB250" s="124"/>
      <c r="AC250" s="124"/>
      <c r="AD250" s="124"/>
      <c r="AE250" s="124"/>
      <c r="AF250" s="124"/>
      <c r="AG250" s="124"/>
      <c r="AH250" s="124"/>
      <c r="AI250" s="124"/>
      <c r="AJ250" s="124"/>
      <c r="AK250" s="124"/>
      <c r="AL250" s="124"/>
      <c r="AM250" s="124"/>
      <c r="AN250" s="120"/>
      <c r="AO250" s="120"/>
      <c r="AP250" s="120"/>
      <c r="AQ250" s="120"/>
      <c r="AR250" s="120"/>
      <c r="AS250" s="120"/>
      <c r="AT250" s="120"/>
      <c r="AU250" s="120"/>
      <c r="AV250" s="120"/>
      <c r="AW250" s="120"/>
      <c r="AX250" s="120"/>
      <c r="AY250" s="120"/>
      <c r="BG250" s="4">
        <v>244</v>
      </c>
      <c r="BH250"/>
      <c r="BI250"/>
      <c r="BJ250"/>
      <c r="BK250"/>
      <c r="BL250"/>
      <c r="BM250"/>
    </row>
    <row r="251" spans="1:65" s="3" customFormat="1" ht="11.25" outlineLevel="1">
      <c r="A251" s="2"/>
      <c r="B251" s="126" t="s">
        <v>176</v>
      </c>
      <c r="C251" s="124"/>
      <c r="D251" s="124"/>
      <c r="E251" s="124"/>
      <c r="F251" s="120">
        <v>-3.504</v>
      </c>
      <c r="G251" s="120">
        <v>-23.463000000000001</v>
      </c>
      <c r="H251" s="120">
        <f t="shared" ref="H251:N256" si="399">SUMIF($P$4:$AZ$4,H$4,$P251:$AZ251)</f>
        <v>-66.406000000000006</v>
      </c>
      <c r="I251" s="120">
        <f t="shared" si="399"/>
        <v>129.68600000000001</v>
      </c>
      <c r="J251" s="120">
        <f t="shared" si="399"/>
        <v>-4.3849999999999998</v>
      </c>
      <c r="K251" s="120">
        <f t="shared" si="399"/>
        <v>-77.587000000000018</v>
      </c>
      <c r="L251" s="120">
        <f t="shared" si="399"/>
        <v>-5.8903891979439038</v>
      </c>
      <c r="M251" s="120">
        <f t="shared" si="399"/>
        <v>20.805942538987324</v>
      </c>
      <c r="N251" s="120">
        <f t="shared" si="399"/>
        <v>-1.7592793926056061</v>
      </c>
      <c r="O251" s="120"/>
      <c r="P251" s="124"/>
      <c r="Q251" s="124"/>
      <c r="R251" s="124"/>
      <c r="S251" s="124"/>
      <c r="T251" s="123">
        <v>-18.588999999999999</v>
      </c>
      <c r="U251" s="123">
        <f>-13.73-T251</f>
        <v>4.8589999999999982</v>
      </c>
      <c r="V251" s="123">
        <f>-42.578-U251-T251</f>
        <v>-28.847999999999999</v>
      </c>
      <c r="W251" s="120">
        <f t="shared" ref="W251:W262" si="400">+G251-SUM(T251:V251)</f>
        <v>19.115000000000002</v>
      </c>
      <c r="X251" s="123">
        <v>-44.326000000000001</v>
      </c>
      <c r="Y251" s="22">
        <f>-62.915-X251</f>
        <v>-18.588999999999999</v>
      </c>
      <c r="Z251" s="22">
        <f>-87.247-Y251-X251</f>
        <v>-24.332000000000001</v>
      </c>
      <c r="AA251" s="22">
        <f>-66.406-Z251-Y251-X251</f>
        <v>20.840999999999994</v>
      </c>
      <c r="AB251" s="22">
        <f>-(AB286-AA286)</f>
        <v>28.650000000000006</v>
      </c>
      <c r="AC251" s="127">
        <f>84.056-AB251</f>
        <v>55.405999999999992</v>
      </c>
      <c r="AD251" s="127">
        <f>114.818-AC251-AB251</f>
        <v>30.762</v>
      </c>
      <c r="AE251" s="127">
        <f>129.686-AD251-AC251-AB251</f>
        <v>14.868000000000009</v>
      </c>
      <c r="AF251" s="127">
        <v>-9.6080000000000005</v>
      </c>
      <c r="AG251" s="127">
        <f>10.524-AF251</f>
        <v>20.131999999999998</v>
      </c>
      <c r="AH251" s="127">
        <f>-5.035-AG251-AF251</f>
        <v>-15.558999999999997</v>
      </c>
      <c r="AI251" s="127">
        <f>-4.385-AH251-AG251-AF251</f>
        <v>0.65000000000000036</v>
      </c>
      <c r="AJ251" s="127">
        <v>-15.956</v>
      </c>
      <c r="AK251" s="127">
        <f>-44.602-AJ251</f>
        <v>-28.645999999999997</v>
      </c>
      <c r="AL251" s="127">
        <f>-75.707-AK251-AJ251</f>
        <v>-31.104999999999993</v>
      </c>
      <c r="AM251" s="127">
        <f>-77.587-AL251-AK251-AJ251</f>
        <v>-1.8800000000000168</v>
      </c>
      <c r="AN251" s="124">
        <f>-(AN286-AM286)</f>
        <v>-5.2889851371284919</v>
      </c>
      <c r="AO251" s="150">
        <f>-(AO286-AN286)+AO458</f>
        <v>-5.9512631894750712</v>
      </c>
      <c r="AP251" s="124">
        <f t="shared" ref="AP251:AY251" si="401">-(AP286-AO286)</f>
        <v>3.7492059769351158</v>
      </c>
      <c r="AQ251" s="124">
        <f t="shared" si="401"/>
        <v>1.6006531517245435</v>
      </c>
      <c r="AR251" s="124">
        <f t="shared" si="401"/>
        <v>4.432006417428795</v>
      </c>
      <c r="AS251" s="124">
        <f t="shared" si="401"/>
        <v>7.0479202522328137</v>
      </c>
      <c r="AT251" s="124">
        <f t="shared" si="401"/>
        <v>2.6573379100943839</v>
      </c>
      <c r="AU251" s="124">
        <f t="shared" si="401"/>
        <v>6.6686779592313314</v>
      </c>
      <c r="AV251" s="124">
        <f t="shared" si="401"/>
        <v>-6.6597720058356344</v>
      </c>
      <c r="AW251" s="124">
        <f t="shared" si="401"/>
        <v>-14.885563046730795</v>
      </c>
      <c r="AX251" s="124">
        <f t="shared" si="401"/>
        <v>7.8715862775182472</v>
      </c>
      <c r="AY251" s="124">
        <f t="shared" si="401"/>
        <v>11.914469382442576</v>
      </c>
      <c r="BG251" s="4">
        <v>245</v>
      </c>
      <c r="BH251"/>
      <c r="BI251"/>
      <c r="BJ251"/>
      <c r="BK251"/>
      <c r="BL251"/>
      <c r="BM251"/>
    </row>
    <row r="252" spans="1:65" s="3" customFormat="1" ht="11.25" outlineLevel="1">
      <c r="A252" s="2"/>
      <c r="B252" s="126" t="s">
        <v>175</v>
      </c>
      <c r="C252" s="124"/>
      <c r="D252" s="124"/>
      <c r="E252" s="124"/>
      <c r="F252" s="120">
        <v>4.5019999999999998</v>
      </c>
      <c r="G252" s="120">
        <v>0.158</v>
      </c>
      <c r="H252" s="120">
        <f t="shared" si="399"/>
        <v>-13.263999999999999</v>
      </c>
      <c r="I252" s="120">
        <f t="shared" si="399"/>
        <v>59.527000000000001</v>
      </c>
      <c r="J252" s="120">
        <f t="shared" si="399"/>
        <v>7.5430000000000001</v>
      </c>
      <c r="K252" s="120">
        <f t="shared" si="399"/>
        <v>-19.143999999999998</v>
      </c>
      <c r="L252" s="120">
        <f t="shared" si="399"/>
        <v>60.070779124136166</v>
      </c>
      <c r="M252" s="120">
        <f t="shared" si="399"/>
        <v>-8.4195172772751903E-3</v>
      </c>
      <c r="N252" s="120">
        <f t="shared" si="399"/>
        <v>-0.71669992707069241</v>
      </c>
      <c r="O252" s="120"/>
      <c r="P252" s="124"/>
      <c r="Q252" s="124"/>
      <c r="R252" s="124"/>
      <c r="S252" s="124"/>
      <c r="T252" s="123">
        <v>2.8460000000000001</v>
      </c>
      <c r="U252" s="123">
        <f>-2.056-T252</f>
        <v>-4.9020000000000001</v>
      </c>
      <c r="V252" s="123">
        <f>-3.147-U252-T252</f>
        <v>-1.0909999999999997</v>
      </c>
      <c r="W252" s="120">
        <f t="shared" si="400"/>
        <v>3.3049999999999997</v>
      </c>
      <c r="X252" s="123">
        <v>-1.7689999999999999</v>
      </c>
      <c r="Y252" s="22">
        <f>-9.006-X252</f>
        <v>-7.2370000000000001</v>
      </c>
      <c r="Z252" s="22">
        <f>-12.181-Y252-X252</f>
        <v>-3.1749999999999989</v>
      </c>
      <c r="AA252" s="22">
        <f>-13.264-Z252-Y252-X252</f>
        <v>-1.0830000000000004</v>
      </c>
      <c r="AB252" s="22">
        <v>14.624000000000001</v>
      </c>
      <c r="AC252" s="127">
        <f>39.747-AB252</f>
        <v>25.122999999999998</v>
      </c>
      <c r="AD252" s="127">
        <f>54.764-AC252-AB252</f>
        <v>15.017000000000005</v>
      </c>
      <c r="AE252" s="127">
        <f>59.527-AD252-AC252-AB252</f>
        <v>4.7629999999999999</v>
      </c>
      <c r="AF252" s="127">
        <v>1.103</v>
      </c>
      <c r="AG252" s="127">
        <f>3.5-AF252</f>
        <v>2.3970000000000002</v>
      </c>
      <c r="AH252" s="127">
        <f>7.039-AG252-AF252</f>
        <v>3.5389999999999997</v>
      </c>
      <c r="AI252" s="127">
        <f>7.543-AH252-AG252-AF252</f>
        <v>0.50400000000000023</v>
      </c>
      <c r="AJ252" s="127">
        <v>-9.0380000000000003</v>
      </c>
      <c r="AK252" s="127">
        <f>-9.423-AJ252</f>
        <v>-0.38499999999999979</v>
      </c>
      <c r="AL252" s="127">
        <f>-16.92-AK252-AJ252</f>
        <v>-7.4970000000000034</v>
      </c>
      <c r="AM252" s="127">
        <f>-19.144-AL252-AK252-AJ252</f>
        <v>-2.2239999999999949</v>
      </c>
      <c r="AN252" s="124">
        <f>-(AN287-AM287)</f>
        <v>-2.6516378122059194</v>
      </c>
      <c r="AO252" s="150">
        <f>-(AO287-AN287)+AO459</f>
        <v>3.2037631249772289</v>
      </c>
      <c r="AP252" s="124">
        <f t="shared" ref="AP252:AY252" si="402">-(AP287-AO287)</f>
        <v>59.785973484919282</v>
      </c>
      <c r="AQ252" s="124">
        <f t="shared" si="402"/>
        <v>-0.26731967355442521</v>
      </c>
      <c r="AR252" s="124">
        <f t="shared" si="402"/>
        <v>-1.8652341768337521</v>
      </c>
      <c r="AS252" s="124">
        <f t="shared" si="402"/>
        <v>-0.11862438205326953</v>
      </c>
      <c r="AT252" s="124">
        <f t="shared" si="402"/>
        <v>1.1380797778487022</v>
      </c>
      <c r="AU252" s="124">
        <f t="shared" si="402"/>
        <v>0.8373592637610443</v>
      </c>
      <c r="AV252" s="124">
        <f t="shared" si="402"/>
        <v>-1.1350686018393787</v>
      </c>
      <c r="AW252" s="124">
        <f t="shared" si="402"/>
        <v>-3.9464910154960648</v>
      </c>
      <c r="AX252" s="124">
        <f t="shared" si="402"/>
        <v>2.3342098968978462</v>
      </c>
      <c r="AY252" s="124">
        <f t="shared" si="402"/>
        <v>2.030649793366905</v>
      </c>
      <c r="BG252" s="4">
        <v>246</v>
      </c>
      <c r="BH252"/>
      <c r="BI252"/>
      <c r="BJ252"/>
      <c r="BK252"/>
      <c r="BL252"/>
      <c r="BM252"/>
    </row>
    <row r="253" spans="1:65" s="3" customFormat="1" ht="11.25" outlineLevel="1">
      <c r="A253" s="2"/>
      <c r="B253" s="126" t="s">
        <v>174</v>
      </c>
      <c r="C253" s="124"/>
      <c r="D253" s="124"/>
      <c r="E253" s="124"/>
      <c r="F253" s="120">
        <v>-2.7349999999999999</v>
      </c>
      <c r="G253" s="120">
        <v>-10.332000000000001</v>
      </c>
      <c r="H253" s="120">
        <f t="shared" si="399"/>
        <v>-23.454000000000001</v>
      </c>
      <c r="I253" s="120">
        <f t="shared" si="399"/>
        <v>-3.2720000000000002</v>
      </c>
      <c r="J253" s="120">
        <f t="shared" si="399"/>
        <v>11.495999999999999</v>
      </c>
      <c r="K253" s="120">
        <f t="shared" si="399"/>
        <v>-2.3980000000000001</v>
      </c>
      <c r="L253" s="120">
        <f t="shared" si="399"/>
        <v>0</v>
      </c>
      <c r="M253" s="120">
        <f t="shared" si="399"/>
        <v>0</v>
      </c>
      <c r="N253" s="120">
        <f t="shared" si="399"/>
        <v>0</v>
      </c>
      <c r="O253" s="120"/>
      <c r="P253" s="124"/>
      <c r="Q253" s="124"/>
      <c r="R253" s="124"/>
      <c r="S253" s="124"/>
      <c r="T253" s="123">
        <v>-1.2629999999999999</v>
      </c>
      <c r="U253" s="123">
        <f>-1.783-T253</f>
        <v>-0.52</v>
      </c>
      <c r="V253" s="123">
        <f>-5.676-U253-T253</f>
        <v>-3.8930000000000007</v>
      </c>
      <c r="W253" s="120">
        <f t="shared" si="400"/>
        <v>-4.6560000000000006</v>
      </c>
      <c r="X253" s="123">
        <v>8.0860000000000003</v>
      </c>
      <c r="Y253" s="22">
        <f>8.272-X253</f>
        <v>0.18599999999999994</v>
      </c>
      <c r="Z253" s="22">
        <f>5.241-Y253-X253</f>
        <v>-3.0310000000000006</v>
      </c>
      <c r="AA253" s="22">
        <f>-23.454-Z253-Y253-X253</f>
        <v>-28.695</v>
      </c>
      <c r="AB253" s="22">
        <v>3.5670000000000002</v>
      </c>
      <c r="AC253" s="127">
        <f>11.52-AB253</f>
        <v>7.9529999999999994</v>
      </c>
      <c r="AD253" s="127">
        <f>11.741-AC253-AB253</f>
        <v>0.22100000000000009</v>
      </c>
      <c r="AE253" s="127">
        <f>-3.272-AD253-AC253-AB253</f>
        <v>-15.013</v>
      </c>
      <c r="AF253" s="127">
        <v>6.234</v>
      </c>
      <c r="AG253" s="127">
        <f>3.745-AF253</f>
        <v>-2.4889999999999999</v>
      </c>
      <c r="AH253" s="127">
        <f>1.873-AG253-AF253</f>
        <v>-1.8719999999999999</v>
      </c>
      <c r="AI253" s="127">
        <f>11.496-AH253-AG253-AF253</f>
        <v>9.6229999999999993</v>
      </c>
      <c r="AJ253" s="127">
        <v>-1.0780000000000001</v>
      </c>
      <c r="AK253" s="127">
        <f>-0.991-AJ253</f>
        <v>8.7000000000000077E-2</v>
      </c>
      <c r="AL253" s="127">
        <f>-2.745-AK253-AJ253</f>
        <v>-1.7540000000000002</v>
      </c>
      <c r="AM253" s="127">
        <f>-2.398-AL253-AK253-AJ253</f>
        <v>0.34700000000000009</v>
      </c>
      <c r="AN253" s="124">
        <f t="shared" ref="AN253:AY253" si="403">-(AN289-AM289)</f>
        <v>0</v>
      </c>
      <c r="AO253" s="124">
        <f t="shared" si="403"/>
        <v>0</v>
      </c>
      <c r="AP253" s="124">
        <f t="shared" si="403"/>
        <v>0</v>
      </c>
      <c r="AQ253" s="124">
        <f t="shared" si="403"/>
        <v>0</v>
      </c>
      <c r="AR253" s="124">
        <f t="shared" si="403"/>
        <v>0</v>
      </c>
      <c r="AS253" s="124">
        <f t="shared" si="403"/>
        <v>0</v>
      </c>
      <c r="AT253" s="124">
        <f t="shared" si="403"/>
        <v>0</v>
      </c>
      <c r="AU253" s="124">
        <f t="shared" si="403"/>
        <v>0</v>
      </c>
      <c r="AV253" s="124">
        <f t="shared" si="403"/>
        <v>0</v>
      </c>
      <c r="AW253" s="124">
        <f t="shared" si="403"/>
        <v>0</v>
      </c>
      <c r="AX253" s="124">
        <f t="shared" si="403"/>
        <v>0</v>
      </c>
      <c r="AY253" s="124">
        <f t="shared" si="403"/>
        <v>0</v>
      </c>
      <c r="BG253" s="4">
        <v>247</v>
      </c>
      <c r="BH253"/>
      <c r="BI253"/>
      <c r="BJ253"/>
      <c r="BK253"/>
      <c r="BL253"/>
      <c r="BM253"/>
    </row>
    <row r="254" spans="1:65" s="3" customFormat="1" ht="11.25" outlineLevel="1">
      <c r="A254" s="2"/>
      <c r="B254" s="126" t="s">
        <v>173</v>
      </c>
      <c r="C254" s="124"/>
      <c r="D254" s="124"/>
      <c r="E254" s="124"/>
      <c r="F254" s="120">
        <v>-14.263</v>
      </c>
      <c r="G254" s="120">
        <v>46.542000000000002</v>
      </c>
      <c r="H254" s="120">
        <f t="shared" si="399"/>
        <v>-1.4559999999999995</v>
      </c>
      <c r="I254" s="120">
        <f t="shared" si="399"/>
        <v>-38.698</v>
      </c>
      <c r="J254" s="120">
        <f t="shared" si="399"/>
        <v>4.1959999999999997</v>
      </c>
      <c r="K254" s="120">
        <f t="shared" si="399"/>
        <v>18.574999999999999</v>
      </c>
      <c r="L254" s="120">
        <f t="shared" si="399"/>
        <v>-60.160210723047669</v>
      </c>
      <c r="M254" s="120">
        <f t="shared" si="399"/>
        <v>8.4320520055314319E-3</v>
      </c>
      <c r="N254" s="120">
        <f t="shared" si="399"/>
        <v>0.71776692872029457</v>
      </c>
      <c r="O254" s="120"/>
      <c r="P254" s="124"/>
      <c r="Q254" s="124"/>
      <c r="R254" s="124"/>
      <c r="S254" s="124"/>
      <c r="T254" s="123">
        <v>5.6660000000000004</v>
      </c>
      <c r="U254" s="123">
        <f>9.461-T254</f>
        <v>3.7949999999999999</v>
      </c>
      <c r="V254" s="123">
        <f>24.977-U254-T254</f>
        <v>15.516000000000002</v>
      </c>
      <c r="W254" s="120">
        <f t="shared" si="400"/>
        <v>21.564999999999998</v>
      </c>
      <c r="X254" s="123">
        <v>-0.1</v>
      </c>
      <c r="Y254" s="22">
        <f>-0.951-X254</f>
        <v>-0.85099999999999998</v>
      </c>
      <c r="Z254" s="22">
        <f>8.937-Y254-X254</f>
        <v>9.8879999999999999</v>
      </c>
      <c r="AA254" s="22">
        <f>-1.456-Z254-Y254-X254</f>
        <v>-10.392999999999999</v>
      </c>
      <c r="AB254" s="22">
        <v>-17.254999999999999</v>
      </c>
      <c r="AC254" s="127">
        <f>-38.562-AB254</f>
        <v>-21.306999999999999</v>
      </c>
      <c r="AD254" s="127">
        <f>-37.028-AC254-AB254</f>
        <v>1.5339999999999989</v>
      </c>
      <c r="AE254" s="127">
        <f>-38.698-AD254-AC254-AB254</f>
        <v>-1.6700000000000017</v>
      </c>
      <c r="AF254" s="127">
        <v>1.98</v>
      </c>
      <c r="AG254" s="127">
        <f>0.298-AF254</f>
        <v>-1.6819999999999999</v>
      </c>
      <c r="AH254" s="127">
        <f>4.723-AG254-AF254</f>
        <v>4.4249999999999989</v>
      </c>
      <c r="AI254" s="127">
        <f>4.196-AH254-AG254-AF254</f>
        <v>-0.52699999999999925</v>
      </c>
      <c r="AJ254" s="127">
        <v>12.981</v>
      </c>
      <c r="AK254" s="127">
        <f>11.024-AJ254</f>
        <v>-1.9570000000000007</v>
      </c>
      <c r="AL254" s="127">
        <f>20.659-AK254-AJ254</f>
        <v>9.6349999999999998</v>
      </c>
      <c r="AM254" s="127">
        <f>18.575-AL254-AK254-AJ254</f>
        <v>-2.0839999999999996</v>
      </c>
      <c r="AN254" s="124">
        <f>AN299-AM299</f>
        <v>2.6555854921384707</v>
      </c>
      <c r="AO254" s="150">
        <f>AO299-AN299-AO460</f>
        <v>-3.2085327927421474</v>
      </c>
      <c r="AP254" s="124">
        <f t="shared" ref="AP254:AY254" si="404">AP299-AO299</f>
        <v>-59.874981073620404</v>
      </c>
      <c r="AQ254" s="124">
        <f t="shared" si="404"/>
        <v>0.26771765117641166</v>
      </c>
      <c r="AR254" s="124">
        <f t="shared" si="404"/>
        <v>1.8680110822978122</v>
      </c>
      <c r="AS254" s="124">
        <f t="shared" si="404"/>
        <v>0.11880098652403603</v>
      </c>
      <c r="AT254" s="124">
        <f t="shared" si="404"/>
        <v>-1.1397741173546194</v>
      </c>
      <c r="AU254" s="124">
        <f t="shared" si="404"/>
        <v>-0.83860589946169739</v>
      </c>
      <c r="AV254" s="124">
        <f t="shared" si="404"/>
        <v>1.1367584583955477</v>
      </c>
      <c r="AW254" s="124">
        <f t="shared" si="404"/>
        <v>3.9523664345725535</v>
      </c>
      <c r="AX254" s="124">
        <f t="shared" si="404"/>
        <v>-2.3376849995404143</v>
      </c>
      <c r="AY254" s="124">
        <f t="shared" si="404"/>
        <v>-2.0336729647073923</v>
      </c>
      <c r="BG254" s="4">
        <v>248</v>
      </c>
      <c r="BH254"/>
      <c r="BI254"/>
      <c r="BJ254"/>
      <c r="BK254"/>
      <c r="BL254"/>
      <c r="BM254"/>
    </row>
    <row r="255" spans="1:65" s="3" customFormat="1" ht="11.25" outlineLevel="1">
      <c r="A255" s="2"/>
      <c r="B255" s="126" t="s">
        <v>172</v>
      </c>
      <c r="C255" s="124"/>
      <c r="D255" s="124"/>
      <c r="E255" s="124"/>
      <c r="F255" s="120">
        <v>-3.0139999999999998</v>
      </c>
      <c r="G255" s="120">
        <v>-12.616</v>
      </c>
      <c r="H255" s="120">
        <f t="shared" si="399"/>
        <v>17.488</v>
      </c>
      <c r="I255" s="120">
        <f t="shared" si="399"/>
        <v>-6.8770000000000007</v>
      </c>
      <c r="J255" s="120">
        <f t="shared" si="399"/>
        <v>3.7010000000000001</v>
      </c>
      <c r="K255" s="120">
        <f t="shared" si="399"/>
        <v>51.874000000000009</v>
      </c>
      <c r="L255" s="120">
        <f t="shared" si="399"/>
        <v>0</v>
      </c>
      <c r="M255" s="120">
        <f t="shared" si="399"/>
        <v>0</v>
      </c>
      <c r="N255" s="120">
        <f t="shared" si="399"/>
        <v>0</v>
      </c>
      <c r="O255" s="120"/>
      <c r="P255" s="124"/>
      <c r="Q255" s="124"/>
      <c r="R255" s="124"/>
      <c r="S255" s="124"/>
      <c r="T255" s="22">
        <v>15.944000000000001</v>
      </c>
      <c r="U255" s="22">
        <f>10.359-T255</f>
        <v>-5.5850000000000009</v>
      </c>
      <c r="V255" s="22">
        <f>17.547-U255-T255</f>
        <v>7.1880000000000006</v>
      </c>
      <c r="W255" s="124">
        <f t="shared" si="400"/>
        <v>-30.163</v>
      </c>
      <c r="X255" s="22">
        <v>8.8239999999999998</v>
      </c>
      <c r="Y255" s="22">
        <f>1.503-X255</f>
        <v>-7.3209999999999997</v>
      </c>
      <c r="Z255" s="22">
        <f>27.522-Y255-X255</f>
        <v>26.018999999999998</v>
      </c>
      <c r="AA255" s="22">
        <f>17.488-Z255-Y255-X255</f>
        <v>-10.033999999999999</v>
      </c>
      <c r="AB255" s="22">
        <v>-4.3630000000000004</v>
      </c>
      <c r="AC255" s="127">
        <f>-4.06-AB255</f>
        <v>0.30300000000000082</v>
      </c>
      <c r="AD255" s="127">
        <f>0.02-AC255-AB255</f>
        <v>4.08</v>
      </c>
      <c r="AE255" s="127">
        <f>-6.877-AD255-AC255-AB255</f>
        <v>-6.8970000000000011</v>
      </c>
      <c r="AF255" s="127">
        <v>-4.1500000000000004</v>
      </c>
      <c r="AG255" s="127">
        <f>-4.742-AF255</f>
        <v>-0.59199999999999964</v>
      </c>
      <c r="AH255" s="127">
        <f>0.225-AG255-AF255</f>
        <v>4.9669999999999996</v>
      </c>
      <c r="AI255" s="127">
        <f>3.701-AH255-AG255-AF255</f>
        <v>3.4760000000000004</v>
      </c>
      <c r="AJ255" s="127">
        <v>26.489000000000001</v>
      </c>
      <c r="AK255" s="127">
        <f>31.606-AJ255</f>
        <v>5.1170000000000009</v>
      </c>
      <c r="AL255" s="127">
        <f>52.373-AK255-AJ255</f>
        <v>20.766999999999999</v>
      </c>
      <c r="AM255" s="127">
        <f>51.874-AL255-AK255-AJ255</f>
        <v>-0.49899999999999878</v>
      </c>
      <c r="AN255" s="124">
        <f>AN300-AM300</f>
        <v>0</v>
      </c>
      <c r="AO255" s="124">
        <f>AO300-AN300</f>
        <v>0</v>
      </c>
      <c r="AP255" s="124">
        <f t="shared" ref="AP255:AY255" si="405">AP300-AO300</f>
        <v>0</v>
      </c>
      <c r="AQ255" s="124">
        <f t="shared" si="405"/>
        <v>0</v>
      </c>
      <c r="AR255" s="124">
        <f t="shared" si="405"/>
        <v>0</v>
      </c>
      <c r="AS255" s="124">
        <f t="shared" si="405"/>
        <v>0</v>
      </c>
      <c r="AT255" s="124">
        <f t="shared" si="405"/>
        <v>0</v>
      </c>
      <c r="AU255" s="124">
        <f t="shared" si="405"/>
        <v>0</v>
      </c>
      <c r="AV255" s="124">
        <f t="shared" si="405"/>
        <v>0</v>
      </c>
      <c r="AW255" s="124">
        <f t="shared" si="405"/>
        <v>0</v>
      </c>
      <c r="AX255" s="124">
        <f t="shared" si="405"/>
        <v>0</v>
      </c>
      <c r="AY255" s="124">
        <f t="shared" si="405"/>
        <v>0</v>
      </c>
      <c r="BG255" s="4">
        <v>249</v>
      </c>
      <c r="BH255"/>
      <c r="BI255"/>
      <c r="BJ255"/>
      <c r="BK255"/>
      <c r="BL255"/>
      <c r="BM255"/>
    </row>
    <row r="256" spans="1:65" s="3" customFormat="1" ht="11.25" outlineLevel="1">
      <c r="A256" s="2"/>
      <c r="B256" s="126" t="s">
        <v>171</v>
      </c>
      <c r="C256" s="120"/>
      <c r="D256" s="120"/>
      <c r="E256" s="120"/>
      <c r="F256" s="120"/>
      <c r="G256" s="120"/>
      <c r="H256" s="120">
        <f t="shared" si="399"/>
        <v>0</v>
      </c>
      <c r="I256" s="120">
        <f t="shared" si="399"/>
        <v>0</v>
      </c>
      <c r="J256" s="120">
        <f t="shared" si="399"/>
        <v>0</v>
      </c>
      <c r="K256" s="120">
        <f t="shared" si="399"/>
        <v>0</v>
      </c>
      <c r="L256" s="120">
        <f t="shared" si="399"/>
        <v>0</v>
      </c>
      <c r="M256" s="120">
        <f t="shared" si="399"/>
        <v>0</v>
      </c>
      <c r="N256" s="120">
        <f t="shared" si="399"/>
        <v>0</v>
      </c>
      <c r="O256" s="120"/>
      <c r="P256" s="124"/>
      <c r="Q256" s="124"/>
      <c r="R256" s="124"/>
      <c r="S256" s="124"/>
      <c r="T256" s="123">
        <v>0</v>
      </c>
      <c r="U256" s="120">
        <v>0</v>
      </c>
      <c r="V256" s="120">
        <v>0</v>
      </c>
      <c r="W256" s="120">
        <f t="shared" si="400"/>
        <v>0</v>
      </c>
      <c r="X256" s="130">
        <v>0</v>
      </c>
      <c r="Y256" s="127">
        <v>0</v>
      </c>
      <c r="Z256" s="127">
        <v>0</v>
      </c>
      <c r="AA256" s="127">
        <v>0</v>
      </c>
      <c r="AB256" s="127">
        <v>0</v>
      </c>
      <c r="AC256" s="127">
        <v>0</v>
      </c>
      <c r="AD256" s="127">
        <v>0</v>
      </c>
      <c r="AE256" s="127">
        <v>0</v>
      </c>
      <c r="AF256" s="127">
        <v>0</v>
      </c>
      <c r="AG256" s="127">
        <v>0</v>
      </c>
      <c r="AH256" s="127">
        <v>0</v>
      </c>
      <c r="AI256" s="127">
        <v>0</v>
      </c>
      <c r="AJ256" s="127">
        <v>0</v>
      </c>
      <c r="AK256" s="127">
        <v>0</v>
      </c>
      <c r="AL256" s="127">
        <v>0</v>
      </c>
      <c r="AM256" s="127">
        <v>0</v>
      </c>
      <c r="AN256" s="124">
        <f t="shared" ref="AN256:AY256" si="406">-(AN294-AM294)+(AN304-AM304)</f>
        <v>0</v>
      </c>
      <c r="AO256" s="124">
        <f t="shared" si="406"/>
        <v>0</v>
      </c>
      <c r="AP256" s="124">
        <f t="shared" si="406"/>
        <v>0</v>
      </c>
      <c r="AQ256" s="124">
        <f t="shared" si="406"/>
        <v>0</v>
      </c>
      <c r="AR256" s="124">
        <f t="shared" si="406"/>
        <v>0</v>
      </c>
      <c r="AS256" s="124">
        <f t="shared" si="406"/>
        <v>0</v>
      </c>
      <c r="AT256" s="124">
        <f t="shared" si="406"/>
        <v>0</v>
      </c>
      <c r="AU256" s="124">
        <f t="shared" si="406"/>
        <v>0</v>
      </c>
      <c r="AV256" s="124">
        <f t="shared" si="406"/>
        <v>0</v>
      </c>
      <c r="AW256" s="124">
        <f t="shared" si="406"/>
        <v>0</v>
      </c>
      <c r="AX256" s="124">
        <f t="shared" si="406"/>
        <v>0</v>
      </c>
      <c r="AY256" s="124">
        <f t="shared" si="406"/>
        <v>0</v>
      </c>
      <c r="BG256" s="4">
        <v>250</v>
      </c>
      <c r="BH256"/>
      <c r="BI256"/>
      <c r="BJ256"/>
      <c r="BK256"/>
      <c r="BL256"/>
      <c r="BM256"/>
    </row>
    <row r="257" spans="1:65" s="3" customFormat="1" ht="11.25" outlineLevel="1">
      <c r="A257" s="2"/>
      <c r="B257" s="149" t="s">
        <v>170</v>
      </c>
      <c r="C257" s="118">
        <v>96.566000000000003</v>
      </c>
      <c r="D257" s="118">
        <v>75.721999999999994</v>
      </c>
      <c r="E257" s="118">
        <v>167.86099999999999</v>
      </c>
      <c r="F257" s="118">
        <f t="shared" ref="F257:N257" si="407">SUM(F245:F256)</f>
        <v>179.68999999999997</v>
      </c>
      <c r="G257" s="118">
        <f t="shared" si="407"/>
        <v>174.58899999999994</v>
      </c>
      <c r="H257" s="118">
        <f t="shared" si="407"/>
        <v>205.27599999999998</v>
      </c>
      <c r="I257" s="118">
        <f t="shared" si="407"/>
        <v>235.99399999999994</v>
      </c>
      <c r="J257" s="118">
        <f t="shared" si="407"/>
        <v>-6.5920000000000005</v>
      </c>
      <c r="K257" s="118">
        <f t="shared" si="407"/>
        <v>144.78800000000001</v>
      </c>
      <c r="L257" s="118">
        <f t="shared" si="407"/>
        <v>479.38976021528782</v>
      </c>
      <c r="M257" s="118">
        <f t="shared" si="407"/>
        <v>564.69075575678846</v>
      </c>
      <c r="N257" s="118">
        <f t="shared" si="407"/>
        <v>549.94091298243461</v>
      </c>
      <c r="O257" s="120"/>
      <c r="P257" s="119"/>
      <c r="Q257" s="119"/>
      <c r="R257" s="119"/>
      <c r="S257" s="119"/>
      <c r="T257" s="118">
        <f>SUM(T245:T256)</f>
        <v>49.125999999999991</v>
      </c>
      <c r="U257" s="118">
        <f>SUM(U245:U256)</f>
        <v>44.531000000000006</v>
      </c>
      <c r="V257" s="118">
        <f>SUM(V245:V256)</f>
        <v>38.414999999999985</v>
      </c>
      <c r="W257" s="118">
        <f t="shared" si="400"/>
        <v>42.516999999999967</v>
      </c>
      <c r="X257" s="118">
        <f>SUM(X245:X256)</f>
        <v>22.074000000000023</v>
      </c>
      <c r="Y257" s="119">
        <f>SUM(Y245:Y256)</f>
        <v>27.90799999999998</v>
      </c>
      <c r="Z257" s="119">
        <f>SUM(Z245:Z256)</f>
        <v>80.706000000000017</v>
      </c>
      <c r="AA257" s="119">
        <f>SUM(AA245:AA256)</f>
        <v>74.588000000000022</v>
      </c>
      <c r="AB257" s="119">
        <f>SUM(AB245:AB256)</f>
        <v>77.420000000000016</v>
      </c>
      <c r="AC257" s="148">
        <f>173.566-AB257</f>
        <v>96.145999999999987</v>
      </c>
      <c r="AD257" s="148">
        <f>217.127-AC257-AB257</f>
        <v>43.561000000000007</v>
      </c>
      <c r="AE257" s="148">
        <f>235.994-AD257-AC257-AB257</f>
        <v>18.86699999999999</v>
      </c>
      <c r="AF257" s="148">
        <v>-8.5860000000000003</v>
      </c>
      <c r="AG257" s="148">
        <f>-13.231-AF257</f>
        <v>-4.6449999999999996</v>
      </c>
      <c r="AH257" s="148">
        <f>-15.129-AG257-AF257</f>
        <v>-1.8979999999999997</v>
      </c>
      <c r="AI257" s="148">
        <f>-6.592-AH257-AG257-AF257</f>
        <v>8.536999999999999</v>
      </c>
      <c r="AJ257" s="148">
        <v>25.966999999999999</v>
      </c>
      <c r="AK257" s="148">
        <f>54.248-AJ257</f>
        <v>28.280999999999999</v>
      </c>
      <c r="AL257" s="148">
        <f>107.47-AK257-AJ257</f>
        <v>53.221999999999994</v>
      </c>
      <c r="AM257" s="148">
        <f>144.788-AL257-AK257-AJ257</f>
        <v>37.318000000000019</v>
      </c>
      <c r="AN257" s="118">
        <f t="shared" ref="AN257:AY257" si="408">SUM(AN245:AN256)</f>
        <v>47.540048800867744</v>
      </c>
      <c r="AO257" s="118">
        <f t="shared" si="408"/>
        <v>77.715878436622972</v>
      </c>
      <c r="AP257" s="118">
        <f t="shared" si="408"/>
        <v>178.45896826097422</v>
      </c>
      <c r="AQ257" s="118">
        <f t="shared" si="408"/>
        <v>175.6748647168229</v>
      </c>
      <c r="AR257" s="118">
        <f t="shared" si="408"/>
        <v>147.71664306718299</v>
      </c>
      <c r="AS257" s="118">
        <f t="shared" si="408"/>
        <v>142.59523053693968</v>
      </c>
      <c r="AT257" s="118">
        <f t="shared" si="408"/>
        <v>138.90325943455369</v>
      </c>
      <c r="AU257" s="118">
        <f t="shared" si="408"/>
        <v>135.47562271811208</v>
      </c>
      <c r="AV257" s="118">
        <f t="shared" si="408"/>
        <v>127.05505388255108</v>
      </c>
      <c r="AW257" s="118">
        <f t="shared" si="408"/>
        <v>131.11538755230899</v>
      </c>
      <c r="AX257" s="118">
        <f t="shared" si="408"/>
        <v>149.9644169507763</v>
      </c>
      <c r="AY257" s="118">
        <f t="shared" si="408"/>
        <v>141.80605459679822</v>
      </c>
      <c r="BG257" s="4">
        <v>251</v>
      </c>
      <c r="BH257"/>
      <c r="BI257"/>
      <c r="BJ257"/>
      <c r="BK257"/>
      <c r="BL257"/>
      <c r="BM257"/>
    </row>
    <row r="258" spans="1:65" s="3" customFormat="1" ht="11.25" outlineLevel="1">
      <c r="A258" s="2"/>
      <c r="B258" s="147" t="s">
        <v>169</v>
      </c>
      <c r="C258" s="120">
        <v>-20.158000000000001</v>
      </c>
      <c r="D258" s="120">
        <v>-41.927999999999997</v>
      </c>
      <c r="E258" s="120">
        <v>-77.826999999999998</v>
      </c>
      <c r="F258" s="120">
        <v>-109.01600000000001</v>
      </c>
      <c r="G258" s="120">
        <v>-111.514</v>
      </c>
      <c r="H258" s="120">
        <f t="shared" ref="H258:N258" si="409">SUMIF($P$4:$AZ$4,H$4,$P258:$AZ258)</f>
        <v>-143.49100000000001</v>
      </c>
      <c r="I258" s="120">
        <f t="shared" si="409"/>
        <v>-113.75</v>
      </c>
      <c r="J258" s="120">
        <f t="shared" si="409"/>
        <v>-30.597000000000001</v>
      </c>
      <c r="K258" s="120">
        <f t="shared" si="409"/>
        <v>-69.572999999999993</v>
      </c>
      <c r="L258" s="120">
        <f t="shared" si="409"/>
        <v>-106.2</v>
      </c>
      <c r="M258" s="120">
        <f t="shared" si="409"/>
        <v>-104.8</v>
      </c>
      <c r="N258" s="120">
        <f t="shared" si="409"/>
        <v>-104.8</v>
      </c>
      <c r="O258" s="120"/>
      <c r="P258" s="124"/>
      <c r="Q258" s="124"/>
      <c r="R258" s="124"/>
      <c r="S258" s="124"/>
      <c r="T258" s="123">
        <v>-19.213999999999999</v>
      </c>
      <c r="U258" s="123">
        <f>-41.276-T258</f>
        <v>-22.062000000000005</v>
      </c>
      <c r="V258" s="123">
        <f>-78.535-U258-T258</f>
        <v>-37.258999999999993</v>
      </c>
      <c r="W258" s="120">
        <f t="shared" si="400"/>
        <v>-32.978999999999999</v>
      </c>
      <c r="X258" s="123">
        <v>-29.835000000000001</v>
      </c>
      <c r="Y258" s="22">
        <f>-61.827-X258</f>
        <v>-31.991999999999997</v>
      </c>
      <c r="Z258" s="22">
        <f>-87.746-Y258-X258</f>
        <v>-25.918999999999997</v>
      </c>
      <c r="AA258" s="22">
        <f>-143.491-Z258-Y258-X258</f>
        <v>-55.745000000000012</v>
      </c>
      <c r="AB258" s="22">
        <v>-31.855</v>
      </c>
      <c r="AC258" s="22">
        <f>-61.407-AB258</f>
        <v>-29.551999999999996</v>
      </c>
      <c r="AD258" s="22">
        <f>-91.548-AC258-AB258</f>
        <v>-30.141000000000009</v>
      </c>
      <c r="AE258" s="22">
        <f>-113.75-AD258-AC258-AB258</f>
        <v>-22.202000000000002</v>
      </c>
      <c r="AF258" s="22">
        <v>-13.744</v>
      </c>
      <c r="AG258" s="22">
        <f>-21.948-AF258</f>
        <v>-8.2040000000000006</v>
      </c>
      <c r="AH258" s="22">
        <f>-28.712-AG258-AF258</f>
        <v>-6.7639999999999993</v>
      </c>
      <c r="AI258" s="22">
        <f>-30.597-AH258-AG258-AF258</f>
        <v>-1.8850000000000016</v>
      </c>
      <c r="AJ258" s="22">
        <v>-7.0250000000000004</v>
      </c>
      <c r="AK258" s="22">
        <f>-14.236-AJ258</f>
        <v>-7.2110000000000003</v>
      </c>
      <c r="AL258" s="22">
        <f>-36.47-AK258-AJ258</f>
        <v>-22.234000000000002</v>
      </c>
      <c r="AM258" s="22">
        <f>-69.573-AL258-AK258-AJ258</f>
        <v>-33.102999999999994</v>
      </c>
      <c r="AN258" s="146">
        <f>-10-25</f>
        <v>-35</v>
      </c>
      <c r="AO258" s="145">
        <f>-10-25</f>
        <v>-35</v>
      </c>
      <c r="AP258" s="144">
        <v>-10</v>
      </c>
      <c r="AQ258" s="122">
        <f t="shared" ref="AQ258:AY258" si="410">-2/4*(AQ170+AQ189)/1000-30*(AQ168-AP168)/1000</f>
        <v>-26.2</v>
      </c>
      <c r="AR258" s="122">
        <f t="shared" si="410"/>
        <v>-26.2</v>
      </c>
      <c r="AS258" s="122">
        <f t="shared" si="410"/>
        <v>-26.2</v>
      </c>
      <c r="AT258" s="122">
        <f t="shared" si="410"/>
        <v>-26.2</v>
      </c>
      <c r="AU258" s="122">
        <f t="shared" si="410"/>
        <v>-26.2</v>
      </c>
      <c r="AV258" s="122">
        <f t="shared" si="410"/>
        <v>-26.2</v>
      </c>
      <c r="AW258" s="122">
        <f t="shared" si="410"/>
        <v>-26.2</v>
      </c>
      <c r="AX258" s="122">
        <f t="shared" si="410"/>
        <v>-26.2</v>
      </c>
      <c r="AY258" s="122">
        <f t="shared" si="410"/>
        <v>-26.2</v>
      </c>
      <c r="BG258" s="4">
        <v>252</v>
      </c>
      <c r="BH258"/>
      <c r="BI258"/>
      <c r="BJ258"/>
      <c r="BK258"/>
      <c r="BL258"/>
      <c r="BM258"/>
    </row>
    <row r="259" spans="1:65" s="3" customFormat="1" ht="11.25" outlineLevel="1">
      <c r="A259" s="2"/>
      <c r="B259" s="143" t="s">
        <v>168</v>
      </c>
      <c r="C259" s="140">
        <f t="shared" ref="C259:N259" si="411">SUM(C257:C258)</f>
        <v>76.408000000000001</v>
      </c>
      <c r="D259" s="140">
        <f t="shared" si="411"/>
        <v>33.793999999999997</v>
      </c>
      <c r="E259" s="140">
        <f t="shared" si="411"/>
        <v>90.033999999999992</v>
      </c>
      <c r="F259" s="140">
        <f t="shared" si="411"/>
        <v>70.673999999999964</v>
      </c>
      <c r="G259" s="140">
        <f t="shared" si="411"/>
        <v>63.074999999999946</v>
      </c>
      <c r="H259" s="140">
        <f t="shared" si="411"/>
        <v>61.784999999999968</v>
      </c>
      <c r="I259" s="140">
        <f t="shared" si="411"/>
        <v>122.24399999999994</v>
      </c>
      <c r="J259" s="140">
        <f t="shared" si="411"/>
        <v>-37.189</v>
      </c>
      <c r="K259" s="140">
        <f t="shared" si="411"/>
        <v>75.215000000000018</v>
      </c>
      <c r="L259" s="140">
        <f t="shared" si="411"/>
        <v>373.18976021528783</v>
      </c>
      <c r="M259" s="140">
        <f t="shared" si="411"/>
        <v>459.89075575678845</v>
      </c>
      <c r="N259" s="140">
        <f t="shared" si="411"/>
        <v>445.1409129824346</v>
      </c>
      <c r="O259" s="142"/>
      <c r="P259" s="141"/>
      <c r="Q259" s="141"/>
      <c r="R259" s="141"/>
      <c r="S259" s="141"/>
      <c r="T259" s="140">
        <f>SUM(T257:T258)</f>
        <v>29.911999999999992</v>
      </c>
      <c r="U259" s="140">
        <f>SUM(U257:U258)</f>
        <v>22.469000000000001</v>
      </c>
      <c r="V259" s="140">
        <f>SUM(V257:V258)</f>
        <v>1.1559999999999917</v>
      </c>
      <c r="W259" s="140">
        <f t="shared" si="400"/>
        <v>9.5379999999999612</v>
      </c>
      <c r="X259" s="140">
        <f t="shared" ref="X259:AY259" si="412">SUM(X257:X258)</f>
        <v>-7.7609999999999779</v>
      </c>
      <c r="Y259" s="141">
        <f t="shared" si="412"/>
        <v>-4.0840000000000174</v>
      </c>
      <c r="Z259" s="141">
        <f t="shared" si="412"/>
        <v>54.78700000000002</v>
      </c>
      <c r="AA259" s="141">
        <f t="shared" si="412"/>
        <v>18.843000000000011</v>
      </c>
      <c r="AB259" s="141">
        <f t="shared" si="412"/>
        <v>45.565000000000012</v>
      </c>
      <c r="AC259" s="141">
        <f t="shared" si="412"/>
        <v>66.593999999999994</v>
      </c>
      <c r="AD259" s="141">
        <f t="shared" si="412"/>
        <v>13.419999999999998</v>
      </c>
      <c r="AE259" s="141">
        <f t="shared" si="412"/>
        <v>-3.3350000000000115</v>
      </c>
      <c r="AF259" s="141">
        <f t="shared" si="412"/>
        <v>-22.33</v>
      </c>
      <c r="AG259" s="141">
        <f t="shared" si="412"/>
        <v>-12.849</v>
      </c>
      <c r="AH259" s="141">
        <f t="shared" si="412"/>
        <v>-8.661999999999999</v>
      </c>
      <c r="AI259" s="141">
        <f t="shared" si="412"/>
        <v>6.6519999999999975</v>
      </c>
      <c r="AJ259" s="141">
        <f t="shared" si="412"/>
        <v>18.942</v>
      </c>
      <c r="AK259" s="141">
        <f t="shared" si="412"/>
        <v>21.07</v>
      </c>
      <c r="AL259" s="141">
        <f t="shared" si="412"/>
        <v>30.987999999999992</v>
      </c>
      <c r="AM259" s="141">
        <f t="shared" si="412"/>
        <v>4.2150000000000247</v>
      </c>
      <c r="AN259" s="140">
        <f t="shared" si="412"/>
        <v>12.540048800867744</v>
      </c>
      <c r="AO259" s="140">
        <f t="shared" si="412"/>
        <v>42.715878436622972</v>
      </c>
      <c r="AP259" s="140">
        <f t="shared" si="412"/>
        <v>168.45896826097422</v>
      </c>
      <c r="AQ259" s="140">
        <f t="shared" si="412"/>
        <v>149.47486471682291</v>
      </c>
      <c r="AR259" s="140">
        <f t="shared" si="412"/>
        <v>121.51664306718298</v>
      </c>
      <c r="AS259" s="140">
        <f t="shared" si="412"/>
        <v>116.39523053693968</v>
      </c>
      <c r="AT259" s="140">
        <f t="shared" si="412"/>
        <v>112.70325943455369</v>
      </c>
      <c r="AU259" s="140">
        <f t="shared" si="412"/>
        <v>109.27562271811207</v>
      </c>
      <c r="AV259" s="140">
        <f t="shared" si="412"/>
        <v>100.85505388255108</v>
      </c>
      <c r="AW259" s="140">
        <f t="shared" si="412"/>
        <v>104.91538755230899</v>
      </c>
      <c r="AX259" s="140">
        <f t="shared" si="412"/>
        <v>123.76441695077629</v>
      </c>
      <c r="AY259" s="140">
        <f t="shared" si="412"/>
        <v>115.60605459679822</v>
      </c>
      <c r="BG259" s="4">
        <v>253</v>
      </c>
      <c r="BH259"/>
      <c r="BI259"/>
      <c r="BJ259"/>
      <c r="BK259"/>
      <c r="BL259"/>
      <c r="BM259"/>
    </row>
    <row r="260" spans="1:65" s="3" customFormat="1" ht="11.25" outlineLevel="1">
      <c r="A260" s="2"/>
      <c r="B260" s="139" t="s">
        <v>167</v>
      </c>
      <c r="C260" s="124"/>
      <c r="D260" s="124"/>
      <c r="E260" s="124"/>
      <c r="F260" s="120">
        <v>0</v>
      </c>
      <c r="G260" s="120">
        <v>-468.00299999999999</v>
      </c>
      <c r="H260" s="120">
        <f t="shared" ref="H260:N267" si="413">SUMIF($P$4:$AZ$4,H$4,$P260:$AZ260)</f>
        <v>0</v>
      </c>
      <c r="I260" s="120">
        <f t="shared" si="413"/>
        <v>-0.25</v>
      </c>
      <c r="J260" s="120">
        <f t="shared" si="413"/>
        <v>0</v>
      </c>
      <c r="K260" s="120">
        <f t="shared" si="413"/>
        <v>-30</v>
      </c>
      <c r="L260" s="120">
        <f t="shared" si="413"/>
        <v>-10</v>
      </c>
      <c r="M260" s="120">
        <f t="shared" si="413"/>
        <v>0</v>
      </c>
      <c r="N260" s="120">
        <f t="shared" si="413"/>
        <v>0</v>
      </c>
      <c r="O260" s="120"/>
      <c r="P260" s="124"/>
      <c r="Q260" s="124"/>
      <c r="R260" s="124"/>
      <c r="S260" s="124"/>
      <c r="T260" s="123">
        <v>0</v>
      </c>
      <c r="U260" s="123">
        <v>-120.29900000000001</v>
      </c>
      <c r="V260" s="123">
        <f>-468.003-U260-T260</f>
        <v>-347.70399999999995</v>
      </c>
      <c r="W260" s="120">
        <f t="shared" si="400"/>
        <v>0</v>
      </c>
      <c r="X260" s="120">
        <v>0</v>
      </c>
      <c r="Y260" s="122">
        <v>0</v>
      </c>
      <c r="Z260" s="122">
        <v>0</v>
      </c>
      <c r="AA260" s="122">
        <v>0</v>
      </c>
      <c r="AB260" s="122">
        <v>0</v>
      </c>
      <c r="AC260" s="122">
        <v>0</v>
      </c>
      <c r="AD260" s="122">
        <v>0</v>
      </c>
      <c r="AE260" s="122">
        <f>-0.25-AD260-AC260-AB260</f>
        <v>-0.25</v>
      </c>
      <c r="AF260" s="122">
        <v>0</v>
      </c>
      <c r="AG260" s="122">
        <v>0</v>
      </c>
      <c r="AH260" s="122">
        <v>0</v>
      </c>
      <c r="AI260" s="122">
        <v>0</v>
      </c>
      <c r="AJ260" s="122">
        <v>0</v>
      </c>
      <c r="AK260" s="122">
        <v>0</v>
      </c>
      <c r="AL260" s="122">
        <v>-20</v>
      </c>
      <c r="AM260" s="122">
        <f>-30-AL260</f>
        <v>-10</v>
      </c>
      <c r="AN260" s="122">
        <v>0</v>
      </c>
      <c r="AO260" s="122">
        <v>-10</v>
      </c>
      <c r="AP260" s="122">
        <v>0</v>
      </c>
      <c r="AQ260" s="122">
        <v>0</v>
      </c>
      <c r="AR260" s="122">
        <v>0</v>
      </c>
      <c r="AS260" s="122">
        <v>0</v>
      </c>
      <c r="AT260" s="122">
        <v>0</v>
      </c>
      <c r="AU260" s="122">
        <v>0</v>
      </c>
      <c r="AV260" s="122">
        <v>0</v>
      </c>
      <c r="AW260" s="122">
        <v>0</v>
      </c>
      <c r="AX260" s="122">
        <v>0</v>
      </c>
      <c r="AY260" s="122">
        <v>0</v>
      </c>
      <c r="BG260" s="4">
        <v>254</v>
      </c>
      <c r="BH260"/>
      <c r="BI260"/>
      <c r="BJ260"/>
      <c r="BK260"/>
      <c r="BL260"/>
      <c r="BM260"/>
    </row>
    <row r="261" spans="1:65" s="3" customFormat="1" ht="11.25" outlineLevel="1">
      <c r="A261" s="2"/>
      <c r="B261" s="139" t="s">
        <v>166</v>
      </c>
      <c r="C261" s="124"/>
      <c r="D261" s="124"/>
      <c r="E261" s="124"/>
      <c r="F261" s="120">
        <v>1.65</v>
      </c>
      <c r="G261" s="120">
        <v>0</v>
      </c>
      <c r="H261" s="120">
        <f t="shared" si="413"/>
        <v>5.16</v>
      </c>
      <c r="I261" s="120">
        <f t="shared" si="413"/>
        <v>0</v>
      </c>
      <c r="J261" s="120">
        <f t="shared" si="413"/>
        <v>5.67</v>
      </c>
      <c r="K261" s="120">
        <f t="shared" si="413"/>
        <v>4.9390000000000001</v>
      </c>
      <c r="L261" s="120">
        <f t="shared" si="413"/>
        <v>0</v>
      </c>
      <c r="M261" s="120">
        <f t="shared" si="413"/>
        <v>0</v>
      </c>
      <c r="N261" s="120">
        <f t="shared" si="413"/>
        <v>0</v>
      </c>
      <c r="O261" s="120"/>
      <c r="P261" s="124"/>
      <c r="Q261" s="124"/>
      <c r="R261" s="124"/>
      <c r="S261" s="124"/>
      <c r="T261" s="123">
        <v>0</v>
      </c>
      <c r="U261" s="123">
        <v>0</v>
      </c>
      <c r="V261" s="123">
        <v>0</v>
      </c>
      <c r="W261" s="120">
        <f t="shared" si="400"/>
        <v>0</v>
      </c>
      <c r="X261" s="120"/>
      <c r="Y261" s="122">
        <f>1.214-X261</f>
        <v>1.214</v>
      </c>
      <c r="Z261" s="122">
        <f>1.328-Y261-X261</f>
        <v>0.1140000000000001</v>
      </c>
      <c r="AA261" s="122">
        <f>5.16-Z261-Y261-X261</f>
        <v>3.8320000000000003</v>
      </c>
      <c r="AB261" s="122">
        <v>0</v>
      </c>
      <c r="AC261" s="122">
        <v>0</v>
      </c>
      <c r="AD261" s="122">
        <v>0</v>
      </c>
      <c r="AE261" s="122">
        <v>0</v>
      </c>
      <c r="AF261" s="122">
        <v>0.58799999999999997</v>
      </c>
      <c r="AG261" s="122">
        <f>3.918-AF261</f>
        <v>3.33</v>
      </c>
      <c r="AH261" s="122">
        <f>5.63-AG261-AF261</f>
        <v>1.7119999999999997</v>
      </c>
      <c r="AI261" s="122">
        <f>5.67-AH261-AG261-AF261</f>
        <v>4.0000000000000147E-2</v>
      </c>
      <c r="AJ261" s="122">
        <v>0.95699999999999996</v>
      </c>
      <c r="AK261" s="122">
        <f>1.216-AJ261</f>
        <v>0.25900000000000001</v>
      </c>
      <c r="AL261" s="122">
        <f>3.124-AK261-AJ261</f>
        <v>1.9080000000000004</v>
      </c>
      <c r="AM261" s="122">
        <f>4.939-AL261-AK261-AJ261</f>
        <v>1.8149999999999999</v>
      </c>
      <c r="AN261" s="122">
        <v>0</v>
      </c>
      <c r="AO261" s="122">
        <v>0</v>
      </c>
      <c r="AP261" s="122">
        <v>0</v>
      </c>
      <c r="AQ261" s="122">
        <v>0</v>
      </c>
      <c r="AR261" s="122">
        <v>0</v>
      </c>
      <c r="AS261" s="122">
        <v>0</v>
      </c>
      <c r="AT261" s="122">
        <v>0</v>
      </c>
      <c r="AU261" s="122">
        <v>0</v>
      </c>
      <c r="AV261" s="122">
        <v>0</v>
      </c>
      <c r="AW261" s="122">
        <v>0</v>
      </c>
      <c r="AX261" s="122">
        <v>0</v>
      </c>
      <c r="AY261" s="122">
        <v>0</v>
      </c>
      <c r="BG261" s="4">
        <v>255</v>
      </c>
      <c r="BH261"/>
      <c r="BI261"/>
      <c r="BJ261"/>
      <c r="BK261"/>
      <c r="BL261"/>
      <c r="BM261"/>
    </row>
    <row r="262" spans="1:65" s="133" customFormat="1" ht="11.25" outlineLevel="1">
      <c r="A262" s="138"/>
      <c r="B262" s="126" t="s">
        <v>165</v>
      </c>
      <c r="C262" s="137">
        <f>-13.156-C258</f>
        <v>7.0020000000000007</v>
      </c>
      <c r="D262" s="137">
        <f>-45.165-D258</f>
        <v>-3.2370000000000019</v>
      </c>
      <c r="E262" s="137">
        <f>-102.572-E258</f>
        <v>-24.745000000000005</v>
      </c>
      <c r="F262" s="135">
        <v>0</v>
      </c>
      <c r="G262" s="135">
        <v>0</v>
      </c>
      <c r="H262" s="135">
        <f t="shared" si="413"/>
        <v>0</v>
      </c>
      <c r="I262" s="135">
        <f t="shared" si="413"/>
        <v>0</v>
      </c>
      <c r="J262" s="135">
        <f t="shared" si="413"/>
        <v>-1.2869999999999999</v>
      </c>
      <c r="K262" s="135">
        <f t="shared" si="413"/>
        <v>-4.17</v>
      </c>
      <c r="L262" s="135">
        <f t="shared" si="413"/>
        <v>0</v>
      </c>
      <c r="M262" s="135">
        <f t="shared" si="413"/>
        <v>0</v>
      </c>
      <c r="N262" s="135">
        <f t="shared" si="413"/>
        <v>0</v>
      </c>
      <c r="O262" s="135"/>
      <c r="P262" s="137"/>
      <c r="Q262" s="137"/>
      <c r="R262" s="137"/>
      <c r="S262" s="137"/>
      <c r="T262" s="136">
        <v>0</v>
      </c>
      <c r="U262" s="136">
        <v>0</v>
      </c>
      <c r="V262" s="136">
        <v>0</v>
      </c>
      <c r="W262" s="135">
        <f t="shared" si="400"/>
        <v>0</v>
      </c>
      <c r="X262" s="135">
        <v>0</v>
      </c>
      <c r="Y262" s="134">
        <v>0</v>
      </c>
      <c r="Z262" s="134">
        <v>0</v>
      </c>
      <c r="AA262" s="134">
        <v>0</v>
      </c>
      <c r="AB262" s="134">
        <v>0</v>
      </c>
      <c r="AC262" s="134">
        <v>0</v>
      </c>
      <c r="AD262" s="134">
        <v>0</v>
      </c>
      <c r="AE262" s="134">
        <v>0</v>
      </c>
      <c r="AF262" s="134">
        <v>0</v>
      </c>
      <c r="AG262" s="134">
        <f>-0.15-AF262</f>
        <v>-0.15</v>
      </c>
      <c r="AH262" s="134">
        <f>-1.631-AG262-AF262</f>
        <v>-1.4810000000000001</v>
      </c>
      <c r="AI262" s="134">
        <f>-1.287-AH262-AG262-AF262</f>
        <v>0.34400000000000019</v>
      </c>
      <c r="AJ262" s="134">
        <v>-0.75800000000000001</v>
      </c>
      <c r="AK262" s="134">
        <f>-0.25-AJ262</f>
        <v>0.50800000000000001</v>
      </c>
      <c r="AL262" s="134">
        <f>-0.25-AK262-AJ262</f>
        <v>0</v>
      </c>
      <c r="AM262" s="134">
        <f>-4.17-AL262-AK262-AJ262</f>
        <v>-3.92</v>
      </c>
      <c r="AN262" s="122">
        <v>0</v>
      </c>
      <c r="AO262" s="122">
        <v>0</v>
      </c>
      <c r="AP262" s="122">
        <v>0</v>
      </c>
      <c r="AQ262" s="122">
        <v>0</v>
      </c>
      <c r="AR262" s="122">
        <v>0</v>
      </c>
      <c r="AS262" s="122">
        <v>0</v>
      </c>
      <c r="AT262" s="122">
        <v>0</v>
      </c>
      <c r="AU262" s="122">
        <v>0</v>
      </c>
      <c r="AV262" s="122">
        <v>0</v>
      </c>
      <c r="AW262" s="122">
        <v>0</v>
      </c>
      <c r="AX262" s="122">
        <v>0</v>
      </c>
      <c r="AY262" s="122">
        <v>0</v>
      </c>
      <c r="BG262" s="4">
        <v>256</v>
      </c>
      <c r="BH262"/>
      <c r="BI262"/>
      <c r="BJ262"/>
      <c r="BK262"/>
      <c r="BL262"/>
      <c r="BM262"/>
    </row>
    <row r="263" spans="1:65" s="120" customFormat="1" ht="11.25" outlineLevel="1">
      <c r="A263" s="132"/>
      <c r="B263" s="131" t="s">
        <v>164</v>
      </c>
      <c r="F263" s="120">
        <v>-115</v>
      </c>
      <c r="G263" s="120">
        <f>(1226.95+148.1)+-948.125</f>
        <v>426.92499999999995</v>
      </c>
      <c r="H263" s="120">
        <f t="shared" si="413"/>
        <v>-17.075000000000003</v>
      </c>
      <c r="I263" s="120">
        <f t="shared" si="413"/>
        <v>-20.506999999999998</v>
      </c>
      <c r="J263" s="120">
        <f t="shared" si="413"/>
        <v>-388.71299999999997</v>
      </c>
      <c r="K263" s="120">
        <f t="shared" si="413"/>
        <v>-109.37600000000003</v>
      </c>
      <c r="L263" s="120">
        <f t="shared" si="413"/>
        <v>138.3850000000001</v>
      </c>
      <c r="M263" s="120">
        <f t="shared" si="413"/>
        <v>-43.25</v>
      </c>
      <c r="N263" s="120">
        <f t="shared" si="413"/>
        <v>-43.25</v>
      </c>
      <c r="P263" s="124"/>
      <c r="Q263" s="124"/>
      <c r="R263" s="124"/>
      <c r="S263" s="124"/>
      <c r="T263" s="123">
        <v>0</v>
      </c>
      <c r="U263" s="123">
        <v>71.569999999999993</v>
      </c>
      <c r="V263" s="123">
        <v>360.48400000000004</v>
      </c>
      <c r="W263" s="130">
        <v>-5.1290000000001328</v>
      </c>
      <c r="X263" s="123">
        <v>0.87199999999999989</v>
      </c>
      <c r="Y263" s="122">
        <v>2.8719999999999999</v>
      </c>
      <c r="Z263" s="122">
        <v>-16.070999999999998</v>
      </c>
      <c r="AA263" s="122">
        <v>-4.7480000000000047</v>
      </c>
      <c r="AB263" s="122">
        <v>-4.6070000000000002</v>
      </c>
      <c r="AC263" s="122">
        <v>-6.1909999999999741</v>
      </c>
      <c r="AD263" s="127">
        <v>-5.3190000000000168</v>
      </c>
      <c r="AE263" s="127">
        <v>-4.3900000000000077</v>
      </c>
      <c r="AF263" s="127">
        <v>-4.8520000000000003</v>
      </c>
      <c r="AG263" s="127">
        <v>-74.73599999999999</v>
      </c>
      <c r="AH263" s="127">
        <v>-3.729000000000017</v>
      </c>
      <c r="AI263" s="127">
        <v>-305.39599999999996</v>
      </c>
      <c r="AJ263" s="127">
        <v>-2.9870000000000001</v>
      </c>
      <c r="AK263" s="127">
        <v>-53.399000000000001</v>
      </c>
      <c r="AL263" s="127">
        <v>-3.5739999999999998</v>
      </c>
      <c r="AM263" s="127">
        <f>689.5-6.469-832.655-4.752+50-5-AL263-AK263-AJ263</f>
        <v>-49.416000000000032</v>
      </c>
      <c r="AN263" s="128">
        <f>+AN319-AM319</f>
        <v>4.4759511991320551</v>
      </c>
      <c r="AO263" s="129">
        <f>+AO319-AN319-800</f>
        <v>155.53404880086805</v>
      </c>
      <c r="AP263" s="128">
        <f t="shared" ref="AP263:AY263" si="414">+AP319-AO319</f>
        <v>-10.8125</v>
      </c>
      <c r="AQ263" s="128">
        <f t="shared" si="414"/>
        <v>-10.8125</v>
      </c>
      <c r="AR263" s="128">
        <f t="shared" si="414"/>
        <v>-10.8125</v>
      </c>
      <c r="AS263" s="128">
        <f t="shared" si="414"/>
        <v>-10.8125</v>
      </c>
      <c r="AT263" s="128">
        <f t="shared" si="414"/>
        <v>-10.8125</v>
      </c>
      <c r="AU263" s="128">
        <f t="shared" si="414"/>
        <v>-10.8125</v>
      </c>
      <c r="AV263" s="128">
        <f t="shared" si="414"/>
        <v>-10.8125</v>
      </c>
      <c r="AW263" s="128">
        <f t="shared" si="414"/>
        <v>-10.8125</v>
      </c>
      <c r="AX263" s="128">
        <f t="shared" si="414"/>
        <v>-10.8125</v>
      </c>
      <c r="AY263" s="128">
        <f t="shared" si="414"/>
        <v>-10.8125</v>
      </c>
      <c r="BG263" s="4">
        <v>257</v>
      </c>
      <c r="BH263"/>
      <c r="BI263"/>
      <c r="BJ263"/>
      <c r="BK263"/>
      <c r="BL263"/>
      <c r="BM263"/>
    </row>
    <row r="264" spans="1:65" s="3" customFormat="1" ht="11.25" outlineLevel="1">
      <c r="A264" s="2"/>
      <c r="B264" s="126" t="s">
        <v>163</v>
      </c>
      <c r="C264" s="124"/>
      <c r="D264" s="124"/>
      <c r="E264" s="124"/>
      <c r="F264" s="120">
        <f>0.716+0.901</f>
        <v>1.617</v>
      </c>
      <c r="G264" s="120">
        <f>1.277+1.827</f>
        <v>3.1040000000000001</v>
      </c>
      <c r="H264" s="120">
        <f t="shared" si="413"/>
        <v>22.274999999999999</v>
      </c>
      <c r="I264" s="120">
        <f t="shared" si="413"/>
        <v>0.29499999999999993</v>
      </c>
      <c r="J264" s="120">
        <f t="shared" si="413"/>
        <v>445.99400000000003</v>
      </c>
      <c r="K264" s="120">
        <f t="shared" si="413"/>
        <v>0.84499999999999997</v>
      </c>
      <c r="L264" s="120">
        <f t="shared" si="413"/>
        <v>0</v>
      </c>
      <c r="M264" s="120">
        <f t="shared" si="413"/>
        <v>0</v>
      </c>
      <c r="N264" s="120">
        <f t="shared" si="413"/>
        <v>0</v>
      </c>
      <c r="O264" s="120"/>
      <c r="P264" s="124"/>
      <c r="Q264" s="124"/>
      <c r="R264" s="124"/>
      <c r="S264" s="124"/>
      <c r="T264" s="123">
        <v>0</v>
      </c>
      <c r="U264" s="123">
        <f>0.497+0.751-T264</f>
        <v>1.248</v>
      </c>
      <c r="V264" s="123">
        <f>0.497+0.76-U264</f>
        <v>9.000000000000119E-3</v>
      </c>
      <c r="W264" s="120">
        <f>+G264-SUM(T264:V264)</f>
        <v>1.847</v>
      </c>
      <c r="X264" s="123"/>
      <c r="Y264" s="122">
        <f>2.306+4.366-X264</f>
        <v>6.6719999999999997</v>
      </c>
      <c r="Z264" s="122">
        <f>3.079+5.017-Y264-X264</f>
        <v>1.4240000000000004</v>
      </c>
      <c r="AA264" s="122">
        <f>6.54+15.735-Z264-Y264-X264</f>
        <v>14.178999999999998</v>
      </c>
      <c r="AB264" s="127">
        <f>0.786-0.124</f>
        <v>0.66200000000000003</v>
      </c>
      <c r="AC264" s="127">
        <f>1.759+0.02-AB264</f>
        <v>1.117</v>
      </c>
      <c r="AD264" s="127">
        <f>1.767+0.032-AC264-AB264</f>
        <v>1.9999999999999907E-2</v>
      </c>
      <c r="AE264" s="127">
        <f>1.767-1.472-AD264-AC264-AB264</f>
        <v>-1.504</v>
      </c>
      <c r="AF264" s="127">
        <f>0.101-0.738</f>
        <v>-0.63700000000000001</v>
      </c>
      <c r="AG264" s="127">
        <f>2.007-1.297-AF264</f>
        <v>1.3470000000000002</v>
      </c>
      <c r="AH264" s="127">
        <f>3.95+161.862-1.051-AG264-AF264</f>
        <v>164.05099999999999</v>
      </c>
      <c r="AI264" s="127">
        <f>439.556+6.438-AH264-AG264-AF264</f>
        <v>281.233</v>
      </c>
      <c r="AJ264" s="127">
        <v>0.48599999999999999</v>
      </c>
      <c r="AK264" s="127">
        <f>0.536-AJ264</f>
        <v>5.0000000000000044E-2</v>
      </c>
      <c r="AL264" s="127">
        <f>0.563-AK264-AJ264</f>
        <v>2.6999999999999913E-2</v>
      </c>
      <c r="AM264" s="127">
        <f>0.845-AL264-AK264-AJ264</f>
        <v>0.28200000000000003</v>
      </c>
      <c r="AN264" s="122">
        <v>0</v>
      </c>
      <c r="AO264" s="122">
        <v>0</v>
      </c>
      <c r="AP264" s="122">
        <v>0</v>
      </c>
      <c r="AQ264" s="122">
        <v>0</v>
      </c>
      <c r="AR264" s="122">
        <v>0</v>
      </c>
      <c r="AS264" s="122">
        <v>0</v>
      </c>
      <c r="AT264" s="122">
        <v>0</v>
      </c>
      <c r="AU264" s="122">
        <v>0</v>
      </c>
      <c r="AV264" s="122">
        <v>0</v>
      </c>
      <c r="AW264" s="122">
        <v>0</v>
      </c>
      <c r="AX264" s="122">
        <v>0</v>
      </c>
      <c r="AY264" s="122">
        <v>0</v>
      </c>
      <c r="BG264" s="4">
        <v>258</v>
      </c>
      <c r="BH264"/>
      <c r="BI264"/>
      <c r="BJ264"/>
      <c r="BK264"/>
      <c r="BL264"/>
      <c r="BM264"/>
    </row>
    <row r="265" spans="1:65" s="3" customFormat="1" ht="11.25" outlineLevel="1">
      <c r="A265" s="2"/>
      <c r="B265" s="126" t="s">
        <v>162</v>
      </c>
      <c r="C265" s="124"/>
      <c r="D265" s="124"/>
      <c r="E265" s="124"/>
      <c r="F265" s="120">
        <v>-1.014</v>
      </c>
      <c r="G265" s="120">
        <v>-1.702</v>
      </c>
      <c r="H265" s="120">
        <f t="shared" si="413"/>
        <v>-0.66200000000000003</v>
      </c>
      <c r="I265" s="120">
        <f t="shared" si="413"/>
        <v>0</v>
      </c>
      <c r="J265" s="120">
        <f t="shared" si="413"/>
        <v>0</v>
      </c>
      <c r="K265" s="120">
        <f t="shared" si="413"/>
        <v>0</v>
      </c>
      <c r="L265" s="120">
        <f t="shared" si="413"/>
        <v>0</v>
      </c>
      <c r="M265" s="120">
        <f t="shared" si="413"/>
        <v>0</v>
      </c>
      <c r="N265" s="120">
        <f t="shared" si="413"/>
        <v>0</v>
      </c>
      <c r="O265" s="120"/>
      <c r="P265" s="124"/>
      <c r="Q265" s="124"/>
      <c r="R265" s="124"/>
      <c r="S265" s="124"/>
      <c r="T265" s="123">
        <v>0</v>
      </c>
      <c r="U265" s="123">
        <f>-1.678-T265</f>
        <v>-1.6779999999999999</v>
      </c>
      <c r="V265" s="123">
        <f>-1.678-U265</f>
        <v>0</v>
      </c>
      <c r="W265" s="120">
        <f>+G265-SUM(T265:V265)</f>
        <v>-2.4000000000000021E-2</v>
      </c>
      <c r="X265" s="123"/>
      <c r="Y265" s="122">
        <v>-0.66200000000000003</v>
      </c>
      <c r="Z265" s="122">
        <f>-0.662-Y265-X265</f>
        <v>0</v>
      </c>
      <c r="AA265" s="122">
        <f>-0.662-Z265-Y265-X265</f>
        <v>0</v>
      </c>
      <c r="AB265" s="122">
        <v>0</v>
      </c>
      <c r="AC265" s="122">
        <v>0</v>
      </c>
      <c r="AD265" s="122">
        <v>0</v>
      </c>
      <c r="AE265" s="122">
        <v>0</v>
      </c>
      <c r="AF265" s="122">
        <v>0</v>
      </c>
      <c r="AG265" s="122">
        <f>0-AF265</f>
        <v>0</v>
      </c>
      <c r="AH265" s="122">
        <f>0-AG265</f>
        <v>0</v>
      </c>
      <c r="AI265" s="122">
        <f>0-AH265</f>
        <v>0</v>
      </c>
      <c r="AJ265" s="122">
        <v>0</v>
      </c>
      <c r="AK265" s="122">
        <v>0</v>
      </c>
      <c r="AL265" s="122">
        <v>0</v>
      </c>
      <c r="AM265" s="122">
        <v>0</v>
      </c>
      <c r="AN265" s="122">
        <v>0</v>
      </c>
      <c r="AO265" s="122">
        <v>0</v>
      </c>
      <c r="AP265" s="122">
        <v>0</v>
      </c>
      <c r="AQ265" s="122">
        <v>0</v>
      </c>
      <c r="AR265" s="122">
        <v>0</v>
      </c>
      <c r="AS265" s="122">
        <v>0</v>
      </c>
      <c r="AT265" s="122">
        <v>0</v>
      </c>
      <c r="AU265" s="122">
        <v>0</v>
      </c>
      <c r="AV265" s="122">
        <v>0</v>
      </c>
      <c r="AW265" s="122">
        <v>0</v>
      </c>
      <c r="AX265" s="122">
        <v>0</v>
      </c>
      <c r="AY265" s="122">
        <v>0</v>
      </c>
      <c r="BG265" s="4">
        <v>259</v>
      </c>
      <c r="BH265"/>
      <c r="BI265"/>
      <c r="BJ265"/>
      <c r="BK265"/>
      <c r="BL265"/>
      <c r="BM265"/>
    </row>
    <row r="266" spans="1:65" s="3" customFormat="1" ht="11.25" outlineLevel="1">
      <c r="A266" s="2"/>
      <c r="B266" s="126" t="s">
        <v>161</v>
      </c>
      <c r="C266" s="124">
        <v>-82.075999999999993</v>
      </c>
      <c r="D266" s="124">
        <v>3.7829999999999999</v>
      </c>
      <c r="E266" s="124">
        <v>-49.201999999999998</v>
      </c>
      <c r="F266" s="120">
        <f>-5.634+0.961</f>
        <v>-4.673</v>
      </c>
      <c r="G266" s="120">
        <f>-2.356-1.285-14.171</f>
        <v>-17.811999999999998</v>
      </c>
      <c r="H266" s="120">
        <f t="shared" si="413"/>
        <v>-12.215</v>
      </c>
      <c r="I266" s="120">
        <f t="shared" si="413"/>
        <v>-4.8790000000000004</v>
      </c>
      <c r="J266" s="120">
        <f t="shared" si="413"/>
        <v>-1.0160000000000005</v>
      </c>
      <c r="K266" s="120">
        <f t="shared" si="413"/>
        <v>-4.1109999999999998</v>
      </c>
      <c r="L266" s="120">
        <f t="shared" si="413"/>
        <v>0</v>
      </c>
      <c r="M266" s="120">
        <f t="shared" si="413"/>
        <v>0</v>
      </c>
      <c r="N266" s="120">
        <f t="shared" si="413"/>
        <v>0</v>
      </c>
      <c r="O266" s="120"/>
      <c r="P266" s="124"/>
      <c r="Q266" s="124"/>
      <c r="R266" s="124"/>
      <c r="S266" s="124"/>
      <c r="T266" s="123">
        <f>-1.148-0.239</f>
        <v>-1.387</v>
      </c>
      <c r="U266" s="123">
        <f>-0.239-T266</f>
        <v>1.1480000000000001</v>
      </c>
      <c r="V266" s="123">
        <f>-0.239-14.171-U266-T266</f>
        <v>-14.170999999999999</v>
      </c>
      <c r="W266" s="120">
        <f>+G266-SUM(T266:V266)</f>
        <v>-3.4019999999999975</v>
      </c>
      <c r="X266" s="123">
        <f>-1.105-1.699</f>
        <v>-2.8040000000000003</v>
      </c>
      <c r="Y266" s="122">
        <f>-2.277-1.699-0.431-X266</f>
        <v>-1.6029999999999998</v>
      </c>
      <c r="Z266" s="122">
        <f>-1.913-0.496-9.6-Y266-X266</f>
        <v>-7.6020000000000003</v>
      </c>
      <c r="AA266" s="122">
        <f>-9.6-0.702-1.913-Z266-Y266-X266</f>
        <v>-0.20599999999999952</v>
      </c>
      <c r="AB266" s="122">
        <v>0</v>
      </c>
      <c r="AC266" s="122">
        <f>-4.339-AB266</f>
        <v>-4.3390000000000004</v>
      </c>
      <c r="AD266" s="122">
        <f>-0.219-4.592-3.12-AC266-AB266</f>
        <v>-3.5919999999999996</v>
      </c>
      <c r="AE266" s="122">
        <f>-0.301-4.578-AD266-AC266-AB266</f>
        <v>3.0519999999999996</v>
      </c>
      <c r="AF266" s="122">
        <v>-0.53500000000000003</v>
      </c>
      <c r="AG266" s="122">
        <f>-0.551+1.376-AF266</f>
        <v>1.3599999999999999</v>
      </c>
      <c r="AH266" s="122">
        <f>-0.551+1.376-AG266-AF266</f>
        <v>0</v>
      </c>
      <c r="AI266" s="122">
        <f>-1.1-0.842-0.45+1.376-AH266-AG266-AF266</f>
        <v>-1.8410000000000002</v>
      </c>
      <c r="AJ266" s="122">
        <v>-1E-3</v>
      </c>
      <c r="AK266" s="122">
        <f>-1.091-0.022-AJ266</f>
        <v>-1.1120000000000001</v>
      </c>
      <c r="AL266" s="122">
        <f>-1.097+0.04-AK266-AJ266</f>
        <v>5.6000000000000161E-2</v>
      </c>
      <c r="AM266" s="122">
        <f>-1.321-2.79-AL266-AK266-AJ266</f>
        <v>-3.0539999999999998</v>
      </c>
      <c r="AN266" s="122">
        <v>0</v>
      </c>
      <c r="AO266" s="122">
        <v>0</v>
      </c>
      <c r="AP266" s="122">
        <v>0</v>
      </c>
      <c r="AQ266" s="122">
        <v>0</v>
      </c>
      <c r="AR266" s="122">
        <v>0</v>
      </c>
      <c r="AS266" s="122">
        <v>0</v>
      </c>
      <c r="AT266" s="122">
        <v>0</v>
      </c>
      <c r="AU266" s="122">
        <v>0</v>
      </c>
      <c r="AV266" s="122">
        <v>0</v>
      </c>
      <c r="AW266" s="122">
        <v>0</v>
      </c>
      <c r="AX266" s="122">
        <v>0</v>
      </c>
      <c r="AY266" s="122">
        <v>0</v>
      </c>
      <c r="BG266" s="4">
        <v>260</v>
      </c>
      <c r="BH266"/>
      <c r="BI266"/>
      <c r="BJ266"/>
      <c r="BK266"/>
      <c r="BL266"/>
      <c r="BM266"/>
    </row>
    <row r="267" spans="1:65" s="3" customFormat="1" ht="11.25" outlineLevel="1">
      <c r="A267" s="2"/>
      <c r="B267" s="125" t="s">
        <v>160</v>
      </c>
      <c r="C267" s="124"/>
      <c r="D267" s="124"/>
      <c r="E267" s="124"/>
      <c r="F267" s="120">
        <v>0.104</v>
      </c>
      <c r="G267" s="120">
        <v>0.316</v>
      </c>
      <c r="H267" s="120">
        <f t="shared" si="413"/>
        <v>-0.16</v>
      </c>
      <c r="I267" s="120">
        <f t="shared" si="413"/>
        <v>-2.34</v>
      </c>
      <c r="J267" s="120">
        <f t="shared" si="413"/>
        <v>-0.876</v>
      </c>
      <c r="K267" s="120">
        <f t="shared" si="413"/>
        <v>0.55600000000000005</v>
      </c>
      <c r="L267" s="120">
        <f t="shared" si="413"/>
        <v>0</v>
      </c>
      <c r="M267" s="120">
        <f t="shared" si="413"/>
        <v>0</v>
      </c>
      <c r="N267" s="120">
        <f t="shared" si="413"/>
        <v>0</v>
      </c>
      <c r="O267" s="120"/>
      <c r="P267" s="124"/>
      <c r="Q267" s="124"/>
      <c r="R267" s="124"/>
      <c r="S267" s="124"/>
      <c r="T267" s="123">
        <v>-0.02</v>
      </c>
      <c r="U267" s="123">
        <f>0.085-T267</f>
        <v>0.10500000000000001</v>
      </c>
      <c r="V267" s="123">
        <f>0.249-U267-T267</f>
        <v>0.16399999999999998</v>
      </c>
      <c r="W267" s="120">
        <f>+G267-SUM(T267:V267)</f>
        <v>6.7000000000000004E-2</v>
      </c>
      <c r="X267" s="123">
        <v>-0.02</v>
      </c>
      <c r="Y267" s="122">
        <f>-0.017-X267</f>
        <v>2.9999999999999992E-3</v>
      </c>
      <c r="Z267" s="122">
        <f>-0.085-Y267-X267</f>
        <v>-6.8000000000000005E-2</v>
      </c>
      <c r="AA267" s="122">
        <f>-0.16-Z267-Y267-X267</f>
        <v>-7.4999999999999997E-2</v>
      </c>
      <c r="AB267" s="122">
        <v>-0.17100000000000001</v>
      </c>
      <c r="AC267" s="122">
        <f>-0.236-AB267</f>
        <v>-6.4999999999999974E-2</v>
      </c>
      <c r="AD267" s="122">
        <f>-0.773-AC267-AB267</f>
        <v>-0.53700000000000003</v>
      </c>
      <c r="AE267" s="122">
        <f>-1.376-0.964-AD267-AC267-AB267</f>
        <v>-1.5669999999999999</v>
      </c>
      <c r="AF267" s="122">
        <f>0.118+0.034</f>
        <v>0.152</v>
      </c>
      <c r="AG267" s="122">
        <f>-0.387-AF267</f>
        <v>-0.53900000000000003</v>
      </c>
      <c r="AH267" s="122">
        <f>-0.479-AG267-AF267</f>
        <v>-9.1999999999999943E-2</v>
      </c>
      <c r="AI267" s="122">
        <f>-0.876-AH267-AG267-AF267</f>
        <v>-0.39700000000000002</v>
      </c>
      <c r="AJ267" s="122">
        <v>-4.3999999999999997E-2</v>
      </c>
      <c r="AK267" s="122">
        <f>0.443-AJ267</f>
        <v>0.48699999999999999</v>
      </c>
      <c r="AL267" s="122">
        <f>0.768-AK267-AJ267</f>
        <v>0.32500000000000001</v>
      </c>
      <c r="AM267" s="122">
        <f>0.556-AL267-AK267-AJ267</f>
        <v>-0.21199999999999997</v>
      </c>
      <c r="AN267" s="122">
        <v>0</v>
      </c>
      <c r="AO267" s="122">
        <v>0</v>
      </c>
      <c r="AP267" s="122">
        <v>0</v>
      </c>
      <c r="AQ267" s="122">
        <v>0</v>
      </c>
      <c r="AR267" s="122">
        <v>0</v>
      </c>
      <c r="AS267" s="122">
        <v>0</v>
      </c>
      <c r="AT267" s="122">
        <v>0</v>
      </c>
      <c r="AU267" s="122">
        <v>0</v>
      </c>
      <c r="AV267" s="122">
        <v>0</v>
      </c>
      <c r="AW267" s="122">
        <v>0</v>
      </c>
      <c r="AX267" s="122">
        <v>0</v>
      </c>
      <c r="AY267" s="122">
        <v>0</v>
      </c>
      <c r="BG267" s="4">
        <v>261</v>
      </c>
      <c r="BH267"/>
      <c r="BI267"/>
      <c r="BJ267"/>
      <c r="BK267"/>
      <c r="BL267"/>
      <c r="BM267"/>
    </row>
    <row r="268" spans="1:65" s="3" customFormat="1" ht="11.25" outlineLevel="1">
      <c r="A268" s="2"/>
      <c r="B268" s="121" t="s">
        <v>159</v>
      </c>
      <c r="C268" s="118">
        <f>SUM(C259:C267)</f>
        <v>1.3340000000000032</v>
      </c>
      <c r="D268" s="118">
        <f t="shared" ref="D268:N268" si="415">SUM(D259:D267)</f>
        <v>34.339999999999996</v>
      </c>
      <c r="E268" s="118">
        <f t="shared" si="415"/>
        <v>16.086999999999989</v>
      </c>
      <c r="F268" s="118">
        <f t="shared" si="415"/>
        <v>-46.642000000000039</v>
      </c>
      <c r="G268" s="118">
        <f t="shared" si="415"/>
        <v>5.9029999999999037</v>
      </c>
      <c r="H268" s="118">
        <f t="shared" si="415"/>
        <v>59.107999999999947</v>
      </c>
      <c r="I268" s="118">
        <f t="shared" si="415"/>
        <v>94.562999999999931</v>
      </c>
      <c r="J268" s="118">
        <f t="shared" si="415"/>
        <v>22.583000000000077</v>
      </c>
      <c r="K268" s="118">
        <f t="shared" si="415"/>
        <v>-66.102000000000018</v>
      </c>
      <c r="L268" s="118">
        <f t="shared" si="415"/>
        <v>501.57476021528794</v>
      </c>
      <c r="M268" s="118">
        <f t="shared" si="415"/>
        <v>416.64075575678845</v>
      </c>
      <c r="N268" s="118">
        <f t="shared" si="415"/>
        <v>401.8909129824346</v>
      </c>
      <c r="O268" s="120"/>
      <c r="P268" s="119"/>
      <c r="Q268" s="119"/>
      <c r="R268" s="119"/>
      <c r="S268" s="119"/>
      <c r="T268" s="118">
        <f t="shared" ref="T268:AE268" si="416">SUM(T259:T267)</f>
        <v>28.504999999999992</v>
      </c>
      <c r="U268" s="118">
        <f t="shared" si="416"/>
        <v>-25.437000000000019</v>
      </c>
      <c r="V268" s="118">
        <f t="shared" si="416"/>
        <v>-6.1999999999906741E-2</v>
      </c>
      <c r="W268" s="118">
        <f t="shared" si="416"/>
        <v>2.8969999999998306</v>
      </c>
      <c r="X268" s="118">
        <f t="shared" si="416"/>
        <v>-9.7129999999999779</v>
      </c>
      <c r="Y268" s="118">
        <f t="shared" si="416"/>
        <v>4.4119999999999822</v>
      </c>
      <c r="Z268" s="118">
        <f t="shared" si="416"/>
        <v>32.584000000000017</v>
      </c>
      <c r="AA268" s="118">
        <f t="shared" si="416"/>
        <v>31.82500000000001</v>
      </c>
      <c r="AB268" s="118">
        <f t="shared" si="416"/>
        <v>41.449000000000012</v>
      </c>
      <c r="AC268" s="118">
        <f t="shared" si="416"/>
        <v>57.116000000000021</v>
      </c>
      <c r="AD268" s="118">
        <f t="shared" si="416"/>
        <v>3.9919999999999813</v>
      </c>
      <c r="AE268" s="118">
        <f t="shared" si="416"/>
        <v>-7.9940000000000193</v>
      </c>
      <c r="AF268" s="118">
        <f t="shared" ref="AF268" si="417">SUM(AF259:AF267)</f>
        <v>-27.613999999999997</v>
      </c>
      <c r="AG268" s="118">
        <f t="shared" ref="AG268" si="418">SUM(AG259:AG267)</f>
        <v>-82.236999999999995</v>
      </c>
      <c r="AH268" s="118">
        <f t="shared" ref="AH268" si="419">SUM(AH259:AH267)</f>
        <v>151.79899999999995</v>
      </c>
      <c r="AI268" s="118">
        <f t="shared" ref="AI268" si="420">SUM(AI259:AI267)</f>
        <v>-19.364999999999952</v>
      </c>
      <c r="AJ268" s="118">
        <f t="shared" ref="AJ268" si="421">SUM(AJ259:AJ267)</f>
        <v>16.595000000000002</v>
      </c>
      <c r="AK268" s="118">
        <f t="shared" ref="AK268" si="422">SUM(AK259:AK267)</f>
        <v>-32.137</v>
      </c>
      <c r="AL268" s="118">
        <f t="shared" ref="AL268" si="423">SUM(AL259:AL267)</f>
        <v>9.7299999999999933</v>
      </c>
      <c r="AM268" s="118">
        <f t="shared" ref="AM268" si="424">SUM(AM259:AM267)</f>
        <v>-60.29000000000002</v>
      </c>
      <c r="AN268" s="118">
        <f t="shared" ref="AN268" si="425">SUM(AN259:AN267)</f>
        <v>17.015999999999799</v>
      </c>
      <c r="AO268" s="118">
        <f t="shared" ref="AO268" si="426">SUM(AO259:AO267)</f>
        <v>188.24992723749102</v>
      </c>
      <c r="AP268" s="118">
        <f t="shared" ref="AP268" si="427">SUM(AP259:AP267)</f>
        <v>157.64646826097422</v>
      </c>
      <c r="AQ268" s="118">
        <f t="shared" ref="AQ268" si="428">SUM(AQ259:AQ267)</f>
        <v>138.66236471682291</v>
      </c>
      <c r="AR268" s="118">
        <f t="shared" ref="AR268" si="429">SUM(AR259:AR267)</f>
        <v>110.70414306718298</v>
      </c>
      <c r="AS268" s="118">
        <f t="shared" ref="AS268" si="430">SUM(AS259:AS267)</f>
        <v>105.58273053693968</v>
      </c>
      <c r="AT268" s="118">
        <f t="shared" ref="AT268" si="431">SUM(AT259:AT267)</f>
        <v>101.89075943455369</v>
      </c>
      <c r="AU268" s="118">
        <f t="shared" ref="AU268" si="432">SUM(AU259:AU267)</f>
        <v>98.463122718112075</v>
      </c>
      <c r="AV268" s="118">
        <f t="shared" ref="AV268" si="433">SUM(AV259:AV267)</f>
        <v>90.042553882551076</v>
      </c>
      <c r="AW268" s="118">
        <f t="shared" ref="AW268" si="434">SUM(AW259:AW267)</f>
        <v>94.102887552308985</v>
      </c>
      <c r="AX268" s="118">
        <f t="shared" ref="AX268" si="435">SUM(AX259:AX267)</f>
        <v>112.95191695077629</v>
      </c>
      <c r="AY268" s="118">
        <f t="shared" ref="AY268" si="436">SUM(AY259:AY267)</f>
        <v>104.79355459679822</v>
      </c>
      <c r="BG268" s="4">
        <v>262</v>
      </c>
      <c r="BH268"/>
      <c r="BI268"/>
      <c r="BJ268"/>
      <c r="BK268"/>
      <c r="BL268"/>
      <c r="BM268"/>
    </row>
    <row r="269" spans="1:65" s="3" customFormat="1" ht="11.25" outlineLevel="1">
      <c r="A269" s="2"/>
      <c r="B269" s="93"/>
      <c r="C269" s="115"/>
      <c r="D269" s="115"/>
      <c r="E269" s="115"/>
      <c r="F269" s="115"/>
      <c r="G269" s="115"/>
      <c r="H269" s="115">
        <f t="shared" ref="H269:M269" si="437">ROUND(H285-G285-H268,2)</f>
        <v>0</v>
      </c>
      <c r="I269" s="115">
        <f t="shared" si="437"/>
        <v>0</v>
      </c>
      <c r="J269" s="115">
        <f t="shared" si="437"/>
        <v>0</v>
      </c>
      <c r="K269" s="115">
        <f t="shared" si="437"/>
        <v>0</v>
      </c>
      <c r="L269" s="115">
        <f t="shared" si="437"/>
        <v>0</v>
      </c>
      <c r="M269" s="115">
        <f t="shared" si="437"/>
        <v>0</v>
      </c>
      <c r="N269" s="115">
        <f>ROUND(N285-M285-N268,1)</f>
        <v>0</v>
      </c>
      <c r="O269" s="115"/>
      <c r="P269" s="117"/>
      <c r="Q269" s="117"/>
      <c r="R269" s="117"/>
      <c r="S269" s="117"/>
      <c r="T269" s="115"/>
      <c r="U269" s="115"/>
      <c r="V269" s="115"/>
      <c r="W269" s="115"/>
      <c r="X269" s="115">
        <f t="shared" ref="X269" si="438">ROUND(X285-W285-X268,2)</f>
        <v>0</v>
      </c>
      <c r="Y269" s="115">
        <f t="shared" ref="Y269" si="439">ROUND(Y285-X285-Y268,2)</f>
        <v>0</v>
      </c>
      <c r="Z269" s="115">
        <f t="shared" ref="Z269" si="440">ROUND(Z285-Y285-Z268,2)</f>
        <v>0</v>
      </c>
      <c r="AA269" s="115">
        <f t="shared" ref="AA269" si="441">ROUND(AA285-Z285-AA268,2)</f>
        <v>0</v>
      </c>
      <c r="AB269" s="115">
        <f t="shared" ref="AB269" si="442">ROUND(AB285-AA285-AB268,2)</f>
        <v>0</v>
      </c>
      <c r="AC269" s="115">
        <f t="shared" ref="AC269" si="443">ROUND(AC285-AB285-AC268,2)</f>
        <v>0</v>
      </c>
      <c r="AD269" s="115">
        <f t="shared" ref="AD269" si="444">ROUND(AD285-AC285-AD268,2)</f>
        <v>0</v>
      </c>
      <c r="AE269" s="115">
        <f t="shared" ref="AE269" si="445">ROUND(AE285-AD285-AE268,2)</f>
        <v>0</v>
      </c>
      <c r="AF269" s="115">
        <f t="shared" ref="AF269:AY269" si="446">ROUND(AF285-AE285-AF268,2)</f>
        <v>0</v>
      </c>
      <c r="AG269" s="115">
        <f t="shared" si="446"/>
        <v>0</v>
      </c>
      <c r="AH269" s="115">
        <f t="shared" si="446"/>
        <v>0</v>
      </c>
      <c r="AI269" s="116">
        <f t="shared" si="446"/>
        <v>0</v>
      </c>
      <c r="AJ269" s="116">
        <f t="shared" si="446"/>
        <v>0</v>
      </c>
      <c r="AK269" s="116">
        <f t="shared" si="446"/>
        <v>0</v>
      </c>
      <c r="AL269" s="116">
        <f t="shared" si="446"/>
        <v>0</v>
      </c>
      <c r="AM269" s="116">
        <f t="shared" si="446"/>
        <v>0</v>
      </c>
      <c r="AN269" s="115">
        <f t="shared" si="446"/>
        <v>0</v>
      </c>
      <c r="AO269" s="115">
        <f t="shared" si="446"/>
        <v>0</v>
      </c>
      <c r="AP269" s="115">
        <f t="shared" si="446"/>
        <v>0</v>
      </c>
      <c r="AQ269" s="115">
        <f t="shared" si="446"/>
        <v>0</v>
      </c>
      <c r="AR269" s="115">
        <f t="shared" si="446"/>
        <v>0</v>
      </c>
      <c r="AS269" s="115">
        <f t="shared" si="446"/>
        <v>0</v>
      </c>
      <c r="AT269" s="115">
        <f t="shared" si="446"/>
        <v>0</v>
      </c>
      <c r="AU269" s="115">
        <f t="shared" si="446"/>
        <v>0</v>
      </c>
      <c r="AV269" s="115">
        <f t="shared" si="446"/>
        <v>0</v>
      </c>
      <c r="AW269" s="115">
        <f t="shared" si="446"/>
        <v>0</v>
      </c>
      <c r="AX269" s="115">
        <f t="shared" si="446"/>
        <v>0</v>
      </c>
      <c r="AY269" s="115">
        <f t="shared" si="446"/>
        <v>0</v>
      </c>
      <c r="BG269" s="4">
        <v>263</v>
      </c>
      <c r="BH269"/>
      <c r="BI269"/>
      <c r="BJ269"/>
      <c r="BK269"/>
      <c r="BL269"/>
      <c r="BM269"/>
    </row>
    <row r="270" spans="1:65" s="3" customFormat="1" ht="11.25" outlineLevel="1">
      <c r="A270" s="2"/>
      <c r="B270" s="113" t="s">
        <v>158</v>
      </c>
      <c r="F270" s="91"/>
      <c r="G270" s="91"/>
      <c r="H270" s="91"/>
      <c r="I270" s="91"/>
      <c r="J270" s="91"/>
      <c r="K270" s="91"/>
      <c r="L270" s="91"/>
      <c r="P270" s="5"/>
      <c r="Q270" s="5"/>
      <c r="R270" s="5"/>
      <c r="S270" s="5"/>
      <c r="Y270" s="114"/>
      <c r="Z270" s="114"/>
      <c r="AA270" s="114"/>
      <c r="AB270" s="91"/>
      <c r="AC270" s="91"/>
      <c r="AD270" s="91"/>
      <c r="AE270" s="91"/>
      <c r="AF270" s="91"/>
      <c r="AG270" s="91"/>
      <c r="AH270" s="91"/>
      <c r="AI270" s="91"/>
      <c r="AJ270" s="91"/>
      <c r="AK270" s="91"/>
      <c r="AL270" s="91"/>
      <c r="AM270" s="91"/>
      <c r="AN270" s="91"/>
      <c r="AO270" s="91"/>
      <c r="AP270" s="91"/>
      <c r="AQ270" s="91"/>
      <c r="AR270" s="91"/>
      <c r="AS270" s="91"/>
      <c r="AT270" s="91"/>
      <c r="AU270" s="91"/>
      <c r="AV270" s="91"/>
      <c r="AW270" s="91"/>
      <c r="AX270" s="91"/>
      <c r="AY270" s="91"/>
      <c r="BG270" s="4">
        <v>264</v>
      </c>
      <c r="BH270"/>
      <c r="BI270"/>
      <c r="BJ270"/>
      <c r="BK270"/>
      <c r="BL270"/>
      <c r="BM270"/>
    </row>
    <row r="271" spans="1:65" s="3" customFormat="1" ht="11.25" outlineLevel="2">
      <c r="A271" s="2"/>
      <c r="B271" s="3" t="s">
        <v>157</v>
      </c>
      <c r="C271" s="12">
        <f t="shared" ref="C271:N271" si="447">C257</f>
        <v>96.566000000000003</v>
      </c>
      <c r="D271" s="12">
        <f t="shared" si="447"/>
        <v>75.721999999999994</v>
      </c>
      <c r="E271" s="12">
        <f t="shared" si="447"/>
        <v>167.86099999999999</v>
      </c>
      <c r="F271" s="12">
        <f t="shared" si="447"/>
        <v>179.68999999999997</v>
      </c>
      <c r="G271" s="12">
        <f t="shared" si="447"/>
        <v>174.58899999999994</v>
      </c>
      <c r="H271" s="12">
        <f t="shared" si="447"/>
        <v>205.27599999999998</v>
      </c>
      <c r="I271" s="12">
        <f t="shared" si="447"/>
        <v>235.99399999999994</v>
      </c>
      <c r="J271" s="12">
        <f t="shared" si="447"/>
        <v>-6.5920000000000005</v>
      </c>
      <c r="K271" s="12">
        <f t="shared" si="447"/>
        <v>144.78800000000001</v>
      </c>
      <c r="L271" s="12">
        <f t="shared" si="447"/>
        <v>479.38976021528782</v>
      </c>
      <c r="M271" s="12">
        <f t="shared" si="447"/>
        <v>564.69075575678846</v>
      </c>
      <c r="N271" s="12">
        <f t="shared" si="447"/>
        <v>549.94091298243461</v>
      </c>
      <c r="P271" s="7"/>
      <c r="Q271" s="7"/>
      <c r="R271" s="7"/>
      <c r="S271" s="7"/>
      <c r="T271" s="12">
        <f t="shared" ref="T271:AY271" si="448">T257</f>
        <v>49.125999999999991</v>
      </c>
      <c r="U271" s="12">
        <f t="shared" si="448"/>
        <v>44.531000000000006</v>
      </c>
      <c r="V271" s="12">
        <f t="shared" si="448"/>
        <v>38.414999999999985</v>
      </c>
      <c r="W271" s="12">
        <f t="shared" si="448"/>
        <v>42.516999999999967</v>
      </c>
      <c r="X271" s="12">
        <f t="shared" si="448"/>
        <v>22.074000000000023</v>
      </c>
      <c r="Y271" s="12">
        <f t="shared" si="448"/>
        <v>27.90799999999998</v>
      </c>
      <c r="Z271" s="12">
        <f t="shared" si="448"/>
        <v>80.706000000000017</v>
      </c>
      <c r="AA271" s="12">
        <f t="shared" si="448"/>
        <v>74.588000000000022</v>
      </c>
      <c r="AB271" s="12">
        <f t="shared" si="448"/>
        <v>77.420000000000016</v>
      </c>
      <c r="AC271" s="12">
        <f t="shared" si="448"/>
        <v>96.145999999999987</v>
      </c>
      <c r="AD271" s="12">
        <f t="shared" si="448"/>
        <v>43.561000000000007</v>
      </c>
      <c r="AE271" s="12">
        <f t="shared" si="448"/>
        <v>18.86699999999999</v>
      </c>
      <c r="AF271" s="12">
        <f t="shared" si="448"/>
        <v>-8.5860000000000003</v>
      </c>
      <c r="AG271" s="12">
        <f t="shared" si="448"/>
        <v>-4.6449999999999996</v>
      </c>
      <c r="AH271" s="12">
        <f t="shared" si="448"/>
        <v>-1.8979999999999997</v>
      </c>
      <c r="AI271" s="12">
        <f t="shared" si="448"/>
        <v>8.536999999999999</v>
      </c>
      <c r="AJ271" s="12">
        <f t="shared" si="448"/>
        <v>25.966999999999999</v>
      </c>
      <c r="AK271" s="12">
        <f t="shared" si="448"/>
        <v>28.280999999999999</v>
      </c>
      <c r="AL271" s="12">
        <f t="shared" si="448"/>
        <v>53.221999999999994</v>
      </c>
      <c r="AM271" s="12">
        <f t="shared" ref="AM271" si="449">AM257</f>
        <v>37.318000000000019</v>
      </c>
      <c r="AN271" s="12">
        <f t="shared" si="448"/>
        <v>47.540048800867744</v>
      </c>
      <c r="AO271" s="12">
        <f t="shared" si="448"/>
        <v>77.715878436622972</v>
      </c>
      <c r="AP271" s="12">
        <f t="shared" si="448"/>
        <v>178.45896826097422</v>
      </c>
      <c r="AQ271" s="12">
        <f t="shared" si="448"/>
        <v>175.6748647168229</v>
      </c>
      <c r="AR271" s="12">
        <f t="shared" si="448"/>
        <v>147.71664306718299</v>
      </c>
      <c r="AS271" s="12">
        <f t="shared" si="448"/>
        <v>142.59523053693968</v>
      </c>
      <c r="AT271" s="12">
        <f t="shared" si="448"/>
        <v>138.90325943455369</v>
      </c>
      <c r="AU271" s="12">
        <f t="shared" si="448"/>
        <v>135.47562271811208</v>
      </c>
      <c r="AV271" s="12">
        <f t="shared" si="448"/>
        <v>127.05505388255108</v>
      </c>
      <c r="AW271" s="12">
        <f t="shared" si="448"/>
        <v>131.11538755230899</v>
      </c>
      <c r="AX271" s="12">
        <f t="shared" si="448"/>
        <v>149.9644169507763</v>
      </c>
      <c r="AY271" s="12">
        <f t="shared" si="448"/>
        <v>141.80605459679822</v>
      </c>
      <c r="BG271" s="4">
        <v>265</v>
      </c>
      <c r="BH271"/>
      <c r="BI271"/>
      <c r="BJ271"/>
      <c r="BK271"/>
      <c r="BL271"/>
      <c r="BM271"/>
    </row>
    <row r="272" spans="1:65" s="3" customFormat="1" ht="11.25" outlineLevel="2">
      <c r="A272" s="2"/>
      <c r="B272" s="3" t="s">
        <v>156</v>
      </c>
      <c r="C272" s="12">
        <f t="shared" ref="C272:N272" si="450">C258+SUM(C260:C262)</f>
        <v>-13.156000000000001</v>
      </c>
      <c r="D272" s="12">
        <f t="shared" si="450"/>
        <v>-45.164999999999999</v>
      </c>
      <c r="E272" s="12">
        <f t="shared" si="450"/>
        <v>-102.572</v>
      </c>
      <c r="F272" s="12">
        <f t="shared" si="450"/>
        <v>-107.366</v>
      </c>
      <c r="G272" s="12">
        <f t="shared" si="450"/>
        <v>-579.51699999999994</v>
      </c>
      <c r="H272" s="12">
        <f t="shared" si="450"/>
        <v>-138.33100000000002</v>
      </c>
      <c r="I272" s="12">
        <f t="shared" si="450"/>
        <v>-114</v>
      </c>
      <c r="J272" s="12">
        <f t="shared" si="450"/>
        <v>-26.214000000000002</v>
      </c>
      <c r="K272" s="12">
        <f t="shared" si="450"/>
        <v>-98.804000000000002</v>
      </c>
      <c r="L272" s="12">
        <f t="shared" si="450"/>
        <v>-116.2</v>
      </c>
      <c r="M272" s="12">
        <f t="shared" si="450"/>
        <v>-104.8</v>
      </c>
      <c r="N272" s="12">
        <f t="shared" si="450"/>
        <v>-104.8</v>
      </c>
      <c r="P272" s="7"/>
      <c r="Q272" s="7"/>
      <c r="R272" s="7"/>
      <c r="S272" s="7"/>
      <c r="T272" s="12">
        <f t="shared" ref="T272:AY272" si="451">T258+SUM(T260:T262)</f>
        <v>-19.213999999999999</v>
      </c>
      <c r="U272" s="12">
        <f t="shared" si="451"/>
        <v>-142.36100000000002</v>
      </c>
      <c r="V272" s="12">
        <f t="shared" si="451"/>
        <v>-384.96299999999997</v>
      </c>
      <c r="W272" s="12">
        <f t="shared" si="451"/>
        <v>-32.978999999999999</v>
      </c>
      <c r="X272" s="12">
        <f t="shared" si="451"/>
        <v>-29.835000000000001</v>
      </c>
      <c r="Y272" s="12">
        <f t="shared" si="451"/>
        <v>-30.777999999999999</v>
      </c>
      <c r="Z272" s="12">
        <f t="shared" si="451"/>
        <v>-25.804999999999996</v>
      </c>
      <c r="AA272" s="12">
        <f t="shared" si="451"/>
        <v>-51.913000000000011</v>
      </c>
      <c r="AB272" s="12">
        <f t="shared" si="451"/>
        <v>-31.855</v>
      </c>
      <c r="AC272" s="12">
        <f t="shared" si="451"/>
        <v>-29.551999999999996</v>
      </c>
      <c r="AD272" s="12">
        <f t="shared" si="451"/>
        <v>-30.141000000000009</v>
      </c>
      <c r="AE272" s="12">
        <f t="shared" si="451"/>
        <v>-22.452000000000002</v>
      </c>
      <c r="AF272" s="12">
        <f t="shared" si="451"/>
        <v>-13.156000000000001</v>
      </c>
      <c r="AG272" s="12">
        <f t="shared" si="451"/>
        <v>-5.0240000000000009</v>
      </c>
      <c r="AH272" s="12">
        <f t="shared" si="451"/>
        <v>-6.5329999999999995</v>
      </c>
      <c r="AI272" s="12">
        <f t="shared" si="451"/>
        <v>-1.5010000000000012</v>
      </c>
      <c r="AJ272" s="12">
        <f t="shared" si="451"/>
        <v>-6.8260000000000005</v>
      </c>
      <c r="AK272" s="12">
        <f t="shared" si="451"/>
        <v>-6.444</v>
      </c>
      <c r="AL272" s="12">
        <f t="shared" si="451"/>
        <v>-40.326000000000001</v>
      </c>
      <c r="AM272" s="12">
        <f t="shared" ref="AM272" si="452">AM258+SUM(AM260:AM262)</f>
        <v>-45.207999999999998</v>
      </c>
      <c r="AN272" s="12">
        <f t="shared" si="451"/>
        <v>-35</v>
      </c>
      <c r="AO272" s="12">
        <f t="shared" si="451"/>
        <v>-45</v>
      </c>
      <c r="AP272" s="12">
        <f t="shared" si="451"/>
        <v>-10</v>
      </c>
      <c r="AQ272" s="12">
        <f t="shared" si="451"/>
        <v>-26.2</v>
      </c>
      <c r="AR272" s="12">
        <f t="shared" si="451"/>
        <v>-26.2</v>
      </c>
      <c r="AS272" s="12">
        <f t="shared" si="451"/>
        <v>-26.2</v>
      </c>
      <c r="AT272" s="12">
        <f t="shared" si="451"/>
        <v>-26.2</v>
      </c>
      <c r="AU272" s="12">
        <f t="shared" si="451"/>
        <v>-26.2</v>
      </c>
      <c r="AV272" s="12">
        <f t="shared" si="451"/>
        <v>-26.2</v>
      </c>
      <c r="AW272" s="12">
        <f t="shared" si="451"/>
        <v>-26.2</v>
      </c>
      <c r="AX272" s="12">
        <f t="shared" si="451"/>
        <v>-26.2</v>
      </c>
      <c r="AY272" s="12">
        <f t="shared" si="451"/>
        <v>-26.2</v>
      </c>
      <c r="BG272" s="4">
        <v>266</v>
      </c>
      <c r="BH272"/>
      <c r="BI272"/>
      <c r="BJ272"/>
      <c r="BK272"/>
      <c r="BL272"/>
      <c r="BM272"/>
    </row>
    <row r="273" spans="1:65" s="3" customFormat="1" ht="11.25" outlineLevel="2">
      <c r="A273" s="2"/>
      <c r="B273" s="3" t="s">
        <v>155</v>
      </c>
      <c r="C273" s="12">
        <f t="shared" ref="C273:N273" si="453">SUM(C263:C266)</f>
        <v>-82.075999999999993</v>
      </c>
      <c r="D273" s="12">
        <f t="shared" si="453"/>
        <v>3.7829999999999999</v>
      </c>
      <c r="E273" s="12">
        <f t="shared" si="453"/>
        <v>-49.201999999999998</v>
      </c>
      <c r="F273" s="12">
        <f t="shared" si="453"/>
        <v>-119.07</v>
      </c>
      <c r="G273" s="12">
        <f t="shared" si="453"/>
        <v>410.51499999999993</v>
      </c>
      <c r="H273" s="12">
        <f t="shared" si="453"/>
        <v>-7.677000000000004</v>
      </c>
      <c r="I273" s="12">
        <f t="shared" si="453"/>
        <v>-25.090999999999998</v>
      </c>
      <c r="J273" s="12">
        <f t="shared" si="453"/>
        <v>56.265000000000065</v>
      </c>
      <c r="K273" s="12">
        <f t="shared" si="453"/>
        <v>-112.64200000000004</v>
      </c>
      <c r="L273" s="12">
        <f t="shared" si="453"/>
        <v>138.3850000000001</v>
      </c>
      <c r="M273" s="12">
        <f t="shared" si="453"/>
        <v>-43.25</v>
      </c>
      <c r="N273" s="12">
        <f t="shared" si="453"/>
        <v>-43.25</v>
      </c>
      <c r="P273" s="7"/>
      <c r="Q273" s="7"/>
      <c r="R273" s="7"/>
      <c r="S273" s="7"/>
      <c r="T273" s="12">
        <f t="shared" ref="T273:AY273" si="454">SUM(T263:T266)</f>
        <v>-1.387</v>
      </c>
      <c r="U273" s="12">
        <f t="shared" si="454"/>
        <v>72.287999999999997</v>
      </c>
      <c r="V273" s="12">
        <f t="shared" si="454"/>
        <v>346.32200000000006</v>
      </c>
      <c r="W273" s="12">
        <f t="shared" si="454"/>
        <v>-6.7080000000001299</v>
      </c>
      <c r="X273" s="12">
        <f t="shared" si="454"/>
        <v>-1.9320000000000004</v>
      </c>
      <c r="Y273" s="12">
        <f t="shared" si="454"/>
        <v>7.2789999999999999</v>
      </c>
      <c r="Z273" s="12">
        <f t="shared" si="454"/>
        <v>-22.248999999999999</v>
      </c>
      <c r="AA273" s="12">
        <f t="shared" si="454"/>
        <v>9.2249999999999943</v>
      </c>
      <c r="AB273" s="12">
        <f t="shared" si="454"/>
        <v>-3.9450000000000003</v>
      </c>
      <c r="AC273" s="12">
        <f t="shared" si="454"/>
        <v>-9.4129999999999754</v>
      </c>
      <c r="AD273" s="12">
        <f t="shared" si="454"/>
        <v>-8.891000000000016</v>
      </c>
      <c r="AE273" s="12">
        <f t="shared" si="454"/>
        <v>-2.8420000000000076</v>
      </c>
      <c r="AF273" s="12">
        <f t="shared" si="454"/>
        <v>-6.0240000000000009</v>
      </c>
      <c r="AG273" s="12">
        <f t="shared" si="454"/>
        <v>-72.028999999999996</v>
      </c>
      <c r="AH273" s="12">
        <f t="shared" si="454"/>
        <v>160.32199999999997</v>
      </c>
      <c r="AI273" s="12">
        <f t="shared" si="454"/>
        <v>-26.003999999999955</v>
      </c>
      <c r="AJ273" s="12">
        <f t="shared" si="454"/>
        <v>-2.5020000000000002</v>
      </c>
      <c r="AK273" s="12">
        <f t="shared" si="454"/>
        <v>-54.461000000000006</v>
      </c>
      <c r="AL273" s="12">
        <f t="shared" si="454"/>
        <v>-3.4909999999999997</v>
      </c>
      <c r="AM273" s="12">
        <f t="shared" ref="AM273" si="455">SUM(AM263:AM266)</f>
        <v>-52.188000000000031</v>
      </c>
      <c r="AN273" s="12">
        <f t="shared" si="454"/>
        <v>4.4759511991320551</v>
      </c>
      <c r="AO273" s="12">
        <f t="shared" si="454"/>
        <v>155.53404880086805</v>
      </c>
      <c r="AP273" s="12">
        <f t="shared" si="454"/>
        <v>-10.8125</v>
      </c>
      <c r="AQ273" s="12">
        <f t="shared" si="454"/>
        <v>-10.8125</v>
      </c>
      <c r="AR273" s="12">
        <f t="shared" si="454"/>
        <v>-10.8125</v>
      </c>
      <c r="AS273" s="12">
        <f t="shared" si="454"/>
        <v>-10.8125</v>
      </c>
      <c r="AT273" s="12">
        <f t="shared" si="454"/>
        <v>-10.8125</v>
      </c>
      <c r="AU273" s="12">
        <f t="shared" si="454"/>
        <v>-10.8125</v>
      </c>
      <c r="AV273" s="12">
        <f t="shared" si="454"/>
        <v>-10.8125</v>
      </c>
      <c r="AW273" s="12">
        <f t="shared" si="454"/>
        <v>-10.8125</v>
      </c>
      <c r="AX273" s="12">
        <f t="shared" si="454"/>
        <v>-10.8125</v>
      </c>
      <c r="AY273" s="12">
        <f t="shared" si="454"/>
        <v>-10.8125</v>
      </c>
      <c r="BG273" s="4">
        <v>267</v>
      </c>
      <c r="BH273"/>
      <c r="BI273"/>
      <c r="BJ273"/>
      <c r="BK273"/>
      <c r="BL273"/>
      <c r="BM273"/>
    </row>
    <row r="274" spans="1:65" s="3" customFormat="1" ht="11.25" outlineLevel="2">
      <c r="A274" s="2"/>
      <c r="B274" s="3" t="s">
        <v>154</v>
      </c>
      <c r="C274" s="12"/>
      <c r="D274" s="12"/>
      <c r="E274" s="12"/>
      <c r="F274" s="12">
        <f t="shared" ref="F274:N274" si="456">F267</f>
        <v>0.104</v>
      </c>
      <c r="G274" s="12">
        <f t="shared" si="456"/>
        <v>0.316</v>
      </c>
      <c r="H274" s="12">
        <f t="shared" si="456"/>
        <v>-0.16</v>
      </c>
      <c r="I274" s="12">
        <f t="shared" si="456"/>
        <v>-2.34</v>
      </c>
      <c r="J274" s="12">
        <f t="shared" si="456"/>
        <v>-0.876</v>
      </c>
      <c r="K274" s="12">
        <f t="shared" si="456"/>
        <v>0.55600000000000005</v>
      </c>
      <c r="L274" s="12">
        <f t="shared" si="456"/>
        <v>0</v>
      </c>
      <c r="M274" s="12">
        <f t="shared" si="456"/>
        <v>0</v>
      </c>
      <c r="N274" s="12">
        <f t="shared" si="456"/>
        <v>0</v>
      </c>
      <c r="P274" s="7"/>
      <c r="Q274" s="7"/>
      <c r="R274" s="7"/>
      <c r="S274" s="7"/>
      <c r="T274" s="12">
        <f t="shared" ref="T274:AY274" si="457">T267</f>
        <v>-0.02</v>
      </c>
      <c r="U274" s="12">
        <f t="shared" si="457"/>
        <v>0.10500000000000001</v>
      </c>
      <c r="V274" s="12">
        <f t="shared" si="457"/>
        <v>0.16399999999999998</v>
      </c>
      <c r="W274" s="12">
        <f t="shared" si="457"/>
        <v>6.7000000000000004E-2</v>
      </c>
      <c r="X274" s="12">
        <f t="shared" si="457"/>
        <v>-0.02</v>
      </c>
      <c r="Y274" s="12">
        <f t="shared" si="457"/>
        <v>2.9999999999999992E-3</v>
      </c>
      <c r="Z274" s="12">
        <f t="shared" si="457"/>
        <v>-6.8000000000000005E-2</v>
      </c>
      <c r="AA274" s="12">
        <f t="shared" si="457"/>
        <v>-7.4999999999999997E-2</v>
      </c>
      <c r="AB274" s="12">
        <f t="shared" si="457"/>
        <v>-0.17100000000000001</v>
      </c>
      <c r="AC274" s="12">
        <f t="shared" si="457"/>
        <v>-6.4999999999999974E-2</v>
      </c>
      <c r="AD274" s="12">
        <f t="shared" si="457"/>
        <v>-0.53700000000000003</v>
      </c>
      <c r="AE274" s="12">
        <f t="shared" si="457"/>
        <v>-1.5669999999999999</v>
      </c>
      <c r="AF274" s="12">
        <f t="shared" si="457"/>
        <v>0.152</v>
      </c>
      <c r="AG274" s="12">
        <f t="shared" si="457"/>
        <v>-0.53900000000000003</v>
      </c>
      <c r="AH274" s="12">
        <f t="shared" si="457"/>
        <v>-9.1999999999999943E-2</v>
      </c>
      <c r="AI274" s="12">
        <f t="shared" si="457"/>
        <v>-0.39700000000000002</v>
      </c>
      <c r="AJ274" s="12">
        <f t="shared" si="457"/>
        <v>-4.3999999999999997E-2</v>
      </c>
      <c r="AK274" s="12">
        <f t="shared" si="457"/>
        <v>0.48699999999999999</v>
      </c>
      <c r="AL274" s="12">
        <f t="shared" si="457"/>
        <v>0.32500000000000001</v>
      </c>
      <c r="AM274" s="12">
        <f t="shared" ref="AM274" si="458">AM267</f>
        <v>-0.21199999999999997</v>
      </c>
      <c r="AN274" s="12">
        <f t="shared" si="457"/>
        <v>0</v>
      </c>
      <c r="AO274" s="12">
        <f t="shared" si="457"/>
        <v>0</v>
      </c>
      <c r="AP274" s="12">
        <f t="shared" si="457"/>
        <v>0</v>
      </c>
      <c r="AQ274" s="12">
        <f t="shared" si="457"/>
        <v>0</v>
      </c>
      <c r="AR274" s="12">
        <f t="shared" si="457"/>
        <v>0</v>
      </c>
      <c r="AS274" s="12">
        <f t="shared" si="457"/>
        <v>0</v>
      </c>
      <c r="AT274" s="12">
        <f t="shared" si="457"/>
        <v>0</v>
      </c>
      <c r="AU274" s="12">
        <f t="shared" si="457"/>
        <v>0</v>
      </c>
      <c r="AV274" s="12">
        <f t="shared" si="457"/>
        <v>0</v>
      </c>
      <c r="AW274" s="12">
        <f t="shared" si="457"/>
        <v>0</v>
      </c>
      <c r="AX274" s="12">
        <f t="shared" si="457"/>
        <v>0</v>
      </c>
      <c r="AY274" s="12">
        <f t="shared" si="457"/>
        <v>0</v>
      </c>
      <c r="BG274" s="4">
        <v>268</v>
      </c>
      <c r="BH274"/>
      <c r="BI274"/>
      <c r="BJ274"/>
      <c r="BK274"/>
      <c r="BL274"/>
      <c r="BM274"/>
    </row>
    <row r="275" spans="1:65" s="3" customFormat="1" ht="11.25" outlineLevel="2">
      <c r="A275" s="2"/>
      <c r="B275" s="3" t="s">
        <v>153</v>
      </c>
      <c r="C275" s="12"/>
      <c r="D275" s="12"/>
      <c r="E275" s="12"/>
      <c r="F275" s="12">
        <f t="shared" ref="F275:N275" si="459">SUM(F271:F274)</f>
        <v>-46.642000000000024</v>
      </c>
      <c r="G275" s="12">
        <f t="shared" si="459"/>
        <v>5.9029999999999321</v>
      </c>
      <c r="H275" s="12">
        <f t="shared" si="459"/>
        <v>59.107999999999961</v>
      </c>
      <c r="I275" s="12">
        <f t="shared" si="459"/>
        <v>94.562999999999946</v>
      </c>
      <c r="J275" s="12">
        <f t="shared" si="459"/>
        <v>22.583000000000059</v>
      </c>
      <c r="K275" s="12">
        <f t="shared" si="459"/>
        <v>-66.102000000000032</v>
      </c>
      <c r="L275" s="12">
        <f t="shared" si="459"/>
        <v>501.57476021528794</v>
      </c>
      <c r="M275" s="12">
        <f t="shared" si="459"/>
        <v>416.64075575678845</v>
      </c>
      <c r="N275" s="12">
        <f t="shared" si="459"/>
        <v>401.8909129824346</v>
      </c>
      <c r="P275" s="7"/>
      <c r="Q275" s="7"/>
      <c r="R275" s="7"/>
      <c r="S275" s="7"/>
      <c r="T275" s="12">
        <f t="shared" ref="T275:AY275" si="460">SUM(T271:T274)</f>
        <v>28.504999999999992</v>
      </c>
      <c r="U275" s="12">
        <f t="shared" si="460"/>
        <v>-25.437000000000015</v>
      </c>
      <c r="V275" s="12">
        <f t="shared" si="460"/>
        <v>-6.1999999999942268E-2</v>
      </c>
      <c r="W275" s="12">
        <f t="shared" si="460"/>
        <v>2.8969999999998386</v>
      </c>
      <c r="X275" s="12">
        <f t="shared" si="460"/>
        <v>-9.7129999999999779</v>
      </c>
      <c r="Y275" s="12">
        <f t="shared" si="460"/>
        <v>4.4119999999999813</v>
      </c>
      <c r="Z275" s="12">
        <f t="shared" si="460"/>
        <v>32.584000000000032</v>
      </c>
      <c r="AA275" s="12">
        <f t="shared" si="460"/>
        <v>31.825000000000006</v>
      </c>
      <c r="AB275" s="12">
        <f t="shared" si="460"/>
        <v>41.449000000000012</v>
      </c>
      <c r="AC275" s="12">
        <f t="shared" si="460"/>
        <v>57.116000000000021</v>
      </c>
      <c r="AD275" s="12">
        <f t="shared" si="460"/>
        <v>3.9919999999999822</v>
      </c>
      <c r="AE275" s="12">
        <f t="shared" si="460"/>
        <v>-7.9940000000000193</v>
      </c>
      <c r="AF275" s="12">
        <f t="shared" si="460"/>
        <v>-27.614000000000001</v>
      </c>
      <c r="AG275" s="12">
        <f t="shared" si="460"/>
        <v>-82.236999999999995</v>
      </c>
      <c r="AH275" s="12">
        <f t="shared" si="460"/>
        <v>151.79899999999995</v>
      </c>
      <c r="AI275" s="12">
        <f t="shared" si="460"/>
        <v>-19.364999999999956</v>
      </c>
      <c r="AJ275" s="12">
        <f t="shared" si="460"/>
        <v>16.594999999999999</v>
      </c>
      <c r="AK275" s="12">
        <f t="shared" si="460"/>
        <v>-32.137000000000008</v>
      </c>
      <c r="AL275" s="12">
        <f t="shared" si="460"/>
        <v>9.7299999999999933</v>
      </c>
      <c r="AM275" s="12">
        <f t="shared" ref="AM275" si="461">SUM(AM271:AM274)</f>
        <v>-60.290000000000013</v>
      </c>
      <c r="AN275" s="12">
        <f t="shared" si="460"/>
        <v>17.015999999999799</v>
      </c>
      <c r="AO275" s="12">
        <f t="shared" si="460"/>
        <v>188.24992723749102</v>
      </c>
      <c r="AP275" s="12">
        <f t="shared" si="460"/>
        <v>157.64646826097422</v>
      </c>
      <c r="AQ275" s="12">
        <f t="shared" si="460"/>
        <v>138.66236471682291</v>
      </c>
      <c r="AR275" s="12">
        <f t="shared" si="460"/>
        <v>110.70414306718298</v>
      </c>
      <c r="AS275" s="12">
        <f t="shared" si="460"/>
        <v>105.58273053693968</v>
      </c>
      <c r="AT275" s="12">
        <f t="shared" si="460"/>
        <v>101.89075943455369</v>
      </c>
      <c r="AU275" s="12">
        <f t="shared" si="460"/>
        <v>98.463122718112075</v>
      </c>
      <c r="AV275" s="12">
        <f t="shared" si="460"/>
        <v>90.042553882551076</v>
      </c>
      <c r="AW275" s="12">
        <f t="shared" si="460"/>
        <v>94.102887552308985</v>
      </c>
      <c r="AX275" s="12">
        <f t="shared" si="460"/>
        <v>112.95191695077629</v>
      </c>
      <c r="AY275" s="12">
        <f t="shared" si="460"/>
        <v>104.79355459679822</v>
      </c>
      <c r="BG275" s="4">
        <v>269</v>
      </c>
      <c r="BH275"/>
      <c r="BI275"/>
      <c r="BJ275"/>
      <c r="BK275"/>
      <c r="BL275"/>
      <c r="BM275"/>
    </row>
    <row r="276" spans="1:65" s="3" customFormat="1" ht="11.25" outlineLevel="2">
      <c r="A276" s="2"/>
      <c r="C276" s="12"/>
      <c r="D276" s="12"/>
      <c r="E276" s="12"/>
      <c r="F276" s="12"/>
      <c r="G276" s="12"/>
      <c r="H276" s="12"/>
      <c r="I276" s="12"/>
      <c r="J276" s="12"/>
      <c r="K276" s="12"/>
      <c r="L276" s="12"/>
      <c r="M276" s="12"/>
      <c r="N276" s="12"/>
      <c r="P276" s="7"/>
      <c r="Q276" s="7"/>
      <c r="R276" s="7"/>
      <c r="S276" s="7"/>
      <c r="T276" s="12"/>
      <c r="U276" s="12"/>
      <c r="V276" s="12"/>
      <c r="W276" s="12"/>
      <c r="X276" s="12"/>
      <c r="Y276" s="12"/>
      <c r="Z276" s="12"/>
      <c r="AA276" s="12"/>
      <c r="AB276" s="12"/>
      <c r="AC276" s="12"/>
      <c r="AD276" s="12"/>
      <c r="AE276" s="12"/>
      <c r="AF276" s="12"/>
      <c r="AG276" s="12"/>
      <c r="AH276" s="12"/>
      <c r="AI276" s="12"/>
      <c r="AJ276" s="12"/>
      <c r="AK276" s="12"/>
      <c r="AL276" s="12"/>
      <c r="AM276" s="12"/>
      <c r="BG276" s="4">
        <v>270</v>
      </c>
      <c r="BH276"/>
      <c r="BI276"/>
      <c r="BJ276"/>
      <c r="BK276"/>
      <c r="BL276"/>
      <c r="BM276"/>
    </row>
    <row r="277" spans="1:65" s="3" customFormat="1" ht="11.25" outlineLevel="1">
      <c r="A277" s="2"/>
      <c r="B277" s="113" t="s">
        <v>152</v>
      </c>
      <c r="C277" s="12"/>
      <c r="D277" s="12"/>
      <c r="E277" s="12"/>
      <c r="F277" s="12"/>
      <c r="G277" s="12"/>
      <c r="H277" s="12"/>
      <c r="I277" s="12"/>
      <c r="J277" s="12"/>
      <c r="K277" s="12"/>
      <c r="L277" s="12"/>
      <c r="M277" s="12"/>
      <c r="N277" s="12"/>
      <c r="P277" s="7"/>
      <c r="Q277" s="7"/>
      <c r="R277" s="7"/>
      <c r="S277" s="7"/>
      <c r="T277" s="12"/>
      <c r="U277" s="12"/>
      <c r="V277" s="12"/>
      <c r="W277" s="12"/>
      <c r="X277" s="12"/>
      <c r="Y277" s="12"/>
      <c r="Z277" s="12"/>
      <c r="AA277" s="12"/>
      <c r="AB277" s="12"/>
      <c r="AC277" s="12"/>
      <c r="AD277" s="12"/>
      <c r="AE277" s="12"/>
      <c r="AF277" s="12"/>
      <c r="AG277" s="12"/>
      <c r="AH277" s="12"/>
      <c r="AI277" s="12"/>
      <c r="AJ277" s="12"/>
      <c r="AK277" s="12"/>
      <c r="AL277" s="12"/>
      <c r="AM277" s="12"/>
      <c r="BG277" s="4">
        <v>271</v>
      </c>
      <c r="BH277"/>
      <c r="BI277"/>
      <c r="BJ277"/>
      <c r="BK277"/>
      <c r="BL277"/>
      <c r="BM277"/>
    </row>
    <row r="278" spans="1:65" s="3" customFormat="1" ht="11.25" outlineLevel="2">
      <c r="A278" s="2"/>
      <c r="B278" s="3" t="s">
        <v>151</v>
      </c>
      <c r="C278" s="23"/>
      <c r="D278" s="23"/>
      <c r="E278" s="23"/>
      <c r="F278" s="81">
        <v>27.562000000000001</v>
      </c>
      <c r="G278" s="81">
        <v>35.917000000000002</v>
      </c>
      <c r="H278" s="12">
        <f t="shared" ref="H278:N280" si="462">SUMIF($P$4:$AZ$4,H$4,$P278:$AZ278)</f>
        <v>54.11099999999999</v>
      </c>
      <c r="I278" s="12">
        <f t="shared" si="462"/>
        <v>62.218000000000004</v>
      </c>
      <c r="J278" s="12">
        <f t="shared" si="462"/>
        <v>67.614000000000004</v>
      </c>
      <c r="K278" s="12">
        <f t="shared" si="462"/>
        <v>71.397000000000006</v>
      </c>
      <c r="L278" s="12">
        <f t="shared" si="462"/>
        <v>156.6704956628308</v>
      </c>
      <c r="M278" s="12">
        <f t="shared" si="462"/>
        <v>236.63290879659559</v>
      </c>
      <c r="N278" s="12">
        <f t="shared" si="462"/>
        <v>227.02006590986417</v>
      </c>
      <c r="P278" s="7"/>
      <c r="Q278" s="7"/>
      <c r="R278" s="7"/>
      <c r="S278" s="7"/>
      <c r="T278" s="81">
        <v>7.3010000000000002</v>
      </c>
      <c r="U278" s="81">
        <f>15.488-T278</f>
        <v>8.1869999999999994</v>
      </c>
      <c r="V278" s="81">
        <f>24.414-U278-T278</f>
        <v>8.9260000000000037</v>
      </c>
      <c r="W278" s="12">
        <f>+G278-SUM(T278:V278)</f>
        <v>11.503</v>
      </c>
      <c r="X278" s="81">
        <v>11.602</v>
      </c>
      <c r="Y278" s="81">
        <f>24.861-X278</f>
        <v>13.259</v>
      </c>
      <c r="Z278" s="81">
        <f>38.827-Y278-X278</f>
        <v>13.965999999999998</v>
      </c>
      <c r="AA278" s="81">
        <f>54.111-Z278-Y278-X278</f>
        <v>15.283999999999995</v>
      </c>
      <c r="AB278" s="81">
        <v>14.92</v>
      </c>
      <c r="AC278" s="81">
        <f>30.231-AB278</f>
        <v>15.311000000000002</v>
      </c>
      <c r="AD278" s="81">
        <f>44.355-AC278-AB278</f>
        <v>14.123999999999997</v>
      </c>
      <c r="AE278" s="81">
        <f>62.218-AD278-AC278-AB278</f>
        <v>17.863000000000007</v>
      </c>
      <c r="AF278" s="81">
        <v>17.451000000000001</v>
      </c>
      <c r="AG278" s="81">
        <f>34.284-AF278</f>
        <v>16.832999999999998</v>
      </c>
      <c r="AH278" s="81">
        <f>50.891-AG278-AF278</f>
        <v>16.606999999999999</v>
      </c>
      <c r="AI278" s="81">
        <f>67.614-AH278-AG278-AF278</f>
        <v>16.723000000000006</v>
      </c>
      <c r="AJ278" s="81">
        <v>17.53</v>
      </c>
      <c r="AK278" s="81">
        <f>35.508-AJ278</f>
        <v>17.978000000000002</v>
      </c>
      <c r="AL278" s="81">
        <f>53.638-AK278-AJ278</f>
        <v>18.129999999999995</v>
      </c>
      <c r="AM278" s="81">
        <f>71.397-AL278-AK278-AJ278</f>
        <v>17.759000000000007</v>
      </c>
      <c r="AN278" s="12">
        <f t="shared" ref="AN278:AY278" si="463">AN437</f>
        <v>16.870345706586328</v>
      </c>
      <c r="AO278" s="12">
        <f t="shared" si="463"/>
        <v>17.335323731056967</v>
      </c>
      <c r="AP278" s="12">
        <f t="shared" si="463"/>
        <v>61.717262448044174</v>
      </c>
      <c r="AQ278" s="12">
        <f t="shared" si="463"/>
        <v>60.747563777143348</v>
      </c>
      <c r="AR278" s="12">
        <f t="shared" si="463"/>
        <v>60.09979695632191</v>
      </c>
      <c r="AS278" s="12">
        <f t="shared" si="463"/>
        <v>59.46417576339087</v>
      </c>
      <c r="AT278" s="12">
        <f t="shared" si="463"/>
        <v>58.840472467827283</v>
      </c>
      <c r="AU278" s="12">
        <f t="shared" si="463"/>
        <v>58.228463609055517</v>
      </c>
      <c r="AV278" s="12">
        <f t="shared" si="463"/>
        <v>57.627929916385717</v>
      </c>
      <c r="AW278" s="12">
        <f t="shared" si="463"/>
        <v>57.038656230453491</v>
      </c>
      <c r="AX278" s="12">
        <f t="shared" si="463"/>
        <v>56.46043142613248</v>
      </c>
      <c r="AY278" s="12">
        <f t="shared" si="463"/>
        <v>55.893048336892498</v>
      </c>
      <c r="BG278" s="4">
        <v>272</v>
      </c>
      <c r="BH278"/>
      <c r="BI278"/>
      <c r="BJ278"/>
      <c r="BK278"/>
      <c r="BL278"/>
      <c r="BM278"/>
    </row>
    <row r="279" spans="1:65" s="3" customFormat="1" ht="11.25" outlineLevel="2">
      <c r="A279" s="2"/>
      <c r="B279" s="3" t="s">
        <v>150</v>
      </c>
      <c r="C279" s="23"/>
      <c r="D279" s="23"/>
      <c r="E279" s="23"/>
      <c r="F279" s="81">
        <v>0</v>
      </c>
      <c r="G279" s="81">
        <v>8.4</v>
      </c>
      <c r="H279" s="12">
        <f t="shared" si="462"/>
        <v>11.990999999999998</v>
      </c>
      <c r="I279" s="12">
        <f t="shared" si="462"/>
        <v>11.416</v>
      </c>
      <c r="J279" s="12">
        <f t="shared" si="462"/>
        <v>11.640999999999998</v>
      </c>
      <c r="K279" s="12">
        <f t="shared" si="462"/>
        <v>12.784000000000001</v>
      </c>
      <c r="L279" s="12">
        <f t="shared" si="462"/>
        <v>13.104000000000006</v>
      </c>
      <c r="M279" s="12">
        <f t="shared" si="462"/>
        <v>13.104000000000006</v>
      </c>
      <c r="N279" s="12">
        <f t="shared" si="462"/>
        <v>13.104000000000006</v>
      </c>
      <c r="P279" s="7"/>
      <c r="Q279" s="7"/>
      <c r="R279" s="7"/>
      <c r="S279" s="7"/>
      <c r="T279" s="81">
        <v>1.6759999999999999</v>
      </c>
      <c r="U279" s="81">
        <v>1.7270000000000001</v>
      </c>
      <c r="V279" s="81">
        <f>0.096+4.627+0.098-U279-T279</f>
        <v>1.4179999999999995</v>
      </c>
      <c r="W279" s="12">
        <f>+G279-SUM(T279:V279)</f>
        <v>3.5790000000000006</v>
      </c>
      <c r="X279" s="81">
        <v>2.9510000000000001</v>
      </c>
      <c r="Y279" s="81">
        <v>2.9470000000000001</v>
      </c>
      <c r="Z279" s="81">
        <v>2.91</v>
      </c>
      <c r="AA279" s="81">
        <v>3.1829999999999981</v>
      </c>
      <c r="AB279" s="81">
        <v>2.9929999999999999</v>
      </c>
      <c r="AC279" s="81">
        <f>5.65-AB279</f>
        <v>2.6570000000000005</v>
      </c>
      <c r="AD279" s="81">
        <f>8.586-AC279-AB279</f>
        <v>2.9360000000000004</v>
      </c>
      <c r="AE279" s="81">
        <f>11.416-AD279-AC279-AB279</f>
        <v>2.8300000000000005</v>
      </c>
      <c r="AF279" s="81">
        <v>2.827</v>
      </c>
      <c r="AG279" s="81">
        <f>5.745-AF279</f>
        <v>2.9180000000000001</v>
      </c>
      <c r="AH279" s="81">
        <f>8.471-AG279-AF279</f>
        <v>2.726</v>
      </c>
      <c r="AI279" s="81">
        <f>11.641-AH279-AG279-AF279</f>
        <v>3.169999999999999</v>
      </c>
      <c r="AJ279" s="81">
        <v>3.13</v>
      </c>
      <c r="AK279" s="81">
        <f>6.305-AJ279</f>
        <v>3.1749999999999998</v>
      </c>
      <c r="AL279" s="81">
        <f>9.508-AK279-AJ279</f>
        <v>3.2029999999999994</v>
      </c>
      <c r="AM279" s="81">
        <f>12.784-AL279-AK279-AJ279</f>
        <v>3.2760000000000016</v>
      </c>
      <c r="AN279" s="12">
        <f t="shared" ref="AN279:AY279" si="464">AN448</f>
        <v>3.2760000000000016</v>
      </c>
      <c r="AO279" s="12">
        <f t="shared" si="464"/>
        <v>3.2760000000000016</v>
      </c>
      <c r="AP279" s="12">
        <f t="shared" si="464"/>
        <v>3.2760000000000016</v>
      </c>
      <c r="AQ279" s="12">
        <f t="shared" si="464"/>
        <v>3.2760000000000016</v>
      </c>
      <c r="AR279" s="12">
        <f t="shared" si="464"/>
        <v>3.2760000000000016</v>
      </c>
      <c r="AS279" s="12">
        <f t="shared" si="464"/>
        <v>3.2760000000000016</v>
      </c>
      <c r="AT279" s="12">
        <f t="shared" si="464"/>
        <v>3.2760000000000016</v>
      </c>
      <c r="AU279" s="12">
        <f t="shared" si="464"/>
        <v>3.2760000000000016</v>
      </c>
      <c r="AV279" s="12">
        <f t="shared" si="464"/>
        <v>3.2760000000000016</v>
      </c>
      <c r="AW279" s="12">
        <f t="shared" si="464"/>
        <v>3.2760000000000016</v>
      </c>
      <c r="AX279" s="12">
        <f t="shared" si="464"/>
        <v>3.2760000000000016</v>
      </c>
      <c r="AY279" s="12">
        <f t="shared" si="464"/>
        <v>3.2760000000000016</v>
      </c>
      <c r="BG279" s="4">
        <v>273</v>
      </c>
      <c r="BH279"/>
      <c r="BI279"/>
      <c r="BJ279"/>
      <c r="BK279"/>
      <c r="BL279"/>
      <c r="BM279"/>
    </row>
    <row r="280" spans="1:65" s="3" customFormat="1" ht="11.25" outlineLevel="2">
      <c r="A280" s="2"/>
      <c r="B280" s="3" t="s">
        <v>149</v>
      </c>
      <c r="C280" s="7"/>
      <c r="D280" s="7"/>
      <c r="E280" s="7"/>
      <c r="F280" s="7">
        <f>SUM(F278:F279)</f>
        <v>27.562000000000001</v>
      </c>
      <c r="G280" s="12">
        <f>SUM(G278:G279)</f>
        <v>44.317</v>
      </c>
      <c r="H280" s="12">
        <f t="shared" si="462"/>
        <v>66.10199999999999</v>
      </c>
      <c r="I280" s="12">
        <f t="shared" si="462"/>
        <v>73.634000000000015</v>
      </c>
      <c r="J280" s="12">
        <f t="shared" si="462"/>
        <v>79.254999999999995</v>
      </c>
      <c r="K280" s="12">
        <f t="shared" si="462"/>
        <v>84.181000000000012</v>
      </c>
      <c r="L280" s="12">
        <f t="shared" si="462"/>
        <v>169.77449566283082</v>
      </c>
      <c r="M280" s="12">
        <f t="shared" si="462"/>
        <v>249.73690879659557</v>
      </c>
      <c r="N280" s="12">
        <f t="shared" si="462"/>
        <v>240.12406590986421</v>
      </c>
      <c r="P280" s="7"/>
      <c r="Q280" s="7"/>
      <c r="R280" s="7"/>
      <c r="S280" s="7"/>
      <c r="T280" s="12">
        <f>SUM(T278:T279)</f>
        <v>8.9770000000000003</v>
      </c>
      <c r="U280" s="12">
        <f>SUM(U278:U279)</f>
        <v>9.9139999999999997</v>
      </c>
      <c r="V280" s="12">
        <f>SUM(V278:V279)</f>
        <v>10.344000000000003</v>
      </c>
      <c r="W280" s="12">
        <f>+G280-SUM(T280:V280)</f>
        <v>15.082000000000001</v>
      </c>
      <c r="X280" s="12">
        <f t="shared" ref="X280:AY280" si="465">SUM(X278:X279)</f>
        <v>14.553000000000001</v>
      </c>
      <c r="Y280" s="12">
        <f t="shared" si="465"/>
        <v>16.206</v>
      </c>
      <c r="Z280" s="12">
        <f t="shared" si="465"/>
        <v>16.875999999999998</v>
      </c>
      <c r="AA280" s="12">
        <f t="shared" si="465"/>
        <v>18.466999999999992</v>
      </c>
      <c r="AB280" s="12">
        <f t="shared" si="465"/>
        <v>17.913</v>
      </c>
      <c r="AC280" s="12">
        <f t="shared" si="465"/>
        <v>17.968000000000004</v>
      </c>
      <c r="AD280" s="12">
        <f t="shared" si="465"/>
        <v>17.059999999999999</v>
      </c>
      <c r="AE280" s="12">
        <f t="shared" si="465"/>
        <v>20.693000000000008</v>
      </c>
      <c r="AF280" s="12">
        <f t="shared" si="465"/>
        <v>20.277999999999999</v>
      </c>
      <c r="AG280" s="12">
        <f t="shared" si="465"/>
        <v>19.750999999999998</v>
      </c>
      <c r="AH280" s="12">
        <f t="shared" si="465"/>
        <v>19.332999999999998</v>
      </c>
      <c r="AI280" s="12">
        <f t="shared" si="465"/>
        <v>19.893000000000004</v>
      </c>
      <c r="AJ280" s="12">
        <f t="shared" si="465"/>
        <v>20.66</v>
      </c>
      <c r="AK280" s="12">
        <f t="shared" si="465"/>
        <v>21.153000000000002</v>
      </c>
      <c r="AL280" s="12">
        <f t="shared" si="465"/>
        <v>21.332999999999995</v>
      </c>
      <c r="AM280" s="12">
        <f t="shared" si="465"/>
        <v>21.035000000000011</v>
      </c>
      <c r="AN280" s="12">
        <f t="shared" si="465"/>
        <v>20.146345706586331</v>
      </c>
      <c r="AO280" s="12">
        <f t="shared" si="465"/>
        <v>20.61132373105697</v>
      </c>
      <c r="AP280" s="12">
        <f t="shared" si="465"/>
        <v>64.993262448044177</v>
      </c>
      <c r="AQ280" s="12">
        <f t="shared" si="465"/>
        <v>64.023563777143352</v>
      </c>
      <c r="AR280" s="12">
        <f t="shared" si="465"/>
        <v>63.375796956321913</v>
      </c>
      <c r="AS280" s="12">
        <f t="shared" si="465"/>
        <v>62.740175763390873</v>
      </c>
      <c r="AT280" s="12">
        <f t="shared" si="465"/>
        <v>62.116472467827286</v>
      </c>
      <c r="AU280" s="12">
        <f t="shared" si="465"/>
        <v>61.50446360905552</v>
      </c>
      <c r="AV280" s="12">
        <f t="shared" si="465"/>
        <v>60.903929916385721</v>
      </c>
      <c r="AW280" s="12">
        <f t="shared" si="465"/>
        <v>60.314656230453494</v>
      </c>
      <c r="AX280" s="12">
        <f t="shared" si="465"/>
        <v>59.736431426132484</v>
      </c>
      <c r="AY280" s="12">
        <f t="shared" si="465"/>
        <v>59.169048336892502</v>
      </c>
      <c r="BG280" s="4">
        <v>274</v>
      </c>
      <c r="BH280"/>
      <c r="BI280"/>
      <c r="BJ280"/>
      <c r="BK280"/>
      <c r="BL280"/>
      <c r="BM280"/>
    </row>
    <row r="281" spans="1:65" s="3" customFormat="1" ht="11.25" outlineLevel="1">
      <c r="A281" s="2"/>
      <c r="P281" s="5"/>
      <c r="Q281" s="5"/>
      <c r="R281" s="5"/>
      <c r="S281" s="5"/>
      <c r="T281" s="12"/>
      <c r="U281" s="12"/>
      <c r="X281" s="12"/>
      <c r="Y281" s="12"/>
      <c r="Z281" s="12"/>
      <c r="BG281" s="4">
        <v>275</v>
      </c>
      <c r="BH281"/>
      <c r="BI281"/>
      <c r="BJ281"/>
      <c r="BK281"/>
      <c r="BL281"/>
      <c r="BM281"/>
    </row>
    <row r="282" spans="1:65" s="3" customFormat="1" ht="11.25">
      <c r="A282" s="2" t="s">
        <v>0</v>
      </c>
      <c r="B282" s="112" t="s">
        <v>148</v>
      </c>
      <c r="P282" s="5"/>
      <c r="Q282" s="5"/>
      <c r="R282" s="5"/>
      <c r="S282" s="5"/>
      <c r="BG282" s="4">
        <v>276</v>
      </c>
      <c r="BH282"/>
      <c r="BI282"/>
      <c r="BJ282"/>
      <c r="BK282"/>
      <c r="BL282"/>
      <c r="BM282"/>
    </row>
    <row r="283" spans="1:65" s="3" customFormat="1" ht="11.25" outlineLevel="1">
      <c r="A283" s="2"/>
      <c r="B283" s="111" t="s">
        <v>147</v>
      </c>
      <c r="C283" s="86">
        <f t="shared" ref="C283:N283" si="466">C$7</f>
        <v>2009</v>
      </c>
      <c r="D283" s="86">
        <f t="shared" si="466"/>
        <v>2010</v>
      </c>
      <c r="E283" s="86">
        <f t="shared" si="466"/>
        <v>2011</v>
      </c>
      <c r="F283" s="86">
        <f t="shared" si="466"/>
        <v>2012</v>
      </c>
      <c r="G283" s="86">
        <f t="shared" si="466"/>
        <v>2013</v>
      </c>
      <c r="H283" s="86">
        <f t="shared" si="466"/>
        <v>2014</v>
      </c>
      <c r="I283" s="86">
        <f t="shared" si="466"/>
        <v>2015</v>
      </c>
      <c r="J283" s="86">
        <f t="shared" si="466"/>
        <v>2016</v>
      </c>
      <c r="K283" s="86">
        <f t="shared" si="466"/>
        <v>2017</v>
      </c>
      <c r="L283" s="86" t="str">
        <f t="shared" si="466"/>
        <v>2018E</v>
      </c>
      <c r="M283" s="86" t="str">
        <f t="shared" si="466"/>
        <v>2019E</v>
      </c>
      <c r="N283" s="86" t="str">
        <f t="shared" si="466"/>
        <v>2020E</v>
      </c>
      <c r="P283" s="87" t="str">
        <f t="shared" ref="P283:AY283" si="467">P$7</f>
        <v>1Q12</v>
      </c>
      <c r="Q283" s="87" t="str">
        <f t="shared" si="467"/>
        <v>2Q12</v>
      </c>
      <c r="R283" s="87" t="str">
        <f t="shared" si="467"/>
        <v>3Q12</v>
      </c>
      <c r="S283" s="87" t="str">
        <f t="shared" si="467"/>
        <v>4Q12</v>
      </c>
      <c r="T283" s="86" t="str">
        <f t="shared" si="467"/>
        <v>1Q13</v>
      </c>
      <c r="U283" s="86" t="str">
        <f t="shared" si="467"/>
        <v>2Q13</v>
      </c>
      <c r="V283" s="86" t="str">
        <f t="shared" si="467"/>
        <v>3Q13</v>
      </c>
      <c r="W283" s="86" t="str">
        <f t="shared" si="467"/>
        <v>4Q13</v>
      </c>
      <c r="X283" s="86" t="str">
        <f t="shared" si="467"/>
        <v>1Q14</v>
      </c>
      <c r="Y283" s="86" t="str">
        <f t="shared" si="467"/>
        <v>2Q14</v>
      </c>
      <c r="Z283" s="86" t="str">
        <f t="shared" si="467"/>
        <v>3Q14</v>
      </c>
      <c r="AA283" s="86" t="str">
        <f t="shared" si="467"/>
        <v>4Q14</v>
      </c>
      <c r="AB283" s="86" t="str">
        <f t="shared" si="467"/>
        <v>1Q15</v>
      </c>
      <c r="AC283" s="86" t="str">
        <f t="shared" si="467"/>
        <v>2Q15</v>
      </c>
      <c r="AD283" s="86" t="str">
        <f t="shared" si="467"/>
        <v>3Q15</v>
      </c>
      <c r="AE283" s="86" t="str">
        <f t="shared" si="467"/>
        <v>4Q15</v>
      </c>
      <c r="AF283" s="86" t="str">
        <f t="shared" si="467"/>
        <v>1Q16</v>
      </c>
      <c r="AG283" s="86" t="str">
        <f t="shared" si="467"/>
        <v>2Q16</v>
      </c>
      <c r="AH283" s="86" t="str">
        <f t="shared" si="467"/>
        <v>3Q16</v>
      </c>
      <c r="AI283" s="86" t="str">
        <f t="shared" si="467"/>
        <v>4Q16</v>
      </c>
      <c r="AJ283" s="86" t="str">
        <f t="shared" si="467"/>
        <v>1Q17</v>
      </c>
      <c r="AK283" s="86" t="str">
        <f t="shared" si="467"/>
        <v>2Q17</v>
      </c>
      <c r="AL283" s="86" t="str">
        <f t="shared" si="467"/>
        <v>3Q17</v>
      </c>
      <c r="AM283" s="86" t="str">
        <f t="shared" si="467"/>
        <v>4Q17</v>
      </c>
      <c r="AN283" s="86" t="str">
        <f t="shared" si="467"/>
        <v>1Q18E</v>
      </c>
      <c r="AO283" s="86" t="str">
        <f t="shared" si="467"/>
        <v>2Q18E</v>
      </c>
      <c r="AP283" s="86" t="str">
        <f t="shared" si="467"/>
        <v>3Q18E</v>
      </c>
      <c r="AQ283" s="86" t="str">
        <f t="shared" si="467"/>
        <v>4Q18E</v>
      </c>
      <c r="AR283" s="86" t="str">
        <f t="shared" si="467"/>
        <v>1Q19E</v>
      </c>
      <c r="AS283" s="86" t="str">
        <f t="shared" si="467"/>
        <v>2Q19E</v>
      </c>
      <c r="AT283" s="86" t="str">
        <f t="shared" si="467"/>
        <v>3Q19E</v>
      </c>
      <c r="AU283" s="86" t="str">
        <f t="shared" si="467"/>
        <v>4Q19E</v>
      </c>
      <c r="AV283" s="86" t="str">
        <f t="shared" si="467"/>
        <v>1Q20E</v>
      </c>
      <c r="AW283" s="86" t="str">
        <f t="shared" si="467"/>
        <v>2Q20E</v>
      </c>
      <c r="AX283" s="86" t="str">
        <f t="shared" si="467"/>
        <v>3Q20E</v>
      </c>
      <c r="AY283" s="86" t="str">
        <f t="shared" si="467"/>
        <v>4Q20E</v>
      </c>
      <c r="BG283" s="4">
        <v>277</v>
      </c>
      <c r="BH283"/>
      <c r="BI283"/>
      <c r="BJ283"/>
      <c r="BK283"/>
      <c r="BL283"/>
      <c r="BM283"/>
    </row>
    <row r="284" spans="1:65" s="3" customFormat="1" ht="11.25" outlineLevel="1">
      <c r="A284" s="2"/>
      <c r="B284" s="110" t="s">
        <v>146</v>
      </c>
      <c r="C284" s="12"/>
      <c r="D284" s="12"/>
      <c r="E284" s="12"/>
      <c r="F284" s="12"/>
      <c r="G284" s="12"/>
      <c r="H284" s="12"/>
      <c r="I284" s="12"/>
      <c r="J284" s="12"/>
      <c r="K284" s="12"/>
      <c r="L284" s="12"/>
      <c r="M284" s="12"/>
      <c r="N284" s="12"/>
      <c r="O284" s="12"/>
      <c r="P284" s="7"/>
      <c r="Q284" s="7"/>
      <c r="R284" s="7"/>
      <c r="S284" s="7"/>
      <c r="T284" s="12"/>
      <c r="U284" s="12"/>
      <c r="V284" s="12"/>
      <c r="W284" s="12"/>
      <c r="X284" s="12"/>
      <c r="Y284" s="12"/>
      <c r="Z284" s="12"/>
      <c r="AA284" s="12"/>
      <c r="AB284" s="12"/>
      <c r="AC284" s="12"/>
      <c r="AD284" s="12"/>
      <c r="AE284" s="12"/>
      <c r="AF284" s="12"/>
      <c r="AG284" s="12"/>
      <c r="AH284" s="12"/>
      <c r="AI284" s="12"/>
      <c r="AJ284" s="12"/>
      <c r="AK284" s="12"/>
      <c r="AL284" s="12"/>
      <c r="AM284" s="12"/>
      <c r="BG284" s="4">
        <v>278</v>
      </c>
      <c r="BH284"/>
      <c r="BI284"/>
      <c r="BJ284"/>
      <c r="BK284"/>
      <c r="BL284"/>
      <c r="BM284"/>
    </row>
    <row r="285" spans="1:65" s="3" customFormat="1" ht="11.25" outlineLevel="1">
      <c r="A285" s="2"/>
      <c r="B285" s="34" t="s">
        <v>145</v>
      </c>
      <c r="C285" s="12">
        <v>3.8410000000000002</v>
      </c>
      <c r="D285" s="12">
        <v>38.787999999999997</v>
      </c>
      <c r="E285" s="12">
        <v>51.765000000000001</v>
      </c>
      <c r="F285" s="12">
        <v>11.866</v>
      </c>
      <c r="G285" s="12">
        <v>17.815000000000001</v>
      </c>
      <c r="H285" s="12">
        <f t="shared" ref="H285:N289" si="468">INDEX($P285:$AZ285,1,MATCH(H$5,$P$5:$AZ$5,0))</f>
        <v>76.923000000000002</v>
      </c>
      <c r="I285" s="12">
        <f t="shared" si="468"/>
        <v>171.48599999999999</v>
      </c>
      <c r="J285" s="12">
        <f t="shared" si="468"/>
        <v>194.06900000000005</v>
      </c>
      <c r="K285" s="12">
        <f t="shared" si="468"/>
        <v>127.967</v>
      </c>
      <c r="L285" s="12">
        <f t="shared" si="468"/>
        <v>629.54176021528792</v>
      </c>
      <c r="M285" s="12">
        <f t="shared" si="468"/>
        <v>1046.1825159720763</v>
      </c>
      <c r="N285" s="12">
        <f t="shared" si="468"/>
        <v>1448.073428954511</v>
      </c>
      <c r="O285" s="12"/>
      <c r="P285" s="7"/>
      <c r="Q285" s="7"/>
      <c r="R285" s="7"/>
      <c r="S285" s="7"/>
      <c r="T285" s="12"/>
      <c r="U285" s="81">
        <v>14.933999999999999</v>
      </c>
      <c r="V285" s="81">
        <v>14.872</v>
      </c>
      <c r="W285" s="81">
        <v>17.815000000000001</v>
      </c>
      <c r="X285" s="81">
        <v>8.1020000000000003</v>
      </c>
      <c r="Y285" s="81">
        <v>12.513999999999999</v>
      </c>
      <c r="Z285" s="81">
        <v>45.097999999999999</v>
      </c>
      <c r="AA285" s="81">
        <v>76.923000000000002</v>
      </c>
      <c r="AB285" s="81">
        <v>118.372</v>
      </c>
      <c r="AC285" s="81">
        <v>175.488</v>
      </c>
      <c r="AD285" s="81">
        <v>179.48</v>
      </c>
      <c r="AE285" s="81">
        <v>171.48599999999999</v>
      </c>
      <c r="AF285" s="81">
        <v>143.87200000000001</v>
      </c>
      <c r="AG285" s="81">
        <v>61.634999999999998</v>
      </c>
      <c r="AH285" s="81">
        <v>213.434</v>
      </c>
      <c r="AI285" s="81">
        <f>AH285+AI268</f>
        <v>194.06900000000005</v>
      </c>
      <c r="AJ285" s="81">
        <v>210.66399999999999</v>
      </c>
      <c r="AK285" s="81">
        <v>178.52699999999999</v>
      </c>
      <c r="AL285" s="81">
        <v>188.25700000000001</v>
      </c>
      <c r="AM285" s="81">
        <v>127.967</v>
      </c>
      <c r="AN285" s="7">
        <f t="shared" ref="AN285:AY285" si="469">AM285+AN268</f>
        <v>144.98299999999981</v>
      </c>
      <c r="AO285" s="7">
        <f t="shared" si="469"/>
        <v>333.2329272374908</v>
      </c>
      <c r="AP285" s="7">
        <f t="shared" si="469"/>
        <v>490.87939549846499</v>
      </c>
      <c r="AQ285" s="7">
        <f t="shared" si="469"/>
        <v>629.54176021528792</v>
      </c>
      <c r="AR285" s="7">
        <f t="shared" si="469"/>
        <v>740.24590328247086</v>
      </c>
      <c r="AS285" s="7">
        <f t="shared" si="469"/>
        <v>845.82863381941058</v>
      </c>
      <c r="AT285" s="7">
        <f t="shared" si="469"/>
        <v>947.71939325396431</v>
      </c>
      <c r="AU285" s="7">
        <f t="shared" si="469"/>
        <v>1046.1825159720763</v>
      </c>
      <c r="AV285" s="7">
        <f t="shared" si="469"/>
        <v>1136.2250698546275</v>
      </c>
      <c r="AW285" s="7">
        <f t="shared" si="469"/>
        <v>1230.3279574069365</v>
      </c>
      <c r="AX285" s="7">
        <f t="shared" si="469"/>
        <v>1343.2798743577127</v>
      </c>
      <c r="AY285" s="7">
        <f t="shared" si="469"/>
        <v>1448.073428954511</v>
      </c>
      <c r="BG285" s="4">
        <v>279</v>
      </c>
      <c r="BH285"/>
      <c r="BI285"/>
      <c r="BJ285"/>
      <c r="BK285"/>
      <c r="BL285"/>
      <c r="BM285"/>
    </row>
    <row r="286" spans="1:65" s="3" customFormat="1" ht="11.25" outlineLevel="1">
      <c r="A286" s="2"/>
      <c r="B286" s="34" t="s">
        <v>15</v>
      </c>
      <c r="C286" s="12"/>
      <c r="D286" s="12"/>
      <c r="E286" s="12"/>
      <c r="F286" s="12">
        <v>123.38800000000001</v>
      </c>
      <c r="G286" s="12">
        <v>146.851</v>
      </c>
      <c r="H286" s="12">
        <f t="shared" si="468"/>
        <v>206.09399999999999</v>
      </c>
      <c r="I286" s="12">
        <f t="shared" si="468"/>
        <v>73.566000000000003</v>
      </c>
      <c r="J286" s="12">
        <f t="shared" si="468"/>
        <v>78.941999999999993</v>
      </c>
      <c r="K286" s="12">
        <f t="shared" si="468"/>
        <v>156.916</v>
      </c>
      <c r="L286" s="12">
        <f t="shared" si="468"/>
        <v>398.50065793318566</v>
      </c>
      <c r="M286" s="12">
        <f t="shared" si="468"/>
        <v>377.69471539419834</v>
      </c>
      <c r="N286" s="12">
        <f t="shared" si="468"/>
        <v>379.45399478680395</v>
      </c>
      <c r="O286" s="12"/>
      <c r="P286" s="7"/>
      <c r="Q286" s="7"/>
      <c r="R286" s="7"/>
      <c r="S286" s="7"/>
      <c r="T286" s="12"/>
      <c r="U286" s="81"/>
      <c r="V286" s="12"/>
      <c r="W286" s="81">
        <v>146.851</v>
      </c>
      <c r="X286" s="81">
        <v>191.17699999999999</v>
      </c>
      <c r="Y286" s="81">
        <v>209.76599999999999</v>
      </c>
      <c r="Z286" s="81">
        <v>234.09800000000001</v>
      </c>
      <c r="AA286" s="81">
        <v>206.09399999999999</v>
      </c>
      <c r="AB286" s="81">
        <v>177.44399999999999</v>
      </c>
      <c r="AC286" s="81">
        <v>122.038</v>
      </c>
      <c r="AD286" s="81">
        <v>87.866</v>
      </c>
      <c r="AE286" s="81">
        <v>73.566000000000003</v>
      </c>
      <c r="AF286" s="81">
        <v>82.619</v>
      </c>
      <c r="AG286" s="81">
        <v>63.93</v>
      </c>
      <c r="AH286" s="81">
        <v>78.798000000000002</v>
      </c>
      <c r="AI286" s="81">
        <v>78.941999999999993</v>
      </c>
      <c r="AJ286" s="81">
        <v>95.344999999999999</v>
      </c>
      <c r="AK286" s="81">
        <v>123.753</v>
      </c>
      <c r="AL286" s="81">
        <v>155.07</v>
      </c>
      <c r="AM286" s="81">
        <v>156.916</v>
      </c>
      <c r="AN286" s="12">
        <f>AN338*AN13/AN334</f>
        <v>162.20498513712849</v>
      </c>
      <c r="AO286" s="106">
        <f>AO338*AO13/AO334+AO458</f>
        <v>403.85051706184532</v>
      </c>
      <c r="AP286" s="12">
        <f t="shared" ref="AP286:AY286" si="470">AP338*AP13/AP334</f>
        <v>400.10131108491021</v>
      </c>
      <c r="AQ286" s="12">
        <f t="shared" si="470"/>
        <v>398.50065793318566</v>
      </c>
      <c r="AR286" s="12">
        <f t="shared" si="470"/>
        <v>394.06865151575687</v>
      </c>
      <c r="AS286" s="12">
        <f t="shared" si="470"/>
        <v>387.02073126352406</v>
      </c>
      <c r="AT286" s="12">
        <f t="shared" si="470"/>
        <v>384.36339335342967</v>
      </c>
      <c r="AU286" s="12">
        <f t="shared" si="470"/>
        <v>377.69471539419834</v>
      </c>
      <c r="AV286" s="12">
        <f t="shared" si="470"/>
        <v>384.35448740003397</v>
      </c>
      <c r="AW286" s="12">
        <f t="shared" si="470"/>
        <v>399.24005044676477</v>
      </c>
      <c r="AX286" s="12">
        <f t="shared" si="470"/>
        <v>391.36846416924652</v>
      </c>
      <c r="AY286" s="12">
        <f t="shared" si="470"/>
        <v>379.45399478680395</v>
      </c>
      <c r="BG286" s="4">
        <v>280</v>
      </c>
      <c r="BH286"/>
      <c r="BI286"/>
      <c r="BJ286"/>
      <c r="BK286"/>
      <c r="BL286"/>
      <c r="BM286"/>
    </row>
    <row r="287" spans="1:65" s="3" customFormat="1" ht="11.25" outlineLevel="1">
      <c r="A287" s="2"/>
      <c r="B287" s="34" t="s">
        <v>14</v>
      </c>
      <c r="C287" s="12"/>
      <c r="D287" s="12"/>
      <c r="E287" s="12"/>
      <c r="F287" s="12">
        <v>91.432000000000002</v>
      </c>
      <c r="G287" s="12">
        <v>118.349</v>
      </c>
      <c r="H287" s="12">
        <f t="shared" si="468"/>
        <v>131.613</v>
      </c>
      <c r="I287" s="12">
        <f t="shared" si="468"/>
        <v>70.494</v>
      </c>
      <c r="J287" s="12">
        <f t="shared" si="468"/>
        <v>52.65</v>
      </c>
      <c r="K287" s="12">
        <f t="shared" si="468"/>
        <v>70.528000000000006</v>
      </c>
      <c r="L287" s="12">
        <f t="shared" si="468"/>
        <v>167.92634608393035</v>
      </c>
      <c r="M287" s="12">
        <f t="shared" si="468"/>
        <v>167.93476560120763</v>
      </c>
      <c r="N287" s="12">
        <f t="shared" si="468"/>
        <v>168.65146552827832</v>
      </c>
      <c r="O287" s="12"/>
      <c r="P287" s="7"/>
      <c r="Q287" s="7"/>
      <c r="R287" s="7"/>
      <c r="S287" s="7"/>
      <c r="T287" s="12"/>
      <c r="U287" s="81"/>
      <c r="V287" s="12"/>
      <c r="W287" s="81">
        <v>118.349</v>
      </c>
      <c r="X287" s="81">
        <v>120.11799999999999</v>
      </c>
      <c r="Y287" s="81">
        <v>127.355</v>
      </c>
      <c r="Z287" s="81">
        <v>130.53</v>
      </c>
      <c r="AA287" s="81">
        <v>131.613</v>
      </c>
      <c r="AB287" s="81">
        <v>115.748</v>
      </c>
      <c r="AC287" s="81">
        <v>90.625</v>
      </c>
      <c r="AD287" s="81">
        <v>75.146000000000001</v>
      </c>
      <c r="AE287" s="81">
        <v>70.494</v>
      </c>
      <c r="AF287" s="81">
        <v>69.391999999999996</v>
      </c>
      <c r="AG287" s="81">
        <v>56.692999999999998</v>
      </c>
      <c r="AH287" s="81">
        <v>53.154000000000003</v>
      </c>
      <c r="AI287" s="81">
        <v>52.65</v>
      </c>
      <c r="AJ287" s="81">
        <v>61.688000000000002</v>
      </c>
      <c r="AK287" s="81">
        <v>60.807000000000002</v>
      </c>
      <c r="AL287" s="81">
        <v>68.304000000000002</v>
      </c>
      <c r="AM287" s="81">
        <v>70.528000000000006</v>
      </c>
      <c r="AN287" s="12">
        <f>AN340*-AN75/AN334</f>
        <v>73.179637812205925</v>
      </c>
      <c r="AO287" s="106">
        <f>AO340*-AO75/AO334+AO459</f>
        <v>227.44499989529521</v>
      </c>
      <c r="AP287" s="12">
        <f t="shared" ref="AP287:AY287" si="471">AP340*-AP75/AP334</f>
        <v>167.65902641037593</v>
      </c>
      <c r="AQ287" s="12">
        <f t="shared" si="471"/>
        <v>167.92634608393035</v>
      </c>
      <c r="AR287" s="12">
        <f t="shared" si="471"/>
        <v>169.79158026076411</v>
      </c>
      <c r="AS287" s="12">
        <f t="shared" si="471"/>
        <v>169.91020464281738</v>
      </c>
      <c r="AT287" s="12">
        <f t="shared" si="471"/>
        <v>168.77212486496867</v>
      </c>
      <c r="AU287" s="12">
        <f t="shared" si="471"/>
        <v>167.93476560120763</v>
      </c>
      <c r="AV287" s="12">
        <f t="shared" si="471"/>
        <v>169.06983420304701</v>
      </c>
      <c r="AW287" s="12">
        <f t="shared" si="471"/>
        <v>173.01632521854307</v>
      </c>
      <c r="AX287" s="12">
        <f t="shared" si="471"/>
        <v>170.68211532164523</v>
      </c>
      <c r="AY287" s="12">
        <f t="shared" si="471"/>
        <v>168.65146552827832</v>
      </c>
      <c r="BG287" s="4">
        <v>281</v>
      </c>
      <c r="BH287"/>
      <c r="BI287"/>
      <c r="BJ287"/>
      <c r="BK287"/>
      <c r="BL287"/>
      <c r="BM287"/>
    </row>
    <row r="288" spans="1:65" s="3" customFormat="1" ht="11.25" outlineLevel="1">
      <c r="A288" s="2"/>
      <c r="B288" s="34" t="s">
        <v>134</v>
      </c>
      <c r="C288" s="12"/>
      <c r="D288" s="12"/>
      <c r="E288" s="12"/>
      <c r="F288" s="12">
        <v>5.3150000000000004</v>
      </c>
      <c r="G288" s="12">
        <v>11.747999999999999</v>
      </c>
      <c r="H288" s="12">
        <f t="shared" si="468"/>
        <v>5.1580000000000004</v>
      </c>
      <c r="I288" s="12">
        <f t="shared" si="468"/>
        <v>0</v>
      </c>
      <c r="J288" s="12">
        <f t="shared" si="468"/>
        <v>0</v>
      </c>
      <c r="K288" s="12">
        <f t="shared" si="468"/>
        <v>0</v>
      </c>
      <c r="L288" s="12">
        <f t="shared" si="468"/>
        <v>0</v>
      </c>
      <c r="M288" s="12">
        <f t="shared" si="468"/>
        <v>0</v>
      </c>
      <c r="N288" s="12">
        <f t="shared" si="468"/>
        <v>0</v>
      </c>
      <c r="O288" s="12"/>
      <c r="P288" s="7"/>
      <c r="Q288" s="7"/>
      <c r="R288" s="7"/>
      <c r="S288" s="7"/>
      <c r="T288" s="12"/>
      <c r="U288" s="81"/>
      <c r="V288" s="12"/>
      <c r="W288" s="81">
        <v>11.747999999999999</v>
      </c>
      <c r="X288" s="81">
        <v>10.807</v>
      </c>
      <c r="Y288" s="81">
        <v>9.3629999999999995</v>
      </c>
      <c r="Z288" s="81">
        <v>12.741</v>
      </c>
      <c r="AA288" s="81">
        <v>5.1580000000000004</v>
      </c>
      <c r="AB288" s="81">
        <v>5.1580000000000004</v>
      </c>
      <c r="AC288" s="81">
        <v>5.1580000000000004</v>
      </c>
      <c r="AD288" s="81">
        <v>5.1580000000000004</v>
      </c>
      <c r="AE288" s="81">
        <v>0</v>
      </c>
      <c r="AF288" s="81">
        <v>0</v>
      </c>
      <c r="AG288" s="81">
        <v>0</v>
      </c>
      <c r="AH288" s="81">
        <v>0</v>
      </c>
      <c r="AI288" s="81">
        <v>0</v>
      </c>
      <c r="AJ288" s="81">
        <v>0</v>
      </c>
      <c r="AK288" s="81">
        <f>+AJ288+MAX(AK27,0)</f>
        <v>0</v>
      </c>
      <c r="AL288" s="81">
        <v>0</v>
      </c>
      <c r="AM288" s="81">
        <v>0</v>
      </c>
      <c r="AN288" s="12">
        <f t="shared" ref="AN288:AY288" si="472">+AM288+MAX(AN27,0)</f>
        <v>0</v>
      </c>
      <c r="AO288" s="12">
        <f t="shared" si="472"/>
        <v>0</v>
      </c>
      <c r="AP288" s="12">
        <f t="shared" si="472"/>
        <v>0</v>
      </c>
      <c r="AQ288" s="12">
        <f t="shared" si="472"/>
        <v>0</v>
      </c>
      <c r="AR288" s="12">
        <f t="shared" si="472"/>
        <v>0</v>
      </c>
      <c r="AS288" s="12">
        <f t="shared" si="472"/>
        <v>0</v>
      </c>
      <c r="AT288" s="12">
        <f t="shared" si="472"/>
        <v>0</v>
      </c>
      <c r="AU288" s="12">
        <f t="shared" si="472"/>
        <v>0</v>
      </c>
      <c r="AV288" s="12">
        <f t="shared" si="472"/>
        <v>0</v>
      </c>
      <c r="AW288" s="12">
        <f t="shared" si="472"/>
        <v>0</v>
      </c>
      <c r="AX288" s="12">
        <f t="shared" si="472"/>
        <v>0</v>
      </c>
      <c r="AY288" s="12">
        <f t="shared" si="472"/>
        <v>0</v>
      </c>
      <c r="BG288" s="4">
        <v>282</v>
      </c>
      <c r="BH288"/>
      <c r="BI288"/>
      <c r="BJ288"/>
      <c r="BK288"/>
      <c r="BL288"/>
      <c r="BM288"/>
    </row>
    <row r="289" spans="1:65" s="3" customFormat="1" ht="11.25" outlineLevel="1">
      <c r="A289" s="2"/>
      <c r="B289" s="34" t="s">
        <v>144</v>
      </c>
      <c r="C289" s="12"/>
      <c r="D289" s="12"/>
      <c r="E289" s="12"/>
      <c r="F289" s="12">
        <v>4.9749999999999996</v>
      </c>
      <c r="G289" s="12">
        <v>10.574999999999999</v>
      </c>
      <c r="H289" s="12">
        <f t="shared" si="468"/>
        <v>15.266</v>
      </c>
      <c r="I289" s="12">
        <f t="shared" si="468"/>
        <v>44.128</v>
      </c>
      <c r="J289" s="12">
        <f t="shared" si="468"/>
        <v>28.142000000000003</v>
      </c>
      <c r="K289" s="12">
        <f t="shared" si="468"/>
        <v>7.7650000000000006</v>
      </c>
      <c r="L289" s="12">
        <f t="shared" si="468"/>
        <v>7.7650000000000006</v>
      </c>
      <c r="M289" s="12">
        <f t="shared" si="468"/>
        <v>7.7650000000000006</v>
      </c>
      <c r="N289" s="12">
        <f t="shared" si="468"/>
        <v>7.7650000000000006</v>
      </c>
      <c r="O289" s="12"/>
      <c r="P289" s="7"/>
      <c r="Q289" s="7"/>
      <c r="R289" s="7"/>
      <c r="S289" s="7"/>
      <c r="T289" s="12"/>
      <c r="U289" s="81"/>
      <c r="V289" s="12"/>
      <c r="W289" s="81">
        <v>10.574999999999999</v>
      </c>
      <c r="X289" s="81">
        <v>5.3390000000000004</v>
      </c>
      <c r="Y289" s="81">
        <v>7.2089999999999996</v>
      </c>
      <c r="Z289" s="81">
        <v>8.8719999999999999</v>
      </c>
      <c r="AA289" s="81">
        <v>15.266</v>
      </c>
      <c r="AB289" s="81">
        <v>33.131999999999998</v>
      </c>
      <c r="AC289" s="81">
        <v>27.53</v>
      </c>
      <c r="AD289" s="81">
        <f>25.352+13.491</f>
        <v>38.843000000000004</v>
      </c>
      <c r="AE289" s="81">
        <f>39.91+4.218</f>
        <v>44.128</v>
      </c>
      <c r="AF289" s="81">
        <f>33.219+2.861</f>
        <v>36.08</v>
      </c>
      <c r="AG289" s="81">
        <f>6.816+42.041+1.317</f>
        <v>50.173999999999999</v>
      </c>
      <c r="AH289" s="81">
        <f>9.259+20.584</f>
        <v>29.843</v>
      </c>
      <c r="AI289" s="81">
        <f>7.065+21.077</f>
        <v>28.142000000000003</v>
      </c>
      <c r="AJ289" s="81">
        <f>19.132+6.24</f>
        <v>25.372</v>
      </c>
      <c r="AK289" s="81">
        <f>5.628+2.487</f>
        <v>8.1150000000000002</v>
      </c>
      <c r="AL289" s="81">
        <f>6.843+0.823</f>
        <v>7.6660000000000004</v>
      </c>
      <c r="AM289" s="81">
        <f>6.841+0.924</f>
        <v>7.7650000000000006</v>
      </c>
      <c r="AN289" s="81">
        <f t="shared" ref="AN289:AY289" si="473">AM289</f>
        <v>7.7650000000000006</v>
      </c>
      <c r="AO289" s="81">
        <f t="shared" si="473"/>
        <v>7.7650000000000006</v>
      </c>
      <c r="AP289" s="81">
        <f t="shared" si="473"/>
        <v>7.7650000000000006</v>
      </c>
      <c r="AQ289" s="81">
        <f t="shared" si="473"/>
        <v>7.7650000000000006</v>
      </c>
      <c r="AR289" s="81">
        <f t="shared" si="473"/>
        <v>7.7650000000000006</v>
      </c>
      <c r="AS289" s="81">
        <f t="shared" si="473"/>
        <v>7.7650000000000006</v>
      </c>
      <c r="AT289" s="81">
        <f t="shared" si="473"/>
        <v>7.7650000000000006</v>
      </c>
      <c r="AU289" s="81">
        <f t="shared" si="473"/>
        <v>7.7650000000000006</v>
      </c>
      <c r="AV289" s="81">
        <f t="shared" si="473"/>
        <v>7.7650000000000006</v>
      </c>
      <c r="AW289" s="81">
        <f t="shared" si="473"/>
        <v>7.7650000000000006</v>
      </c>
      <c r="AX289" s="81">
        <f t="shared" si="473"/>
        <v>7.7650000000000006</v>
      </c>
      <c r="AY289" s="81">
        <f t="shared" si="473"/>
        <v>7.7650000000000006</v>
      </c>
      <c r="BG289" s="4">
        <v>283</v>
      </c>
      <c r="BH289"/>
      <c r="BI289"/>
      <c r="BJ289"/>
      <c r="BK289"/>
      <c r="BL289"/>
      <c r="BM289"/>
    </row>
    <row r="290" spans="1:65" s="3" customFormat="1" ht="11.25" outlineLevel="1">
      <c r="A290" s="2"/>
      <c r="B290" s="102" t="s">
        <v>143</v>
      </c>
      <c r="C290" s="94"/>
      <c r="D290" s="94"/>
      <c r="E290" s="94"/>
      <c r="F290" s="94">
        <f t="shared" ref="F290:N290" si="474">SUM(F285:F289)</f>
        <v>236.97600000000003</v>
      </c>
      <c r="G290" s="94">
        <f t="shared" si="474"/>
        <v>305.33799999999997</v>
      </c>
      <c r="H290" s="94">
        <f t="shared" si="474"/>
        <v>435.05400000000003</v>
      </c>
      <c r="I290" s="94">
        <f t="shared" si="474"/>
        <v>359.67399999999998</v>
      </c>
      <c r="J290" s="94">
        <f t="shared" si="474"/>
        <v>353.803</v>
      </c>
      <c r="K290" s="94">
        <f t="shared" si="474"/>
        <v>363.17599999999999</v>
      </c>
      <c r="L290" s="94">
        <f t="shared" si="474"/>
        <v>1203.7337642324042</v>
      </c>
      <c r="M290" s="94">
        <f t="shared" si="474"/>
        <v>1599.5769969674823</v>
      </c>
      <c r="N290" s="94">
        <f t="shared" si="474"/>
        <v>2003.9438892695935</v>
      </c>
      <c r="O290" s="12"/>
      <c r="P290" s="95">
        <f>SUM(P285:P289)</f>
        <v>0</v>
      </c>
      <c r="Q290" s="95">
        <f>SUM(Q285:Q289)</f>
        <v>0</v>
      </c>
      <c r="R290" s="95">
        <f>SUM(R285:R289)</f>
        <v>0</v>
      </c>
      <c r="S290" s="95">
        <f>SUM(S285:S289)</f>
        <v>0</v>
      </c>
      <c r="T290" s="94">
        <f>SUM(T285:T289)</f>
        <v>0</v>
      </c>
      <c r="U290" s="94"/>
      <c r="V290" s="94"/>
      <c r="W290" s="94">
        <f t="shared" ref="W290:AY290" si="475">SUM(W285:W289)</f>
        <v>305.33799999999997</v>
      </c>
      <c r="X290" s="94">
        <f t="shared" si="475"/>
        <v>335.54300000000001</v>
      </c>
      <c r="Y290" s="94">
        <f t="shared" si="475"/>
        <v>366.20699999999999</v>
      </c>
      <c r="Z290" s="94">
        <f t="shared" si="475"/>
        <v>431.339</v>
      </c>
      <c r="AA290" s="94">
        <f t="shared" si="475"/>
        <v>435.05400000000003</v>
      </c>
      <c r="AB290" s="94">
        <f t="shared" si="475"/>
        <v>449.85399999999998</v>
      </c>
      <c r="AC290" s="94">
        <f t="shared" si="475"/>
        <v>420.83900000000006</v>
      </c>
      <c r="AD290" s="94">
        <f t="shared" si="475"/>
        <v>386.49300000000005</v>
      </c>
      <c r="AE290" s="94">
        <f t="shared" si="475"/>
        <v>359.67399999999998</v>
      </c>
      <c r="AF290" s="94">
        <f t="shared" si="475"/>
        <v>331.96300000000002</v>
      </c>
      <c r="AG290" s="94">
        <f t="shared" si="475"/>
        <v>232.43199999999999</v>
      </c>
      <c r="AH290" s="94">
        <f t="shared" si="475"/>
        <v>375.22899999999998</v>
      </c>
      <c r="AI290" s="94">
        <f t="shared" si="475"/>
        <v>353.803</v>
      </c>
      <c r="AJ290" s="94">
        <f t="shared" si="475"/>
        <v>393.06900000000002</v>
      </c>
      <c r="AK290" s="94">
        <f t="shared" si="475"/>
        <v>371.202</v>
      </c>
      <c r="AL290" s="94">
        <f t="shared" si="475"/>
        <v>419.29699999999997</v>
      </c>
      <c r="AM290" s="94">
        <f t="shared" si="475"/>
        <v>363.17599999999999</v>
      </c>
      <c r="AN290" s="94">
        <f t="shared" si="475"/>
        <v>388.13262294933418</v>
      </c>
      <c r="AO290" s="94">
        <f t="shared" si="475"/>
        <v>972.29344419463143</v>
      </c>
      <c r="AP290" s="94">
        <f t="shared" si="475"/>
        <v>1066.4047329937512</v>
      </c>
      <c r="AQ290" s="94">
        <f t="shared" si="475"/>
        <v>1203.7337642324042</v>
      </c>
      <c r="AR290" s="94">
        <f t="shared" si="475"/>
        <v>1311.8711350589917</v>
      </c>
      <c r="AS290" s="94">
        <f t="shared" si="475"/>
        <v>1410.5245697257521</v>
      </c>
      <c r="AT290" s="94">
        <f t="shared" si="475"/>
        <v>1508.6199114723627</v>
      </c>
      <c r="AU290" s="94">
        <f t="shared" si="475"/>
        <v>1599.5769969674823</v>
      </c>
      <c r="AV290" s="94">
        <f t="shared" si="475"/>
        <v>1697.4143914577087</v>
      </c>
      <c r="AW290" s="94">
        <f t="shared" si="475"/>
        <v>1810.3493330722445</v>
      </c>
      <c r="AX290" s="94">
        <f t="shared" si="475"/>
        <v>1913.0954538486046</v>
      </c>
      <c r="AY290" s="94">
        <f t="shared" si="475"/>
        <v>2003.9438892695935</v>
      </c>
      <c r="BG290" s="4">
        <v>284</v>
      </c>
      <c r="BH290"/>
      <c r="BI290"/>
      <c r="BJ290"/>
      <c r="BK290"/>
      <c r="BL290"/>
      <c r="BM290"/>
    </row>
    <row r="291" spans="1:65" s="3" customFormat="1" ht="11.25" outlineLevel="1">
      <c r="A291" s="2"/>
      <c r="B291" s="34" t="s">
        <v>35</v>
      </c>
      <c r="C291" s="12"/>
      <c r="D291" s="12"/>
      <c r="E291" s="12"/>
      <c r="F291" s="12">
        <v>375.16199999999998</v>
      </c>
      <c r="G291" s="12">
        <v>748.83799999999997</v>
      </c>
      <c r="H291" s="12">
        <f t="shared" ref="H291:N294" si="476">INDEX($P291:$AZ291,1,MATCH(H$5,$P$5:$AZ$5,0))</f>
        <v>841.274</v>
      </c>
      <c r="I291" s="12">
        <f t="shared" si="476"/>
        <v>870.99699999999996</v>
      </c>
      <c r="J291" s="12">
        <f t="shared" si="476"/>
        <v>727.73500000000001</v>
      </c>
      <c r="K291" s="12">
        <f t="shared" si="476"/>
        <v>785.51300000000003</v>
      </c>
      <c r="L291" s="12">
        <f t="shared" si="476"/>
        <v>3380.0425043371688</v>
      </c>
      <c r="M291" s="12">
        <f t="shared" si="476"/>
        <v>3248.2095955405721</v>
      </c>
      <c r="N291" s="12">
        <f t="shared" si="476"/>
        <v>3125.9895296307077</v>
      </c>
      <c r="O291" s="12"/>
      <c r="P291" s="7"/>
      <c r="Q291" s="7"/>
      <c r="R291" s="7"/>
      <c r="S291" s="7"/>
      <c r="T291" s="12"/>
      <c r="U291" s="80"/>
      <c r="V291" s="12"/>
      <c r="W291" s="80">
        <f>W435</f>
        <v>748.83800000000008</v>
      </c>
      <c r="X291" s="80">
        <f>X435</f>
        <v>767.07100000000003</v>
      </c>
      <c r="Y291" s="81">
        <v>786.5</v>
      </c>
      <c r="Z291" s="81">
        <v>798.45299999999997</v>
      </c>
      <c r="AA291" s="81">
        <v>841.274</v>
      </c>
      <c r="AB291" s="81">
        <v>859.93</v>
      </c>
      <c r="AC291" s="81">
        <v>865.78399999999999</v>
      </c>
      <c r="AD291" s="81">
        <v>871.24099999999999</v>
      </c>
      <c r="AE291" s="81">
        <v>870.99699999999996</v>
      </c>
      <c r="AF291" s="81">
        <v>862.22400000000005</v>
      </c>
      <c r="AG291" s="81">
        <v>756.68299999999999</v>
      </c>
      <c r="AH291" s="81">
        <v>743.99900000000002</v>
      </c>
      <c r="AI291" s="81">
        <v>727.73500000000001</v>
      </c>
      <c r="AJ291" s="81">
        <v>722.46100000000001</v>
      </c>
      <c r="AK291" s="81">
        <v>716.36199999999997</v>
      </c>
      <c r="AL291" s="81">
        <v>767.40800000000002</v>
      </c>
      <c r="AM291" s="81">
        <v>785.51300000000003</v>
      </c>
      <c r="AN291" s="80">
        <f t="shared" ref="AN291:AY291" si="477">AN435</f>
        <v>803.64265429341367</v>
      </c>
      <c r="AO291" s="80">
        <f t="shared" si="477"/>
        <v>3466.3073305623566</v>
      </c>
      <c r="AP291" s="80">
        <f t="shared" si="477"/>
        <v>3414.5900681143121</v>
      </c>
      <c r="AQ291" s="80">
        <f t="shared" si="477"/>
        <v>3380.0425043371688</v>
      </c>
      <c r="AR291" s="80">
        <f t="shared" si="477"/>
        <v>3346.1427073808468</v>
      </c>
      <c r="AS291" s="80">
        <f t="shared" si="477"/>
        <v>3312.8785316174553</v>
      </c>
      <c r="AT291" s="80">
        <f t="shared" si="477"/>
        <v>3280.238059149628</v>
      </c>
      <c r="AU291" s="80">
        <f t="shared" si="477"/>
        <v>3248.2095955405721</v>
      </c>
      <c r="AV291" s="80">
        <f t="shared" si="477"/>
        <v>3216.7816656241866</v>
      </c>
      <c r="AW291" s="80">
        <f t="shared" si="477"/>
        <v>3185.9430093937326</v>
      </c>
      <c r="AX291" s="80">
        <f t="shared" si="477"/>
        <v>3155.6825779676001</v>
      </c>
      <c r="AY291" s="80">
        <f t="shared" si="477"/>
        <v>3125.9895296307077</v>
      </c>
      <c r="BG291" s="4">
        <v>285</v>
      </c>
      <c r="BH291"/>
      <c r="BI291"/>
      <c r="BJ291"/>
      <c r="BK291"/>
      <c r="BL291"/>
      <c r="BM291"/>
    </row>
    <row r="292" spans="1:65" s="3" customFormat="1" ht="11.25" outlineLevel="1">
      <c r="A292" s="2"/>
      <c r="B292" s="34" t="s">
        <v>142</v>
      </c>
      <c r="C292" s="12"/>
      <c r="D292" s="12"/>
      <c r="E292" s="12"/>
      <c r="F292" s="12">
        <v>35.137</v>
      </c>
      <c r="G292" s="12">
        <v>87.451999999999998</v>
      </c>
      <c r="H292" s="12">
        <f t="shared" si="476"/>
        <v>84.677000000000007</v>
      </c>
      <c r="I292" s="12">
        <f t="shared" si="476"/>
        <v>15.301</v>
      </c>
      <c r="J292" s="12">
        <f t="shared" si="476"/>
        <v>15.301</v>
      </c>
      <c r="K292" s="12">
        <f t="shared" si="476"/>
        <v>15.301</v>
      </c>
      <c r="L292" s="12">
        <f t="shared" si="476"/>
        <v>244.84116664002573</v>
      </c>
      <c r="M292" s="12">
        <f t="shared" si="476"/>
        <v>244.84116664002573</v>
      </c>
      <c r="N292" s="12">
        <f t="shared" si="476"/>
        <v>244.84116664002573</v>
      </c>
      <c r="O292" s="12"/>
      <c r="P292" s="7"/>
      <c r="Q292" s="7"/>
      <c r="R292" s="7"/>
      <c r="S292" s="7"/>
      <c r="T292" s="12"/>
      <c r="U292" s="81"/>
      <c r="V292" s="12"/>
      <c r="W292" s="81">
        <v>87.451999999999998</v>
      </c>
      <c r="X292" s="81">
        <v>87.451999999999998</v>
      </c>
      <c r="Y292" s="81">
        <v>87.456999999999994</v>
      </c>
      <c r="Z292" s="81">
        <v>87.278999999999996</v>
      </c>
      <c r="AA292" s="81">
        <v>84.677000000000007</v>
      </c>
      <c r="AB292" s="81">
        <v>84.649000000000001</v>
      </c>
      <c r="AC292" s="81">
        <v>84.625</v>
      </c>
      <c r="AD292" s="81">
        <v>84.548000000000002</v>
      </c>
      <c r="AE292" s="81">
        <v>15.301</v>
      </c>
      <c r="AF292" s="81">
        <v>15.301</v>
      </c>
      <c r="AG292" s="81">
        <v>15.301</v>
      </c>
      <c r="AH292" s="81">
        <v>15.301</v>
      </c>
      <c r="AI292" s="81">
        <v>15.301</v>
      </c>
      <c r="AJ292" s="81">
        <v>15.301</v>
      </c>
      <c r="AK292" s="81">
        <v>15.301</v>
      </c>
      <c r="AL292" s="81">
        <v>15.301</v>
      </c>
      <c r="AM292" s="81">
        <v>15.301</v>
      </c>
      <c r="AN292" s="81">
        <f>AM292</f>
        <v>15.301</v>
      </c>
      <c r="AO292" s="82">
        <f>AN292+AO462</f>
        <v>244.84116664002573</v>
      </c>
      <c r="AP292" s="81">
        <f t="shared" ref="AP292:AY292" si="478">AO292</f>
        <v>244.84116664002573</v>
      </c>
      <c r="AQ292" s="81">
        <f t="shared" si="478"/>
        <v>244.84116664002573</v>
      </c>
      <c r="AR292" s="81">
        <f t="shared" si="478"/>
        <v>244.84116664002573</v>
      </c>
      <c r="AS292" s="81">
        <f t="shared" si="478"/>
        <v>244.84116664002573</v>
      </c>
      <c r="AT292" s="81">
        <f t="shared" si="478"/>
        <v>244.84116664002573</v>
      </c>
      <c r="AU292" s="81">
        <f t="shared" si="478"/>
        <v>244.84116664002573</v>
      </c>
      <c r="AV292" s="81">
        <f t="shared" si="478"/>
        <v>244.84116664002573</v>
      </c>
      <c r="AW292" s="81">
        <f t="shared" si="478"/>
        <v>244.84116664002573</v>
      </c>
      <c r="AX292" s="81">
        <f t="shared" si="478"/>
        <v>244.84116664002573</v>
      </c>
      <c r="AY292" s="81">
        <f t="shared" si="478"/>
        <v>244.84116664002573</v>
      </c>
      <c r="BG292" s="4">
        <v>286</v>
      </c>
      <c r="BH292"/>
      <c r="BI292"/>
      <c r="BJ292"/>
      <c r="BK292"/>
      <c r="BL292"/>
      <c r="BM292"/>
    </row>
    <row r="293" spans="1:65" s="3" customFormat="1" ht="11.25" outlineLevel="1">
      <c r="A293" s="2"/>
      <c r="B293" s="34" t="s">
        <v>141</v>
      </c>
      <c r="C293" s="12"/>
      <c r="D293" s="12"/>
      <c r="E293" s="12"/>
      <c r="F293" s="12">
        <v>0.38300000000000001</v>
      </c>
      <c r="G293" s="12">
        <v>106.236</v>
      </c>
      <c r="H293" s="12">
        <f t="shared" si="476"/>
        <v>100.76900000000001</v>
      </c>
      <c r="I293" s="12">
        <f t="shared" si="476"/>
        <v>96.481999999999999</v>
      </c>
      <c r="J293" s="12">
        <f t="shared" si="476"/>
        <v>95.340999999999994</v>
      </c>
      <c r="K293" s="12">
        <f t="shared" si="476"/>
        <v>93.268000000000001</v>
      </c>
      <c r="L293" s="12">
        <f t="shared" si="476"/>
        <v>80.164000000000016</v>
      </c>
      <c r="M293" s="12">
        <f t="shared" si="476"/>
        <v>67.060000000000031</v>
      </c>
      <c r="N293" s="12">
        <f t="shared" si="476"/>
        <v>53.956000000000017</v>
      </c>
      <c r="O293" s="12"/>
      <c r="P293" s="7"/>
      <c r="Q293" s="7"/>
      <c r="R293" s="7"/>
      <c r="S293" s="7"/>
      <c r="T293" s="12"/>
      <c r="U293" s="81"/>
      <c r="V293" s="12"/>
      <c r="W293" s="81">
        <v>106.236</v>
      </c>
      <c r="X293" s="81">
        <v>104.901</v>
      </c>
      <c r="Y293" s="105">
        <v>103.575</v>
      </c>
      <c r="Z293" s="105">
        <v>102.27200000000001</v>
      </c>
      <c r="AA293" s="105">
        <v>100.76900000000001</v>
      </c>
      <c r="AB293" s="105">
        <v>99.465999999999994</v>
      </c>
      <c r="AC293" s="105">
        <v>98.501000000000005</v>
      </c>
      <c r="AD293" s="105">
        <v>97.366</v>
      </c>
      <c r="AE293" s="105">
        <v>96.481999999999999</v>
      </c>
      <c r="AF293" s="105">
        <v>95.353999999999999</v>
      </c>
      <c r="AG293" s="105">
        <v>94.057000000000002</v>
      </c>
      <c r="AH293" s="105">
        <v>94.385999999999996</v>
      </c>
      <c r="AI293" s="105">
        <v>95.340999999999994</v>
      </c>
      <c r="AJ293" s="105">
        <v>94.186000000000007</v>
      </c>
      <c r="AK293" s="105">
        <v>92.524000000000001</v>
      </c>
      <c r="AL293" s="105">
        <v>95.233999999999995</v>
      </c>
      <c r="AM293" s="105">
        <v>93.268000000000001</v>
      </c>
      <c r="AN293" s="104">
        <f t="shared" ref="AN293:AY293" si="479">AM293-AN448</f>
        <v>89.992000000000004</v>
      </c>
      <c r="AO293" s="104">
        <f t="shared" si="479"/>
        <v>86.716000000000008</v>
      </c>
      <c r="AP293" s="104">
        <f t="shared" si="479"/>
        <v>83.440000000000012</v>
      </c>
      <c r="AQ293" s="104">
        <f t="shared" si="479"/>
        <v>80.164000000000016</v>
      </c>
      <c r="AR293" s="104">
        <f t="shared" si="479"/>
        <v>76.888000000000019</v>
      </c>
      <c r="AS293" s="104">
        <f t="shared" si="479"/>
        <v>73.612000000000023</v>
      </c>
      <c r="AT293" s="104">
        <f t="shared" si="479"/>
        <v>70.336000000000027</v>
      </c>
      <c r="AU293" s="104">
        <f t="shared" si="479"/>
        <v>67.060000000000031</v>
      </c>
      <c r="AV293" s="104">
        <f t="shared" si="479"/>
        <v>63.784000000000027</v>
      </c>
      <c r="AW293" s="104">
        <f t="shared" si="479"/>
        <v>60.508000000000024</v>
      </c>
      <c r="AX293" s="104">
        <f t="shared" si="479"/>
        <v>57.232000000000021</v>
      </c>
      <c r="AY293" s="104">
        <f t="shared" si="479"/>
        <v>53.956000000000017</v>
      </c>
      <c r="BG293" s="4">
        <v>287</v>
      </c>
      <c r="BH293"/>
      <c r="BI293"/>
      <c r="BJ293"/>
      <c r="BK293"/>
      <c r="BL293"/>
      <c r="BM293"/>
    </row>
    <row r="294" spans="1:65" s="3" customFormat="1" ht="11.25" outlineLevel="1">
      <c r="A294" s="2"/>
      <c r="B294" s="34" t="s">
        <v>71</v>
      </c>
      <c r="C294" s="12"/>
      <c r="D294" s="12"/>
      <c r="E294" s="12"/>
      <c r="F294" s="12">
        <v>31.943000000000001</v>
      </c>
      <c r="G294" s="12">
        <v>35.567</v>
      </c>
      <c r="H294" s="12">
        <f t="shared" si="476"/>
        <v>26.742000000000001</v>
      </c>
      <c r="I294" s="12">
        <f t="shared" si="476"/>
        <v>26.504999999999999</v>
      </c>
      <c r="J294" s="12">
        <f t="shared" si="476"/>
        <v>10.73</v>
      </c>
      <c r="K294" s="12">
        <f t="shared" si="476"/>
        <v>8.0609999999999999</v>
      </c>
      <c r="L294" s="12">
        <f t="shared" si="476"/>
        <v>8.0609999999999999</v>
      </c>
      <c r="M294" s="12">
        <f t="shared" si="476"/>
        <v>8.0609999999999999</v>
      </c>
      <c r="N294" s="12">
        <f t="shared" si="476"/>
        <v>8.0609999999999999</v>
      </c>
      <c r="O294" s="12"/>
      <c r="P294" s="7"/>
      <c r="Q294" s="7"/>
      <c r="R294" s="7"/>
      <c r="S294" s="7"/>
      <c r="T294" s="12"/>
      <c r="U294" s="81"/>
      <c r="V294" s="12"/>
      <c r="W294" s="81">
        <v>35.567</v>
      </c>
      <c r="X294" s="81">
        <v>33.622</v>
      </c>
      <c r="Y294" s="81">
        <v>31.748999999999999</v>
      </c>
      <c r="Z294" s="81">
        <v>28.184999999999999</v>
      </c>
      <c r="AA294" s="81">
        <v>26.742000000000001</v>
      </c>
      <c r="AB294" s="81">
        <v>26.388999999999999</v>
      </c>
      <c r="AC294" s="81">
        <v>26.942</v>
      </c>
      <c r="AD294" s="81">
        <v>26.361999999999998</v>
      </c>
      <c r="AE294" s="81">
        <f>0.834+25.671</f>
        <v>26.504999999999999</v>
      </c>
      <c r="AF294" s="81">
        <f>10.294+0.834</f>
        <v>11.128</v>
      </c>
      <c r="AG294" s="81">
        <f>0.834+9.744</f>
        <v>10.577999999999999</v>
      </c>
      <c r="AH294" s="81">
        <f>9.265+0.834</f>
        <v>10.099</v>
      </c>
      <c r="AI294" s="81">
        <f>9.486+1.244</f>
        <v>10.73</v>
      </c>
      <c r="AJ294" s="81">
        <f>9.023+1.244</f>
        <v>10.266999999999999</v>
      </c>
      <c r="AK294" s="81">
        <f>1.244+8.206</f>
        <v>9.4499999999999993</v>
      </c>
      <c r="AL294" s="81">
        <f>7.74+1.244</f>
        <v>8.984</v>
      </c>
      <c r="AM294" s="81">
        <f>7.711+0.35</f>
        <v>8.0609999999999999</v>
      </c>
      <c r="AN294" s="103">
        <f t="shared" ref="AN294:AY294" si="480">AM294</f>
        <v>8.0609999999999999</v>
      </c>
      <c r="AO294" s="103">
        <f t="shared" si="480"/>
        <v>8.0609999999999999</v>
      </c>
      <c r="AP294" s="103">
        <f t="shared" si="480"/>
        <v>8.0609999999999999</v>
      </c>
      <c r="AQ294" s="103">
        <f t="shared" si="480"/>
        <v>8.0609999999999999</v>
      </c>
      <c r="AR294" s="103">
        <f t="shared" si="480"/>
        <v>8.0609999999999999</v>
      </c>
      <c r="AS294" s="103">
        <f t="shared" si="480"/>
        <v>8.0609999999999999</v>
      </c>
      <c r="AT294" s="103">
        <f t="shared" si="480"/>
        <v>8.0609999999999999</v>
      </c>
      <c r="AU294" s="103">
        <f t="shared" si="480"/>
        <v>8.0609999999999999</v>
      </c>
      <c r="AV294" s="103">
        <f t="shared" si="480"/>
        <v>8.0609999999999999</v>
      </c>
      <c r="AW294" s="103">
        <f t="shared" si="480"/>
        <v>8.0609999999999999</v>
      </c>
      <c r="AX294" s="103">
        <f t="shared" si="480"/>
        <v>8.0609999999999999</v>
      </c>
      <c r="AY294" s="103">
        <f t="shared" si="480"/>
        <v>8.0609999999999999</v>
      </c>
      <c r="BG294" s="4">
        <v>288</v>
      </c>
      <c r="BH294"/>
      <c r="BI294"/>
      <c r="BJ294"/>
      <c r="BK294"/>
      <c r="BL294"/>
      <c r="BM294"/>
    </row>
    <row r="295" spans="1:65" s="3" customFormat="1" ht="11.25" outlineLevel="1">
      <c r="A295" s="2"/>
      <c r="B295" s="96" t="s">
        <v>140</v>
      </c>
      <c r="C295" s="94">
        <v>340.52100000000002</v>
      </c>
      <c r="D295" s="94">
        <v>522.17899999999997</v>
      </c>
      <c r="E295" s="94">
        <v>646.17600000000004</v>
      </c>
      <c r="F295" s="94">
        <f t="shared" ref="F295:N295" si="481">F290+F291+F292+F293+F294</f>
        <v>679.60100000000011</v>
      </c>
      <c r="G295" s="94">
        <f t="shared" si="481"/>
        <v>1283.431</v>
      </c>
      <c r="H295" s="94">
        <f t="shared" si="481"/>
        <v>1488.5159999999998</v>
      </c>
      <c r="I295" s="94">
        <f t="shared" si="481"/>
        <v>1368.9589999999998</v>
      </c>
      <c r="J295" s="94">
        <f t="shared" si="481"/>
        <v>1202.9099999999999</v>
      </c>
      <c r="K295" s="94">
        <f t="shared" si="481"/>
        <v>1265.319</v>
      </c>
      <c r="L295" s="94">
        <f t="shared" si="481"/>
        <v>4916.8424352095981</v>
      </c>
      <c r="M295" s="94">
        <f t="shared" si="481"/>
        <v>5167.7487591480804</v>
      </c>
      <c r="N295" s="94">
        <f t="shared" si="481"/>
        <v>5436.7915855403271</v>
      </c>
      <c r="O295" s="12"/>
      <c r="P295" s="95">
        <f>P290+P291+P292+P293+P294</f>
        <v>0</v>
      </c>
      <c r="Q295" s="95">
        <f>Q290+Q291+Q292+Q293+Q294</f>
        <v>0</v>
      </c>
      <c r="R295" s="95">
        <f>R290+R291+R292+R293+R294</f>
        <v>0</v>
      </c>
      <c r="S295" s="95">
        <f>S290+S291+S292+S293+S294</f>
        <v>0</v>
      </c>
      <c r="T295" s="94">
        <f>T290+T291+T292+T293+T294</f>
        <v>0</v>
      </c>
      <c r="U295" s="94"/>
      <c r="V295" s="94"/>
      <c r="W295" s="94">
        <f t="shared" ref="W295:AY295" si="482">W290+W291+W292+W293+W294</f>
        <v>1283.431</v>
      </c>
      <c r="X295" s="94">
        <f t="shared" si="482"/>
        <v>1328.5890000000002</v>
      </c>
      <c r="Y295" s="94">
        <f t="shared" si="482"/>
        <v>1375.4879999999998</v>
      </c>
      <c r="Z295" s="94">
        <f t="shared" si="482"/>
        <v>1447.5279999999998</v>
      </c>
      <c r="AA295" s="94">
        <f t="shared" si="482"/>
        <v>1488.5159999999998</v>
      </c>
      <c r="AB295" s="94">
        <f t="shared" si="482"/>
        <v>1520.2879999999998</v>
      </c>
      <c r="AC295" s="94">
        <f t="shared" si="482"/>
        <v>1496.691</v>
      </c>
      <c r="AD295" s="94">
        <f t="shared" si="482"/>
        <v>1466.01</v>
      </c>
      <c r="AE295" s="94">
        <f t="shared" si="482"/>
        <v>1368.9589999999998</v>
      </c>
      <c r="AF295" s="94">
        <f t="shared" si="482"/>
        <v>1315.97</v>
      </c>
      <c r="AG295" s="94">
        <f t="shared" si="482"/>
        <v>1109.0509999999999</v>
      </c>
      <c r="AH295" s="94">
        <f t="shared" si="482"/>
        <v>1239.0139999999999</v>
      </c>
      <c r="AI295" s="94">
        <f t="shared" si="482"/>
        <v>1202.9099999999999</v>
      </c>
      <c r="AJ295" s="94">
        <f t="shared" si="482"/>
        <v>1235.2839999999999</v>
      </c>
      <c r="AK295" s="94">
        <f t="shared" si="482"/>
        <v>1204.8389999999997</v>
      </c>
      <c r="AL295" s="94">
        <f t="shared" si="482"/>
        <v>1306.2239999999997</v>
      </c>
      <c r="AM295" s="94">
        <f t="shared" si="482"/>
        <v>1265.319</v>
      </c>
      <c r="AN295" s="94">
        <f t="shared" si="482"/>
        <v>1305.1292772427478</v>
      </c>
      <c r="AO295" s="94">
        <f t="shared" si="482"/>
        <v>4778.2189413970145</v>
      </c>
      <c r="AP295" s="94">
        <f t="shared" si="482"/>
        <v>4817.3369677480887</v>
      </c>
      <c r="AQ295" s="94">
        <f t="shared" si="482"/>
        <v>4916.8424352095981</v>
      </c>
      <c r="AR295" s="94">
        <f t="shared" si="482"/>
        <v>4987.804009079864</v>
      </c>
      <c r="AS295" s="94">
        <f t="shared" si="482"/>
        <v>5049.9172679832336</v>
      </c>
      <c r="AT295" s="94">
        <f t="shared" si="482"/>
        <v>5112.0961372620168</v>
      </c>
      <c r="AU295" s="94">
        <f t="shared" si="482"/>
        <v>5167.7487591480804</v>
      </c>
      <c r="AV295" s="94">
        <f t="shared" si="482"/>
        <v>5230.882223721921</v>
      </c>
      <c r="AW295" s="94">
        <f t="shared" si="482"/>
        <v>5309.7025091060023</v>
      </c>
      <c r="AX295" s="94">
        <f t="shared" si="482"/>
        <v>5378.9121984562307</v>
      </c>
      <c r="AY295" s="94">
        <f t="shared" si="482"/>
        <v>5436.7915855403271</v>
      </c>
      <c r="BG295" s="4">
        <v>289</v>
      </c>
      <c r="BH295"/>
      <c r="BI295"/>
      <c r="BJ295"/>
      <c r="BK295"/>
      <c r="BL295"/>
      <c r="BM295"/>
    </row>
    <row r="296" spans="1:65" s="3" customFormat="1" ht="11.25" outlineLevel="1">
      <c r="A296" s="2"/>
      <c r="B296" s="109"/>
      <c r="C296" s="12"/>
      <c r="D296" s="12"/>
      <c r="E296" s="12"/>
      <c r="F296" s="12"/>
      <c r="G296" s="12"/>
      <c r="H296" s="12"/>
      <c r="I296" s="12"/>
      <c r="J296" s="12"/>
      <c r="K296" s="12"/>
      <c r="L296" s="12"/>
      <c r="M296" s="12"/>
      <c r="N296" s="12"/>
      <c r="O296" s="12"/>
      <c r="P296" s="7"/>
      <c r="Q296" s="7"/>
      <c r="R296" s="7"/>
      <c r="S296" s="7"/>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12"/>
      <c r="AV296" s="12"/>
      <c r="AW296" s="12"/>
      <c r="AX296" s="12"/>
      <c r="AY296" s="12"/>
      <c r="BG296" s="4">
        <v>290</v>
      </c>
      <c r="BH296"/>
      <c r="BI296"/>
      <c r="BJ296"/>
      <c r="BK296"/>
      <c r="BL296"/>
      <c r="BM296"/>
    </row>
    <row r="297" spans="1:65" s="3" customFormat="1" ht="11.25" outlineLevel="1">
      <c r="A297" s="2"/>
      <c r="B297" s="108" t="s">
        <v>139</v>
      </c>
      <c r="C297" s="12"/>
      <c r="D297" s="12"/>
      <c r="E297" s="12"/>
      <c r="F297" s="12"/>
      <c r="G297" s="12"/>
      <c r="H297" s="12"/>
      <c r="I297" s="12"/>
      <c r="J297" s="12"/>
      <c r="K297" s="12"/>
      <c r="L297" s="12"/>
      <c r="M297" s="12"/>
      <c r="N297" s="12"/>
      <c r="O297" s="12"/>
      <c r="P297" s="7"/>
      <c r="Q297" s="7"/>
      <c r="R297" s="7"/>
      <c r="S297" s="7"/>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12"/>
      <c r="AV297" s="12"/>
      <c r="AW297" s="12"/>
      <c r="AX297" s="12"/>
      <c r="AY297" s="12"/>
      <c r="BG297" s="4">
        <v>291</v>
      </c>
      <c r="BH297"/>
      <c r="BI297"/>
      <c r="BJ297"/>
      <c r="BK297"/>
      <c r="BL297"/>
      <c r="BM297"/>
    </row>
    <row r="298" spans="1:65" s="3" customFormat="1" ht="11.25" outlineLevel="1">
      <c r="A298" s="2"/>
      <c r="B298" s="34" t="s">
        <v>138</v>
      </c>
      <c r="C298" s="12"/>
      <c r="D298" s="12"/>
      <c r="E298" s="12"/>
      <c r="F298" s="12">
        <v>3.3319999999999999</v>
      </c>
      <c r="G298" s="12">
        <v>15.686999999999999</v>
      </c>
      <c r="H298" s="12">
        <f t="shared" ref="H298:N300" si="483">INDEX($P298:$AZ298,1,MATCH(H$5,$P$5:$AZ$5,0))</f>
        <v>17.274000000000001</v>
      </c>
      <c r="I298" s="12">
        <f t="shared" si="483"/>
        <v>17.536000000000001</v>
      </c>
      <c r="J298" s="12">
        <f t="shared" si="483"/>
        <v>10.707000000000001</v>
      </c>
      <c r="K298" s="12">
        <f t="shared" si="483"/>
        <v>19.189</v>
      </c>
      <c r="L298" s="12">
        <f t="shared" si="483"/>
        <v>43.25</v>
      </c>
      <c r="M298" s="12">
        <f t="shared" si="483"/>
        <v>43.25</v>
      </c>
      <c r="N298" s="12">
        <f t="shared" si="483"/>
        <v>0</v>
      </c>
      <c r="O298" s="12"/>
      <c r="P298" s="7"/>
      <c r="Q298" s="7"/>
      <c r="R298" s="7"/>
      <c r="S298" s="7"/>
      <c r="T298" s="12"/>
      <c r="U298" s="81"/>
      <c r="V298" s="12"/>
      <c r="W298" s="81">
        <v>15.686999999999999</v>
      </c>
      <c r="X298" s="81">
        <v>15.686999999999999</v>
      </c>
      <c r="Y298" s="105">
        <v>15.686999999999999</v>
      </c>
      <c r="Z298" s="105">
        <v>15.597</v>
      </c>
      <c r="AA298" s="105">
        <v>17.274000000000001</v>
      </c>
      <c r="AB298" s="105">
        <v>17.277000000000001</v>
      </c>
      <c r="AC298" s="105">
        <v>16.797000000000001</v>
      </c>
      <c r="AD298" s="105">
        <v>17.196999999999999</v>
      </c>
      <c r="AE298" s="105">
        <v>17.536000000000001</v>
      </c>
      <c r="AF298" s="105">
        <v>100.307</v>
      </c>
      <c r="AG298" s="105">
        <v>30.677</v>
      </c>
      <c r="AH298" s="105">
        <v>30.393999999999998</v>
      </c>
      <c r="AI298" s="105">
        <v>10.707000000000001</v>
      </c>
      <c r="AJ298" s="105">
        <v>11.617000000000001</v>
      </c>
      <c r="AK298" s="105">
        <v>12.172000000000001</v>
      </c>
      <c r="AL298" s="105">
        <v>11.772</v>
      </c>
      <c r="AM298" s="105">
        <v>19.189</v>
      </c>
      <c r="AN298" s="107">
        <f t="shared" ref="AN298:AY298" si="484">AN382</f>
        <v>12</v>
      </c>
      <c r="AO298" s="107">
        <f t="shared" si="484"/>
        <v>43.25</v>
      </c>
      <c r="AP298" s="107">
        <f t="shared" si="484"/>
        <v>43.25</v>
      </c>
      <c r="AQ298" s="107">
        <f t="shared" si="484"/>
        <v>43.25</v>
      </c>
      <c r="AR298" s="107">
        <f t="shared" si="484"/>
        <v>43.25</v>
      </c>
      <c r="AS298" s="107">
        <f t="shared" si="484"/>
        <v>43.25</v>
      </c>
      <c r="AT298" s="107">
        <f t="shared" si="484"/>
        <v>43.25</v>
      </c>
      <c r="AU298" s="107">
        <f t="shared" si="484"/>
        <v>43.25</v>
      </c>
      <c r="AV298" s="107">
        <f t="shared" si="484"/>
        <v>32.4375</v>
      </c>
      <c r="AW298" s="107">
        <f t="shared" si="484"/>
        <v>21.625</v>
      </c>
      <c r="AX298" s="107">
        <f t="shared" si="484"/>
        <v>10.8125</v>
      </c>
      <c r="AY298" s="107">
        <f t="shared" si="484"/>
        <v>0</v>
      </c>
      <c r="BG298" s="4">
        <v>292</v>
      </c>
      <c r="BH298"/>
      <c r="BI298"/>
      <c r="BJ298"/>
      <c r="BK298"/>
      <c r="BL298"/>
      <c r="BM298"/>
    </row>
    <row r="299" spans="1:65" s="3" customFormat="1" ht="11.25" outlineLevel="1">
      <c r="A299" s="2"/>
      <c r="B299" s="34" t="s">
        <v>137</v>
      </c>
      <c r="C299" s="12"/>
      <c r="D299" s="12"/>
      <c r="E299" s="12"/>
      <c r="F299" s="12">
        <v>43.456000000000003</v>
      </c>
      <c r="G299" s="12">
        <v>89.998000000000005</v>
      </c>
      <c r="H299" s="12">
        <f t="shared" si="483"/>
        <v>88.542000000000002</v>
      </c>
      <c r="I299" s="12">
        <f t="shared" si="483"/>
        <v>40.420999999999999</v>
      </c>
      <c r="J299" s="12">
        <f t="shared" si="483"/>
        <v>37.262999999999998</v>
      </c>
      <c r="K299" s="12">
        <f t="shared" si="483"/>
        <v>70.632999999999996</v>
      </c>
      <c r="L299" s="12">
        <f t="shared" si="483"/>
        <v>168.17634986028602</v>
      </c>
      <c r="M299" s="12">
        <f t="shared" si="483"/>
        <v>168.18478191229156</v>
      </c>
      <c r="N299" s="12">
        <f t="shared" si="483"/>
        <v>168.90254884101185</v>
      </c>
      <c r="O299" s="12"/>
      <c r="P299" s="7"/>
      <c r="Q299" s="7"/>
      <c r="R299" s="7"/>
      <c r="S299" s="7"/>
      <c r="T299" s="12"/>
      <c r="U299" s="81"/>
      <c r="V299" s="12"/>
      <c r="W299" s="81">
        <v>89.998000000000005</v>
      </c>
      <c r="X299" s="81">
        <v>89.897999999999996</v>
      </c>
      <c r="Y299" s="81">
        <v>89.046999999999997</v>
      </c>
      <c r="Z299" s="81">
        <v>98.935000000000002</v>
      </c>
      <c r="AA299" s="81">
        <v>88.542000000000002</v>
      </c>
      <c r="AB299" s="81">
        <v>70.527000000000001</v>
      </c>
      <c r="AC299" s="81">
        <v>46.94</v>
      </c>
      <c r="AD299" s="81">
        <v>44.786000000000001</v>
      </c>
      <c r="AE299" s="81">
        <v>40.420999999999999</v>
      </c>
      <c r="AF299" s="81">
        <v>37.505000000000003</v>
      </c>
      <c r="AG299" s="81">
        <v>34.319000000000003</v>
      </c>
      <c r="AH299" s="81">
        <v>36.579000000000001</v>
      </c>
      <c r="AI299" s="81">
        <v>37.262999999999998</v>
      </c>
      <c r="AJ299" s="81">
        <v>51.545000000000002</v>
      </c>
      <c r="AK299" s="81">
        <v>51.654000000000003</v>
      </c>
      <c r="AL299" s="81">
        <v>69.173000000000002</v>
      </c>
      <c r="AM299" s="81">
        <v>70.632999999999996</v>
      </c>
      <c r="AN299" s="12">
        <f>AN341*-AN75/AN334</f>
        <v>73.288585492138466</v>
      </c>
      <c r="AO299" s="106">
        <f>AO341*-AO75/AO334+AO460</f>
        <v>227.78361328273002</v>
      </c>
      <c r="AP299" s="12">
        <f t="shared" ref="AP299:AY299" si="485">AP341*-AP75/AP334</f>
        <v>167.90863220910961</v>
      </c>
      <c r="AQ299" s="12">
        <f t="shared" si="485"/>
        <v>168.17634986028602</v>
      </c>
      <c r="AR299" s="12">
        <f t="shared" si="485"/>
        <v>170.04436094258384</v>
      </c>
      <c r="AS299" s="12">
        <f t="shared" si="485"/>
        <v>170.16316192910787</v>
      </c>
      <c r="AT299" s="12">
        <f t="shared" si="485"/>
        <v>169.02338781175325</v>
      </c>
      <c r="AU299" s="12">
        <f t="shared" si="485"/>
        <v>168.18478191229156</v>
      </c>
      <c r="AV299" s="12">
        <f t="shared" si="485"/>
        <v>169.3215403706871</v>
      </c>
      <c r="AW299" s="12">
        <f t="shared" si="485"/>
        <v>173.27390680525966</v>
      </c>
      <c r="AX299" s="12">
        <f t="shared" si="485"/>
        <v>170.93622180571924</v>
      </c>
      <c r="AY299" s="12">
        <f t="shared" si="485"/>
        <v>168.90254884101185</v>
      </c>
      <c r="BG299" s="4">
        <v>293</v>
      </c>
      <c r="BH299"/>
      <c r="BI299"/>
      <c r="BJ299"/>
      <c r="BK299"/>
      <c r="BL299"/>
      <c r="BM299"/>
    </row>
    <row r="300" spans="1:65" s="3" customFormat="1" ht="11.25" outlineLevel="1">
      <c r="A300" s="2"/>
      <c r="B300" s="34" t="s">
        <v>136</v>
      </c>
      <c r="C300" s="12"/>
      <c r="D300" s="12"/>
      <c r="E300" s="12"/>
      <c r="F300" s="12">
        <v>28.277000000000001</v>
      </c>
      <c r="G300" s="12">
        <v>28.706</v>
      </c>
      <c r="H300" s="12">
        <f t="shared" si="483"/>
        <v>10.525</v>
      </c>
      <c r="I300" s="12">
        <f t="shared" si="483"/>
        <v>27.719000000000001</v>
      </c>
      <c r="J300" s="12">
        <f t="shared" si="483"/>
        <v>26.184999999999999</v>
      </c>
      <c r="K300" s="12">
        <f t="shared" si="483"/>
        <v>79.667000000000002</v>
      </c>
      <c r="L300" s="12">
        <f t="shared" si="483"/>
        <v>79.667000000000002</v>
      </c>
      <c r="M300" s="12">
        <f t="shared" si="483"/>
        <v>79.667000000000002</v>
      </c>
      <c r="N300" s="12">
        <f t="shared" si="483"/>
        <v>79.667000000000002</v>
      </c>
      <c r="O300" s="12"/>
      <c r="P300" s="7"/>
      <c r="Q300" s="7"/>
      <c r="R300" s="7"/>
      <c r="S300" s="7"/>
      <c r="T300" s="12"/>
      <c r="U300" s="81"/>
      <c r="V300" s="12"/>
      <c r="W300" s="81">
        <v>28.706</v>
      </c>
      <c r="X300" s="81">
        <v>38.610999999999997</v>
      </c>
      <c r="Y300" s="81">
        <v>29.152999999999999</v>
      </c>
      <c r="Z300" s="81">
        <v>45.5</v>
      </c>
      <c r="AA300" s="81">
        <v>10.525</v>
      </c>
      <c r="AB300" s="81">
        <v>30.908000000000001</v>
      </c>
      <c r="AC300" s="81">
        <v>30.562000000000001</v>
      </c>
      <c r="AD300" s="81">
        <f>35.501+2.056</f>
        <v>37.556999999999995</v>
      </c>
      <c r="AE300" s="81">
        <f>26.785+0.934</f>
        <v>27.719000000000001</v>
      </c>
      <c r="AF300" s="81">
        <f>21.915+0.456</f>
        <v>22.370999999999999</v>
      </c>
      <c r="AG300" s="81">
        <v>20.120999999999999</v>
      </c>
      <c r="AH300" s="81">
        <v>24.227</v>
      </c>
      <c r="AI300" s="81">
        <v>26.184999999999999</v>
      </c>
      <c r="AJ300" s="81">
        <v>45.435000000000002</v>
      </c>
      <c r="AK300" s="81">
        <v>48.911999999999999</v>
      </c>
      <c r="AL300" s="81">
        <v>85.66</v>
      </c>
      <c r="AM300" s="81">
        <f>74.007+5.66</f>
        <v>79.667000000000002</v>
      </c>
      <c r="AN300" s="103">
        <f t="shared" ref="AN300:AY300" si="486">AM300</f>
        <v>79.667000000000002</v>
      </c>
      <c r="AO300" s="103">
        <f t="shared" si="486"/>
        <v>79.667000000000002</v>
      </c>
      <c r="AP300" s="103">
        <f t="shared" si="486"/>
        <v>79.667000000000002</v>
      </c>
      <c r="AQ300" s="103">
        <f t="shared" si="486"/>
        <v>79.667000000000002</v>
      </c>
      <c r="AR300" s="103">
        <f t="shared" si="486"/>
        <v>79.667000000000002</v>
      </c>
      <c r="AS300" s="103">
        <f t="shared" si="486"/>
        <v>79.667000000000002</v>
      </c>
      <c r="AT300" s="103">
        <f t="shared" si="486"/>
        <v>79.667000000000002</v>
      </c>
      <c r="AU300" s="103">
        <f t="shared" si="486"/>
        <v>79.667000000000002</v>
      </c>
      <c r="AV300" s="103">
        <f t="shared" si="486"/>
        <v>79.667000000000002</v>
      </c>
      <c r="AW300" s="103">
        <f t="shared" si="486"/>
        <v>79.667000000000002</v>
      </c>
      <c r="AX300" s="103">
        <f t="shared" si="486"/>
        <v>79.667000000000002</v>
      </c>
      <c r="AY300" s="103">
        <f t="shared" si="486"/>
        <v>79.667000000000002</v>
      </c>
      <c r="BG300" s="4">
        <v>294</v>
      </c>
      <c r="BH300"/>
      <c r="BI300"/>
      <c r="BJ300"/>
      <c r="BK300"/>
      <c r="BL300"/>
      <c r="BM300"/>
    </row>
    <row r="301" spans="1:65" s="3" customFormat="1" ht="11.25" outlineLevel="1">
      <c r="A301" s="2"/>
      <c r="B301" s="102" t="s">
        <v>135</v>
      </c>
      <c r="C301" s="94"/>
      <c r="D301" s="94"/>
      <c r="E301" s="94"/>
      <c r="F301" s="94">
        <f t="shared" ref="F301:N301" si="487">SUM(F298:F300)</f>
        <v>75.064999999999998</v>
      </c>
      <c r="G301" s="94">
        <f t="shared" si="487"/>
        <v>134.39099999999999</v>
      </c>
      <c r="H301" s="94">
        <f t="shared" si="487"/>
        <v>116.34100000000001</v>
      </c>
      <c r="I301" s="94">
        <f t="shared" si="487"/>
        <v>85.676000000000002</v>
      </c>
      <c r="J301" s="94">
        <f t="shared" si="487"/>
        <v>74.155000000000001</v>
      </c>
      <c r="K301" s="94">
        <f t="shared" si="487"/>
        <v>169.489</v>
      </c>
      <c r="L301" s="94">
        <f t="shared" si="487"/>
        <v>291.09334986028603</v>
      </c>
      <c r="M301" s="94">
        <f t="shared" si="487"/>
        <v>291.10178191229159</v>
      </c>
      <c r="N301" s="94">
        <f t="shared" si="487"/>
        <v>248.56954884101185</v>
      </c>
      <c r="O301" s="12"/>
      <c r="P301" s="95">
        <f t="shared" ref="P301:AY301" si="488">SUM(P298:P300)</f>
        <v>0</v>
      </c>
      <c r="Q301" s="95">
        <f t="shared" si="488"/>
        <v>0</v>
      </c>
      <c r="R301" s="95">
        <f t="shared" si="488"/>
        <v>0</v>
      </c>
      <c r="S301" s="95">
        <f t="shared" si="488"/>
        <v>0</v>
      </c>
      <c r="T301" s="94">
        <f t="shared" si="488"/>
        <v>0</v>
      </c>
      <c r="U301" s="94">
        <f t="shared" si="488"/>
        <v>0</v>
      </c>
      <c r="V301" s="94">
        <f t="shared" si="488"/>
        <v>0</v>
      </c>
      <c r="W301" s="94">
        <f t="shared" si="488"/>
        <v>134.39099999999999</v>
      </c>
      <c r="X301" s="94">
        <f t="shared" si="488"/>
        <v>144.196</v>
      </c>
      <c r="Y301" s="94">
        <f t="shared" si="488"/>
        <v>133.887</v>
      </c>
      <c r="Z301" s="94">
        <f t="shared" si="488"/>
        <v>160.03199999999998</v>
      </c>
      <c r="AA301" s="94">
        <f t="shared" si="488"/>
        <v>116.34100000000001</v>
      </c>
      <c r="AB301" s="94">
        <f t="shared" si="488"/>
        <v>118.712</v>
      </c>
      <c r="AC301" s="94">
        <f t="shared" si="488"/>
        <v>94.298999999999992</v>
      </c>
      <c r="AD301" s="94">
        <f t="shared" si="488"/>
        <v>99.539999999999992</v>
      </c>
      <c r="AE301" s="94">
        <f t="shared" si="488"/>
        <v>85.676000000000002</v>
      </c>
      <c r="AF301" s="94">
        <f t="shared" si="488"/>
        <v>160.18300000000002</v>
      </c>
      <c r="AG301" s="94">
        <f t="shared" si="488"/>
        <v>85.117000000000004</v>
      </c>
      <c r="AH301" s="94">
        <f t="shared" si="488"/>
        <v>91.2</v>
      </c>
      <c r="AI301" s="94">
        <f t="shared" si="488"/>
        <v>74.155000000000001</v>
      </c>
      <c r="AJ301" s="94">
        <f t="shared" si="488"/>
        <v>108.59700000000001</v>
      </c>
      <c r="AK301" s="94">
        <f t="shared" si="488"/>
        <v>112.738</v>
      </c>
      <c r="AL301" s="94">
        <f t="shared" si="488"/>
        <v>166.60500000000002</v>
      </c>
      <c r="AM301" s="94">
        <f t="shared" si="488"/>
        <v>169.489</v>
      </c>
      <c r="AN301" s="94">
        <f t="shared" si="488"/>
        <v>164.95558549213848</v>
      </c>
      <c r="AO301" s="94">
        <f t="shared" si="488"/>
        <v>350.70061328273005</v>
      </c>
      <c r="AP301" s="94">
        <f t="shared" si="488"/>
        <v>290.82563220910959</v>
      </c>
      <c r="AQ301" s="94">
        <f t="shared" si="488"/>
        <v>291.09334986028603</v>
      </c>
      <c r="AR301" s="94">
        <f t="shared" si="488"/>
        <v>292.96136094258384</v>
      </c>
      <c r="AS301" s="94">
        <f t="shared" si="488"/>
        <v>293.08016192910787</v>
      </c>
      <c r="AT301" s="94">
        <f t="shared" si="488"/>
        <v>291.94038781175323</v>
      </c>
      <c r="AU301" s="94">
        <f t="shared" si="488"/>
        <v>291.10178191229159</v>
      </c>
      <c r="AV301" s="94">
        <f t="shared" si="488"/>
        <v>281.42604037068713</v>
      </c>
      <c r="AW301" s="94">
        <f t="shared" si="488"/>
        <v>274.56590680525966</v>
      </c>
      <c r="AX301" s="94">
        <f t="shared" si="488"/>
        <v>261.41572180571927</v>
      </c>
      <c r="AY301" s="94">
        <f t="shared" si="488"/>
        <v>248.56954884101185</v>
      </c>
      <c r="BG301" s="4">
        <v>295</v>
      </c>
      <c r="BH301"/>
      <c r="BI301"/>
      <c r="BJ301"/>
      <c r="BK301"/>
      <c r="BL301"/>
      <c r="BM301"/>
    </row>
    <row r="302" spans="1:65" s="3" customFormat="1" ht="11.25" outlineLevel="1">
      <c r="A302" s="2"/>
      <c r="B302" s="34" t="s">
        <v>77</v>
      </c>
      <c r="C302" s="12">
        <v>235.40899999999999</v>
      </c>
      <c r="D302" s="12">
        <v>709.92499999999995</v>
      </c>
      <c r="E302" s="12">
        <v>947.447</v>
      </c>
      <c r="F302" s="12">
        <v>827.86300000000006</v>
      </c>
      <c r="G302" s="12">
        <v>1246.4590000000001</v>
      </c>
      <c r="H302" s="12">
        <f t="shared" ref="H302:N304" si="489">INDEX($P302:$AZ302,1,MATCH(H$5,$P$5:$AZ$5,0))</f>
        <v>1235.365</v>
      </c>
      <c r="I302" s="12">
        <f t="shared" si="489"/>
        <v>1220.28</v>
      </c>
      <c r="J302" s="12">
        <f t="shared" si="489"/>
        <v>832.30600000000004</v>
      </c>
      <c r="K302" s="12">
        <f t="shared" si="489"/>
        <v>729.74099999999999</v>
      </c>
      <c r="L302" s="12">
        <f t="shared" si="489"/>
        <v>1644.0650000000001</v>
      </c>
      <c r="M302" s="12">
        <f t="shared" si="489"/>
        <v>1600.8150000000001</v>
      </c>
      <c r="N302" s="12">
        <f t="shared" si="489"/>
        <v>1600.8150000000001</v>
      </c>
      <c r="O302" s="12"/>
      <c r="P302" s="7"/>
      <c r="Q302" s="7"/>
      <c r="R302" s="7"/>
      <c r="S302" s="7"/>
      <c r="T302" s="12"/>
      <c r="U302" s="81"/>
      <c r="V302" s="12"/>
      <c r="W302" s="81">
        <v>1246.4590000000001</v>
      </c>
      <c r="X302" s="81">
        <v>1246.3240000000001</v>
      </c>
      <c r="Y302" s="105">
        <v>1249.2850000000001</v>
      </c>
      <c r="Z302" s="105">
        <v>1235.885</v>
      </c>
      <c r="AA302" s="105">
        <v>1235.365</v>
      </c>
      <c r="AB302" s="105">
        <v>1233.5440000000001</v>
      </c>
      <c r="AC302" s="105">
        <v>1229.646</v>
      </c>
      <c r="AD302" s="105">
        <v>1224.3109999999999</v>
      </c>
      <c r="AE302" s="105">
        <v>1220.28</v>
      </c>
      <c r="AF302" s="105">
        <v>1119.597</v>
      </c>
      <c r="AG302" s="105">
        <v>1115.877</v>
      </c>
      <c r="AH302" s="105">
        <v>1113.6880000000001</v>
      </c>
      <c r="AI302" s="105">
        <v>832.30600000000004</v>
      </c>
      <c r="AJ302" s="105">
        <v>833.49199999999996</v>
      </c>
      <c r="AK302" s="105">
        <v>783.94600000000003</v>
      </c>
      <c r="AL302" s="105">
        <v>782.73500000000001</v>
      </c>
      <c r="AM302" s="105">
        <v>729.74099999999999</v>
      </c>
      <c r="AN302" s="104">
        <f t="shared" ref="AN302:AY302" si="490">AN383</f>
        <v>741.40595119913201</v>
      </c>
      <c r="AO302" s="104">
        <f t="shared" si="490"/>
        <v>1665.69</v>
      </c>
      <c r="AP302" s="104">
        <f t="shared" si="490"/>
        <v>1654.8775000000001</v>
      </c>
      <c r="AQ302" s="104">
        <f t="shared" si="490"/>
        <v>1644.0650000000001</v>
      </c>
      <c r="AR302" s="104">
        <f t="shared" si="490"/>
        <v>1633.2525000000001</v>
      </c>
      <c r="AS302" s="104">
        <f t="shared" si="490"/>
        <v>1622.44</v>
      </c>
      <c r="AT302" s="104">
        <f t="shared" si="490"/>
        <v>1611.6275000000001</v>
      </c>
      <c r="AU302" s="104">
        <f t="shared" si="490"/>
        <v>1600.8150000000001</v>
      </c>
      <c r="AV302" s="104">
        <f t="shared" si="490"/>
        <v>1600.8150000000001</v>
      </c>
      <c r="AW302" s="104">
        <f t="shared" si="490"/>
        <v>1600.8150000000001</v>
      </c>
      <c r="AX302" s="104">
        <f t="shared" si="490"/>
        <v>1600.8150000000001</v>
      </c>
      <c r="AY302" s="104">
        <f t="shared" si="490"/>
        <v>1600.8150000000001</v>
      </c>
      <c r="BG302" s="4">
        <v>296</v>
      </c>
      <c r="BH302"/>
      <c r="BI302"/>
      <c r="BJ302"/>
      <c r="BK302"/>
      <c r="BL302"/>
      <c r="BM302"/>
    </row>
    <row r="303" spans="1:65" s="3" customFormat="1" ht="11.25" outlineLevel="1">
      <c r="A303" s="2"/>
      <c r="B303" s="34" t="s">
        <v>134</v>
      </c>
      <c r="C303" s="12"/>
      <c r="D303" s="12"/>
      <c r="E303" s="12"/>
      <c r="F303" s="12">
        <v>36.472000000000001</v>
      </c>
      <c r="G303" s="12">
        <v>46.850999999999999</v>
      </c>
      <c r="H303" s="12">
        <f t="shared" si="489"/>
        <v>74.350999999999999</v>
      </c>
      <c r="I303" s="12">
        <f t="shared" si="489"/>
        <v>89.569000000000003</v>
      </c>
      <c r="J303" s="12">
        <f t="shared" si="489"/>
        <v>7.0570000000000004</v>
      </c>
      <c r="K303" s="12">
        <f t="shared" si="489"/>
        <v>3.6059999999999999</v>
      </c>
      <c r="L303" s="12">
        <f t="shared" si="489"/>
        <v>15.516526487327173</v>
      </c>
      <c r="M303" s="12">
        <f t="shared" si="489"/>
        <v>14.911330304551678</v>
      </c>
      <c r="N303" s="12">
        <f t="shared" si="489"/>
        <v>14.350263132307589</v>
      </c>
      <c r="O303" s="12"/>
      <c r="P303" s="7"/>
      <c r="Q303" s="7"/>
      <c r="R303" s="7"/>
      <c r="S303" s="7"/>
      <c r="T303" s="12"/>
      <c r="U303" s="81"/>
      <c r="V303" s="12"/>
      <c r="W303" s="81">
        <v>46.850999999999999</v>
      </c>
      <c r="X303" s="81">
        <v>47.262999999999998</v>
      </c>
      <c r="Y303" s="81">
        <v>47.953000000000003</v>
      </c>
      <c r="Z303" s="81">
        <v>50.539000000000001</v>
      </c>
      <c r="AA303" s="81">
        <v>74.350999999999999</v>
      </c>
      <c r="AB303" s="81">
        <v>74.613</v>
      </c>
      <c r="AC303" s="81">
        <v>60.895000000000003</v>
      </c>
      <c r="AD303" s="81">
        <v>77.465999999999994</v>
      </c>
      <c r="AE303" s="81">
        <v>89.569000000000003</v>
      </c>
      <c r="AF303" s="81">
        <v>73.501999999999995</v>
      </c>
      <c r="AG303" s="81">
        <v>26.486999999999998</v>
      </c>
      <c r="AH303" s="81">
        <v>6.7009999999999996</v>
      </c>
      <c r="AI303" s="81">
        <v>7.0570000000000004</v>
      </c>
      <c r="AJ303" s="81">
        <v>6.8929999999999998</v>
      </c>
      <c r="AK303" s="81">
        <v>7.8390000000000004</v>
      </c>
      <c r="AL303" s="81">
        <v>10.728</v>
      </c>
      <c r="AM303" s="81">
        <v>3.6059999999999999</v>
      </c>
      <c r="AN303" s="12">
        <f t="shared" ref="AN303:AY303" si="491">AN348*AN291</f>
        <v>3.6892265454321564</v>
      </c>
      <c r="AO303" s="12">
        <f t="shared" si="491"/>
        <v>15.912536436708059</v>
      </c>
      <c r="AP303" s="12">
        <f t="shared" si="491"/>
        <v>15.675121590120353</v>
      </c>
      <c r="AQ303" s="12">
        <f t="shared" si="491"/>
        <v>15.516526487327173</v>
      </c>
      <c r="AR303" s="12">
        <f t="shared" si="491"/>
        <v>15.360905042711366</v>
      </c>
      <c r="AS303" s="12">
        <f t="shared" si="491"/>
        <v>15.208201500182101</v>
      </c>
      <c r="AT303" s="12">
        <f t="shared" si="491"/>
        <v>15.058361149075264</v>
      </c>
      <c r="AU303" s="12">
        <f t="shared" si="491"/>
        <v>14.911330304551678</v>
      </c>
      <c r="AV303" s="12">
        <f t="shared" si="491"/>
        <v>14.767056288362912</v>
      </c>
      <c r="AW303" s="12">
        <f t="shared" si="491"/>
        <v>14.625487409977682</v>
      </c>
      <c r="AX303" s="12">
        <f t="shared" si="491"/>
        <v>14.486572948062177</v>
      </c>
      <c r="AY303" s="12">
        <f t="shared" si="491"/>
        <v>14.350263132307589</v>
      </c>
      <c r="BG303" s="4">
        <v>297</v>
      </c>
      <c r="BH303"/>
      <c r="BI303"/>
      <c r="BJ303"/>
      <c r="BK303"/>
      <c r="BL303"/>
      <c r="BM303"/>
    </row>
    <row r="304" spans="1:65" s="3" customFormat="1" ht="11.25" outlineLevel="1">
      <c r="A304" s="2"/>
      <c r="B304" s="34" t="s">
        <v>133</v>
      </c>
      <c r="C304" s="12"/>
      <c r="D304" s="12"/>
      <c r="E304" s="12"/>
      <c r="F304" s="12">
        <v>26.129000000000001</v>
      </c>
      <c r="G304" s="12">
        <v>21.088000000000001</v>
      </c>
      <c r="H304" s="12">
        <f t="shared" si="489"/>
        <v>28.984999999999999</v>
      </c>
      <c r="I304" s="12">
        <f t="shared" si="489"/>
        <v>33.802</v>
      </c>
      <c r="J304" s="12">
        <f t="shared" si="489"/>
        <v>38.271999999999998</v>
      </c>
      <c r="K304" s="12">
        <f t="shared" si="489"/>
        <v>42.189</v>
      </c>
      <c r="L304" s="12">
        <f t="shared" si="489"/>
        <v>42.189</v>
      </c>
      <c r="M304" s="12">
        <f t="shared" si="489"/>
        <v>42.189</v>
      </c>
      <c r="N304" s="12">
        <f t="shared" si="489"/>
        <v>42.189</v>
      </c>
      <c r="O304" s="12"/>
      <c r="P304" s="7"/>
      <c r="Q304" s="7"/>
      <c r="R304" s="7"/>
      <c r="S304" s="7"/>
      <c r="T304" s="12"/>
      <c r="U304" s="81"/>
      <c r="V304" s="12"/>
      <c r="W304" s="81">
        <v>21.088000000000001</v>
      </c>
      <c r="X304" s="81">
        <v>21.779</v>
      </c>
      <c r="Y304" s="81">
        <v>26.335999999999999</v>
      </c>
      <c r="Z304" s="81">
        <v>22.736999999999998</v>
      </c>
      <c r="AA304" s="81">
        <v>28.984999999999999</v>
      </c>
      <c r="AB304" s="81">
        <v>32.439</v>
      </c>
      <c r="AC304" s="81">
        <v>33.015999999999998</v>
      </c>
      <c r="AD304" s="81">
        <v>34.308</v>
      </c>
      <c r="AE304" s="81">
        <v>33.802</v>
      </c>
      <c r="AF304" s="81">
        <v>36.326999999999998</v>
      </c>
      <c r="AG304" s="81">
        <v>41.167000000000002</v>
      </c>
      <c r="AH304" s="81">
        <v>40.771999999999998</v>
      </c>
      <c r="AI304" s="81">
        <v>38.271999999999998</v>
      </c>
      <c r="AJ304" s="81">
        <v>43.104999999999997</v>
      </c>
      <c r="AK304" s="81">
        <v>43.311</v>
      </c>
      <c r="AL304" s="81">
        <v>50.3</v>
      </c>
      <c r="AM304" s="81">
        <v>42.189</v>
      </c>
      <c r="AN304" s="103">
        <f t="shared" ref="AN304:AY304" si="492">AM304</f>
        <v>42.189</v>
      </c>
      <c r="AO304" s="103">
        <f t="shared" si="492"/>
        <v>42.189</v>
      </c>
      <c r="AP304" s="103">
        <f t="shared" si="492"/>
        <v>42.189</v>
      </c>
      <c r="AQ304" s="103">
        <f t="shared" si="492"/>
        <v>42.189</v>
      </c>
      <c r="AR304" s="103">
        <f t="shared" si="492"/>
        <v>42.189</v>
      </c>
      <c r="AS304" s="103">
        <f t="shared" si="492"/>
        <v>42.189</v>
      </c>
      <c r="AT304" s="103">
        <f t="shared" si="492"/>
        <v>42.189</v>
      </c>
      <c r="AU304" s="103">
        <f t="shared" si="492"/>
        <v>42.189</v>
      </c>
      <c r="AV304" s="103">
        <f t="shared" si="492"/>
        <v>42.189</v>
      </c>
      <c r="AW304" s="103">
        <f t="shared" si="492"/>
        <v>42.189</v>
      </c>
      <c r="AX304" s="103">
        <f t="shared" si="492"/>
        <v>42.189</v>
      </c>
      <c r="AY304" s="103">
        <f t="shared" si="492"/>
        <v>42.189</v>
      </c>
      <c r="BG304" s="4">
        <v>298</v>
      </c>
      <c r="BH304"/>
      <c r="BI304"/>
      <c r="BJ304"/>
      <c r="BK304"/>
      <c r="BL304"/>
      <c r="BM304"/>
    </row>
    <row r="305" spans="1:65" s="3" customFormat="1" ht="11.25" outlineLevel="1">
      <c r="A305" s="2"/>
      <c r="B305" s="102" t="s">
        <v>132</v>
      </c>
      <c r="C305" s="94">
        <v>314.45800000000003</v>
      </c>
      <c r="D305" s="94">
        <v>857.47500000000002</v>
      </c>
      <c r="E305" s="94">
        <v>1094.1679999999999</v>
      </c>
      <c r="F305" s="94">
        <f t="shared" ref="F305:N305" si="493">SUM(F301:F304)</f>
        <v>965.52900000000011</v>
      </c>
      <c r="G305" s="94">
        <f t="shared" si="493"/>
        <v>1448.789</v>
      </c>
      <c r="H305" s="94">
        <f t="shared" si="493"/>
        <v>1455.0420000000001</v>
      </c>
      <c r="I305" s="94">
        <f t="shared" si="493"/>
        <v>1429.3269999999998</v>
      </c>
      <c r="J305" s="94">
        <f t="shared" si="493"/>
        <v>951.79000000000008</v>
      </c>
      <c r="K305" s="94">
        <f t="shared" si="493"/>
        <v>945.02499999999998</v>
      </c>
      <c r="L305" s="94">
        <f t="shared" si="493"/>
        <v>1992.8638763476133</v>
      </c>
      <c r="M305" s="94">
        <f t="shared" si="493"/>
        <v>1949.0171122168435</v>
      </c>
      <c r="N305" s="94">
        <f t="shared" si="493"/>
        <v>1905.9238119733197</v>
      </c>
      <c r="O305" s="12"/>
      <c r="P305" s="95">
        <f t="shared" ref="P305:AY305" si="494">SUM(P301:P304)</f>
        <v>0</v>
      </c>
      <c r="Q305" s="95">
        <f t="shared" si="494"/>
        <v>0</v>
      </c>
      <c r="R305" s="95">
        <f t="shared" si="494"/>
        <v>0</v>
      </c>
      <c r="S305" s="95">
        <f t="shared" si="494"/>
        <v>0</v>
      </c>
      <c r="T305" s="94">
        <f t="shared" si="494"/>
        <v>0</v>
      </c>
      <c r="U305" s="94">
        <f t="shared" si="494"/>
        <v>0</v>
      </c>
      <c r="V305" s="94">
        <f t="shared" si="494"/>
        <v>0</v>
      </c>
      <c r="W305" s="94">
        <f t="shared" si="494"/>
        <v>1448.789</v>
      </c>
      <c r="X305" s="94">
        <f t="shared" si="494"/>
        <v>1459.5619999999999</v>
      </c>
      <c r="Y305" s="94">
        <f t="shared" si="494"/>
        <v>1457.461</v>
      </c>
      <c r="Z305" s="94">
        <f t="shared" si="494"/>
        <v>1469.193</v>
      </c>
      <c r="AA305" s="94">
        <f t="shared" si="494"/>
        <v>1455.0420000000001</v>
      </c>
      <c r="AB305" s="94">
        <f t="shared" si="494"/>
        <v>1459.3080000000002</v>
      </c>
      <c r="AC305" s="94">
        <f t="shared" si="494"/>
        <v>1417.856</v>
      </c>
      <c r="AD305" s="94">
        <f t="shared" si="494"/>
        <v>1435.6249999999998</v>
      </c>
      <c r="AE305" s="94">
        <f t="shared" si="494"/>
        <v>1429.3269999999998</v>
      </c>
      <c r="AF305" s="94">
        <f t="shared" si="494"/>
        <v>1389.6089999999999</v>
      </c>
      <c r="AG305" s="94">
        <f t="shared" si="494"/>
        <v>1268.6479999999999</v>
      </c>
      <c r="AH305" s="94">
        <f t="shared" si="494"/>
        <v>1252.3610000000001</v>
      </c>
      <c r="AI305" s="94">
        <f t="shared" si="494"/>
        <v>951.79000000000008</v>
      </c>
      <c r="AJ305" s="94">
        <f t="shared" si="494"/>
        <v>992.08699999999999</v>
      </c>
      <c r="AK305" s="94">
        <f t="shared" si="494"/>
        <v>947.83400000000006</v>
      </c>
      <c r="AL305" s="94">
        <f t="shared" si="494"/>
        <v>1010.3679999999999</v>
      </c>
      <c r="AM305" s="94">
        <f t="shared" si="494"/>
        <v>945.02499999999998</v>
      </c>
      <c r="AN305" s="95">
        <f t="shared" si="494"/>
        <v>952.23976323670252</v>
      </c>
      <c r="AO305" s="95">
        <f t="shared" si="494"/>
        <v>2074.4921497194382</v>
      </c>
      <c r="AP305" s="95">
        <f t="shared" si="494"/>
        <v>2003.5672537992302</v>
      </c>
      <c r="AQ305" s="95">
        <f t="shared" si="494"/>
        <v>1992.8638763476133</v>
      </c>
      <c r="AR305" s="95">
        <f t="shared" si="494"/>
        <v>1983.7637659852953</v>
      </c>
      <c r="AS305" s="95">
        <f t="shared" si="494"/>
        <v>1972.9173634292902</v>
      </c>
      <c r="AT305" s="95">
        <f t="shared" si="494"/>
        <v>1960.8152489608285</v>
      </c>
      <c r="AU305" s="95">
        <f t="shared" si="494"/>
        <v>1949.0171122168435</v>
      </c>
      <c r="AV305" s="95">
        <f t="shared" si="494"/>
        <v>1939.1970966590502</v>
      </c>
      <c r="AW305" s="95">
        <f t="shared" si="494"/>
        <v>1932.1953942152375</v>
      </c>
      <c r="AX305" s="95">
        <f t="shared" si="494"/>
        <v>1918.9062947537816</v>
      </c>
      <c r="AY305" s="95">
        <f t="shared" si="494"/>
        <v>1905.9238119733197</v>
      </c>
      <c r="BG305" s="4">
        <v>299</v>
      </c>
      <c r="BH305"/>
      <c r="BI305"/>
      <c r="BJ305"/>
      <c r="BK305"/>
      <c r="BL305"/>
      <c r="BM305"/>
    </row>
    <row r="306" spans="1:65" s="98" customFormat="1" ht="11.25" hidden="1" outlineLevel="3">
      <c r="A306" s="2"/>
      <c r="B306" s="34" t="s">
        <v>131</v>
      </c>
      <c r="C306" s="12"/>
      <c r="D306" s="12"/>
      <c r="E306" s="12">
        <v>2.331</v>
      </c>
      <c r="F306" s="12">
        <v>6.9000000000000006E-2</v>
      </c>
      <c r="G306" s="12">
        <v>6.9000000000000006E-2</v>
      </c>
      <c r="H306" s="12">
        <f t="shared" ref="H306:N312" si="495">INDEX($P306:$AZ306,1,MATCH(H$5,$P$5:$AZ$5,0))</f>
        <v>2.387</v>
      </c>
      <c r="I306" s="12">
        <f t="shared" si="495"/>
        <v>2.391</v>
      </c>
      <c r="J306" s="12">
        <f t="shared" si="495"/>
        <v>2.4220000000000002</v>
      </c>
      <c r="K306" s="12">
        <f t="shared" si="495"/>
        <v>2.423</v>
      </c>
      <c r="L306" s="12">
        <f t="shared" si="495"/>
        <v>2.423</v>
      </c>
      <c r="M306" s="12">
        <f t="shared" si="495"/>
        <v>2.423</v>
      </c>
      <c r="N306" s="12">
        <f t="shared" si="495"/>
        <v>2.423</v>
      </c>
      <c r="O306" s="99"/>
      <c r="P306" s="100"/>
      <c r="Q306" s="100"/>
      <c r="R306" s="100"/>
      <c r="S306" s="100"/>
      <c r="T306" s="99"/>
      <c r="U306" s="99">
        <v>2.335</v>
      </c>
      <c r="V306" s="99"/>
      <c r="W306" s="99">
        <v>6.9000000000000006E-2</v>
      </c>
      <c r="X306" s="99">
        <v>6.9000000000000006E-2</v>
      </c>
      <c r="Y306" s="99">
        <v>6.9000000000000006E-2</v>
      </c>
      <c r="Z306" s="99">
        <f>2.352+0.006</f>
        <v>2.3579999999999997</v>
      </c>
      <c r="AA306" s="99">
        <v>2.387</v>
      </c>
      <c r="AB306" s="99">
        <v>2.3879999999999999</v>
      </c>
      <c r="AC306" s="99">
        <v>2.391</v>
      </c>
      <c r="AD306" s="99">
        <v>2.391</v>
      </c>
      <c r="AE306" s="99">
        <v>2.391</v>
      </c>
      <c r="AF306" s="99">
        <v>2.3919999999999999</v>
      </c>
      <c r="AG306" s="99">
        <v>2.3969999999999998</v>
      </c>
      <c r="AH306" s="99">
        <v>2.4079999999999999</v>
      </c>
      <c r="AI306" s="99">
        <v>2.4220000000000002</v>
      </c>
      <c r="AJ306" s="99">
        <v>2.4220000000000002</v>
      </c>
      <c r="AK306" s="99">
        <v>2.423</v>
      </c>
      <c r="AL306" s="99">
        <v>2.423</v>
      </c>
      <c r="AM306" s="99">
        <v>2.423</v>
      </c>
      <c r="AN306" s="99">
        <f t="shared" ref="AN306:AY306" si="496">AM306</f>
        <v>2.423</v>
      </c>
      <c r="AO306" s="99">
        <f t="shared" si="496"/>
        <v>2.423</v>
      </c>
      <c r="AP306" s="99">
        <f t="shared" si="496"/>
        <v>2.423</v>
      </c>
      <c r="AQ306" s="99">
        <f t="shared" si="496"/>
        <v>2.423</v>
      </c>
      <c r="AR306" s="99">
        <f t="shared" si="496"/>
        <v>2.423</v>
      </c>
      <c r="AS306" s="99">
        <f t="shared" si="496"/>
        <v>2.423</v>
      </c>
      <c r="AT306" s="99">
        <f t="shared" si="496"/>
        <v>2.423</v>
      </c>
      <c r="AU306" s="99">
        <f t="shared" si="496"/>
        <v>2.423</v>
      </c>
      <c r="AV306" s="99">
        <f t="shared" si="496"/>
        <v>2.423</v>
      </c>
      <c r="AW306" s="99">
        <f t="shared" si="496"/>
        <v>2.423</v>
      </c>
      <c r="AX306" s="99">
        <f t="shared" si="496"/>
        <v>2.423</v>
      </c>
      <c r="AY306" s="99">
        <f t="shared" si="496"/>
        <v>2.423</v>
      </c>
      <c r="BG306" s="4">
        <v>300</v>
      </c>
      <c r="BH306"/>
      <c r="BI306"/>
      <c r="BJ306"/>
      <c r="BK306"/>
      <c r="BL306"/>
      <c r="BM306"/>
    </row>
    <row r="307" spans="1:65" s="98" customFormat="1" ht="11.25" hidden="1" outlineLevel="3">
      <c r="A307" s="2"/>
      <c r="B307" s="34" t="s">
        <v>130</v>
      </c>
      <c r="C307" s="12"/>
      <c r="D307" s="12"/>
      <c r="E307" s="12">
        <v>705.84900000000005</v>
      </c>
      <c r="F307" s="12">
        <v>722.12300000000005</v>
      </c>
      <c r="G307" s="12">
        <v>735.36</v>
      </c>
      <c r="H307" s="12">
        <f t="shared" si="495"/>
        <v>771.88800000000003</v>
      </c>
      <c r="I307" s="12">
        <f t="shared" si="495"/>
        <v>776.70500000000004</v>
      </c>
      <c r="J307" s="12">
        <f t="shared" si="495"/>
        <v>297.649</v>
      </c>
      <c r="K307" s="12">
        <f t="shared" si="495"/>
        <v>299.91199999999998</v>
      </c>
      <c r="L307" s="12">
        <f t="shared" si="495"/>
        <v>2615.9119999999998</v>
      </c>
      <c r="M307" s="12">
        <f t="shared" si="495"/>
        <v>2635.9119999999998</v>
      </c>
      <c r="N307" s="12">
        <f t="shared" si="495"/>
        <v>2655.9119999999998</v>
      </c>
      <c r="O307" s="99"/>
      <c r="P307" s="100"/>
      <c r="Q307" s="100"/>
      <c r="R307" s="100"/>
      <c r="S307" s="100"/>
      <c r="T307" s="99"/>
      <c r="U307" s="99">
        <v>724.81399999999996</v>
      </c>
      <c r="V307" s="99"/>
      <c r="W307" s="99">
        <v>735.36</v>
      </c>
      <c r="X307" s="99">
        <v>737.45399999999995</v>
      </c>
      <c r="Y307" s="99">
        <v>746.34500000000003</v>
      </c>
      <c r="Z307" s="99">
        <v>749.84100000000001</v>
      </c>
      <c r="AA307" s="99">
        <v>771.88800000000003</v>
      </c>
      <c r="AB307" s="99">
        <v>774.43200000000002</v>
      </c>
      <c r="AC307" s="99">
        <v>778.16499999999996</v>
      </c>
      <c r="AD307" s="99">
        <v>780.86300000000006</v>
      </c>
      <c r="AE307" s="99">
        <v>776.70500000000004</v>
      </c>
      <c r="AF307" s="99">
        <v>777.72</v>
      </c>
      <c r="AG307" s="99">
        <v>782.976</v>
      </c>
      <c r="AH307" s="99">
        <v>494.27800000000002</v>
      </c>
      <c r="AI307" s="99">
        <v>297.649</v>
      </c>
      <c r="AJ307" s="99">
        <v>297.19</v>
      </c>
      <c r="AK307" s="99">
        <v>298.03800000000001</v>
      </c>
      <c r="AL307" s="99">
        <v>300.28100000000001</v>
      </c>
      <c r="AM307" s="99">
        <v>299.91199999999998</v>
      </c>
      <c r="AN307" s="99">
        <f>AM307+AN264+AN248</f>
        <v>302.91199999999998</v>
      </c>
      <c r="AO307" s="101">
        <f>AN307+AO264+AO248+AO452</f>
        <v>2605.9119999999998</v>
      </c>
      <c r="AP307" s="99">
        <f t="shared" ref="AP307:AY307" si="497">AO307+AP264+AP248</f>
        <v>2610.9119999999998</v>
      </c>
      <c r="AQ307" s="99">
        <f t="shared" si="497"/>
        <v>2615.9119999999998</v>
      </c>
      <c r="AR307" s="99">
        <f t="shared" si="497"/>
        <v>2620.9119999999998</v>
      </c>
      <c r="AS307" s="99">
        <f t="shared" si="497"/>
        <v>2625.9119999999998</v>
      </c>
      <c r="AT307" s="99">
        <f t="shared" si="497"/>
        <v>2630.9119999999998</v>
      </c>
      <c r="AU307" s="99">
        <f t="shared" si="497"/>
        <v>2635.9119999999998</v>
      </c>
      <c r="AV307" s="99">
        <f t="shared" si="497"/>
        <v>2640.9119999999998</v>
      </c>
      <c r="AW307" s="99">
        <f t="shared" si="497"/>
        <v>2645.9119999999998</v>
      </c>
      <c r="AX307" s="99">
        <f t="shared" si="497"/>
        <v>2650.9119999999998</v>
      </c>
      <c r="AY307" s="99">
        <f t="shared" si="497"/>
        <v>2655.9119999999998</v>
      </c>
      <c r="BG307" s="4">
        <v>301</v>
      </c>
      <c r="BH307"/>
      <c r="BI307"/>
      <c r="BJ307"/>
      <c r="BK307"/>
      <c r="BL307"/>
      <c r="BM307"/>
    </row>
    <row r="308" spans="1:65" s="98" customFormat="1" ht="11.25" hidden="1" outlineLevel="3">
      <c r="A308" s="2"/>
      <c r="B308" s="34" t="s">
        <v>129</v>
      </c>
      <c r="C308" s="12"/>
      <c r="D308" s="12"/>
      <c r="E308" s="12">
        <v>-1224.2850000000001</v>
      </c>
      <c r="F308" s="12">
        <v>-1225.299</v>
      </c>
      <c r="G308" s="12">
        <v>-1227.001</v>
      </c>
      <c r="H308" s="12">
        <f t="shared" si="495"/>
        <v>-1227.663</v>
      </c>
      <c r="I308" s="12">
        <f t="shared" si="495"/>
        <v>-1227.663</v>
      </c>
      <c r="J308" s="12">
        <f t="shared" si="495"/>
        <v>-294.87400000000002</v>
      </c>
      <c r="K308" s="12">
        <f t="shared" si="495"/>
        <v>-285.52</v>
      </c>
      <c r="L308" s="12">
        <f t="shared" si="495"/>
        <v>-285.52</v>
      </c>
      <c r="M308" s="12">
        <f t="shared" si="495"/>
        <v>-285.52</v>
      </c>
      <c r="N308" s="12">
        <f t="shared" si="495"/>
        <v>-285.52</v>
      </c>
      <c r="O308" s="99"/>
      <c r="P308" s="100"/>
      <c r="Q308" s="100"/>
      <c r="R308" s="100"/>
      <c r="S308" s="100"/>
      <c r="T308" s="99"/>
      <c r="U308" s="99">
        <v>-1226.9770000000001</v>
      </c>
      <c r="V308" s="99"/>
      <c r="W308" s="99">
        <v>-1227.001</v>
      </c>
      <c r="X308" s="99">
        <v>-1227.001</v>
      </c>
      <c r="Y308" s="99">
        <v>-1227.663</v>
      </c>
      <c r="Z308" s="99">
        <v>-1227.663</v>
      </c>
      <c r="AA308" s="99">
        <v>-1227.663</v>
      </c>
      <c r="AB308" s="99">
        <v>-1227.663</v>
      </c>
      <c r="AC308" s="99">
        <v>-1227.663</v>
      </c>
      <c r="AD308" s="99">
        <v>-1227.663</v>
      </c>
      <c r="AE308" s="99">
        <v>-1227.663</v>
      </c>
      <c r="AF308" s="99">
        <v>-1227.663</v>
      </c>
      <c r="AG308" s="99">
        <v>-1227.663</v>
      </c>
      <c r="AH308" s="99">
        <v>-773.12599999999998</v>
      </c>
      <c r="AI308" s="99">
        <v>-294.87400000000002</v>
      </c>
      <c r="AJ308" s="99">
        <v>-290.81299999999999</v>
      </c>
      <c r="AK308" s="99">
        <v>-288.84899999999999</v>
      </c>
      <c r="AL308" s="99">
        <v>-288.66199999999998</v>
      </c>
      <c r="AM308" s="99">
        <v>-285.52</v>
      </c>
      <c r="AN308" s="99">
        <f t="shared" ref="AN308:AY308" si="498">AM308+AN265</f>
        <v>-285.52</v>
      </c>
      <c r="AO308" s="99">
        <f t="shared" si="498"/>
        <v>-285.52</v>
      </c>
      <c r="AP308" s="99">
        <f t="shared" si="498"/>
        <v>-285.52</v>
      </c>
      <c r="AQ308" s="99">
        <f t="shared" si="498"/>
        <v>-285.52</v>
      </c>
      <c r="AR308" s="99">
        <f t="shared" si="498"/>
        <v>-285.52</v>
      </c>
      <c r="AS308" s="99">
        <f t="shared" si="498"/>
        <v>-285.52</v>
      </c>
      <c r="AT308" s="99">
        <f t="shared" si="498"/>
        <v>-285.52</v>
      </c>
      <c r="AU308" s="99">
        <f t="shared" si="498"/>
        <v>-285.52</v>
      </c>
      <c r="AV308" s="99">
        <f t="shared" si="498"/>
        <v>-285.52</v>
      </c>
      <c r="AW308" s="99">
        <f t="shared" si="498"/>
        <v>-285.52</v>
      </c>
      <c r="AX308" s="99">
        <f t="shared" si="498"/>
        <v>-285.52</v>
      </c>
      <c r="AY308" s="99">
        <f t="shared" si="498"/>
        <v>-285.52</v>
      </c>
      <c r="BG308" s="4">
        <v>302</v>
      </c>
      <c r="BH308"/>
      <c r="BI308"/>
      <c r="BJ308"/>
      <c r="BK308"/>
      <c r="BL308"/>
      <c r="BM308"/>
    </row>
    <row r="309" spans="1:65" s="98" customFormat="1" ht="11.25" hidden="1" outlineLevel="3">
      <c r="A309" s="2"/>
      <c r="B309" s="34" t="s">
        <v>128</v>
      </c>
      <c r="C309" s="12"/>
      <c r="D309" s="12"/>
      <c r="E309" s="12">
        <v>73.882000000000005</v>
      </c>
      <c r="F309" s="12">
        <v>222.768</v>
      </c>
      <c r="G309" s="12">
        <v>326.72899999999998</v>
      </c>
      <c r="H309" s="12">
        <f t="shared" si="495"/>
        <v>497.17899999999997</v>
      </c>
      <c r="I309" s="12">
        <f t="shared" si="495"/>
        <v>405.04399999999998</v>
      </c>
      <c r="J309" s="12">
        <f t="shared" si="495"/>
        <v>264.85199999999998</v>
      </c>
      <c r="K309" s="12">
        <f t="shared" si="495"/>
        <v>318.20699999999999</v>
      </c>
      <c r="L309" s="12">
        <f t="shared" si="495"/>
        <v>605.47555886198518</v>
      </c>
      <c r="M309" s="12">
        <f t="shared" si="495"/>
        <v>879.81264693123785</v>
      </c>
      <c r="N309" s="12">
        <f t="shared" si="495"/>
        <v>1171.5327735670082</v>
      </c>
      <c r="O309" s="99"/>
      <c r="P309" s="100"/>
      <c r="Q309" s="100"/>
      <c r="R309" s="100"/>
      <c r="S309" s="100"/>
      <c r="T309" s="99"/>
      <c r="U309" s="99">
        <v>291.33199999999999</v>
      </c>
      <c r="V309" s="99"/>
      <c r="W309" s="99">
        <v>326.72899999999998</v>
      </c>
      <c r="X309" s="99">
        <v>361.26799999999997</v>
      </c>
      <c r="Y309" s="99">
        <v>405.18900000000002</v>
      </c>
      <c r="Z309" s="99">
        <v>459.26600000000002</v>
      </c>
      <c r="AA309" s="99">
        <v>497.17899999999997</v>
      </c>
      <c r="AB309" s="99">
        <v>527.93799999999999</v>
      </c>
      <c r="AC309" s="99">
        <v>542.07500000000005</v>
      </c>
      <c r="AD309" s="99">
        <v>495.87500000000006</v>
      </c>
      <c r="AE309" s="99">
        <v>405.04399999999998</v>
      </c>
      <c r="AF309" s="99">
        <v>393.26799999999997</v>
      </c>
      <c r="AG309" s="99">
        <v>305.38200000000001</v>
      </c>
      <c r="AH309" s="99">
        <v>284.75700000000001</v>
      </c>
      <c r="AI309" s="99">
        <v>264.85199999999998</v>
      </c>
      <c r="AJ309" s="99">
        <v>252.83099999999999</v>
      </c>
      <c r="AK309" s="99">
        <v>263.31400000000002</v>
      </c>
      <c r="AL309" s="99">
        <v>298.25799999999998</v>
      </c>
      <c r="AM309" s="99">
        <v>318.20699999999999</v>
      </c>
      <c r="AN309" s="99">
        <f t="shared" ref="AN309:AY309" si="499">AM309+AN32</f>
        <v>347.69851400604517</v>
      </c>
      <c r="AO309" s="99">
        <f t="shared" si="499"/>
        <v>395.43179167757523</v>
      </c>
      <c r="AP309" s="99">
        <f t="shared" si="499"/>
        <v>500.37071394885902</v>
      </c>
      <c r="AQ309" s="99">
        <f t="shared" si="499"/>
        <v>605.47555886198518</v>
      </c>
      <c r="AR309" s="99">
        <f t="shared" si="499"/>
        <v>680.43324309456921</v>
      </c>
      <c r="AS309" s="99">
        <f t="shared" si="499"/>
        <v>748.28890455394367</v>
      </c>
      <c r="AT309" s="99">
        <f t="shared" si="499"/>
        <v>817.46588830118844</v>
      </c>
      <c r="AU309" s="99">
        <f t="shared" si="499"/>
        <v>879.81264693123785</v>
      </c>
      <c r="AV309" s="99">
        <f t="shared" si="499"/>
        <v>947.66212706287149</v>
      </c>
      <c r="AW309" s="99">
        <f t="shared" si="499"/>
        <v>1028.3801148907664</v>
      </c>
      <c r="AX309" s="99">
        <f t="shared" si="499"/>
        <v>1105.77490370245</v>
      </c>
      <c r="AY309" s="99">
        <f t="shared" si="499"/>
        <v>1171.5327735670082</v>
      </c>
      <c r="BG309" s="4">
        <v>303</v>
      </c>
      <c r="BH309"/>
      <c r="BI309"/>
      <c r="BJ309"/>
      <c r="BK309"/>
      <c r="BL309"/>
      <c r="BM309"/>
    </row>
    <row r="310" spans="1:65" s="98" customFormat="1" ht="11.25" hidden="1" outlineLevel="3">
      <c r="A310" s="2"/>
      <c r="B310" s="34" t="s">
        <v>127</v>
      </c>
      <c r="C310" s="12"/>
      <c r="D310" s="12"/>
      <c r="E310" s="12">
        <v>-8.8260000000000005</v>
      </c>
      <c r="F310" s="12">
        <v>-9.1989999999999998</v>
      </c>
      <c r="G310" s="12">
        <v>-3.536</v>
      </c>
      <c r="H310" s="12">
        <f t="shared" si="495"/>
        <v>-12.808999999999999</v>
      </c>
      <c r="I310" s="12">
        <f t="shared" si="495"/>
        <v>-17.693000000000001</v>
      </c>
      <c r="J310" s="12">
        <f t="shared" si="495"/>
        <v>-19.001999999999999</v>
      </c>
      <c r="K310" s="12">
        <f t="shared" si="495"/>
        <v>-15.098000000000001</v>
      </c>
      <c r="L310" s="12">
        <f t="shared" si="495"/>
        <v>-15.098000000000001</v>
      </c>
      <c r="M310" s="12">
        <f t="shared" si="495"/>
        <v>-15.098000000000001</v>
      </c>
      <c r="N310" s="12">
        <f t="shared" si="495"/>
        <v>-15.098000000000001</v>
      </c>
      <c r="O310" s="99"/>
      <c r="P310" s="100"/>
      <c r="Q310" s="100"/>
      <c r="R310" s="100"/>
      <c r="S310" s="100"/>
      <c r="T310" s="99"/>
      <c r="U310" s="99">
        <v>-8.5150000000000006</v>
      </c>
      <c r="V310" s="99"/>
      <c r="W310" s="99">
        <v>-3.536</v>
      </c>
      <c r="X310" s="99">
        <v>-5.8570000000000002</v>
      </c>
      <c r="Y310" s="99">
        <v>-8.8580000000000005</v>
      </c>
      <c r="Z310" s="99">
        <v>-8.4320000000000004</v>
      </c>
      <c r="AA310" s="99">
        <v>-12.808999999999999</v>
      </c>
      <c r="AB310" s="99">
        <v>-18.728000000000002</v>
      </c>
      <c r="AC310" s="99">
        <v>-18.75</v>
      </c>
      <c r="AD310" s="99">
        <v>-22.177</v>
      </c>
      <c r="AE310" s="99">
        <v>-17.693000000000001</v>
      </c>
      <c r="AF310" s="99">
        <v>-19.666</v>
      </c>
      <c r="AG310" s="99">
        <v>-22.998999999999999</v>
      </c>
      <c r="AH310" s="99">
        <v>-21.975999999999999</v>
      </c>
      <c r="AI310" s="99">
        <v>-19.001999999999999</v>
      </c>
      <c r="AJ310" s="99">
        <v>-18.683</v>
      </c>
      <c r="AK310" s="99">
        <v>-18.190000000000001</v>
      </c>
      <c r="AL310" s="99">
        <v>-16.75</v>
      </c>
      <c r="AM310" s="99">
        <v>-15.098000000000001</v>
      </c>
      <c r="AN310" s="99">
        <f t="shared" ref="AN310:AY310" si="500">+AM310+AN266</f>
        <v>-15.098000000000001</v>
      </c>
      <c r="AO310" s="99">
        <f t="shared" si="500"/>
        <v>-15.098000000000001</v>
      </c>
      <c r="AP310" s="99">
        <f t="shared" si="500"/>
        <v>-15.098000000000001</v>
      </c>
      <c r="AQ310" s="99">
        <f t="shared" si="500"/>
        <v>-15.098000000000001</v>
      </c>
      <c r="AR310" s="99">
        <f t="shared" si="500"/>
        <v>-15.098000000000001</v>
      </c>
      <c r="AS310" s="99">
        <f t="shared" si="500"/>
        <v>-15.098000000000001</v>
      </c>
      <c r="AT310" s="99">
        <f t="shared" si="500"/>
        <v>-15.098000000000001</v>
      </c>
      <c r="AU310" s="99">
        <f t="shared" si="500"/>
        <v>-15.098000000000001</v>
      </c>
      <c r="AV310" s="99">
        <f t="shared" si="500"/>
        <v>-15.098000000000001</v>
      </c>
      <c r="AW310" s="99">
        <f t="shared" si="500"/>
        <v>-15.098000000000001</v>
      </c>
      <c r="AX310" s="99">
        <f t="shared" si="500"/>
        <v>-15.098000000000001</v>
      </c>
      <c r="AY310" s="99">
        <f t="shared" si="500"/>
        <v>-15.098000000000001</v>
      </c>
      <c r="BG310" s="4">
        <v>304</v>
      </c>
      <c r="BH310"/>
      <c r="BI310"/>
      <c r="BJ310"/>
      <c r="BK310"/>
      <c r="BL310"/>
      <c r="BM310"/>
    </row>
    <row r="311" spans="1:65" s="3" customFormat="1" ht="11.25" outlineLevel="1" collapsed="1">
      <c r="A311" s="2"/>
      <c r="B311" s="97" t="s">
        <v>8</v>
      </c>
      <c r="C311" s="12">
        <v>26.062999999999999</v>
      </c>
      <c r="D311" s="12">
        <v>-335.29599999999999</v>
      </c>
      <c r="E311" s="12">
        <f>SUM(E306:E310)</f>
        <v>-451.04900000000004</v>
      </c>
      <c r="F311" s="12">
        <f>SUM(F306:F310)</f>
        <v>-289.53799999999995</v>
      </c>
      <c r="G311" s="12">
        <f>SUM(G306:G310)</f>
        <v>-168.37900000000002</v>
      </c>
      <c r="H311" s="12">
        <f t="shared" si="495"/>
        <v>30.981999999999942</v>
      </c>
      <c r="I311" s="12">
        <f t="shared" si="495"/>
        <v>-61.216000000000022</v>
      </c>
      <c r="J311" s="12">
        <f t="shared" si="495"/>
        <v>251.04699999999997</v>
      </c>
      <c r="K311" s="12">
        <f t="shared" si="495"/>
        <v>319.92399999999998</v>
      </c>
      <c r="L311" s="12">
        <f t="shared" si="495"/>
        <v>2923.1925588619847</v>
      </c>
      <c r="M311" s="12">
        <f t="shared" si="495"/>
        <v>3217.5296469312375</v>
      </c>
      <c r="N311" s="12">
        <f t="shared" si="495"/>
        <v>3529.2497735670077</v>
      </c>
      <c r="O311" s="12"/>
      <c r="P311" s="7">
        <f t="shared" ref="P311:AA311" si="501">SUM(P306:P310)</f>
        <v>0</v>
      </c>
      <c r="Q311" s="7">
        <f t="shared" si="501"/>
        <v>0</v>
      </c>
      <c r="R311" s="7">
        <f t="shared" si="501"/>
        <v>0</v>
      </c>
      <c r="S311" s="7">
        <f t="shared" si="501"/>
        <v>0</v>
      </c>
      <c r="T311" s="12">
        <f t="shared" si="501"/>
        <v>0</v>
      </c>
      <c r="U311" s="12">
        <f t="shared" si="501"/>
        <v>-217.01100000000008</v>
      </c>
      <c r="V311" s="12">
        <f t="shared" si="501"/>
        <v>0</v>
      </c>
      <c r="W311" s="12">
        <f t="shared" si="501"/>
        <v>-168.37900000000002</v>
      </c>
      <c r="X311" s="12">
        <f t="shared" si="501"/>
        <v>-134.06700000000009</v>
      </c>
      <c r="Y311" s="12">
        <f t="shared" si="501"/>
        <v>-84.918000000000006</v>
      </c>
      <c r="Z311" s="12">
        <f t="shared" si="501"/>
        <v>-24.630000000000038</v>
      </c>
      <c r="AA311" s="12">
        <f t="shared" si="501"/>
        <v>30.981999999999942</v>
      </c>
      <c r="AB311" s="12">
        <f>60.98-AB312</f>
        <v>58.366999999999997</v>
      </c>
      <c r="AC311" s="12">
        <f t="shared" ref="AC311:AY311" si="502">SUM(AC306:AC310)</f>
        <v>76.217999999999961</v>
      </c>
      <c r="AD311" s="12">
        <f t="shared" si="502"/>
        <v>29.289000000000065</v>
      </c>
      <c r="AE311" s="12">
        <f t="shared" si="502"/>
        <v>-61.216000000000022</v>
      </c>
      <c r="AF311" s="12">
        <f t="shared" si="502"/>
        <v>-73.948999999999955</v>
      </c>
      <c r="AG311" s="12">
        <f t="shared" si="502"/>
        <v>-159.90699999999995</v>
      </c>
      <c r="AH311" s="12">
        <f t="shared" si="502"/>
        <v>-13.658999999999935</v>
      </c>
      <c r="AI311" s="12">
        <f t="shared" si="502"/>
        <v>251.04699999999997</v>
      </c>
      <c r="AJ311" s="12">
        <f t="shared" si="502"/>
        <v>242.947</v>
      </c>
      <c r="AK311" s="12">
        <f t="shared" si="502"/>
        <v>256.73600000000005</v>
      </c>
      <c r="AL311" s="12">
        <f t="shared" si="502"/>
        <v>295.55</v>
      </c>
      <c r="AM311" s="12">
        <f t="shared" si="502"/>
        <v>319.92399999999998</v>
      </c>
      <c r="AN311" s="12">
        <f t="shared" si="502"/>
        <v>352.41551400604516</v>
      </c>
      <c r="AO311" s="12">
        <f t="shared" si="502"/>
        <v>2703.148791677575</v>
      </c>
      <c r="AP311" s="12">
        <f t="shared" si="502"/>
        <v>2813.0877139488584</v>
      </c>
      <c r="AQ311" s="12">
        <f t="shared" si="502"/>
        <v>2923.1925588619847</v>
      </c>
      <c r="AR311" s="12">
        <f t="shared" si="502"/>
        <v>3003.1502430945689</v>
      </c>
      <c r="AS311" s="12">
        <f t="shared" si="502"/>
        <v>3076.0059045539433</v>
      </c>
      <c r="AT311" s="12">
        <f t="shared" si="502"/>
        <v>3150.1828883011881</v>
      </c>
      <c r="AU311" s="12">
        <f t="shared" si="502"/>
        <v>3217.5296469312375</v>
      </c>
      <c r="AV311" s="12">
        <f t="shared" si="502"/>
        <v>3290.3791270628712</v>
      </c>
      <c r="AW311" s="12">
        <f t="shared" si="502"/>
        <v>3376.0971148907661</v>
      </c>
      <c r="AX311" s="12">
        <f t="shared" si="502"/>
        <v>3458.4919037024497</v>
      </c>
      <c r="AY311" s="12">
        <f t="shared" si="502"/>
        <v>3529.2497735670077</v>
      </c>
      <c r="BG311" s="4">
        <v>305</v>
      </c>
      <c r="BH311"/>
      <c r="BI311"/>
      <c r="BJ311"/>
      <c r="BK311"/>
      <c r="BL311"/>
      <c r="BM311"/>
    </row>
    <row r="312" spans="1:65" s="3" customFormat="1" ht="11.25" outlineLevel="1">
      <c r="A312" s="6"/>
      <c r="B312" s="97" t="s">
        <v>126</v>
      </c>
      <c r="C312" s="7"/>
      <c r="D312" s="7"/>
      <c r="E312" s="7">
        <v>3.0569999999999999</v>
      </c>
      <c r="F312" s="7">
        <v>3.61</v>
      </c>
      <c r="G312" s="7">
        <v>3.0209999999999999</v>
      </c>
      <c r="H312" s="7">
        <f t="shared" si="495"/>
        <v>2.492</v>
      </c>
      <c r="I312" s="7">
        <f t="shared" si="495"/>
        <v>0.84799999999999998</v>
      </c>
      <c r="J312" s="7">
        <f t="shared" si="495"/>
        <v>7.2999999999999995E-2</v>
      </c>
      <c r="K312" s="7">
        <f t="shared" si="495"/>
        <v>0.37</v>
      </c>
      <c r="L312" s="7">
        <f t="shared" si="495"/>
        <v>0.78599999999999992</v>
      </c>
      <c r="M312" s="7">
        <f t="shared" si="495"/>
        <v>1.202</v>
      </c>
      <c r="N312" s="7">
        <f t="shared" si="495"/>
        <v>1.6180000000000003</v>
      </c>
      <c r="O312" s="7"/>
      <c r="P312" s="7"/>
      <c r="Q312" s="7"/>
      <c r="R312" s="7"/>
      <c r="S312" s="7"/>
      <c r="T312" s="7"/>
      <c r="U312" s="7">
        <v>3.6230000000000002</v>
      </c>
      <c r="V312" s="7"/>
      <c r="W312" s="7">
        <v>3.0209999999999999</v>
      </c>
      <c r="X312" s="61">
        <v>3.0939999999999999</v>
      </c>
      <c r="Y312" s="61">
        <v>2.9449999999999998</v>
      </c>
      <c r="Z312" s="61">
        <v>2.9649999999999999</v>
      </c>
      <c r="AA312" s="61">
        <v>2.492</v>
      </c>
      <c r="AB312" s="61">
        <v>2.613</v>
      </c>
      <c r="AC312" s="61">
        <v>2.617</v>
      </c>
      <c r="AD312" s="61">
        <v>1.0960000000000001</v>
      </c>
      <c r="AE312" s="61">
        <v>0.84799999999999998</v>
      </c>
      <c r="AF312" s="61">
        <v>0.31</v>
      </c>
      <c r="AG312" s="61">
        <v>0.31</v>
      </c>
      <c r="AH312" s="61">
        <v>0.312</v>
      </c>
      <c r="AI312" s="61">
        <v>7.2999999999999995E-2</v>
      </c>
      <c r="AJ312" s="61">
        <v>0.25</v>
      </c>
      <c r="AK312" s="61">
        <v>0.26900000000000002</v>
      </c>
      <c r="AL312" s="61">
        <v>0.30599999999999999</v>
      </c>
      <c r="AM312" s="61">
        <v>0.37</v>
      </c>
      <c r="AN312" s="7">
        <f t="shared" ref="AN312:AY312" si="503">AM312+(-AN29)</f>
        <v>0.47399999999999998</v>
      </c>
      <c r="AO312" s="7">
        <f t="shared" si="503"/>
        <v>0.57799999999999996</v>
      </c>
      <c r="AP312" s="7">
        <f t="shared" si="503"/>
        <v>0.68199999999999994</v>
      </c>
      <c r="AQ312" s="7">
        <f t="shared" si="503"/>
        <v>0.78599999999999992</v>
      </c>
      <c r="AR312" s="7">
        <f t="shared" si="503"/>
        <v>0.8899999999999999</v>
      </c>
      <c r="AS312" s="7">
        <f t="shared" si="503"/>
        <v>0.99399999999999988</v>
      </c>
      <c r="AT312" s="7">
        <f t="shared" si="503"/>
        <v>1.0979999999999999</v>
      </c>
      <c r="AU312" s="7">
        <f t="shared" si="503"/>
        <v>1.202</v>
      </c>
      <c r="AV312" s="7">
        <f t="shared" si="503"/>
        <v>1.306</v>
      </c>
      <c r="AW312" s="7">
        <f t="shared" si="503"/>
        <v>1.4100000000000001</v>
      </c>
      <c r="AX312" s="7">
        <f t="shared" si="503"/>
        <v>1.5140000000000002</v>
      </c>
      <c r="AY312" s="7">
        <f t="shared" si="503"/>
        <v>1.6180000000000003</v>
      </c>
      <c r="AZ312" s="5"/>
      <c r="BA312" s="5"/>
      <c r="BB312" s="5"/>
      <c r="BC312" s="5"/>
      <c r="BD312" s="5"/>
      <c r="BE312" s="5"/>
      <c r="BF312" s="5"/>
      <c r="BG312" s="4">
        <v>306</v>
      </c>
      <c r="BH312"/>
      <c r="BI312"/>
      <c r="BJ312"/>
      <c r="BK312"/>
      <c r="BL312"/>
      <c r="BM312"/>
    </row>
    <row r="313" spans="1:65" s="3" customFormat="1" ht="11.25" outlineLevel="1">
      <c r="A313" s="2"/>
      <c r="B313" s="96" t="s">
        <v>125</v>
      </c>
      <c r="C313" s="94">
        <f t="shared" ref="C313:N313" si="504">C311+C305+C312</f>
        <v>340.52100000000002</v>
      </c>
      <c r="D313" s="94">
        <f t="shared" si="504"/>
        <v>522.17900000000009</v>
      </c>
      <c r="E313" s="94">
        <f t="shared" si="504"/>
        <v>646.17599999999993</v>
      </c>
      <c r="F313" s="94">
        <f t="shared" si="504"/>
        <v>679.60100000000023</v>
      </c>
      <c r="G313" s="94">
        <f t="shared" si="504"/>
        <v>1283.4309999999998</v>
      </c>
      <c r="H313" s="94">
        <f t="shared" si="504"/>
        <v>1488.5160000000001</v>
      </c>
      <c r="I313" s="94">
        <f t="shared" si="504"/>
        <v>1368.9589999999996</v>
      </c>
      <c r="J313" s="94">
        <f t="shared" si="504"/>
        <v>1202.9100000000001</v>
      </c>
      <c r="K313" s="94">
        <f t="shared" si="504"/>
        <v>1265.319</v>
      </c>
      <c r="L313" s="94">
        <f t="shared" si="504"/>
        <v>4916.8424352095981</v>
      </c>
      <c r="M313" s="94">
        <f t="shared" si="504"/>
        <v>5167.7487591480813</v>
      </c>
      <c r="N313" s="94">
        <f t="shared" si="504"/>
        <v>5436.791585540328</v>
      </c>
      <c r="O313" s="12"/>
      <c r="P313" s="95">
        <f t="shared" ref="P313:AY313" si="505">P311+P305+P312</f>
        <v>0</v>
      </c>
      <c r="Q313" s="95">
        <f t="shared" si="505"/>
        <v>0</v>
      </c>
      <c r="R313" s="95">
        <f t="shared" si="505"/>
        <v>0</v>
      </c>
      <c r="S313" s="95">
        <f t="shared" si="505"/>
        <v>0</v>
      </c>
      <c r="T313" s="95">
        <f t="shared" si="505"/>
        <v>0</v>
      </c>
      <c r="U313" s="95">
        <f t="shared" si="505"/>
        <v>-213.38800000000009</v>
      </c>
      <c r="V313" s="94">
        <f t="shared" si="505"/>
        <v>0</v>
      </c>
      <c r="W313" s="94">
        <f t="shared" si="505"/>
        <v>1283.4309999999998</v>
      </c>
      <c r="X313" s="94">
        <f t="shared" si="505"/>
        <v>1328.5889999999999</v>
      </c>
      <c r="Y313" s="94">
        <f t="shared" si="505"/>
        <v>1375.4880000000001</v>
      </c>
      <c r="Z313" s="94">
        <f t="shared" si="505"/>
        <v>1447.5279999999998</v>
      </c>
      <c r="AA313" s="94">
        <f t="shared" si="505"/>
        <v>1488.5160000000001</v>
      </c>
      <c r="AB313" s="94">
        <f t="shared" si="505"/>
        <v>1520.2880000000002</v>
      </c>
      <c r="AC313" s="94">
        <f t="shared" si="505"/>
        <v>1496.691</v>
      </c>
      <c r="AD313" s="94">
        <f t="shared" si="505"/>
        <v>1466.0099999999998</v>
      </c>
      <c r="AE313" s="94">
        <f t="shared" si="505"/>
        <v>1368.9589999999996</v>
      </c>
      <c r="AF313" s="94">
        <f t="shared" si="505"/>
        <v>1315.9699999999998</v>
      </c>
      <c r="AG313" s="94">
        <f t="shared" si="505"/>
        <v>1109.0509999999999</v>
      </c>
      <c r="AH313" s="94">
        <f t="shared" si="505"/>
        <v>1239.0140000000001</v>
      </c>
      <c r="AI313" s="94">
        <f t="shared" si="505"/>
        <v>1202.9100000000001</v>
      </c>
      <c r="AJ313" s="94">
        <f t="shared" si="505"/>
        <v>1235.2840000000001</v>
      </c>
      <c r="AK313" s="94">
        <f t="shared" si="505"/>
        <v>1204.8390000000002</v>
      </c>
      <c r="AL313" s="94">
        <f t="shared" si="505"/>
        <v>1306.2239999999999</v>
      </c>
      <c r="AM313" s="94">
        <f t="shared" si="505"/>
        <v>1265.319</v>
      </c>
      <c r="AN313" s="94">
        <f t="shared" si="505"/>
        <v>1305.1292772427475</v>
      </c>
      <c r="AO313" s="94">
        <f t="shared" si="505"/>
        <v>4778.2189413970136</v>
      </c>
      <c r="AP313" s="94">
        <f t="shared" si="505"/>
        <v>4817.3369677480887</v>
      </c>
      <c r="AQ313" s="94">
        <f t="shared" si="505"/>
        <v>4916.8424352095981</v>
      </c>
      <c r="AR313" s="94">
        <f t="shared" si="505"/>
        <v>4987.804009079865</v>
      </c>
      <c r="AS313" s="94">
        <f t="shared" si="505"/>
        <v>5049.9172679832327</v>
      </c>
      <c r="AT313" s="94">
        <f t="shared" si="505"/>
        <v>5112.0961372620168</v>
      </c>
      <c r="AU313" s="94">
        <f t="shared" si="505"/>
        <v>5167.7487591480813</v>
      </c>
      <c r="AV313" s="94">
        <f t="shared" si="505"/>
        <v>5230.882223721921</v>
      </c>
      <c r="AW313" s="94">
        <f t="shared" si="505"/>
        <v>5309.7025091060032</v>
      </c>
      <c r="AX313" s="94">
        <f t="shared" si="505"/>
        <v>5378.9121984562316</v>
      </c>
      <c r="AY313" s="94">
        <f t="shared" si="505"/>
        <v>5436.791585540328</v>
      </c>
      <c r="BG313" s="4">
        <v>307</v>
      </c>
      <c r="BH313"/>
      <c r="BI313"/>
      <c r="BJ313"/>
      <c r="BK313"/>
      <c r="BL313"/>
      <c r="BM313"/>
    </row>
    <row r="314" spans="1:65" s="3" customFormat="1" ht="11.25" outlineLevel="2">
      <c r="A314" s="2"/>
      <c r="B314" s="93"/>
      <c r="C314" s="90">
        <f>C295-C313</f>
        <v>0</v>
      </c>
      <c r="D314" s="90">
        <f>D295-D313</f>
        <v>0</v>
      </c>
      <c r="E314" s="90">
        <f>E295-E313</f>
        <v>0</v>
      </c>
      <c r="F314" s="90">
        <f>F295-F313</f>
        <v>0</v>
      </c>
      <c r="G314" s="90">
        <f t="shared" ref="G314:N314" si="506">ROUND(G295,2)-ROUND(G313,2)</f>
        <v>0</v>
      </c>
      <c r="H314" s="90">
        <f t="shared" si="506"/>
        <v>0</v>
      </c>
      <c r="I314" s="90">
        <f t="shared" si="506"/>
        <v>0</v>
      </c>
      <c r="J314" s="90">
        <f t="shared" si="506"/>
        <v>0</v>
      </c>
      <c r="K314" s="90">
        <f t="shared" si="506"/>
        <v>0</v>
      </c>
      <c r="L314" s="90">
        <f t="shared" si="506"/>
        <v>0</v>
      </c>
      <c r="M314" s="90">
        <f t="shared" si="506"/>
        <v>0</v>
      </c>
      <c r="N314" s="90">
        <f t="shared" si="506"/>
        <v>0</v>
      </c>
      <c r="O314" s="90"/>
      <c r="P314" s="92">
        <f>P295-P313</f>
        <v>0</v>
      </c>
      <c r="Q314" s="92">
        <f>Q295-Q313</f>
        <v>0</v>
      </c>
      <c r="R314" s="92">
        <f>R295-R313</f>
        <v>0</v>
      </c>
      <c r="S314" s="92">
        <f>S295-S313</f>
        <v>0</v>
      </c>
      <c r="T314" s="90">
        <f>ROUND(T295,2)-ROUND(T313,2)</f>
        <v>0</v>
      </c>
      <c r="U314" s="90"/>
      <c r="V314" s="90">
        <f t="shared" ref="V314:AY314" si="507">ROUND(V295,2)-ROUND(V313,2)</f>
        <v>0</v>
      </c>
      <c r="W314" s="90">
        <f t="shared" si="507"/>
        <v>0</v>
      </c>
      <c r="X314" s="90">
        <f t="shared" si="507"/>
        <v>0</v>
      </c>
      <c r="Y314" s="90">
        <f t="shared" si="507"/>
        <v>0</v>
      </c>
      <c r="Z314" s="90">
        <f t="shared" si="507"/>
        <v>0</v>
      </c>
      <c r="AA314" s="90">
        <f t="shared" si="507"/>
        <v>0</v>
      </c>
      <c r="AB314" s="90">
        <f t="shared" si="507"/>
        <v>0</v>
      </c>
      <c r="AC314" s="90">
        <f t="shared" si="507"/>
        <v>0</v>
      </c>
      <c r="AD314" s="90">
        <f t="shared" si="507"/>
        <v>0</v>
      </c>
      <c r="AE314" s="90">
        <f t="shared" si="507"/>
        <v>0</v>
      </c>
      <c r="AF314" s="91">
        <f t="shared" si="507"/>
        <v>0</v>
      </c>
      <c r="AG314" s="91">
        <f t="shared" si="507"/>
        <v>0</v>
      </c>
      <c r="AH314" s="91">
        <f t="shared" si="507"/>
        <v>0</v>
      </c>
      <c r="AI314" s="91">
        <f t="shared" si="507"/>
        <v>0</v>
      </c>
      <c r="AJ314" s="91">
        <f t="shared" si="507"/>
        <v>0</v>
      </c>
      <c r="AK314" s="91">
        <f t="shared" si="507"/>
        <v>0</v>
      </c>
      <c r="AL314" s="91">
        <f t="shared" si="507"/>
        <v>0</v>
      </c>
      <c r="AM314" s="91">
        <f t="shared" si="507"/>
        <v>0</v>
      </c>
      <c r="AN314" s="90">
        <f t="shared" si="507"/>
        <v>0</v>
      </c>
      <c r="AO314" s="90">
        <f t="shared" si="507"/>
        <v>0</v>
      </c>
      <c r="AP314" s="90">
        <f t="shared" si="507"/>
        <v>0</v>
      </c>
      <c r="AQ314" s="90">
        <f t="shared" si="507"/>
        <v>0</v>
      </c>
      <c r="AR314" s="90">
        <f t="shared" si="507"/>
        <v>0</v>
      </c>
      <c r="AS314" s="90">
        <f t="shared" si="507"/>
        <v>0</v>
      </c>
      <c r="AT314" s="90">
        <f t="shared" si="507"/>
        <v>0</v>
      </c>
      <c r="AU314" s="90">
        <f t="shared" si="507"/>
        <v>0</v>
      </c>
      <c r="AV314" s="90">
        <f t="shared" si="507"/>
        <v>0</v>
      </c>
      <c r="AW314" s="90">
        <f t="shared" si="507"/>
        <v>0</v>
      </c>
      <c r="AX314" s="90">
        <f t="shared" si="507"/>
        <v>0</v>
      </c>
      <c r="AY314" s="90">
        <f t="shared" si="507"/>
        <v>0</v>
      </c>
      <c r="BG314" s="4">
        <v>308</v>
      </c>
      <c r="BH314"/>
      <c r="BI314"/>
      <c r="BJ314"/>
      <c r="BK314"/>
      <c r="BL314"/>
      <c r="BM314"/>
    </row>
    <row r="315" spans="1:65" s="3" customFormat="1" ht="11.25" outlineLevel="1">
      <c r="A315" s="2"/>
      <c r="P315" s="5"/>
      <c r="Q315" s="5"/>
      <c r="R315" s="5"/>
      <c r="S315" s="5"/>
      <c r="Y315" s="89"/>
      <c r="Z315" s="89"/>
      <c r="AA315" s="89"/>
      <c r="AB315" s="89"/>
      <c r="AC315" s="89"/>
      <c r="AD315" s="89"/>
      <c r="AE315" s="89"/>
      <c r="AF315" s="89"/>
      <c r="AG315" s="89"/>
      <c r="AH315" s="89"/>
      <c r="AI315" s="89"/>
      <c r="AJ315" s="89"/>
      <c r="AK315" s="89"/>
      <c r="AL315" s="89"/>
      <c r="AM315" s="89"/>
      <c r="BG315" s="4">
        <v>309</v>
      </c>
      <c r="BH315"/>
      <c r="BI315"/>
      <c r="BJ315"/>
      <c r="BK315"/>
      <c r="BL315"/>
      <c r="BM315"/>
    </row>
    <row r="316" spans="1:65" s="3" customFormat="1" ht="11.25">
      <c r="A316" s="2" t="s">
        <v>0</v>
      </c>
      <c r="B316" s="88" t="s">
        <v>124</v>
      </c>
      <c r="C316" s="86">
        <f t="shared" ref="C316:N316" si="508">C$7</f>
        <v>2009</v>
      </c>
      <c r="D316" s="86">
        <f t="shared" si="508"/>
        <v>2010</v>
      </c>
      <c r="E316" s="86">
        <f t="shared" si="508"/>
        <v>2011</v>
      </c>
      <c r="F316" s="86">
        <f t="shared" si="508"/>
        <v>2012</v>
      </c>
      <c r="G316" s="86">
        <f t="shared" si="508"/>
        <v>2013</v>
      </c>
      <c r="H316" s="86">
        <f t="shared" si="508"/>
        <v>2014</v>
      </c>
      <c r="I316" s="86">
        <f t="shared" si="508"/>
        <v>2015</v>
      </c>
      <c r="J316" s="86">
        <f t="shared" si="508"/>
        <v>2016</v>
      </c>
      <c r="K316" s="86">
        <f t="shared" si="508"/>
        <v>2017</v>
      </c>
      <c r="L316" s="86" t="str">
        <f t="shared" si="508"/>
        <v>2018E</v>
      </c>
      <c r="M316" s="86" t="str">
        <f t="shared" si="508"/>
        <v>2019E</v>
      </c>
      <c r="N316" s="86" t="str">
        <f t="shared" si="508"/>
        <v>2020E</v>
      </c>
      <c r="P316" s="87" t="str">
        <f t="shared" ref="P316:AY316" si="509">P$7</f>
        <v>1Q12</v>
      </c>
      <c r="Q316" s="87" t="str">
        <f t="shared" si="509"/>
        <v>2Q12</v>
      </c>
      <c r="R316" s="87" t="str">
        <f t="shared" si="509"/>
        <v>3Q12</v>
      </c>
      <c r="S316" s="87" t="str">
        <f t="shared" si="509"/>
        <v>4Q12</v>
      </c>
      <c r="T316" s="86" t="str">
        <f t="shared" si="509"/>
        <v>1Q13</v>
      </c>
      <c r="U316" s="86" t="str">
        <f t="shared" si="509"/>
        <v>2Q13</v>
      </c>
      <c r="V316" s="86" t="str">
        <f t="shared" si="509"/>
        <v>3Q13</v>
      </c>
      <c r="W316" s="86" t="str">
        <f t="shared" si="509"/>
        <v>4Q13</v>
      </c>
      <c r="X316" s="86" t="str">
        <f t="shared" si="509"/>
        <v>1Q14</v>
      </c>
      <c r="Y316" s="86" t="str">
        <f t="shared" si="509"/>
        <v>2Q14</v>
      </c>
      <c r="Z316" s="86" t="str">
        <f t="shared" si="509"/>
        <v>3Q14</v>
      </c>
      <c r="AA316" s="86" t="str">
        <f t="shared" si="509"/>
        <v>4Q14</v>
      </c>
      <c r="AB316" s="86" t="str">
        <f t="shared" si="509"/>
        <v>1Q15</v>
      </c>
      <c r="AC316" s="86" t="str">
        <f t="shared" si="509"/>
        <v>2Q15</v>
      </c>
      <c r="AD316" s="86" t="str">
        <f t="shared" si="509"/>
        <v>3Q15</v>
      </c>
      <c r="AE316" s="86" t="str">
        <f t="shared" si="509"/>
        <v>4Q15</v>
      </c>
      <c r="AF316" s="86" t="str">
        <f t="shared" si="509"/>
        <v>1Q16</v>
      </c>
      <c r="AG316" s="86" t="str">
        <f t="shared" si="509"/>
        <v>2Q16</v>
      </c>
      <c r="AH316" s="86" t="str">
        <f t="shared" si="509"/>
        <v>3Q16</v>
      </c>
      <c r="AI316" s="86" t="str">
        <f t="shared" si="509"/>
        <v>4Q16</v>
      </c>
      <c r="AJ316" s="86" t="str">
        <f t="shared" si="509"/>
        <v>1Q17</v>
      </c>
      <c r="AK316" s="86" t="str">
        <f t="shared" si="509"/>
        <v>2Q17</v>
      </c>
      <c r="AL316" s="86" t="str">
        <f t="shared" si="509"/>
        <v>3Q17</v>
      </c>
      <c r="AM316" s="86" t="str">
        <f t="shared" si="509"/>
        <v>4Q17</v>
      </c>
      <c r="AN316" s="86" t="str">
        <f t="shared" si="509"/>
        <v>1Q18E</v>
      </c>
      <c r="AO316" s="86" t="str">
        <f t="shared" si="509"/>
        <v>2Q18E</v>
      </c>
      <c r="AP316" s="86" t="str">
        <f t="shared" si="509"/>
        <v>3Q18E</v>
      </c>
      <c r="AQ316" s="86" t="str">
        <f t="shared" si="509"/>
        <v>4Q18E</v>
      </c>
      <c r="AR316" s="86" t="str">
        <f t="shared" si="509"/>
        <v>1Q19E</v>
      </c>
      <c r="AS316" s="86" t="str">
        <f t="shared" si="509"/>
        <v>2Q19E</v>
      </c>
      <c r="AT316" s="86" t="str">
        <f t="shared" si="509"/>
        <v>3Q19E</v>
      </c>
      <c r="AU316" s="86" t="str">
        <f t="shared" si="509"/>
        <v>4Q19E</v>
      </c>
      <c r="AV316" s="86" t="str">
        <f t="shared" si="509"/>
        <v>1Q20E</v>
      </c>
      <c r="AW316" s="86" t="str">
        <f t="shared" si="509"/>
        <v>2Q20E</v>
      </c>
      <c r="AX316" s="86" t="str">
        <f t="shared" si="509"/>
        <v>3Q20E</v>
      </c>
      <c r="AY316" s="86" t="str">
        <f t="shared" si="509"/>
        <v>4Q20E</v>
      </c>
      <c r="BG316" s="4">
        <v>310</v>
      </c>
      <c r="BH316"/>
      <c r="BI316"/>
      <c r="BJ316"/>
      <c r="BK316"/>
      <c r="BL316"/>
      <c r="BM316"/>
    </row>
    <row r="317" spans="1:65" s="3" customFormat="1" ht="11.25" outlineLevel="1">
      <c r="A317" s="6" t="s">
        <v>0</v>
      </c>
      <c r="B317" s="29" t="s">
        <v>123</v>
      </c>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c r="BG317" s="4">
        <v>311</v>
      </c>
      <c r="BH317"/>
      <c r="BI317"/>
      <c r="BJ317"/>
      <c r="BK317"/>
      <c r="BL317"/>
      <c r="BM317"/>
    </row>
    <row r="318" spans="1:65" s="3" customFormat="1" ht="11.25" outlineLevel="1">
      <c r="A318" s="6"/>
      <c r="B318" s="11" t="s">
        <v>122</v>
      </c>
      <c r="C318" s="7">
        <f t="shared" ref="C318:N318" si="510">C302+C298+C311</f>
        <v>261.47199999999998</v>
      </c>
      <c r="D318" s="7">
        <f t="shared" si="510"/>
        <v>374.62899999999996</v>
      </c>
      <c r="E318" s="7">
        <f t="shared" si="510"/>
        <v>496.39799999999997</v>
      </c>
      <c r="F318" s="7">
        <f t="shared" si="510"/>
        <v>541.65700000000015</v>
      </c>
      <c r="G318" s="7">
        <f t="shared" si="510"/>
        <v>1093.7669999999998</v>
      </c>
      <c r="H318" s="7">
        <f t="shared" si="510"/>
        <v>1283.6210000000001</v>
      </c>
      <c r="I318" s="7">
        <f t="shared" si="510"/>
        <v>1176.5999999999999</v>
      </c>
      <c r="J318" s="7">
        <f t="shared" si="510"/>
        <v>1094.06</v>
      </c>
      <c r="K318" s="7">
        <f t="shared" si="510"/>
        <v>1068.8539999999998</v>
      </c>
      <c r="L318" s="7">
        <f t="shared" si="510"/>
        <v>4610.5075588619848</v>
      </c>
      <c r="M318" s="7">
        <f t="shared" si="510"/>
        <v>4861.5946469312375</v>
      </c>
      <c r="N318" s="7">
        <f t="shared" si="510"/>
        <v>5130.0647735670082</v>
      </c>
      <c r="O318" s="7"/>
      <c r="P318" s="7"/>
      <c r="Q318" s="7"/>
      <c r="R318" s="7"/>
      <c r="S318" s="7"/>
      <c r="T318" s="7"/>
      <c r="U318" s="7"/>
      <c r="V318" s="7"/>
      <c r="W318" s="7">
        <f t="shared" ref="W318:AY318" si="511">W302+W298+W311</f>
        <v>1093.7669999999998</v>
      </c>
      <c r="X318" s="7">
        <f t="shared" si="511"/>
        <v>1127.944</v>
      </c>
      <c r="Y318" s="7">
        <f t="shared" si="511"/>
        <v>1180.0540000000001</v>
      </c>
      <c r="Z318" s="7">
        <f t="shared" si="511"/>
        <v>1226.8519999999999</v>
      </c>
      <c r="AA318" s="7">
        <f t="shared" si="511"/>
        <v>1283.6210000000001</v>
      </c>
      <c r="AB318" s="7">
        <f t="shared" si="511"/>
        <v>1309.1880000000001</v>
      </c>
      <c r="AC318" s="7">
        <f t="shared" si="511"/>
        <v>1322.6610000000001</v>
      </c>
      <c r="AD318" s="7">
        <f t="shared" si="511"/>
        <v>1270.7969999999998</v>
      </c>
      <c r="AE318" s="7">
        <f t="shared" si="511"/>
        <v>1176.5999999999999</v>
      </c>
      <c r="AF318" s="7">
        <f t="shared" si="511"/>
        <v>1145.9549999999999</v>
      </c>
      <c r="AG318" s="7">
        <f t="shared" si="511"/>
        <v>986.64699999999993</v>
      </c>
      <c r="AH318" s="7">
        <f t="shared" si="511"/>
        <v>1130.4230000000002</v>
      </c>
      <c r="AI318" s="7">
        <f t="shared" si="511"/>
        <v>1094.06</v>
      </c>
      <c r="AJ318" s="7">
        <f t="shared" si="511"/>
        <v>1088.056</v>
      </c>
      <c r="AK318" s="7">
        <f t="shared" si="511"/>
        <v>1052.854</v>
      </c>
      <c r="AL318" s="7">
        <f t="shared" si="511"/>
        <v>1090.057</v>
      </c>
      <c r="AM318" s="7">
        <f t="shared" ref="AM318" si="512">AM302+AM298+AM311</f>
        <v>1068.8539999999998</v>
      </c>
      <c r="AN318" s="7">
        <f t="shared" si="511"/>
        <v>1105.8214652051772</v>
      </c>
      <c r="AO318" s="7">
        <f t="shared" si="511"/>
        <v>4412.0887916775755</v>
      </c>
      <c r="AP318" s="7">
        <f t="shared" si="511"/>
        <v>4511.2152139488589</v>
      </c>
      <c r="AQ318" s="7">
        <f t="shared" si="511"/>
        <v>4610.5075588619848</v>
      </c>
      <c r="AR318" s="7">
        <f t="shared" si="511"/>
        <v>4679.6527430945689</v>
      </c>
      <c r="AS318" s="7">
        <f t="shared" si="511"/>
        <v>4741.6959045539434</v>
      </c>
      <c r="AT318" s="7">
        <f t="shared" si="511"/>
        <v>4805.0603883011881</v>
      </c>
      <c r="AU318" s="7">
        <f t="shared" si="511"/>
        <v>4861.5946469312375</v>
      </c>
      <c r="AV318" s="7">
        <f t="shared" si="511"/>
        <v>4923.6316270628713</v>
      </c>
      <c r="AW318" s="7">
        <f t="shared" si="511"/>
        <v>4998.5371148907661</v>
      </c>
      <c r="AX318" s="7">
        <f t="shared" si="511"/>
        <v>5070.1194037024497</v>
      </c>
      <c r="AY318" s="7">
        <f t="shared" si="511"/>
        <v>5130.0647735670082</v>
      </c>
      <c r="AZ318" s="5"/>
      <c r="BA318" s="5"/>
      <c r="BB318" s="5"/>
      <c r="BC318" s="5"/>
      <c r="BD318" s="5"/>
      <c r="BE318" s="5"/>
      <c r="BF318" s="5"/>
      <c r="BG318" s="4">
        <v>312</v>
      </c>
      <c r="BH318"/>
      <c r="BI318"/>
      <c r="BJ318"/>
      <c r="BK318"/>
      <c r="BL318"/>
      <c r="BM318"/>
    </row>
    <row r="319" spans="1:65" s="3" customFormat="1" ht="11.25" outlineLevel="1">
      <c r="A319" s="6"/>
      <c r="B319" s="11" t="s">
        <v>121</v>
      </c>
      <c r="C319" s="7">
        <f t="shared" ref="C319:N319" si="513">C302+C298</f>
        <v>235.40899999999999</v>
      </c>
      <c r="D319" s="7">
        <f t="shared" si="513"/>
        <v>709.92499999999995</v>
      </c>
      <c r="E319" s="7">
        <f t="shared" si="513"/>
        <v>947.447</v>
      </c>
      <c r="F319" s="7">
        <f t="shared" si="513"/>
        <v>831.19500000000005</v>
      </c>
      <c r="G319" s="7">
        <f t="shared" si="513"/>
        <v>1262.146</v>
      </c>
      <c r="H319" s="7">
        <f t="shared" si="513"/>
        <v>1252.6390000000001</v>
      </c>
      <c r="I319" s="7">
        <f t="shared" si="513"/>
        <v>1237.816</v>
      </c>
      <c r="J319" s="7">
        <f t="shared" si="513"/>
        <v>843.01300000000003</v>
      </c>
      <c r="K319" s="7">
        <f t="shared" si="513"/>
        <v>748.93</v>
      </c>
      <c r="L319" s="7">
        <f t="shared" si="513"/>
        <v>1687.3150000000001</v>
      </c>
      <c r="M319" s="7">
        <f t="shared" si="513"/>
        <v>1644.0650000000001</v>
      </c>
      <c r="N319" s="7">
        <f t="shared" si="513"/>
        <v>1600.8150000000001</v>
      </c>
      <c r="O319" s="5"/>
      <c r="P319" s="7"/>
      <c r="Q319" s="7"/>
      <c r="R319" s="7"/>
      <c r="S319" s="7"/>
      <c r="T319" s="7"/>
      <c r="U319" s="7"/>
      <c r="V319" s="7"/>
      <c r="W319" s="7">
        <f t="shared" ref="W319:AY319" si="514">W302+W298</f>
        <v>1262.146</v>
      </c>
      <c r="X319" s="7">
        <f t="shared" si="514"/>
        <v>1262.011</v>
      </c>
      <c r="Y319" s="7">
        <f t="shared" si="514"/>
        <v>1264.972</v>
      </c>
      <c r="Z319" s="7">
        <f t="shared" si="514"/>
        <v>1251.482</v>
      </c>
      <c r="AA319" s="7">
        <f t="shared" si="514"/>
        <v>1252.6390000000001</v>
      </c>
      <c r="AB319" s="7">
        <f t="shared" si="514"/>
        <v>1250.8210000000001</v>
      </c>
      <c r="AC319" s="7">
        <f t="shared" si="514"/>
        <v>1246.443</v>
      </c>
      <c r="AD319" s="7">
        <f t="shared" si="514"/>
        <v>1241.5079999999998</v>
      </c>
      <c r="AE319" s="7">
        <f t="shared" si="514"/>
        <v>1237.816</v>
      </c>
      <c r="AF319" s="7">
        <f t="shared" si="514"/>
        <v>1219.904</v>
      </c>
      <c r="AG319" s="7">
        <f t="shared" si="514"/>
        <v>1146.5539999999999</v>
      </c>
      <c r="AH319" s="7">
        <f t="shared" si="514"/>
        <v>1144.0820000000001</v>
      </c>
      <c r="AI319" s="7">
        <f t="shared" si="514"/>
        <v>843.01300000000003</v>
      </c>
      <c r="AJ319" s="7">
        <f t="shared" si="514"/>
        <v>845.10899999999992</v>
      </c>
      <c r="AK319" s="7">
        <f t="shared" si="514"/>
        <v>796.11800000000005</v>
      </c>
      <c r="AL319" s="7">
        <f t="shared" si="514"/>
        <v>794.50700000000006</v>
      </c>
      <c r="AM319" s="7">
        <f t="shared" ref="AM319" si="515">AM302+AM298</f>
        <v>748.93</v>
      </c>
      <c r="AN319" s="7">
        <f t="shared" si="514"/>
        <v>753.40595119913201</v>
      </c>
      <c r="AO319" s="7">
        <f t="shared" si="514"/>
        <v>1708.94</v>
      </c>
      <c r="AP319" s="7">
        <f t="shared" si="514"/>
        <v>1698.1275000000001</v>
      </c>
      <c r="AQ319" s="7">
        <f t="shared" si="514"/>
        <v>1687.3150000000001</v>
      </c>
      <c r="AR319" s="7">
        <f t="shared" si="514"/>
        <v>1676.5025000000001</v>
      </c>
      <c r="AS319" s="7">
        <f t="shared" si="514"/>
        <v>1665.69</v>
      </c>
      <c r="AT319" s="7">
        <f t="shared" si="514"/>
        <v>1654.8775000000001</v>
      </c>
      <c r="AU319" s="7">
        <f t="shared" si="514"/>
        <v>1644.0650000000001</v>
      </c>
      <c r="AV319" s="7">
        <f t="shared" si="514"/>
        <v>1633.2525000000001</v>
      </c>
      <c r="AW319" s="7">
        <f t="shared" si="514"/>
        <v>1622.44</v>
      </c>
      <c r="AX319" s="7">
        <f t="shared" si="514"/>
        <v>1611.6275000000001</v>
      </c>
      <c r="AY319" s="7">
        <f t="shared" si="514"/>
        <v>1600.8150000000001</v>
      </c>
      <c r="AZ319" s="5"/>
      <c r="BA319" s="5"/>
      <c r="BB319" s="5"/>
      <c r="BC319" s="5"/>
      <c r="BD319" s="5"/>
      <c r="BE319" s="5"/>
      <c r="BF319" s="5"/>
      <c r="BG319" s="4">
        <v>313</v>
      </c>
      <c r="BH319"/>
      <c r="BI319"/>
      <c r="BJ319"/>
      <c r="BK319"/>
      <c r="BL319"/>
      <c r="BM319"/>
    </row>
    <row r="320" spans="1:65" s="3" customFormat="1" ht="11.25" outlineLevel="1">
      <c r="A320" s="6"/>
      <c r="B320" s="11" t="s">
        <v>20</v>
      </c>
      <c r="C320" s="7">
        <f t="shared" ref="C320:N320" si="516">C319-C285</f>
        <v>231.56799999999998</v>
      </c>
      <c r="D320" s="7">
        <f t="shared" si="516"/>
        <v>671.13699999999994</v>
      </c>
      <c r="E320" s="7">
        <f t="shared" si="516"/>
        <v>895.68200000000002</v>
      </c>
      <c r="F320" s="7">
        <f t="shared" si="516"/>
        <v>819.32900000000006</v>
      </c>
      <c r="G320" s="7">
        <f t="shared" si="516"/>
        <v>1244.3309999999999</v>
      </c>
      <c r="H320" s="7">
        <f t="shared" si="516"/>
        <v>1175.7160000000001</v>
      </c>
      <c r="I320" s="7">
        <f t="shared" si="516"/>
        <v>1066.33</v>
      </c>
      <c r="J320" s="7">
        <f t="shared" si="516"/>
        <v>648.94399999999996</v>
      </c>
      <c r="K320" s="7">
        <f t="shared" si="516"/>
        <v>620.96299999999997</v>
      </c>
      <c r="L320" s="7">
        <f t="shared" si="516"/>
        <v>1057.7732397847121</v>
      </c>
      <c r="M320" s="7">
        <f t="shared" si="516"/>
        <v>597.88248402792374</v>
      </c>
      <c r="N320" s="7">
        <f t="shared" si="516"/>
        <v>152.74157104548908</v>
      </c>
      <c r="O320" s="5"/>
      <c r="P320" s="7"/>
      <c r="Q320" s="7"/>
      <c r="R320" s="7"/>
      <c r="S320" s="7"/>
      <c r="T320" s="7"/>
      <c r="U320" s="7"/>
      <c r="V320" s="7"/>
      <c r="W320" s="7">
        <f t="shared" ref="W320:AY320" si="517">W319-W285</f>
        <v>1244.3309999999999</v>
      </c>
      <c r="X320" s="7">
        <f t="shared" si="517"/>
        <v>1253.9089999999999</v>
      </c>
      <c r="Y320" s="7">
        <f t="shared" si="517"/>
        <v>1252.4580000000001</v>
      </c>
      <c r="Z320" s="7">
        <f t="shared" si="517"/>
        <v>1206.384</v>
      </c>
      <c r="AA320" s="7">
        <f t="shared" si="517"/>
        <v>1175.7160000000001</v>
      </c>
      <c r="AB320" s="7">
        <f t="shared" si="517"/>
        <v>1132.4490000000001</v>
      </c>
      <c r="AC320" s="7">
        <f t="shared" si="517"/>
        <v>1070.9549999999999</v>
      </c>
      <c r="AD320" s="7">
        <f t="shared" si="517"/>
        <v>1062.0279999999998</v>
      </c>
      <c r="AE320" s="7">
        <f t="shared" si="517"/>
        <v>1066.33</v>
      </c>
      <c r="AF320" s="7">
        <f t="shared" si="517"/>
        <v>1076.0319999999999</v>
      </c>
      <c r="AG320" s="7">
        <f t="shared" si="517"/>
        <v>1084.9189999999999</v>
      </c>
      <c r="AH320" s="7">
        <f t="shared" si="517"/>
        <v>930.64800000000014</v>
      </c>
      <c r="AI320" s="7">
        <f t="shared" si="517"/>
        <v>648.94399999999996</v>
      </c>
      <c r="AJ320" s="7">
        <f t="shared" si="517"/>
        <v>634.44499999999994</v>
      </c>
      <c r="AK320" s="7">
        <f t="shared" si="517"/>
        <v>617.59100000000012</v>
      </c>
      <c r="AL320" s="7">
        <f t="shared" si="517"/>
        <v>606.25</v>
      </c>
      <c r="AM320" s="7">
        <f t="shared" ref="AM320" si="518">AM319-AM285</f>
        <v>620.96299999999997</v>
      </c>
      <c r="AN320" s="7">
        <f t="shared" si="517"/>
        <v>608.42295119913217</v>
      </c>
      <c r="AO320" s="7">
        <f t="shared" si="517"/>
        <v>1375.7070727625091</v>
      </c>
      <c r="AP320" s="7">
        <f t="shared" si="517"/>
        <v>1207.2481045015352</v>
      </c>
      <c r="AQ320" s="7">
        <f t="shared" si="517"/>
        <v>1057.7732397847121</v>
      </c>
      <c r="AR320" s="7">
        <f t="shared" si="517"/>
        <v>936.25659671752919</v>
      </c>
      <c r="AS320" s="7">
        <f t="shared" si="517"/>
        <v>819.86136618058947</v>
      </c>
      <c r="AT320" s="7">
        <f t="shared" si="517"/>
        <v>707.15810674603574</v>
      </c>
      <c r="AU320" s="7">
        <f t="shared" si="517"/>
        <v>597.88248402792374</v>
      </c>
      <c r="AV320" s="7">
        <f t="shared" si="517"/>
        <v>497.02743014537259</v>
      </c>
      <c r="AW320" s="7">
        <f t="shared" si="517"/>
        <v>392.11204259306351</v>
      </c>
      <c r="AX320" s="7">
        <f t="shared" si="517"/>
        <v>268.34762564228731</v>
      </c>
      <c r="AY320" s="7">
        <f t="shared" si="517"/>
        <v>152.74157104548908</v>
      </c>
      <c r="AZ320" s="5"/>
      <c r="BA320" s="5"/>
      <c r="BB320" s="5"/>
      <c r="BC320" s="5"/>
      <c r="BD320" s="5"/>
      <c r="BE320" s="5"/>
      <c r="BF320" s="5"/>
      <c r="BG320" s="4">
        <v>314</v>
      </c>
      <c r="BH320"/>
      <c r="BI320"/>
      <c r="BJ320"/>
      <c r="BK320"/>
      <c r="BL320"/>
      <c r="BM320"/>
    </row>
    <row r="321" spans="1:65" s="3" customFormat="1" ht="11.25" outlineLevel="1">
      <c r="A321" s="6"/>
      <c r="B321" s="11" t="s">
        <v>120</v>
      </c>
      <c r="C321" s="25">
        <f t="shared" ref="C321:N321" si="519">C319/C318</f>
        <v>0.90032202300819975</v>
      </c>
      <c r="D321" s="25">
        <f t="shared" si="519"/>
        <v>1.8950081280413422</v>
      </c>
      <c r="E321" s="25">
        <f t="shared" si="519"/>
        <v>1.9086438704426691</v>
      </c>
      <c r="F321" s="25">
        <f t="shared" si="519"/>
        <v>1.534541231812752</v>
      </c>
      <c r="G321" s="25">
        <f t="shared" si="519"/>
        <v>1.1539441215542252</v>
      </c>
      <c r="H321" s="25">
        <f t="shared" si="519"/>
        <v>0.97586359213506169</v>
      </c>
      <c r="I321" s="25">
        <f t="shared" si="519"/>
        <v>1.0520278769335374</v>
      </c>
      <c r="J321" s="25">
        <f t="shared" si="519"/>
        <v>0.77053635083999061</v>
      </c>
      <c r="K321" s="25">
        <f t="shared" si="519"/>
        <v>0.7006850327547075</v>
      </c>
      <c r="L321" s="25">
        <f t="shared" si="519"/>
        <v>0.36597163727814847</v>
      </c>
      <c r="M321" s="25">
        <f t="shared" si="519"/>
        <v>0.33817401889681936</v>
      </c>
      <c r="N321" s="25">
        <f t="shared" si="519"/>
        <v>0.31204576757944719</v>
      </c>
      <c r="O321" s="5"/>
      <c r="P321" s="25"/>
      <c r="Q321" s="25"/>
      <c r="R321" s="25"/>
      <c r="S321" s="25"/>
      <c r="T321" s="25"/>
      <c r="U321" s="25"/>
      <c r="V321" s="25"/>
      <c r="W321" s="25">
        <f t="shared" ref="W321:AY321" si="520">W319/W318</f>
        <v>1.1539441215542252</v>
      </c>
      <c r="X321" s="25">
        <f t="shared" si="520"/>
        <v>1.1188596242366642</v>
      </c>
      <c r="Y321" s="25">
        <f t="shared" si="520"/>
        <v>1.0719611136439517</v>
      </c>
      <c r="Z321" s="25">
        <f t="shared" si="520"/>
        <v>1.0200757711606616</v>
      </c>
      <c r="AA321" s="25">
        <f t="shared" si="520"/>
        <v>0.97586359213506169</v>
      </c>
      <c r="AB321" s="25">
        <f t="shared" si="520"/>
        <v>0.95541740376477635</v>
      </c>
      <c r="AC321" s="25">
        <f t="shared" si="520"/>
        <v>0.94237525715205928</v>
      </c>
      <c r="AD321" s="25">
        <f t="shared" si="520"/>
        <v>0.97695225909409611</v>
      </c>
      <c r="AE321" s="25">
        <f t="shared" si="520"/>
        <v>1.0520278769335374</v>
      </c>
      <c r="AF321" s="25">
        <f t="shared" si="520"/>
        <v>1.064530457129643</v>
      </c>
      <c r="AG321" s="25">
        <f t="shared" si="520"/>
        <v>1.1620711358773705</v>
      </c>
      <c r="AH321" s="25">
        <f t="shared" si="520"/>
        <v>1.0120830874814117</v>
      </c>
      <c r="AI321" s="25">
        <f t="shared" si="520"/>
        <v>0.77053635083999061</v>
      </c>
      <c r="AJ321" s="25">
        <f t="shared" si="520"/>
        <v>0.77671461762997485</v>
      </c>
      <c r="AK321" s="25">
        <f t="shared" si="520"/>
        <v>0.75615232501372465</v>
      </c>
      <c r="AL321" s="25">
        <f t="shared" si="520"/>
        <v>0.72886738950348473</v>
      </c>
      <c r="AM321" s="25">
        <f t="shared" ref="AM321" si="521">AM319/AM318</f>
        <v>0.7006850327547075</v>
      </c>
      <c r="AN321" s="25">
        <f t="shared" si="520"/>
        <v>0.68130885039326217</v>
      </c>
      <c r="AO321" s="25">
        <f t="shared" si="520"/>
        <v>0.38733128019171675</v>
      </c>
      <c r="AP321" s="25">
        <f t="shared" si="520"/>
        <v>0.37642351771410099</v>
      </c>
      <c r="AQ321" s="25">
        <f t="shared" si="520"/>
        <v>0.36597163727814847</v>
      </c>
      <c r="AR321" s="25">
        <f t="shared" si="520"/>
        <v>0.35825361240188081</v>
      </c>
      <c r="AS321" s="25">
        <f t="shared" si="520"/>
        <v>0.35128570737745218</v>
      </c>
      <c r="AT321" s="25">
        <f t="shared" si="520"/>
        <v>0.34440305974699231</v>
      </c>
      <c r="AU321" s="25">
        <f t="shared" si="520"/>
        <v>0.33817401889681936</v>
      </c>
      <c r="AV321" s="25">
        <f t="shared" si="520"/>
        <v>0.33171703809496722</v>
      </c>
      <c r="AW321" s="25">
        <f t="shared" si="520"/>
        <v>0.3245829655173933</v>
      </c>
      <c r="AX321" s="25">
        <f t="shared" si="520"/>
        <v>0.31786776043639342</v>
      </c>
      <c r="AY321" s="25">
        <f t="shared" si="520"/>
        <v>0.31204576757944719</v>
      </c>
      <c r="AZ321" s="5"/>
      <c r="BA321" s="5"/>
      <c r="BB321" s="5"/>
      <c r="BC321" s="5"/>
      <c r="BD321" s="5"/>
      <c r="BE321" s="5"/>
      <c r="BF321" s="5"/>
      <c r="BG321" s="4">
        <v>315</v>
      </c>
      <c r="BH321"/>
      <c r="BI321"/>
      <c r="BJ321"/>
      <c r="BK321"/>
      <c r="BL321"/>
      <c r="BM321"/>
    </row>
    <row r="322" spans="1:65" s="3" customFormat="1" ht="11.25" outlineLevel="1">
      <c r="A322" s="6"/>
      <c r="B322" s="11" t="s">
        <v>119</v>
      </c>
      <c r="C322" s="25">
        <f t="shared" ref="C322:N322" si="522">C320/C318</f>
        <v>0.88563211357239013</v>
      </c>
      <c r="D322" s="25">
        <f t="shared" si="522"/>
        <v>1.7914710286710318</v>
      </c>
      <c r="E322" s="25">
        <f t="shared" si="522"/>
        <v>1.8043626283748122</v>
      </c>
      <c r="F322" s="25">
        <f t="shared" si="522"/>
        <v>1.5126343793212307</v>
      </c>
      <c r="G322" s="25">
        <f t="shared" si="522"/>
        <v>1.1376563747123474</v>
      </c>
      <c r="H322" s="25">
        <f t="shared" si="522"/>
        <v>0.9159370250252995</v>
      </c>
      <c r="I322" s="25">
        <f t="shared" si="522"/>
        <v>0.90628080911099784</v>
      </c>
      <c r="J322" s="25">
        <f t="shared" si="522"/>
        <v>0.59315211231559517</v>
      </c>
      <c r="K322" s="25">
        <f t="shared" si="522"/>
        <v>0.58096147836842083</v>
      </c>
      <c r="L322" s="25">
        <f t="shared" si="522"/>
        <v>0.22942663606559691</v>
      </c>
      <c r="M322" s="25">
        <f t="shared" si="522"/>
        <v>0.12298073522137894</v>
      </c>
      <c r="N322" s="25">
        <f t="shared" si="522"/>
        <v>2.9773809452172992E-2</v>
      </c>
      <c r="O322" s="5"/>
      <c r="P322" s="25"/>
      <c r="Q322" s="25"/>
      <c r="R322" s="25"/>
      <c r="S322" s="25"/>
      <c r="T322" s="25"/>
      <c r="U322" s="25"/>
      <c r="V322" s="25"/>
      <c r="W322" s="25">
        <f t="shared" ref="W322:AY322" si="523">W320/W318</f>
        <v>1.1376563747123474</v>
      </c>
      <c r="X322" s="25">
        <f t="shared" si="523"/>
        <v>1.1116766435213095</v>
      </c>
      <c r="Y322" s="25">
        <f t="shared" si="523"/>
        <v>1.0613565141934183</v>
      </c>
      <c r="Z322" s="25">
        <f t="shared" si="523"/>
        <v>0.98331665107119692</v>
      </c>
      <c r="AA322" s="25">
        <f t="shared" si="523"/>
        <v>0.9159370250252995</v>
      </c>
      <c r="AB322" s="25">
        <f t="shared" si="523"/>
        <v>0.86500105408848837</v>
      </c>
      <c r="AC322" s="25">
        <f t="shared" si="523"/>
        <v>0.80969726936834141</v>
      </c>
      <c r="AD322" s="25">
        <f t="shared" si="523"/>
        <v>0.83571805725068593</v>
      </c>
      <c r="AE322" s="25">
        <f t="shared" si="523"/>
        <v>0.90628080911099784</v>
      </c>
      <c r="AF322" s="25">
        <f t="shared" si="523"/>
        <v>0.93898276982953077</v>
      </c>
      <c r="AG322" s="25">
        <f t="shared" si="523"/>
        <v>1.0996019853098422</v>
      </c>
      <c r="AH322" s="25">
        <f t="shared" si="523"/>
        <v>0.82327411951101481</v>
      </c>
      <c r="AI322" s="25">
        <f t="shared" si="523"/>
        <v>0.59315211231559517</v>
      </c>
      <c r="AJ322" s="25">
        <f t="shared" si="523"/>
        <v>0.58309958310969279</v>
      </c>
      <c r="AK322" s="25">
        <f t="shared" si="523"/>
        <v>0.58658750406039217</v>
      </c>
      <c r="AL322" s="25">
        <f t="shared" si="523"/>
        <v>0.5561635767670865</v>
      </c>
      <c r="AM322" s="25">
        <f t="shared" ref="AM322" si="524">AM320/AM318</f>
        <v>0.58096147836842083</v>
      </c>
      <c r="AN322" s="25">
        <f t="shared" si="523"/>
        <v>0.55019998285730842</v>
      </c>
      <c r="AO322" s="25">
        <f t="shared" si="523"/>
        <v>0.31180403154113184</v>
      </c>
      <c r="AP322" s="25">
        <f t="shared" si="523"/>
        <v>0.26761039924867153</v>
      </c>
      <c r="AQ322" s="25">
        <f t="shared" si="523"/>
        <v>0.22942663606559691</v>
      </c>
      <c r="AR322" s="25">
        <f t="shared" si="523"/>
        <v>0.2000696735669322</v>
      </c>
      <c r="AS322" s="25">
        <f t="shared" si="523"/>
        <v>0.17290467011880525</v>
      </c>
      <c r="AT322" s="25">
        <f t="shared" si="523"/>
        <v>0.14716945253544439</v>
      </c>
      <c r="AU322" s="25">
        <f t="shared" si="523"/>
        <v>0.12298073522137894</v>
      </c>
      <c r="AV322" s="25">
        <f t="shared" si="523"/>
        <v>0.10094732258470519</v>
      </c>
      <c r="AW322" s="25">
        <f t="shared" si="523"/>
        <v>7.8445359828368991E-2</v>
      </c>
      <c r="AX322" s="25">
        <f t="shared" si="523"/>
        <v>5.292727927597262E-2</v>
      </c>
      <c r="AY322" s="25">
        <f t="shared" si="523"/>
        <v>2.9773809452172992E-2</v>
      </c>
      <c r="AZ322" s="5"/>
      <c r="BA322" s="5"/>
      <c r="BB322" s="5"/>
      <c r="BC322" s="5"/>
      <c r="BD322" s="5"/>
      <c r="BE322" s="5"/>
      <c r="BF322" s="5"/>
      <c r="BG322" s="4">
        <v>316</v>
      </c>
      <c r="BH322"/>
      <c r="BI322"/>
      <c r="BJ322"/>
      <c r="BK322"/>
      <c r="BL322"/>
      <c r="BM322"/>
    </row>
    <row r="323" spans="1:65" s="3" customFormat="1" ht="11.25" outlineLevel="1">
      <c r="A323" s="6"/>
      <c r="B323" s="11"/>
      <c r="C323" s="83"/>
      <c r="D323" s="83"/>
      <c r="E323" s="83"/>
      <c r="F323" s="83"/>
      <c r="G323" s="83"/>
      <c r="H323" s="83"/>
      <c r="I323" s="83"/>
      <c r="J323" s="83"/>
      <c r="K323" s="83"/>
      <c r="L323" s="83"/>
      <c r="M323" s="83"/>
      <c r="N323" s="83"/>
      <c r="O323" s="5"/>
      <c r="P323" s="83"/>
      <c r="Q323" s="83"/>
      <c r="R323" s="83"/>
      <c r="S323" s="83"/>
      <c r="T323" s="83"/>
      <c r="U323" s="83"/>
      <c r="V323" s="83"/>
      <c r="W323" s="83"/>
      <c r="X323" s="83"/>
      <c r="Y323" s="83"/>
      <c r="Z323" s="83"/>
      <c r="AA323" s="83"/>
      <c r="AB323" s="83"/>
      <c r="AC323" s="83"/>
      <c r="AD323" s="83"/>
      <c r="AE323" s="83"/>
      <c r="AF323" s="83"/>
      <c r="AG323" s="83"/>
      <c r="AH323" s="83"/>
      <c r="AI323" s="83"/>
      <c r="AJ323" s="85"/>
      <c r="AK323" s="85"/>
      <c r="AL323" s="85"/>
      <c r="AM323" s="85"/>
      <c r="AN323" s="83"/>
      <c r="AO323" s="83"/>
      <c r="AP323" s="83"/>
      <c r="AQ323" s="83"/>
      <c r="AR323" s="83"/>
      <c r="AS323" s="83"/>
      <c r="AT323" s="83"/>
      <c r="AU323" s="83"/>
      <c r="AV323" s="83"/>
      <c r="AW323" s="83"/>
      <c r="AX323" s="83"/>
      <c r="AY323" s="83"/>
      <c r="AZ323" s="5"/>
      <c r="BA323" s="5"/>
      <c r="BB323" s="5"/>
      <c r="BC323" s="5"/>
      <c r="BD323" s="5"/>
      <c r="BE323" s="5"/>
      <c r="BF323" s="5"/>
      <c r="BG323" s="4">
        <v>317</v>
      </c>
      <c r="BH323"/>
      <c r="BI323"/>
      <c r="BJ323"/>
      <c r="BK323"/>
      <c r="BL323"/>
      <c r="BM323"/>
    </row>
    <row r="324" spans="1:65" s="3" customFormat="1" ht="11.25" outlineLevel="1">
      <c r="A324" s="6"/>
      <c r="B324" s="11" t="s">
        <v>118</v>
      </c>
      <c r="C324" s="83"/>
      <c r="D324" s="83"/>
      <c r="E324" s="83"/>
      <c r="F324" s="83">
        <f t="shared" ref="F324:N324" si="525">F320/F$214</f>
        <v>2.5712505884198968</v>
      </c>
      <c r="G324" s="83">
        <f t="shared" si="525"/>
        <v>4.2529017307850054</v>
      </c>
      <c r="H324" s="83">
        <f t="shared" si="525"/>
        <v>2.9593419066717193</v>
      </c>
      <c r="I324" s="83">
        <f t="shared" si="525"/>
        <v>7.7475206161223529</v>
      </c>
      <c r="J324" s="83">
        <f t="shared" si="525"/>
        <v>29.970165796887258</v>
      </c>
      <c r="K324" s="83">
        <f t="shared" si="525"/>
        <v>3.0310542937613181</v>
      </c>
      <c r="L324" s="83">
        <f t="shared" si="525"/>
        <v>1.8337703265430105</v>
      </c>
      <c r="M324" s="83">
        <f t="shared" si="525"/>
        <v>0.80984904883169007</v>
      </c>
      <c r="N324" s="83">
        <f t="shared" si="525"/>
        <v>0.20433122377911359</v>
      </c>
      <c r="O324" s="5"/>
      <c r="P324" s="83"/>
      <c r="Q324" s="83"/>
      <c r="R324" s="83"/>
      <c r="S324" s="83"/>
      <c r="T324" s="83"/>
      <c r="U324" s="83"/>
      <c r="V324" s="83"/>
      <c r="W324" s="83"/>
      <c r="X324" s="83">
        <f t="shared" ref="X324:AY324" si="526">X320/SUM(U214:X214)</f>
        <v>4.1256913666768664</v>
      </c>
      <c r="Y324" s="83">
        <f t="shared" si="526"/>
        <v>3.8390966943127816</v>
      </c>
      <c r="Z324" s="83">
        <f t="shared" si="526"/>
        <v>3.3414259075996289</v>
      </c>
      <c r="AA324" s="83">
        <f t="shared" si="526"/>
        <v>2.9593419066717193</v>
      </c>
      <c r="AB324" s="83">
        <f t="shared" si="526"/>
        <v>2.9013520451586881</v>
      </c>
      <c r="AC324" s="83">
        <f t="shared" si="526"/>
        <v>3.2602163827429576</v>
      </c>
      <c r="AD324" s="83">
        <f t="shared" si="526"/>
        <v>4.5517891659987733</v>
      </c>
      <c r="AE324" s="83">
        <f t="shared" si="526"/>
        <v>7.7475206161223529</v>
      </c>
      <c r="AF324" s="83">
        <f t="shared" si="526"/>
        <v>14.827913129754158</v>
      </c>
      <c r="AG324" s="83">
        <f t="shared" si="526"/>
        <v>34.441873015873007</v>
      </c>
      <c r="AH324" s="83">
        <f t="shared" si="526"/>
        <v>63.603608529250927</v>
      </c>
      <c r="AI324" s="83">
        <f t="shared" si="526"/>
        <v>29.970165796887258</v>
      </c>
      <c r="AJ324" s="83">
        <f t="shared" si="526"/>
        <v>19.072448519464917</v>
      </c>
      <c r="AK324" s="83">
        <f t="shared" si="526"/>
        <v>7.2448941286879007</v>
      </c>
      <c r="AL324" s="83">
        <f t="shared" si="526"/>
        <v>3.9693192085586713</v>
      </c>
      <c r="AM324" s="83">
        <f t="shared" si="526"/>
        <v>3.0310542937613181</v>
      </c>
      <c r="AN324" s="83">
        <f t="shared" si="526"/>
        <v>2.4138250003311579</v>
      </c>
      <c r="AO324" s="83">
        <f t="shared" si="526"/>
        <v>4.6875739361081168</v>
      </c>
      <c r="AP324" s="83">
        <f t="shared" si="526"/>
        <v>2.7985783839380298</v>
      </c>
      <c r="AQ324" s="83">
        <f t="shared" si="526"/>
        <v>1.8337703265430105</v>
      </c>
      <c r="AR324" s="83">
        <f t="shared" si="526"/>
        <v>1.3339852369370364</v>
      </c>
      <c r="AS324" s="83">
        <f t="shared" si="526"/>
        <v>1.0280509000484135</v>
      </c>
      <c r="AT324" s="83">
        <f t="shared" si="526"/>
        <v>0.91587970374751992</v>
      </c>
      <c r="AU324" s="83">
        <f t="shared" si="526"/>
        <v>0.80984904883169007</v>
      </c>
      <c r="AV324" s="83">
        <f t="shared" si="526"/>
        <v>0.6846007841209153</v>
      </c>
      <c r="AW324" s="83">
        <f t="shared" si="526"/>
        <v>0.53053885913649523</v>
      </c>
      <c r="AX324" s="83">
        <f t="shared" si="526"/>
        <v>0.35956062595415306</v>
      </c>
      <c r="AY324" s="83">
        <f t="shared" si="526"/>
        <v>0.20433122377911359</v>
      </c>
      <c r="AZ324" s="5"/>
      <c r="BA324" s="5"/>
      <c r="BB324" s="5"/>
      <c r="BC324" s="5"/>
      <c r="BD324" s="5"/>
      <c r="BE324" s="5"/>
      <c r="BF324" s="5"/>
      <c r="BG324" s="4">
        <v>318</v>
      </c>
      <c r="BH324"/>
      <c r="BI324"/>
      <c r="BJ324"/>
      <c r="BK324"/>
      <c r="BL324"/>
      <c r="BM324"/>
    </row>
    <row r="325" spans="1:65" s="3" customFormat="1" ht="11.25" outlineLevel="1">
      <c r="A325" s="6"/>
      <c r="B325" s="11" t="s">
        <v>117</v>
      </c>
      <c r="C325" s="83"/>
      <c r="D325" s="83"/>
      <c r="E325" s="83"/>
      <c r="F325" s="83">
        <f t="shared" ref="F325:N325" si="527">F320/(F$40)</f>
        <v>2.5712505884198968</v>
      </c>
      <c r="G325" s="83">
        <f t="shared" si="527"/>
        <v>4.2529017307850054</v>
      </c>
      <c r="H325" s="83">
        <f t="shared" si="527"/>
        <v>2.9593419066717193</v>
      </c>
      <c r="I325" s="83">
        <f t="shared" si="527"/>
        <v>7.7475206161223529</v>
      </c>
      <c r="J325" s="83">
        <f t="shared" si="527"/>
        <v>29.970165796887258</v>
      </c>
      <c r="K325" s="83">
        <f t="shared" si="527"/>
        <v>3.0310542937613181</v>
      </c>
      <c r="L325" s="83">
        <f t="shared" si="527"/>
        <v>1.8337703265430105</v>
      </c>
      <c r="M325" s="83">
        <f t="shared" si="527"/>
        <v>0.80984904883169007</v>
      </c>
      <c r="N325" s="83">
        <f t="shared" si="527"/>
        <v>0.20433122377911359</v>
      </c>
      <c r="O325" s="5"/>
      <c r="P325" s="83"/>
      <c r="Q325" s="83"/>
      <c r="R325" s="83"/>
      <c r="S325" s="83"/>
      <c r="T325" s="83"/>
      <c r="U325" s="83"/>
      <c r="V325" s="83"/>
      <c r="W325" s="83"/>
      <c r="X325" s="83">
        <f t="shared" ref="X325:AY325" si="528">X320/(X$40*4)</f>
        <v>3.8188881173403493</v>
      </c>
      <c r="Y325" s="83">
        <f t="shared" si="528"/>
        <v>3.1983852839054432</v>
      </c>
      <c r="Z325" s="83">
        <f t="shared" si="528"/>
        <v>2.5791985222433165</v>
      </c>
      <c r="AA325" s="83">
        <f t="shared" si="528"/>
        <v>2.9283963655202645</v>
      </c>
      <c r="AB325" s="83">
        <f t="shared" si="528"/>
        <v>3.7691009665308739</v>
      </c>
      <c r="AC325" s="83">
        <f t="shared" si="528"/>
        <v>7.4223428143712509</v>
      </c>
      <c r="AD325" s="83">
        <f t="shared" si="528"/>
        <v>12.199926480724159</v>
      </c>
      <c r="AE325" s="83">
        <f t="shared" si="528"/>
        <v>56.88913785744797</v>
      </c>
      <c r="AF325" s="83">
        <f t="shared" si="528"/>
        <v>26.774957698815555</v>
      </c>
      <c r="AG325" s="83">
        <f t="shared" si="528"/>
        <v>-54.289381505204368</v>
      </c>
      <c r="AH325" s="83">
        <f t="shared" si="528"/>
        <v>47.530541368743556</v>
      </c>
      <c r="AI325" s="83">
        <f t="shared" si="528"/>
        <v>13.858033655078184</v>
      </c>
      <c r="AJ325" s="83">
        <f t="shared" si="528"/>
        <v>7.3231104852486357</v>
      </c>
      <c r="AK325" s="83">
        <f t="shared" si="528"/>
        <v>3.2861772092627248</v>
      </c>
      <c r="AL325" s="83">
        <f t="shared" si="528"/>
        <v>2.0938674292661363</v>
      </c>
      <c r="AM325" s="83">
        <f t="shared" ref="AM325" si="529">AM320/(AM$40*4)</f>
        <v>2.4317160087719301</v>
      </c>
      <c r="AN325" s="83">
        <f t="shared" si="528"/>
        <v>2.2092463029283711</v>
      </c>
      <c r="AO325" s="83">
        <f t="shared" si="528"/>
        <v>3.8903128783945311</v>
      </c>
      <c r="AP325" s="83">
        <f t="shared" si="528"/>
        <v>1.4352624473328466</v>
      </c>
      <c r="AQ325" s="83">
        <f t="shared" si="528"/>
        <v>1.2635217234096947</v>
      </c>
      <c r="AR325" s="83">
        <f t="shared" si="528"/>
        <v>1.2073304247880834</v>
      </c>
      <c r="AS325" s="83">
        <f t="shared" si="528"/>
        <v>1.1136535435390948</v>
      </c>
      <c r="AT325" s="83">
        <f t="shared" si="528"/>
        <v>0.95613304153569201</v>
      </c>
      <c r="AU325" s="83">
        <f t="shared" si="528"/>
        <v>0.85194313264575083</v>
      </c>
      <c r="AV325" s="83">
        <f t="shared" si="528"/>
        <v>0.68417475491328872</v>
      </c>
      <c r="AW325" s="83">
        <f t="shared" si="528"/>
        <v>0.49730201913759131</v>
      </c>
      <c r="AX325" s="83">
        <f t="shared" si="528"/>
        <v>0.34915839643453367</v>
      </c>
      <c r="AY325" s="83">
        <f t="shared" si="528"/>
        <v>0.2161699353046018</v>
      </c>
      <c r="AZ325" s="5"/>
      <c r="BA325" s="5"/>
      <c r="BB325" s="5"/>
      <c r="BC325" s="5"/>
      <c r="BD325" s="5"/>
      <c r="BE325" s="5"/>
      <c r="BF325" s="5"/>
      <c r="BG325" s="4">
        <v>319</v>
      </c>
      <c r="BH325"/>
      <c r="BI325"/>
      <c r="BJ325"/>
      <c r="BK325"/>
      <c r="BL325"/>
      <c r="BM325"/>
    </row>
    <row r="326" spans="1:65" s="3" customFormat="1" ht="11.25" outlineLevel="1">
      <c r="A326" s="6"/>
      <c r="B326" s="40" t="s">
        <v>116</v>
      </c>
      <c r="C326" s="83"/>
      <c r="D326" s="83"/>
      <c r="E326" s="83"/>
      <c r="F326" s="83">
        <f t="shared" ref="F326:N326" si="530">F320/F$23</f>
        <v>2.9187842213822863</v>
      </c>
      <c r="G326" s="83">
        <f t="shared" si="530"/>
        <v>5.041001936461381</v>
      </c>
      <c r="H326" s="83">
        <f t="shared" si="530"/>
        <v>3.6563826968749935</v>
      </c>
      <c r="I326" s="83">
        <f t="shared" si="530"/>
        <v>15.461452578769544</v>
      </c>
      <c r="J326" s="83">
        <f t="shared" si="530"/>
        <v>-11.109011229800055</v>
      </c>
      <c r="K326" s="83">
        <f t="shared" si="530"/>
        <v>5.373511595707857</v>
      </c>
      <c r="L326" s="83">
        <f t="shared" si="530"/>
        <v>2.7020458996012429</v>
      </c>
      <c r="M326" s="83">
        <f t="shared" si="530"/>
        <v>1.2749571538681002</v>
      </c>
      <c r="N326" s="83">
        <f t="shared" si="530"/>
        <v>0.31311602241562247</v>
      </c>
      <c r="O326" s="5"/>
      <c r="P326" s="83"/>
      <c r="Q326" s="83"/>
      <c r="R326" s="83"/>
      <c r="S326" s="83"/>
      <c r="T326" s="83"/>
      <c r="U326" s="83"/>
      <c r="V326" s="83"/>
      <c r="W326" s="83"/>
      <c r="X326" s="83">
        <f t="shared" ref="X326:AY326" si="531">X320/SUM(U23:X23)</f>
        <v>5.0984760386764139</v>
      </c>
      <c r="Y326" s="83">
        <f t="shared" si="531"/>
        <v>4.7876527343543982</v>
      </c>
      <c r="Z326" s="83">
        <f t="shared" si="531"/>
        <v>4.1951452746245019</v>
      </c>
      <c r="AA326" s="83">
        <f t="shared" si="531"/>
        <v>3.6563826968749935</v>
      </c>
      <c r="AB326" s="83">
        <f t="shared" si="531"/>
        <v>3.6310677920609113</v>
      </c>
      <c r="AC326" s="83">
        <f t="shared" si="531"/>
        <v>4.3157913825620193</v>
      </c>
      <c r="AD326" s="83">
        <f t="shared" si="531"/>
        <v>6.8670339333747128</v>
      </c>
      <c r="AE326" s="83">
        <f t="shared" si="531"/>
        <v>15.461452578769546</v>
      </c>
      <c r="AF326" s="83">
        <f t="shared" si="531"/>
        <v>818.89802130895578</v>
      </c>
      <c r="AG326" s="83">
        <f t="shared" si="531"/>
        <v>-25.065707090543643</v>
      </c>
      <c r="AH326" s="83">
        <f t="shared" si="531"/>
        <v>-15.049288486416565</v>
      </c>
      <c r="AI326" s="83">
        <f t="shared" si="531"/>
        <v>-11.109011229800055</v>
      </c>
      <c r="AJ326" s="83">
        <f t="shared" si="531"/>
        <v>-13.152662893629362</v>
      </c>
      <c r="AK326" s="83">
        <f t="shared" si="531"/>
        <v>225.48046732384108</v>
      </c>
      <c r="AL326" s="83">
        <f t="shared" si="531"/>
        <v>9.0238602027298587</v>
      </c>
      <c r="AM326" s="83">
        <f t="shared" si="531"/>
        <v>5.373511595707857</v>
      </c>
      <c r="AN326" s="83">
        <f t="shared" si="531"/>
        <v>3.7699331389072963</v>
      </c>
      <c r="AO326" s="83">
        <f t="shared" si="531"/>
        <v>6.8016469275794096</v>
      </c>
      <c r="AP326" s="83">
        <f t="shared" si="531"/>
        <v>4.1220997170411602</v>
      </c>
      <c r="AQ326" s="83">
        <f t="shared" si="531"/>
        <v>2.7020458996012429</v>
      </c>
      <c r="AR326" s="83">
        <f t="shared" si="531"/>
        <v>1.9867035617355617</v>
      </c>
      <c r="AS326" s="83">
        <f t="shared" si="531"/>
        <v>1.5682895695534371</v>
      </c>
      <c r="AT326" s="83">
        <f t="shared" si="531"/>
        <v>1.4135583849618469</v>
      </c>
      <c r="AU326" s="83">
        <f t="shared" si="531"/>
        <v>1.2749571538681006</v>
      </c>
      <c r="AV326" s="83">
        <f t="shared" si="531"/>
        <v>1.0824674120276447</v>
      </c>
      <c r="AW326" s="83">
        <f t="shared" si="531"/>
        <v>0.82609193839991457</v>
      </c>
      <c r="AX326" s="83">
        <f t="shared" si="531"/>
        <v>0.55411958323297927</v>
      </c>
      <c r="AY326" s="83">
        <f t="shared" si="531"/>
        <v>0.31311602241562253</v>
      </c>
      <c r="AZ326" s="5"/>
      <c r="BA326" s="5"/>
      <c r="BB326" s="5"/>
      <c r="BC326" s="5"/>
      <c r="BD326" s="5"/>
      <c r="BE326" s="5"/>
      <c r="BF326" s="5"/>
      <c r="BG326" s="4">
        <v>320</v>
      </c>
      <c r="BH326"/>
      <c r="BI326"/>
      <c r="BJ326"/>
      <c r="BK326"/>
      <c r="BL326"/>
      <c r="BM326"/>
    </row>
    <row r="327" spans="1:65" s="3" customFormat="1" ht="11.25" outlineLevel="1">
      <c r="A327" s="6"/>
      <c r="B327" s="40"/>
      <c r="C327" s="83"/>
      <c r="D327" s="83"/>
      <c r="E327" s="83"/>
      <c r="F327" s="83"/>
      <c r="G327" s="83"/>
      <c r="H327" s="83"/>
      <c r="I327" s="83"/>
      <c r="J327" s="83"/>
      <c r="K327" s="83"/>
      <c r="L327" s="83"/>
      <c r="M327" s="83"/>
      <c r="N327" s="83"/>
      <c r="O327" s="5"/>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5"/>
      <c r="BA327" s="5"/>
      <c r="BB327" s="5"/>
      <c r="BC327" s="5"/>
      <c r="BD327" s="5"/>
      <c r="BE327" s="5"/>
      <c r="BF327" s="5"/>
      <c r="BG327" s="4">
        <v>321</v>
      </c>
      <c r="BH327"/>
      <c r="BI327"/>
      <c r="BJ327"/>
      <c r="BK327"/>
      <c r="BL327"/>
      <c r="BM327"/>
    </row>
    <row r="328" spans="1:65" s="3" customFormat="1" ht="11.25" outlineLevel="1">
      <c r="A328" s="6"/>
      <c r="B328" s="11" t="s">
        <v>115</v>
      </c>
      <c r="C328" s="83"/>
      <c r="D328" s="83"/>
      <c r="E328" s="83"/>
      <c r="F328" s="83">
        <f t="shared" ref="F328:N328" si="532">F$39/-F$24</f>
        <v>5.4377931374969135</v>
      </c>
      <c r="G328" s="83">
        <f t="shared" si="532"/>
        <v>4.5960178277298702</v>
      </c>
      <c r="H328" s="83">
        <f t="shared" si="532"/>
        <v>6.2609822211630144</v>
      </c>
      <c r="I328" s="83">
        <f t="shared" si="532"/>
        <v>2.1805372578002</v>
      </c>
      <c r="J328" s="83">
        <f t="shared" si="532"/>
        <v>0.21203359493322316</v>
      </c>
      <c r="K328" s="83">
        <f t="shared" si="532"/>
        <v>3.7654521544055082</v>
      </c>
      <c r="L328" s="83">
        <f t="shared" si="532"/>
        <v>6.1138000502129044</v>
      </c>
      <c r="M328" s="83">
        <f t="shared" si="532"/>
        <v>5.9319318370973262</v>
      </c>
      <c r="N328" s="83">
        <f t="shared" si="532"/>
        <v>6.1679593143106066</v>
      </c>
      <c r="O328" s="5"/>
      <c r="P328" s="83"/>
      <c r="Q328" s="83"/>
      <c r="R328" s="83"/>
      <c r="S328" s="83"/>
      <c r="T328" s="83"/>
      <c r="U328" s="83"/>
      <c r="V328" s="83"/>
      <c r="W328" s="83"/>
      <c r="X328" s="83">
        <f t="shared" ref="X328:AY328" si="533">X$39/-X$24</f>
        <v>4.4714062325477499</v>
      </c>
      <c r="Y328" s="83">
        <f t="shared" si="533"/>
        <v>5.7905310342746841</v>
      </c>
      <c r="Z328" s="83">
        <f t="shared" si="533"/>
        <v>6.8001448663004771</v>
      </c>
      <c r="AA328" s="83">
        <f t="shared" si="533"/>
        <v>9.4158415841584162</v>
      </c>
      <c r="AB328" s="83">
        <f t="shared" si="533"/>
        <v>4.8129082832505876</v>
      </c>
      <c r="AC328" s="83">
        <f t="shared" si="533"/>
        <v>2.2776285752652097</v>
      </c>
      <c r="AD328" s="83">
        <f t="shared" si="533"/>
        <v>1.2000250579465017</v>
      </c>
      <c r="AE328" s="83">
        <f t="shared" si="533"/>
        <v>0.55769111152578199</v>
      </c>
      <c r="AF328" s="83">
        <f t="shared" si="533"/>
        <v>0.4858069748580699</v>
      </c>
      <c r="AG328" s="83">
        <f t="shared" si="533"/>
        <v>-0.53558954594724695</v>
      </c>
      <c r="AH328" s="83">
        <f t="shared" si="533"/>
        <v>0.19153013910355524</v>
      </c>
      <c r="AI328" s="83">
        <f t="shared" si="533"/>
        <v>0.73544766379535209</v>
      </c>
      <c r="AJ328" s="83">
        <f t="shared" si="533"/>
        <v>1.5490946797479437</v>
      </c>
      <c r="AK328" s="83">
        <f t="shared" si="533"/>
        <v>3.3791881691442689</v>
      </c>
      <c r="AL328" s="83">
        <f t="shared" si="533"/>
        <v>5.7767960363336082</v>
      </c>
      <c r="AM328" s="83">
        <f t="shared" si="533"/>
        <v>4.3652507458445786</v>
      </c>
      <c r="AN328" s="83">
        <f t="shared" si="533"/>
        <v>4.4031889582170614</v>
      </c>
      <c r="AO328" s="83">
        <f t="shared" si="533"/>
        <v>5.6748914840300397</v>
      </c>
      <c r="AP328" s="83">
        <f t="shared" si="533"/>
        <v>6.6308499569137416</v>
      </c>
      <c r="AQ328" s="83">
        <f t="shared" si="533"/>
        <v>6.6408131268450346</v>
      </c>
      <c r="AR328" s="83">
        <f t="shared" si="533"/>
        <v>6.179110606938357</v>
      </c>
      <c r="AS328" s="83">
        <f t="shared" si="533"/>
        <v>5.8957443556912237</v>
      </c>
      <c r="AT328" s="83">
        <f t="shared" si="533"/>
        <v>5.9622652474068358</v>
      </c>
      <c r="AU328" s="83">
        <f t="shared" si="533"/>
        <v>5.6860368380978636</v>
      </c>
      <c r="AV328" s="83">
        <f t="shared" si="533"/>
        <v>5.9304533831280404</v>
      </c>
      <c r="AW328" s="83">
        <f t="shared" si="533"/>
        <v>6.4934503053145036</v>
      </c>
      <c r="AX328" s="83">
        <f t="shared" si="533"/>
        <v>6.3673492746693068</v>
      </c>
      <c r="AY328" s="83">
        <f t="shared" si="533"/>
        <v>5.8796594228534911</v>
      </c>
      <c r="AZ328" s="5"/>
      <c r="BA328" s="5"/>
      <c r="BB328" s="5"/>
      <c r="BC328" s="5"/>
      <c r="BD328" s="5"/>
      <c r="BE328" s="5"/>
      <c r="BF328" s="5"/>
      <c r="BG328" s="4">
        <v>322</v>
      </c>
      <c r="BH328"/>
      <c r="BI328"/>
      <c r="BJ328"/>
      <c r="BK328"/>
      <c r="BL328"/>
      <c r="BM328"/>
    </row>
    <row r="329" spans="1:65" s="3" customFormat="1" ht="11.25" outlineLevel="1">
      <c r="A329" s="6"/>
      <c r="B329" s="11" t="s">
        <v>114</v>
      </c>
      <c r="C329" s="83"/>
      <c r="D329" s="83"/>
      <c r="E329" s="83"/>
      <c r="F329" s="83">
        <f t="shared" ref="F329:N329" si="534">(F$39+F258)/-F$24</f>
        <v>3.5155869802870532</v>
      </c>
      <c r="G329" s="83">
        <f t="shared" si="534"/>
        <v>2.7952556276846545</v>
      </c>
      <c r="H329" s="83">
        <f t="shared" si="534"/>
        <v>3.9025620508859031</v>
      </c>
      <c r="I329" s="83">
        <f t="shared" si="534"/>
        <v>0.35299315574692425</v>
      </c>
      <c r="J329" s="83">
        <f t="shared" si="534"/>
        <v>-0.2560466290329983</v>
      </c>
      <c r="K329" s="83">
        <f t="shared" si="534"/>
        <v>2.4199543590933708</v>
      </c>
      <c r="L329" s="83">
        <f t="shared" si="534"/>
        <v>4.9569350047615952</v>
      </c>
      <c r="M329" s="83">
        <f t="shared" si="534"/>
        <v>5.0669204762141282</v>
      </c>
      <c r="N329" s="83">
        <f t="shared" si="534"/>
        <v>5.2799655978405715</v>
      </c>
      <c r="O329" s="5"/>
      <c r="P329" s="83"/>
      <c r="Q329" s="83"/>
      <c r="R329" s="83"/>
      <c r="S329" s="83"/>
      <c r="T329" s="83"/>
      <c r="U329" s="83"/>
      <c r="V329" s="83"/>
      <c r="W329" s="83"/>
      <c r="X329" s="83">
        <f t="shared" ref="X329:AY329" si="535">(X$39+X258)/-X$24</f>
        <v>2.8052049592315433</v>
      </c>
      <c r="Y329" s="83">
        <f t="shared" si="535"/>
        <v>3.8600458785903977</v>
      </c>
      <c r="Z329" s="83">
        <f t="shared" si="535"/>
        <v>5.2356491821090119</v>
      </c>
      <c r="AA329" s="83">
        <f t="shared" si="535"/>
        <v>3.7258344391140144</v>
      </c>
      <c r="AB329" s="83">
        <f t="shared" si="535"/>
        <v>2.7319702116540361</v>
      </c>
      <c r="AC329" s="83">
        <f t="shared" si="535"/>
        <v>0.29347388210017689</v>
      </c>
      <c r="AD329" s="83">
        <f t="shared" si="535"/>
        <v>-0.68815385579151811</v>
      </c>
      <c r="AE329" s="83">
        <f t="shared" si="535"/>
        <v>-0.82328792685202479</v>
      </c>
      <c r="AF329" s="83">
        <f t="shared" si="535"/>
        <v>-0.31039277024678469</v>
      </c>
      <c r="AG329" s="83">
        <f t="shared" si="535"/>
        <v>-1.0296278453570988</v>
      </c>
      <c r="AH329" s="83">
        <f t="shared" si="535"/>
        <v>-0.22664605873261162</v>
      </c>
      <c r="AI329" s="83">
        <f t="shared" si="535"/>
        <v>0.61243800574262419</v>
      </c>
      <c r="AJ329" s="83">
        <f t="shared" si="535"/>
        <v>0.98875329026082559</v>
      </c>
      <c r="AK329" s="83">
        <f t="shared" si="535"/>
        <v>2.8237695447893434</v>
      </c>
      <c r="AL329" s="83">
        <f t="shared" si="535"/>
        <v>3.9407927332782817</v>
      </c>
      <c r="AM329" s="83">
        <f t="shared" ref="AM329" si="536">(AM$39+AM258)/-AM$24</f>
        <v>2.013851399346497</v>
      </c>
      <c r="AN329" s="83">
        <f t="shared" si="535"/>
        <v>2.066521979994798</v>
      </c>
      <c r="AO329" s="83">
        <f t="shared" si="535"/>
        <v>3.3521065402494998</v>
      </c>
      <c r="AP329" s="83">
        <f t="shared" si="535"/>
        <v>6.3080041355677414</v>
      </c>
      <c r="AQ329" s="83">
        <f t="shared" si="535"/>
        <v>5.7895712493185769</v>
      </c>
      <c r="AR329" s="83">
        <f t="shared" si="535"/>
        <v>5.3224138778869889</v>
      </c>
      <c r="AS329" s="83">
        <f t="shared" si="535"/>
        <v>5.0335224136545671</v>
      </c>
      <c r="AT329" s="83">
        <f t="shared" si="535"/>
        <v>5.0944463607116459</v>
      </c>
      <c r="AU329" s="83">
        <f t="shared" si="535"/>
        <v>4.8125478690477017</v>
      </c>
      <c r="AV329" s="83">
        <f t="shared" si="535"/>
        <v>5.0512197510153749</v>
      </c>
      <c r="AW329" s="83">
        <f t="shared" si="535"/>
        <v>5.6083959482084778</v>
      </c>
      <c r="AX329" s="83">
        <f t="shared" si="535"/>
        <v>5.4763966099302035</v>
      </c>
      <c r="AY329" s="83">
        <f t="shared" si="535"/>
        <v>4.982729306322649</v>
      </c>
      <c r="AZ329" s="5"/>
      <c r="BA329" s="5"/>
      <c r="BB329" s="5"/>
      <c r="BC329" s="5"/>
      <c r="BD329" s="5"/>
      <c r="BE329" s="5"/>
      <c r="BF329" s="5"/>
      <c r="BG329" s="4">
        <v>323</v>
      </c>
      <c r="BH329"/>
      <c r="BI329"/>
      <c r="BJ329"/>
      <c r="BK329"/>
      <c r="BL329"/>
      <c r="BM329"/>
    </row>
    <row r="330" spans="1:65" s="3" customFormat="1" ht="11.25" outlineLevel="1">
      <c r="A330" s="6"/>
      <c r="B330" s="40" t="s">
        <v>113</v>
      </c>
      <c r="C330" s="83"/>
      <c r="D330" s="83"/>
      <c r="E330" s="83"/>
      <c r="F330" s="83">
        <f t="shared" ref="F330:N330" si="537">F$23/-F$24</f>
        <v>4.9495539020347703</v>
      </c>
      <c r="G330" s="83">
        <f t="shared" si="537"/>
        <v>3.9860801601911948</v>
      </c>
      <c r="H330" s="83">
        <f t="shared" si="537"/>
        <v>5.2850281105157642</v>
      </c>
      <c r="I330" s="83">
        <f t="shared" si="537"/>
        <v>1.1080460139455681</v>
      </c>
      <c r="J330" s="83">
        <f t="shared" si="537"/>
        <v>-0.89366193951076223</v>
      </c>
      <c r="K330" s="83">
        <f t="shared" si="537"/>
        <v>2.2348572754699467</v>
      </c>
      <c r="L330" s="83">
        <f t="shared" si="537"/>
        <v>4.2644009952086304</v>
      </c>
      <c r="M330" s="83">
        <f t="shared" si="537"/>
        <v>3.8706220723940206</v>
      </c>
      <c r="N330" s="83">
        <f t="shared" si="537"/>
        <v>4.1333346797572093</v>
      </c>
      <c r="O330" s="5"/>
      <c r="P330" s="83"/>
      <c r="Q330" s="83"/>
      <c r="R330" s="83"/>
      <c r="S330" s="83"/>
      <c r="T330" s="83"/>
      <c r="U330" s="83"/>
      <c r="V330" s="83"/>
      <c r="W330" s="83"/>
      <c r="X330" s="83">
        <f t="shared" ref="X330:AY330" si="538">X$23/-X$24</f>
        <v>3.7488551323578698</v>
      </c>
      <c r="Y330" s="83">
        <f t="shared" si="538"/>
        <v>4.9104924149167308</v>
      </c>
      <c r="Z330" s="83">
        <f t="shared" si="538"/>
        <v>5.8784330295165086</v>
      </c>
      <c r="AA330" s="83">
        <f t="shared" si="538"/>
        <v>7.7227722772277234</v>
      </c>
      <c r="AB330" s="83">
        <f t="shared" si="538"/>
        <v>3.7531356153645148</v>
      </c>
      <c r="AC330" s="83">
        <f t="shared" si="538"/>
        <v>1.1848395326977326</v>
      </c>
      <c r="AD330" s="83">
        <f t="shared" si="538"/>
        <v>0.24406439892250881</v>
      </c>
      <c r="AE330" s="83">
        <f t="shared" si="538"/>
        <v>-0.62381041239037149</v>
      </c>
      <c r="AF330" s="83">
        <f t="shared" si="538"/>
        <v>-0.59089329162321835</v>
      </c>
      <c r="AG330" s="83">
        <f t="shared" si="538"/>
        <v>-1.6229073828736591</v>
      </c>
      <c r="AH330" s="83">
        <f t="shared" si="538"/>
        <v>-0.90639876352395632</v>
      </c>
      <c r="AI330" s="83">
        <f t="shared" si="538"/>
        <v>-0.43102323153223865</v>
      </c>
      <c r="AJ330" s="83">
        <f t="shared" si="538"/>
        <v>-1.6750418760492316E-3</v>
      </c>
      <c r="AK330" s="83">
        <f t="shared" si="538"/>
        <v>1.8505738273126431</v>
      </c>
      <c r="AL330" s="83">
        <f t="shared" si="538"/>
        <v>4.1109000825763831</v>
      </c>
      <c r="AM330" s="83">
        <f t="shared" si="538"/>
        <v>2.967182838471373</v>
      </c>
      <c r="AN330" s="83">
        <f t="shared" si="538"/>
        <v>3.0581803655190574</v>
      </c>
      <c r="AO330" s="83">
        <f t="shared" si="538"/>
        <v>4.3070151287761629</v>
      </c>
      <c r="AP330" s="83">
        <f t="shared" si="538"/>
        <v>4.5325696372142419</v>
      </c>
      <c r="AQ330" s="83">
        <f t="shared" si="538"/>
        <v>4.5606780644179183</v>
      </c>
      <c r="AR330" s="83">
        <f t="shared" si="538"/>
        <v>4.1068267155832165</v>
      </c>
      <c r="AS330" s="83">
        <f t="shared" si="538"/>
        <v>3.8310132033846553</v>
      </c>
      <c r="AT330" s="83">
        <f t="shared" si="538"/>
        <v>3.9047901335723973</v>
      </c>
      <c r="AU330" s="83">
        <f t="shared" si="538"/>
        <v>3.6355226965002632</v>
      </c>
      <c r="AV330" s="83">
        <f t="shared" si="538"/>
        <v>3.8866066842608995</v>
      </c>
      <c r="AW330" s="83">
        <f t="shared" si="538"/>
        <v>4.4559789582108777</v>
      </c>
      <c r="AX330" s="83">
        <f t="shared" si="538"/>
        <v>4.3359625280617706</v>
      </c>
      <c r="AY330" s="83">
        <f t="shared" si="538"/>
        <v>3.8540677656081459</v>
      </c>
      <c r="AZ330" s="5"/>
      <c r="BA330" s="5"/>
      <c r="BB330" s="5"/>
      <c r="BC330" s="5"/>
      <c r="BD330" s="5"/>
      <c r="BE330" s="5"/>
      <c r="BF330" s="5"/>
      <c r="BG330" s="4">
        <v>324</v>
      </c>
      <c r="BH330"/>
      <c r="BI330"/>
      <c r="BJ330"/>
      <c r="BK330"/>
      <c r="BL330"/>
      <c r="BM330"/>
    </row>
    <row r="331" spans="1:65" s="3" customFormat="1" ht="11.25" outlineLevel="1">
      <c r="A331" s="6"/>
      <c r="B331" s="40" t="s">
        <v>112</v>
      </c>
      <c r="C331" s="25"/>
      <c r="D331" s="25"/>
      <c r="E331" s="25"/>
      <c r="F331" s="25">
        <f t="shared" ref="F331:N331" si="539">F440</f>
        <v>3.937016973636692</v>
      </c>
      <c r="G331" s="25">
        <f t="shared" si="539"/>
        <v>3.796738279255047</v>
      </c>
      <c r="H331" s="25">
        <f t="shared" si="539"/>
        <v>3.0280028699248756</v>
      </c>
      <c r="I331" s="25">
        <f t="shared" si="539"/>
        <v>2.0555495319671837</v>
      </c>
      <c r="J331" s="25">
        <f t="shared" si="539"/>
        <v>0.50460954894038101</v>
      </c>
      <c r="K331" s="25">
        <f t="shared" si="539"/>
        <v>1.0484177215189874</v>
      </c>
      <c r="L331" s="25">
        <f t="shared" si="539"/>
        <v>0.67785577335857861</v>
      </c>
      <c r="M331" s="25">
        <f t="shared" si="539"/>
        <v>0.44288007332946144</v>
      </c>
      <c r="N331" s="25">
        <f t="shared" si="539"/>
        <v>0.46163320224569787</v>
      </c>
      <c r="O331" s="5"/>
      <c r="P331" s="25"/>
      <c r="Q331" s="25"/>
      <c r="R331" s="25"/>
      <c r="S331" s="25"/>
      <c r="T331" s="25"/>
      <c r="U331" s="25"/>
      <c r="V331" s="25"/>
      <c r="W331" s="25"/>
      <c r="X331" s="25">
        <f t="shared" ref="X331:AY331" si="540">X440</f>
        <v>2.987383598678282</v>
      </c>
      <c r="Y331" s="25">
        <f t="shared" si="540"/>
        <v>2.7491621551946372</v>
      </c>
      <c r="Z331" s="25">
        <f t="shared" si="540"/>
        <v>2.0970064724919091</v>
      </c>
      <c r="AA331" s="25">
        <f t="shared" si="540"/>
        <v>4.1588331841241422</v>
      </c>
      <c r="AB331" s="25">
        <f t="shared" si="540"/>
        <v>2.4077853363567652</v>
      </c>
      <c r="AC331" s="25">
        <f t="shared" si="540"/>
        <v>2.1699096849988981</v>
      </c>
      <c r="AD331" s="25">
        <f t="shared" si="540"/>
        <v>2.4457156767283359</v>
      </c>
      <c r="AE331" s="25">
        <f t="shared" si="540"/>
        <v>1.3734611815651099</v>
      </c>
      <c r="AF331" s="25">
        <f t="shared" si="540"/>
        <v>0.87213655688812752</v>
      </c>
      <c r="AG331" s="25">
        <f t="shared" si="540"/>
        <v>0.54194741709604966</v>
      </c>
      <c r="AH331" s="25">
        <f t="shared" si="540"/>
        <v>0.44994345772633532</v>
      </c>
      <c r="AI331" s="25">
        <f t="shared" si="540"/>
        <v>0.12818769126147578</v>
      </c>
      <c r="AJ331" s="25">
        <f t="shared" si="540"/>
        <v>0.43066454144188326</v>
      </c>
      <c r="AK331" s="25">
        <f t="shared" si="540"/>
        <v>0.43254753764021359</v>
      </c>
      <c r="AL331" s="25">
        <f t="shared" si="540"/>
        <v>1.3101172588533381</v>
      </c>
      <c r="AM331" s="25">
        <f t="shared" ref="AM331" si="541">AM440</f>
        <v>2.0177374131415333</v>
      </c>
      <c r="AN331" s="25">
        <f t="shared" si="540"/>
        <v>2.0746462822238256</v>
      </c>
      <c r="AO331" s="25">
        <f t="shared" si="540"/>
        <v>2.0189989262961392</v>
      </c>
      <c r="AP331" s="25">
        <f t="shared" si="540"/>
        <v>0.16202922170143827</v>
      </c>
      <c r="AQ331" s="25">
        <f t="shared" si="540"/>
        <v>0.43129301606425763</v>
      </c>
      <c r="AR331" s="25">
        <f t="shared" si="540"/>
        <v>0.43594157263195238</v>
      </c>
      <c r="AS331" s="25">
        <f t="shared" si="540"/>
        <v>0.44060141528321717</v>
      </c>
      <c r="AT331" s="25">
        <f t="shared" si="540"/>
        <v>0.44527174750892085</v>
      </c>
      <c r="AU331" s="25">
        <f t="shared" si="540"/>
        <v>0.44995176544423632</v>
      </c>
      <c r="AV331" s="25">
        <f t="shared" si="540"/>
        <v>0.45464065841015722</v>
      </c>
      <c r="AW331" s="25">
        <f t="shared" si="540"/>
        <v>0.45933760946513263</v>
      </c>
      <c r="AX331" s="25">
        <f t="shared" si="540"/>
        <v>0.46404179596604067</v>
      </c>
      <c r="AY331" s="25">
        <f t="shared" si="540"/>
        <v>0.4687523901376936</v>
      </c>
      <c r="AZ331" s="5"/>
      <c r="BA331" s="5"/>
      <c r="BB331" s="5"/>
      <c r="BC331" s="5"/>
      <c r="BD331" s="5"/>
      <c r="BE331" s="5"/>
      <c r="BF331" s="5"/>
      <c r="BG331" s="4">
        <v>325</v>
      </c>
      <c r="BH331"/>
      <c r="BI331"/>
      <c r="BJ331"/>
      <c r="BK331"/>
      <c r="BL331"/>
      <c r="BM331"/>
    </row>
    <row r="332" spans="1:65" s="3" customFormat="1" ht="11.25" outlineLevel="1">
      <c r="A332" s="6"/>
      <c r="B332" s="11"/>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c r="BG332" s="4">
        <v>326</v>
      </c>
      <c r="BH332"/>
      <c r="BI332"/>
      <c r="BJ332"/>
      <c r="BK332"/>
      <c r="BL332"/>
      <c r="BM332"/>
    </row>
    <row r="333" spans="1:65" s="3" customFormat="1" ht="11.25" outlineLevel="1">
      <c r="A333" s="6" t="s">
        <v>0</v>
      </c>
      <c r="B333" s="17" t="s">
        <v>111</v>
      </c>
      <c r="C333" s="5"/>
      <c r="D333" s="5"/>
      <c r="E333" s="5"/>
      <c r="F333" s="5"/>
      <c r="G333" s="5"/>
      <c r="H333" s="5"/>
      <c r="I333" s="5"/>
      <c r="J333" s="84"/>
      <c r="K333" s="84"/>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5"/>
      <c r="BG333" s="4">
        <v>327</v>
      </c>
      <c r="BH333"/>
      <c r="BI333"/>
      <c r="BJ333"/>
      <c r="BK333"/>
      <c r="BL333"/>
      <c r="BM333"/>
    </row>
    <row r="334" spans="1:65" s="3" customFormat="1" ht="11.25" outlineLevel="2">
      <c r="A334" s="6"/>
      <c r="B334" s="11" t="s">
        <v>110</v>
      </c>
      <c r="C334" s="5">
        <f>DATE(C4,12,31)-DATE(C4-1,12,31)</f>
        <v>365</v>
      </c>
      <c r="D334" s="5">
        <f>DATE(D4,12,31)-DATE(D4-1,12,31)</f>
        <v>365</v>
      </c>
      <c r="E334" s="5">
        <f>DATE(E4,12,31)-DATE(E4-1,12,31)</f>
        <v>365</v>
      </c>
      <c r="F334" s="5">
        <f>DATE(F4,12,31)-DATE(F4-1,12,31)</f>
        <v>366</v>
      </c>
      <c r="G334" s="5">
        <f t="shared" ref="G334:N334" si="542">G5-F5</f>
        <v>365</v>
      </c>
      <c r="H334" s="5">
        <f t="shared" si="542"/>
        <v>365</v>
      </c>
      <c r="I334" s="5">
        <f t="shared" si="542"/>
        <v>365</v>
      </c>
      <c r="J334" s="5">
        <f t="shared" si="542"/>
        <v>366</v>
      </c>
      <c r="K334" s="5">
        <f t="shared" si="542"/>
        <v>365</v>
      </c>
      <c r="L334" s="5">
        <f t="shared" si="542"/>
        <v>365</v>
      </c>
      <c r="M334" s="5">
        <f t="shared" si="542"/>
        <v>365</v>
      </c>
      <c r="N334" s="5">
        <f t="shared" si="542"/>
        <v>366</v>
      </c>
      <c r="O334" s="5"/>
      <c r="P334" s="5"/>
      <c r="Q334" s="5"/>
      <c r="R334" s="5"/>
      <c r="S334" s="5"/>
      <c r="T334" s="5">
        <f t="shared" ref="T334:AY334" si="543">T5-S5</f>
        <v>90</v>
      </c>
      <c r="U334" s="5">
        <f t="shared" si="543"/>
        <v>91</v>
      </c>
      <c r="V334" s="5">
        <f t="shared" si="543"/>
        <v>92</v>
      </c>
      <c r="W334" s="5">
        <f t="shared" si="543"/>
        <v>92</v>
      </c>
      <c r="X334" s="5">
        <f t="shared" si="543"/>
        <v>90</v>
      </c>
      <c r="Y334" s="5">
        <f t="shared" si="543"/>
        <v>91</v>
      </c>
      <c r="Z334" s="5">
        <f t="shared" si="543"/>
        <v>92</v>
      </c>
      <c r="AA334" s="5">
        <f t="shared" si="543"/>
        <v>92</v>
      </c>
      <c r="AB334" s="5">
        <f t="shared" si="543"/>
        <v>90</v>
      </c>
      <c r="AC334" s="5">
        <f t="shared" si="543"/>
        <v>91</v>
      </c>
      <c r="AD334" s="5">
        <f t="shared" si="543"/>
        <v>92</v>
      </c>
      <c r="AE334" s="5">
        <f t="shared" si="543"/>
        <v>92</v>
      </c>
      <c r="AF334" s="5">
        <f t="shared" si="543"/>
        <v>91</v>
      </c>
      <c r="AG334" s="5">
        <f t="shared" si="543"/>
        <v>91</v>
      </c>
      <c r="AH334" s="5">
        <f t="shared" si="543"/>
        <v>92</v>
      </c>
      <c r="AI334" s="5">
        <f t="shared" si="543"/>
        <v>92</v>
      </c>
      <c r="AJ334" s="5">
        <f t="shared" si="543"/>
        <v>90</v>
      </c>
      <c r="AK334" s="5">
        <f t="shared" si="543"/>
        <v>91</v>
      </c>
      <c r="AL334" s="5">
        <f t="shared" si="543"/>
        <v>92</v>
      </c>
      <c r="AM334" s="5">
        <f t="shared" si="543"/>
        <v>92</v>
      </c>
      <c r="AN334" s="5">
        <f t="shared" si="543"/>
        <v>90</v>
      </c>
      <c r="AO334" s="5">
        <f t="shared" si="543"/>
        <v>91</v>
      </c>
      <c r="AP334" s="5">
        <f t="shared" si="543"/>
        <v>92</v>
      </c>
      <c r="AQ334" s="5">
        <f t="shared" si="543"/>
        <v>92</v>
      </c>
      <c r="AR334" s="5">
        <f t="shared" si="543"/>
        <v>90</v>
      </c>
      <c r="AS334" s="5">
        <f t="shared" si="543"/>
        <v>91</v>
      </c>
      <c r="AT334" s="5">
        <f t="shared" si="543"/>
        <v>92</v>
      </c>
      <c r="AU334" s="5">
        <f t="shared" si="543"/>
        <v>92</v>
      </c>
      <c r="AV334" s="5">
        <f t="shared" si="543"/>
        <v>91</v>
      </c>
      <c r="AW334" s="5">
        <f t="shared" si="543"/>
        <v>91</v>
      </c>
      <c r="AX334" s="5">
        <f t="shared" si="543"/>
        <v>92</v>
      </c>
      <c r="AY334" s="5">
        <f t="shared" si="543"/>
        <v>92</v>
      </c>
      <c r="AZ334" s="5"/>
      <c r="BA334" s="5"/>
      <c r="BB334" s="5"/>
      <c r="BC334" s="5"/>
      <c r="BD334" s="5"/>
      <c r="BE334" s="5"/>
      <c r="BF334" s="5"/>
      <c r="BG334" s="4">
        <v>328</v>
      </c>
      <c r="BH334"/>
      <c r="BI334"/>
      <c r="BJ334"/>
      <c r="BK334"/>
      <c r="BL334"/>
      <c r="BM334"/>
    </row>
    <row r="335" spans="1:65" s="3" customFormat="1" ht="11.25" outlineLevel="2">
      <c r="A335" s="6"/>
      <c r="B335" s="11" t="s">
        <v>109</v>
      </c>
      <c r="C335" s="7"/>
      <c r="D335" s="7"/>
      <c r="E335" s="7"/>
      <c r="F335" s="7">
        <f t="shared" ref="F335:N335" si="544">SUM(F286:F289)-SUM(F299:F300)</f>
        <v>153.37699999999998</v>
      </c>
      <c r="G335" s="7">
        <f t="shared" si="544"/>
        <v>168.81899999999996</v>
      </c>
      <c r="H335" s="7">
        <f t="shared" si="544"/>
        <v>259.06400000000002</v>
      </c>
      <c r="I335" s="7">
        <f t="shared" si="544"/>
        <v>120.04799999999999</v>
      </c>
      <c r="J335" s="7">
        <f t="shared" si="544"/>
        <v>96.285999999999987</v>
      </c>
      <c r="K335" s="7">
        <f t="shared" si="544"/>
        <v>84.908999999999992</v>
      </c>
      <c r="L335" s="7">
        <f t="shared" si="544"/>
        <v>326.34865415682998</v>
      </c>
      <c r="M335" s="7">
        <f t="shared" si="544"/>
        <v>305.54269908311437</v>
      </c>
      <c r="N335" s="7">
        <f t="shared" si="544"/>
        <v>307.3009114740704</v>
      </c>
      <c r="O335" s="5"/>
      <c r="P335" s="7"/>
      <c r="Q335" s="7"/>
      <c r="R335" s="7"/>
      <c r="S335" s="7"/>
      <c r="T335" s="7"/>
      <c r="U335" s="7"/>
      <c r="V335" s="7"/>
      <c r="W335" s="7"/>
      <c r="X335" s="7">
        <f t="shared" ref="X335:AY335" si="545">SUM(X286:X289)-SUM(X299:X300)</f>
        <v>198.93199999999999</v>
      </c>
      <c r="Y335" s="7">
        <f t="shared" si="545"/>
        <v>235.49299999999999</v>
      </c>
      <c r="Z335" s="7">
        <f t="shared" si="545"/>
        <v>241.80600000000004</v>
      </c>
      <c r="AA335" s="7">
        <f t="shared" si="545"/>
        <v>259.06400000000002</v>
      </c>
      <c r="AB335" s="7">
        <f t="shared" si="545"/>
        <v>230.04700000000003</v>
      </c>
      <c r="AC335" s="7">
        <f t="shared" si="545"/>
        <v>167.84899999999999</v>
      </c>
      <c r="AD335" s="7">
        <f t="shared" si="545"/>
        <v>124.66999999999999</v>
      </c>
      <c r="AE335" s="7">
        <f t="shared" si="545"/>
        <v>120.04799999999999</v>
      </c>
      <c r="AF335" s="7">
        <f t="shared" si="545"/>
        <v>128.215</v>
      </c>
      <c r="AG335" s="7">
        <f t="shared" si="545"/>
        <v>116.357</v>
      </c>
      <c r="AH335" s="7">
        <f t="shared" si="545"/>
        <v>100.98899999999999</v>
      </c>
      <c r="AI335" s="7">
        <f t="shared" si="545"/>
        <v>96.285999999999987</v>
      </c>
      <c r="AJ335" s="7">
        <f t="shared" si="545"/>
        <v>85.425000000000026</v>
      </c>
      <c r="AK335" s="7">
        <f t="shared" si="545"/>
        <v>92.109000000000009</v>
      </c>
      <c r="AL335" s="7">
        <f t="shared" si="545"/>
        <v>76.206999999999994</v>
      </c>
      <c r="AM335" s="7">
        <f t="shared" ref="AM335" si="546">SUM(AM286:AM289)-SUM(AM299:AM300)</f>
        <v>84.908999999999992</v>
      </c>
      <c r="AN335" s="7">
        <f t="shared" si="545"/>
        <v>90.194037457195918</v>
      </c>
      <c r="AO335" s="7">
        <f t="shared" si="545"/>
        <v>331.60990367441048</v>
      </c>
      <c r="AP335" s="7">
        <f t="shared" si="545"/>
        <v>327.9497052861766</v>
      </c>
      <c r="AQ335" s="7">
        <f t="shared" si="545"/>
        <v>326.34865415682998</v>
      </c>
      <c r="AR335" s="7">
        <f t="shared" si="545"/>
        <v>321.91387083393715</v>
      </c>
      <c r="AS335" s="7">
        <f t="shared" si="545"/>
        <v>314.86577397723357</v>
      </c>
      <c r="AT335" s="7">
        <f t="shared" si="545"/>
        <v>312.21013040664513</v>
      </c>
      <c r="AU335" s="7">
        <f t="shared" si="545"/>
        <v>305.54269908311437</v>
      </c>
      <c r="AV335" s="7">
        <f t="shared" si="545"/>
        <v>312.20078123239387</v>
      </c>
      <c r="AW335" s="7">
        <f t="shared" si="545"/>
        <v>327.08046886004814</v>
      </c>
      <c r="AX335" s="7">
        <f t="shared" si="545"/>
        <v>319.21235768517249</v>
      </c>
      <c r="AY335" s="7">
        <f t="shared" si="545"/>
        <v>307.3009114740704</v>
      </c>
      <c r="AZ335" s="5"/>
      <c r="BA335" s="5"/>
      <c r="BB335" s="5"/>
      <c r="BC335" s="5"/>
      <c r="BD335" s="5"/>
      <c r="BE335" s="5"/>
      <c r="BF335" s="5"/>
      <c r="BG335" s="4">
        <v>329</v>
      </c>
      <c r="BH335"/>
      <c r="BI335"/>
      <c r="BJ335"/>
      <c r="BK335"/>
      <c r="BL335"/>
      <c r="BM335"/>
    </row>
    <row r="336" spans="1:65" s="3" customFormat="1" ht="11.25" outlineLevel="2">
      <c r="A336" s="6"/>
      <c r="B336" s="11" t="s">
        <v>108</v>
      </c>
      <c r="C336" s="83"/>
      <c r="D336" s="83"/>
      <c r="E336" s="83"/>
      <c r="F336" s="83">
        <f t="shared" ref="F336:N336" si="547">F290/F301</f>
        <v>3.1569439818823692</v>
      </c>
      <c r="G336" s="83">
        <f t="shared" si="547"/>
        <v>2.2720122627259265</v>
      </c>
      <c r="H336" s="83">
        <f t="shared" si="547"/>
        <v>3.739472756809723</v>
      </c>
      <c r="I336" s="83">
        <f t="shared" si="547"/>
        <v>4.1980718054064141</v>
      </c>
      <c r="J336" s="83">
        <f t="shared" si="547"/>
        <v>4.7711280426134444</v>
      </c>
      <c r="K336" s="83">
        <f t="shared" si="547"/>
        <v>2.1427703272778764</v>
      </c>
      <c r="L336" s="83">
        <f t="shared" si="547"/>
        <v>4.1352156097353356</v>
      </c>
      <c r="M336" s="83">
        <f t="shared" si="547"/>
        <v>5.4949062367795189</v>
      </c>
      <c r="N336" s="83">
        <f t="shared" si="547"/>
        <v>8.0619041978924812</v>
      </c>
      <c r="O336" s="5"/>
      <c r="P336" s="83"/>
      <c r="Q336" s="83"/>
      <c r="R336" s="83"/>
      <c r="S336" s="83"/>
      <c r="T336" s="83"/>
      <c r="U336" s="83"/>
      <c r="V336" s="83"/>
      <c r="W336" s="83"/>
      <c r="X336" s="83">
        <f t="shared" ref="X336:AY336" si="548">X290/X301</f>
        <v>2.326992426974396</v>
      </c>
      <c r="Y336" s="83">
        <f t="shared" si="548"/>
        <v>2.7351946044052071</v>
      </c>
      <c r="Z336" s="83">
        <f t="shared" si="548"/>
        <v>2.6953296840631875</v>
      </c>
      <c r="AA336" s="83">
        <f t="shared" si="548"/>
        <v>3.739472756809723</v>
      </c>
      <c r="AB336" s="83">
        <f t="shared" si="548"/>
        <v>3.7894568367140642</v>
      </c>
      <c r="AC336" s="83">
        <f t="shared" si="548"/>
        <v>4.4628150881769697</v>
      </c>
      <c r="AD336" s="83">
        <f t="shared" si="548"/>
        <v>3.88279083785413</v>
      </c>
      <c r="AE336" s="83">
        <f t="shared" si="548"/>
        <v>4.1980718054064141</v>
      </c>
      <c r="AF336" s="83">
        <f t="shared" si="548"/>
        <v>2.0723984442793553</v>
      </c>
      <c r="AG336" s="83">
        <f t="shared" si="548"/>
        <v>2.7307353407662389</v>
      </c>
      <c r="AH336" s="83">
        <f t="shared" si="548"/>
        <v>4.1143530701754383</v>
      </c>
      <c r="AI336" s="83">
        <f t="shared" si="548"/>
        <v>4.7711280426134444</v>
      </c>
      <c r="AJ336" s="83">
        <f t="shared" si="548"/>
        <v>3.619519876239675</v>
      </c>
      <c r="AK336" s="83">
        <f t="shared" si="548"/>
        <v>3.292607638950487</v>
      </c>
      <c r="AL336" s="83">
        <f t="shared" si="548"/>
        <v>2.5167131838780343</v>
      </c>
      <c r="AM336" s="83">
        <f t="shared" ref="AM336" si="549">AM290/AM301</f>
        <v>2.1427703272778764</v>
      </c>
      <c r="AN336" s="83">
        <f t="shared" si="548"/>
        <v>2.3529522919236459</v>
      </c>
      <c r="AO336" s="83">
        <f t="shared" si="548"/>
        <v>2.77243154807597</v>
      </c>
      <c r="AP336" s="83">
        <f t="shared" si="548"/>
        <v>3.6668182405152803</v>
      </c>
      <c r="AQ336" s="83">
        <f t="shared" si="548"/>
        <v>4.1352156097353356</v>
      </c>
      <c r="AR336" s="83">
        <f t="shared" si="548"/>
        <v>4.4779664145405826</v>
      </c>
      <c r="AS336" s="83">
        <f t="shared" si="548"/>
        <v>4.8127603057177888</v>
      </c>
      <c r="AT336" s="83">
        <f t="shared" si="548"/>
        <v>5.1675615106914892</v>
      </c>
      <c r="AU336" s="83">
        <f t="shared" si="548"/>
        <v>5.4949062367795189</v>
      </c>
      <c r="AV336" s="83">
        <f t="shared" si="548"/>
        <v>6.0314759402574056</v>
      </c>
      <c r="AW336" s="83">
        <f t="shared" si="548"/>
        <v>6.5934964545917358</v>
      </c>
      <c r="AX336" s="83">
        <f t="shared" si="548"/>
        <v>7.3182111643246612</v>
      </c>
      <c r="AY336" s="83">
        <f t="shared" si="548"/>
        <v>8.0619041978924812</v>
      </c>
      <c r="AZ336" s="5"/>
      <c r="BA336" s="5"/>
      <c r="BB336" s="5"/>
      <c r="BC336" s="5"/>
      <c r="BD336" s="5"/>
      <c r="BE336" s="5"/>
      <c r="BF336" s="5"/>
      <c r="BG336" s="4">
        <v>330</v>
      </c>
      <c r="BH336"/>
      <c r="BI336"/>
      <c r="BJ336"/>
      <c r="BK336"/>
      <c r="BL336"/>
      <c r="BM336"/>
    </row>
    <row r="337" spans="1:65" s="3" customFormat="1" ht="11.25" outlineLevel="2">
      <c r="A337" s="6"/>
      <c r="B337" s="11" t="s">
        <v>107</v>
      </c>
      <c r="C337" s="83"/>
      <c r="D337" s="83"/>
      <c r="E337" s="83"/>
      <c r="F337" s="83">
        <f t="shared" ref="F337:N337" si="550">(F13/F286)</f>
        <v>7.1740363730670733</v>
      </c>
      <c r="G337" s="83">
        <f t="shared" si="550"/>
        <v>6.730536394032046</v>
      </c>
      <c r="H337" s="83">
        <f t="shared" si="550"/>
        <v>6.5817427013886878</v>
      </c>
      <c r="I337" s="83">
        <f t="shared" si="550"/>
        <v>11.264837017100291</v>
      </c>
      <c r="J337" s="83">
        <f t="shared" si="550"/>
        <v>6.7772921892021998</v>
      </c>
      <c r="K337" s="83">
        <f t="shared" si="550"/>
        <v>6.1166165336868143</v>
      </c>
      <c r="L337" s="83">
        <f t="shared" si="550"/>
        <v>4.922300613071326</v>
      </c>
      <c r="M337" s="83">
        <f t="shared" si="550"/>
        <v>7.0735684628762083</v>
      </c>
      <c r="N337" s="83">
        <f t="shared" si="550"/>
        <v>7.1122015392767173</v>
      </c>
      <c r="O337" s="5"/>
      <c r="P337" s="83"/>
      <c r="Q337" s="83"/>
      <c r="R337" s="83"/>
      <c r="S337" s="83"/>
      <c r="T337" s="83"/>
      <c r="U337" s="83"/>
      <c r="V337" s="83"/>
      <c r="W337" s="83"/>
      <c r="X337" s="83">
        <f t="shared" ref="X337:AL337" si="551">(X13*4)/X286</f>
        <v>6.1708678345198438</v>
      </c>
      <c r="Y337" s="83">
        <f t="shared" si="551"/>
        <v>6.3745445934994249</v>
      </c>
      <c r="Z337" s="83">
        <f t="shared" si="551"/>
        <v>6.3815837811514831</v>
      </c>
      <c r="AA337" s="83">
        <f t="shared" si="551"/>
        <v>6.8659155530971301</v>
      </c>
      <c r="AB337" s="83">
        <f t="shared" si="551"/>
        <v>6.7962850251346909</v>
      </c>
      <c r="AC337" s="83">
        <f t="shared" si="551"/>
        <v>7.2542322883036432</v>
      </c>
      <c r="AD337" s="83">
        <f t="shared" si="551"/>
        <v>7.782304873329843</v>
      </c>
      <c r="AE337" s="83">
        <f t="shared" si="551"/>
        <v>7.3374113041350624</v>
      </c>
      <c r="AF337" s="83">
        <f t="shared" si="551"/>
        <v>7.0423510330553505</v>
      </c>
      <c r="AG337" s="83">
        <f t="shared" si="551"/>
        <v>7.1483810417644298</v>
      </c>
      <c r="AH337" s="83">
        <f t="shared" si="551"/>
        <v>6.8415442016294827</v>
      </c>
      <c r="AI337" s="83">
        <f t="shared" si="551"/>
        <v>7.1207215423982175</v>
      </c>
      <c r="AJ337" s="83">
        <f t="shared" si="551"/>
        <v>7.2403586973622112</v>
      </c>
      <c r="AK337" s="83">
        <f t="shared" si="551"/>
        <v>7.5384354318683187</v>
      </c>
      <c r="AL337" s="83">
        <f t="shared" si="551"/>
        <v>7.2238343973689307</v>
      </c>
      <c r="AM337" s="83">
        <f t="shared" ref="AM337" si="552">(AM13*4)/AM286</f>
        <v>6.9829972724260125</v>
      </c>
      <c r="AN337" s="83">
        <f t="shared" ref="AN337:AY337" si="553">365/AN338</f>
        <v>6.9260706642268879</v>
      </c>
      <c r="AO337" s="83">
        <f t="shared" si="553"/>
        <v>6.9260706642268879</v>
      </c>
      <c r="AP337" s="83">
        <f t="shared" si="553"/>
        <v>6.9260706642268879</v>
      </c>
      <c r="AQ337" s="83">
        <f t="shared" si="553"/>
        <v>6.9260706642268879</v>
      </c>
      <c r="AR337" s="83">
        <f t="shared" si="553"/>
        <v>6.9260706642268879</v>
      </c>
      <c r="AS337" s="83">
        <f t="shared" si="553"/>
        <v>6.9260706642268879</v>
      </c>
      <c r="AT337" s="83">
        <f t="shared" si="553"/>
        <v>6.9260706642268879</v>
      </c>
      <c r="AU337" s="83">
        <f t="shared" si="553"/>
        <v>6.9260706642268879</v>
      </c>
      <c r="AV337" s="83">
        <f t="shared" si="553"/>
        <v>6.9260706642268879</v>
      </c>
      <c r="AW337" s="83">
        <f t="shared" si="553"/>
        <v>6.9260706642268879</v>
      </c>
      <c r="AX337" s="83">
        <f t="shared" si="553"/>
        <v>6.9260706642268879</v>
      </c>
      <c r="AY337" s="83">
        <f t="shared" si="553"/>
        <v>6.9260706642268879</v>
      </c>
      <c r="AZ337" s="5"/>
      <c r="BA337" s="5"/>
      <c r="BB337" s="5"/>
      <c r="BC337" s="5"/>
      <c r="BD337" s="5"/>
      <c r="BE337" s="5"/>
      <c r="BF337" s="5"/>
      <c r="BG337" s="4">
        <v>331</v>
      </c>
      <c r="BH337"/>
      <c r="BI337"/>
      <c r="BJ337"/>
      <c r="BK337"/>
      <c r="BL337"/>
      <c r="BM337"/>
    </row>
    <row r="338" spans="1:65" s="3" customFormat="1" ht="11.25" outlineLevel="2">
      <c r="A338" s="6"/>
      <c r="B338" s="11" t="s">
        <v>106</v>
      </c>
      <c r="C338" s="7"/>
      <c r="D338" s="7"/>
      <c r="E338" s="7"/>
      <c r="F338" s="7">
        <f t="shared" ref="F338:N338" si="554">365/F337</f>
        <v>50.877913216371624</v>
      </c>
      <c r="G338" s="7">
        <f t="shared" si="554"/>
        <v>54.230447416292826</v>
      </c>
      <c r="H338" s="7">
        <f t="shared" si="554"/>
        <v>55.456437080560491</v>
      </c>
      <c r="I338" s="7">
        <f t="shared" si="554"/>
        <v>32.401711577888015</v>
      </c>
      <c r="J338" s="7">
        <f t="shared" si="554"/>
        <v>53.856317510041805</v>
      </c>
      <c r="K338" s="7">
        <f t="shared" si="554"/>
        <v>59.673513614886502</v>
      </c>
      <c r="L338" s="7">
        <f t="shared" si="554"/>
        <v>74.152317928476549</v>
      </c>
      <c r="M338" s="7">
        <f t="shared" si="554"/>
        <v>51.600546727667648</v>
      </c>
      <c r="N338" s="7">
        <f t="shared" si="554"/>
        <v>51.320255477057117</v>
      </c>
      <c r="O338" s="5"/>
      <c r="P338" s="7"/>
      <c r="Q338" s="7"/>
      <c r="R338" s="7"/>
      <c r="S338" s="7"/>
      <c r="T338" s="7"/>
      <c r="U338" s="7"/>
      <c r="V338" s="7"/>
      <c r="W338" s="7"/>
      <c r="X338" s="7">
        <f t="shared" ref="X338:AL338" si="555">X286/X13*X334</f>
        <v>58.338633990207903</v>
      </c>
      <c r="Y338" s="7">
        <f t="shared" si="555"/>
        <v>57.102118380534449</v>
      </c>
      <c r="Z338" s="7">
        <f t="shared" si="555"/>
        <v>57.665935701873472</v>
      </c>
      <c r="AA338" s="7">
        <f t="shared" si="555"/>
        <v>53.598095862685014</v>
      </c>
      <c r="AB338" s="7">
        <f t="shared" si="555"/>
        <v>52.970115095028021</v>
      </c>
      <c r="AC338" s="7">
        <f t="shared" si="555"/>
        <v>50.177604677326798</v>
      </c>
      <c r="AD338" s="7">
        <f t="shared" si="555"/>
        <v>47.286762211172856</v>
      </c>
      <c r="AE338" s="7">
        <f t="shared" si="555"/>
        <v>50.153928237961857</v>
      </c>
      <c r="AF338" s="7">
        <f t="shared" si="555"/>
        <v>51.687284301997835</v>
      </c>
      <c r="AG338" s="7">
        <f t="shared" si="555"/>
        <v>50.920620749415754</v>
      </c>
      <c r="AH338" s="7">
        <f t="shared" si="555"/>
        <v>53.789026154702277</v>
      </c>
      <c r="AI338" s="7">
        <f t="shared" si="555"/>
        <v>51.680155979819396</v>
      </c>
      <c r="AJ338" s="7">
        <f t="shared" si="555"/>
        <v>49.721293522536982</v>
      </c>
      <c r="AK338" s="7">
        <f t="shared" si="555"/>
        <v>48.285881505492526</v>
      </c>
      <c r="AL338" s="7">
        <f t="shared" si="555"/>
        <v>50.942474558114618</v>
      </c>
      <c r="AM338" s="7">
        <f t="shared" ref="AM338" si="556">AM286/AM13*AM334</f>
        <v>52.699433444308148</v>
      </c>
      <c r="AN338" s="23">
        <f t="shared" ref="AN338:AY338" si="557">AM338</f>
        <v>52.699433444308148</v>
      </c>
      <c r="AO338" s="23">
        <f t="shared" si="557"/>
        <v>52.699433444308148</v>
      </c>
      <c r="AP338" s="23">
        <f t="shared" si="557"/>
        <v>52.699433444308148</v>
      </c>
      <c r="AQ338" s="23">
        <f t="shared" si="557"/>
        <v>52.699433444308148</v>
      </c>
      <c r="AR338" s="23">
        <f t="shared" si="557"/>
        <v>52.699433444308148</v>
      </c>
      <c r="AS338" s="23">
        <f t="shared" si="557"/>
        <v>52.699433444308148</v>
      </c>
      <c r="AT338" s="23">
        <f t="shared" si="557"/>
        <v>52.699433444308148</v>
      </c>
      <c r="AU338" s="23">
        <f t="shared" si="557"/>
        <v>52.699433444308148</v>
      </c>
      <c r="AV338" s="23">
        <f t="shared" si="557"/>
        <v>52.699433444308148</v>
      </c>
      <c r="AW338" s="23">
        <f t="shared" si="557"/>
        <v>52.699433444308148</v>
      </c>
      <c r="AX338" s="23">
        <f t="shared" si="557"/>
        <v>52.699433444308148</v>
      </c>
      <c r="AY338" s="23">
        <f t="shared" si="557"/>
        <v>52.699433444308148</v>
      </c>
      <c r="AZ338" s="5"/>
      <c r="BA338" s="5"/>
      <c r="BB338" s="5"/>
      <c r="BC338" s="5"/>
      <c r="BD338" s="5"/>
      <c r="BE338" s="5"/>
      <c r="BF338" s="5"/>
      <c r="BG338" s="4">
        <v>332</v>
      </c>
      <c r="BH338"/>
      <c r="BI338"/>
      <c r="BJ338"/>
      <c r="BK338"/>
      <c r="BL338"/>
      <c r="BM338"/>
    </row>
    <row r="339" spans="1:65" s="3" customFormat="1" ht="11.25" outlineLevel="2">
      <c r="A339" s="6"/>
      <c r="B339" s="11" t="s">
        <v>105</v>
      </c>
      <c r="C339" s="83"/>
      <c r="D339" s="83"/>
      <c r="E339" s="83"/>
      <c r="F339" s="83">
        <f t="shared" ref="F339:N339" si="558">(-F75/F287)</f>
        <v>5.4949798757546588</v>
      </c>
      <c r="G339" s="83">
        <f t="shared" si="558"/>
        <v>5.3050046895199792</v>
      </c>
      <c r="H339" s="83">
        <f t="shared" si="558"/>
        <v>6.469376125458731</v>
      </c>
      <c r="I339" s="83">
        <f t="shared" si="558"/>
        <v>8.6368343405112498</v>
      </c>
      <c r="J339" s="83">
        <f t="shared" si="558"/>
        <v>8.731509971509972</v>
      </c>
      <c r="K339" s="83">
        <f t="shared" si="558"/>
        <v>9.3545542196007254</v>
      </c>
      <c r="L339" s="83">
        <f t="shared" si="558"/>
        <v>7.4127397711979306</v>
      </c>
      <c r="M339" s="83">
        <f t="shared" si="558"/>
        <v>10.438394427354961</v>
      </c>
      <c r="N339" s="83">
        <f t="shared" si="558"/>
        <v>10.499866075067631</v>
      </c>
      <c r="O339" s="5"/>
      <c r="P339" s="83"/>
      <c r="Q339" s="83"/>
      <c r="R339" s="83"/>
      <c r="S339" s="83"/>
      <c r="T339" s="83"/>
      <c r="U339" s="83"/>
      <c r="V339" s="83"/>
      <c r="W339" s="83"/>
      <c r="X339" s="83">
        <f t="shared" ref="X339:AY339" si="559">(4*-X75/X287)</f>
        <v>6.3641419271050133</v>
      </c>
      <c r="Y339" s="83">
        <f t="shared" si="559"/>
        <v>6.6331121667779041</v>
      </c>
      <c r="Z339" s="83">
        <f t="shared" si="559"/>
        <v>7.0047651880793689</v>
      </c>
      <c r="AA339" s="83">
        <f t="shared" si="559"/>
        <v>6.7035627179685893</v>
      </c>
      <c r="AB339" s="83">
        <f t="shared" si="559"/>
        <v>6.9996198638421392</v>
      </c>
      <c r="AC339" s="83">
        <f t="shared" si="559"/>
        <v>7.2884965517241378</v>
      </c>
      <c r="AD339" s="83">
        <f t="shared" si="559"/>
        <v>7.0092353551752593</v>
      </c>
      <c r="AE339" s="83">
        <f t="shared" si="559"/>
        <v>6.2126138394756998</v>
      </c>
      <c r="AF339" s="83">
        <f t="shared" si="559"/>
        <v>6.8286834217200836</v>
      </c>
      <c r="AG339" s="83">
        <f t="shared" si="559"/>
        <v>8.052422697687545</v>
      </c>
      <c r="AH339" s="83">
        <f t="shared" si="559"/>
        <v>8.644542273394288</v>
      </c>
      <c r="AI339" s="83">
        <f t="shared" si="559"/>
        <v>8.5278632478632481</v>
      </c>
      <c r="AJ339" s="83">
        <f t="shared" si="559"/>
        <v>8.543120217870575</v>
      </c>
      <c r="AK339" s="83">
        <f t="shared" si="559"/>
        <v>10.731396056375088</v>
      </c>
      <c r="AL339" s="83">
        <f t="shared" si="559"/>
        <v>10.575193253689388</v>
      </c>
      <c r="AM339" s="83">
        <f t="shared" ref="AM339" si="560">(4*-AM75/AM287)</f>
        <v>10.451905626134302</v>
      </c>
      <c r="AN339" s="83">
        <f t="shared" si="559"/>
        <v>10.224690286435731</v>
      </c>
      <c r="AO339" s="83">
        <f t="shared" si="559"/>
        <v>3.1806873864066731</v>
      </c>
      <c r="AP339" s="83">
        <f t="shared" si="559"/>
        <v>10.451905626134302</v>
      </c>
      <c r="AQ339" s="83">
        <f t="shared" si="559"/>
        <v>10.451905626134302</v>
      </c>
      <c r="AR339" s="83">
        <f t="shared" si="559"/>
        <v>10.224690286435729</v>
      </c>
      <c r="AS339" s="83">
        <f t="shared" si="559"/>
        <v>10.338297956285016</v>
      </c>
      <c r="AT339" s="83">
        <f t="shared" si="559"/>
        <v>10.451905626134304</v>
      </c>
      <c r="AU339" s="83">
        <f t="shared" si="559"/>
        <v>10.451905626134302</v>
      </c>
      <c r="AV339" s="83">
        <f t="shared" si="559"/>
        <v>10.338297956285016</v>
      </c>
      <c r="AW339" s="83">
        <f t="shared" si="559"/>
        <v>10.338297956285015</v>
      </c>
      <c r="AX339" s="83">
        <f t="shared" si="559"/>
        <v>10.451905626134302</v>
      </c>
      <c r="AY339" s="83">
        <f t="shared" si="559"/>
        <v>10.451905626134302</v>
      </c>
      <c r="AZ339" s="5"/>
      <c r="BA339" s="5"/>
      <c r="BB339" s="5"/>
      <c r="BC339" s="5"/>
      <c r="BD339" s="5"/>
      <c r="BE339" s="5"/>
      <c r="BF339" s="5"/>
      <c r="BG339" s="4">
        <v>333</v>
      </c>
      <c r="BH339"/>
      <c r="BI339"/>
      <c r="BJ339"/>
      <c r="BK339"/>
      <c r="BL339"/>
      <c r="BM339"/>
    </row>
    <row r="340" spans="1:65" s="3" customFormat="1" ht="11.25" outlineLevel="2">
      <c r="A340" s="6"/>
      <c r="B340" s="11" t="s">
        <v>104</v>
      </c>
      <c r="C340" s="7"/>
      <c r="D340" s="7"/>
      <c r="E340" s="7"/>
      <c r="F340" s="7">
        <f t="shared" ref="F340:N340" si="561">365/F339</f>
        <v>66.424265102494545</v>
      </c>
      <c r="G340" s="7">
        <f t="shared" si="561"/>
        <v>68.802955202104982</v>
      </c>
      <c r="H340" s="7">
        <f t="shared" si="561"/>
        <v>56.41965978197296</v>
      </c>
      <c r="I340" s="7">
        <f t="shared" si="561"/>
        <v>42.260854568896846</v>
      </c>
      <c r="J340" s="7">
        <f t="shared" si="561"/>
        <v>41.802620759863736</v>
      </c>
      <c r="K340" s="7">
        <f t="shared" si="561"/>
        <v>39.018427969043195</v>
      </c>
      <c r="L340" s="7">
        <f t="shared" si="561"/>
        <v>49.239553966024957</v>
      </c>
      <c r="M340" s="7">
        <f t="shared" si="561"/>
        <v>34.967063425336498</v>
      </c>
      <c r="N340" s="7">
        <f t="shared" si="561"/>
        <v>34.762348147154725</v>
      </c>
      <c r="O340" s="5"/>
      <c r="P340" s="7"/>
      <c r="Q340" s="7"/>
      <c r="R340" s="7"/>
      <c r="S340" s="7"/>
      <c r="T340" s="7"/>
      <c r="U340" s="7"/>
      <c r="V340" s="7"/>
      <c r="W340" s="7"/>
      <c r="X340" s="7">
        <f t="shared" ref="X340:AL340" si="562">(X287/-X75)*X334</f>
        <v>56.566934572397329</v>
      </c>
      <c r="Y340" s="7">
        <f t="shared" si="562"/>
        <v>54.876201524693407</v>
      </c>
      <c r="Z340" s="7">
        <f t="shared" si="562"/>
        <v>52.535665381940042</v>
      </c>
      <c r="AA340" s="7">
        <f t="shared" si="562"/>
        <v>54.896182147083223</v>
      </c>
      <c r="AB340" s="7">
        <f t="shared" si="562"/>
        <v>51.431364417323302</v>
      </c>
      <c r="AC340" s="7">
        <f t="shared" si="562"/>
        <v>49.941712590080542</v>
      </c>
      <c r="AD340" s="7">
        <f t="shared" si="562"/>
        <v>52.502160557112369</v>
      </c>
      <c r="AE340" s="7">
        <f t="shared" si="562"/>
        <v>59.234327049539672</v>
      </c>
      <c r="AF340" s="7">
        <f t="shared" si="562"/>
        <v>53.304565099945968</v>
      </c>
      <c r="AG340" s="7">
        <f t="shared" si="562"/>
        <v>45.203786942845376</v>
      </c>
      <c r="AH340" s="7">
        <f t="shared" si="562"/>
        <v>42.570212321433232</v>
      </c>
      <c r="AI340" s="7">
        <f t="shared" si="562"/>
        <v>43.152661962796664</v>
      </c>
      <c r="AJ340" s="7">
        <f t="shared" si="562"/>
        <v>42.139170562875705</v>
      </c>
      <c r="AK340" s="7">
        <f t="shared" si="562"/>
        <v>33.919165604158493</v>
      </c>
      <c r="AL340" s="7">
        <f t="shared" si="562"/>
        <v>34.798418447021298</v>
      </c>
      <c r="AM340" s="7">
        <f t="shared" ref="AM340" si="563">(AM287/-AM75)*AM334</f>
        <v>35.208890432366729</v>
      </c>
      <c r="AN340" s="23">
        <f t="shared" ref="AN340:AY340" si="564">AM340</f>
        <v>35.208890432366729</v>
      </c>
      <c r="AO340" s="23">
        <f t="shared" si="564"/>
        <v>35.208890432366729</v>
      </c>
      <c r="AP340" s="23">
        <f t="shared" si="564"/>
        <v>35.208890432366729</v>
      </c>
      <c r="AQ340" s="23">
        <f t="shared" si="564"/>
        <v>35.208890432366729</v>
      </c>
      <c r="AR340" s="23">
        <f t="shared" si="564"/>
        <v>35.208890432366729</v>
      </c>
      <c r="AS340" s="23">
        <f t="shared" si="564"/>
        <v>35.208890432366729</v>
      </c>
      <c r="AT340" s="23">
        <f t="shared" si="564"/>
        <v>35.208890432366729</v>
      </c>
      <c r="AU340" s="23">
        <f t="shared" si="564"/>
        <v>35.208890432366729</v>
      </c>
      <c r="AV340" s="23">
        <f t="shared" si="564"/>
        <v>35.208890432366729</v>
      </c>
      <c r="AW340" s="23">
        <f t="shared" si="564"/>
        <v>35.208890432366729</v>
      </c>
      <c r="AX340" s="23">
        <f t="shared" si="564"/>
        <v>35.208890432366729</v>
      </c>
      <c r="AY340" s="23">
        <f t="shared" si="564"/>
        <v>35.208890432366729</v>
      </c>
      <c r="AZ340" s="5"/>
      <c r="BA340" s="5"/>
      <c r="BB340" s="5"/>
      <c r="BC340" s="5"/>
      <c r="BD340" s="5"/>
      <c r="BE340" s="5"/>
      <c r="BF340" s="5"/>
      <c r="BG340" s="4">
        <v>334</v>
      </c>
      <c r="BH340"/>
      <c r="BI340"/>
      <c r="BJ340"/>
      <c r="BK340"/>
      <c r="BL340"/>
      <c r="BM340"/>
    </row>
    <row r="341" spans="1:65" s="3" customFormat="1" ht="11.25" outlineLevel="2">
      <c r="A341" s="6"/>
      <c r="B341" s="11" t="s">
        <v>103</v>
      </c>
      <c r="C341" s="7"/>
      <c r="D341" s="7"/>
      <c r="E341" s="7"/>
      <c r="F341" s="7">
        <f t="shared" ref="F341:N341" si="565">365/((-F75/F299))</f>
        <v>31.570269318116232</v>
      </c>
      <c r="G341" s="7">
        <f t="shared" si="565"/>
        <v>52.320918320214325</v>
      </c>
      <c r="H341" s="7">
        <f t="shared" si="565"/>
        <v>37.956049299198789</v>
      </c>
      <c r="I341" s="7">
        <f t="shared" si="565"/>
        <v>24.232218380704445</v>
      </c>
      <c r="J341" s="7">
        <f t="shared" si="565"/>
        <v>29.585775068847152</v>
      </c>
      <c r="K341" s="7">
        <f t="shared" si="565"/>
        <v>39.076517450337846</v>
      </c>
      <c r="L341" s="7">
        <f t="shared" si="565"/>
        <v>49.312860357336675</v>
      </c>
      <c r="M341" s="7">
        <f t="shared" si="565"/>
        <v>35.01912135494829</v>
      </c>
      <c r="N341" s="7">
        <f t="shared" si="565"/>
        <v>34.814101302716367</v>
      </c>
      <c r="O341" s="5"/>
      <c r="P341" s="7"/>
      <c r="Q341" s="7"/>
      <c r="R341" s="7"/>
      <c r="S341" s="7"/>
      <c r="T341" s="7"/>
      <c r="U341" s="7"/>
      <c r="V341" s="7"/>
      <c r="W341" s="7"/>
      <c r="X341" s="7">
        <f t="shared" ref="X341:AL341" si="566">(X299/-X75)*X334</f>
        <v>42.335489137259827</v>
      </c>
      <c r="Y341" s="7">
        <f t="shared" si="566"/>
        <v>38.369605568445479</v>
      </c>
      <c r="Z341" s="7">
        <f t="shared" si="566"/>
        <v>39.81932164684163</v>
      </c>
      <c r="AA341" s="7">
        <f t="shared" si="566"/>
        <v>36.931137195163423</v>
      </c>
      <c r="AB341" s="7">
        <f t="shared" si="566"/>
        <v>31.33790508916405</v>
      </c>
      <c r="AC341" s="7">
        <f t="shared" si="566"/>
        <v>25.867740568037302</v>
      </c>
      <c r="AD341" s="7">
        <f t="shared" si="566"/>
        <v>31.290577844606958</v>
      </c>
      <c r="AE341" s="7">
        <f t="shared" si="566"/>
        <v>33.96474499488528</v>
      </c>
      <c r="AF341" s="7">
        <f t="shared" si="566"/>
        <v>28.810060440302543</v>
      </c>
      <c r="AG341" s="7">
        <f t="shared" si="566"/>
        <v>27.364026671573395</v>
      </c>
      <c r="AH341" s="7">
        <f t="shared" si="566"/>
        <v>29.295552479694969</v>
      </c>
      <c r="AI341" s="7">
        <f t="shared" si="566"/>
        <v>30.541265768655116</v>
      </c>
      <c r="AJ341" s="7">
        <f t="shared" si="566"/>
        <v>35.210471188293155</v>
      </c>
      <c r="AK341" s="7">
        <f t="shared" si="566"/>
        <v>28.813468517065516</v>
      </c>
      <c r="AL341" s="7">
        <f t="shared" si="566"/>
        <v>35.241142528048201</v>
      </c>
      <c r="AM341" s="7">
        <f t="shared" ref="AM341" si="567">(AM299/-AM75)*AM334</f>
        <v>35.26130838687272</v>
      </c>
      <c r="AN341" s="23">
        <f t="shared" ref="AN341:AY341" si="568">AM341</f>
        <v>35.26130838687272</v>
      </c>
      <c r="AO341" s="23">
        <f t="shared" si="568"/>
        <v>35.26130838687272</v>
      </c>
      <c r="AP341" s="23">
        <f t="shared" si="568"/>
        <v>35.26130838687272</v>
      </c>
      <c r="AQ341" s="23">
        <f t="shared" si="568"/>
        <v>35.26130838687272</v>
      </c>
      <c r="AR341" s="23">
        <f t="shared" si="568"/>
        <v>35.26130838687272</v>
      </c>
      <c r="AS341" s="23">
        <f t="shared" si="568"/>
        <v>35.26130838687272</v>
      </c>
      <c r="AT341" s="23">
        <f t="shared" si="568"/>
        <v>35.26130838687272</v>
      </c>
      <c r="AU341" s="23">
        <f t="shared" si="568"/>
        <v>35.26130838687272</v>
      </c>
      <c r="AV341" s="23">
        <f t="shared" si="568"/>
        <v>35.26130838687272</v>
      </c>
      <c r="AW341" s="23">
        <f t="shared" si="568"/>
        <v>35.26130838687272</v>
      </c>
      <c r="AX341" s="23">
        <f t="shared" si="568"/>
        <v>35.26130838687272</v>
      </c>
      <c r="AY341" s="23">
        <f t="shared" si="568"/>
        <v>35.26130838687272</v>
      </c>
      <c r="AZ341" s="5"/>
      <c r="BA341" s="5"/>
      <c r="BB341" s="5"/>
      <c r="BC341" s="5"/>
      <c r="BD341" s="5"/>
      <c r="BE341" s="5"/>
      <c r="BF341" s="5"/>
      <c r="BG341" s="4">
        <v>335</v>
      </c>
      <c r="BH341"/>
      <c r="BI341"/>
      <c r="BJ341"/>
      <c r="BK341"/>
      <c r="BL341"/>
      <c r="BM341"/>
    </row>
    <row r="342" spans="1:65" s="3" customFormat="1" ht="11.25" outlineLevel="2">
      <c r="A342" s="6"/>
      <c r="B342" s="11" t="s">
        <v>102</v>
      </c>
      <c r="C342" s="7"/>
      <c r="D342" s="7"/>
      <c r="E342" s="7"/>
      <c r="F342" s="7">
        <f t="shared" ref="F342:N342" si="569">F338+F340-F341</f>
        <v>85.731909000749937</v>
      </c>
      <c r="G342" s="7">
        <f t="shared" si="569"/>
        <v>70.712484298183483</v>
      </c>
      <c r="H342" s="7">
        <f t="shared" si="569"/>
        <v>73.920047563334663</v>
      </c>
      <c r="I342" s="7">
        <f t="shared" si="569"/>
        <v>50.430347766080409</v>
      </c>
      <c r="J342" s="7">
        <f t="shared" si="569"/>
        <v>66.073163201058392</v>
      </c>
      <c r="K342" s="7">
        <f t="shared" si="569"/>
        <v>59.615424133591844</v>
      </c>
      <c r="L342" s="7">
        <f t="shared" si="569"/>
        <v>74.079011537164831</v>
      </c>
      <c r="M342" s="7">
        <f t="shared" si="569"/>
        <v>51.548488798055864</v>
      </c>
      <c r="N342" s="7">
        <f t="shared" si="569"/>
        <v>51.268502321495475</v>
      </c>
      <c r="O342" s="5"/>
      <c r="P342" s="7"/>
      <c r="Q342" s="7"/>
      <c r="R342" s="7"/>
      <c r="S342" s="7"/>
      <c r="T342" s="7"/>
      <c r="U342" s="7"/>
      <c r="V342" s="7"/>
      <c r="W342" s="7"/>
      <c r="X342" s="7">
        <f t="shared" ref="X342:AY342" si="570">X338+X340-X341</f>
        <v>72.570079425345398</v>
      </c>
      <c r="Y342" s="7">
        <f t="shared" si="570"/>
        <v>73.608714336782384</v>
      </c>
      <c r="Z342" s="7">
        <f t="shared" si="570"/>
        <v>70.382279436971885</v>
      </c>
      <c r="AA342" s="7">
        <f t="shared" si="570"/>
        <v>71.563140814604822</v>
      </c>
      <c r="AB342" s="7">
        <f t="shared" si="570"/>
        <v>73.063574423187276</v>
      </c>
      <c r="AC342" s="7">
        <f t="shared" si="570"/>
        <v>74.251576699370034</v>
      </c>
      <c r="AD342" s="7">
        <f t="shared" si="570"/>
        <v>68.498344923678275</v>
      </c>
      <c r="AE342" s="7">
        <f t="shared" si="570"/>
        <v>75.423510292616243</v>
      </c>
      <c r="AF342" s="7">
        <f t="shared" si="570"/>
        <v>76.181788961641246</v>
      </c>
      <c r="AG342" s="7">
        <f t="shared" si="570"/>
        <v>68.760381020687731</v>
      </c>
      <c r="AH342" s="7">
        <f t="shared" si="570"/>
        <v>67.06368599644054</v>
      </c>
      <c r="AI342" s="7">
        <f t="shared" si="570"/>
        <v>64.291552173960952</v>
      </c>
      <c r="AJ342" s="7">
        <f t="shared" si="570"/>
        <v>56.649992897119532</v>
      </c>
      <c r="AK342" s="7">
        <f t="shared" si="570"/>
        <v>53.391578592585503</v>
      </c>
      <c r="AL342" s="7">
        <f t="shared" si="570"/>
        <v>50.499750477087716</v>
      </c>
      <c r="AM342" s="7">
        <f t="shared" ref="AM342" si="571">AM338+AM340-AM341</f>
        <v>52.647015489802151</v>
      </c>
      <c r="AN342" s="7">
        <f t="shared" si="570"/>
        <v>52.647015489802151</v>
      </c>
      <c r="AO342" s="7">
        <f t="shared" si="570"/>
        <v>52.647015489802151</v>
      </c>
      <c r="AP342" s="7">
        <f t="shared" si="570"/>
        <v>52.647015489802151</v>
      </c>
      <c r="AQ342" s="7">
        <f t="shared" si="570"/>
        <v>52.647015489802151</v>
      </c>
      <c r="AR342" s="7">
        <f t="shared" si="570"/>
        <v>52.647015489802151</v>
      </c>
      <c r="AS342" s="7">
        <f t="shared" si="570"/>
        <v>52.647015489802151</v>
      </c>
      <c r="AT342" s="7">
        <f t="shared" si="570"/>
        <v>52.647015489802151</v>
      </c>
      <c r="AU342" s="7">
        <f t="shared" si="570"/>
        <v>52.647015489802151</v>
      </c>
      <c r="AV342" s="7">
        <f t="shared" si="570"/>
        <v>52.647015489802151</v>
      </c>
      <c r="AW342" s="7">
        <f t="shared" si="570"/>
        <v>52.647015489802151</v>
      </c>
      <c r="AX342" s="7">
        <f t="shared" si="570"/>
        <v>52.647015489802151</v>
      </c>
      <c r="AY342" s="7">
        <f t="shared" si="570"/>
        <v>52.647015489802151</v>
      </c>
      <c r="AZ342" s="5"/>
      <c r="BA342" s="5"/>
      <c r="BB342" s="5"/>
      <c r="BC342" s="5"/>
      <c r="BD342" s="5"/>
      <c r="BE342" s="5"/>
      <c r="BF342" s="5"/>
      <c r="BG342" s="4">
        <v>336</v>
      </c>
      <c r="BH342"/>
      <c r="BI342"/>
      <c r="BJ342"/>
      <c r="BK342"/>
      <c r="BL342"/>
      <c r="BM342"/>
    </row>
    <row r="343" spans="1:65" s="3" customFormat="1" ht="11.25" outlineLevel="2">
      <c r="A343" s="6"/>
      <c r="B343" s="11"/>
      <c r="C343" s="7"/>
      <c r="D343" s="7"/>
      <c r="E343" s="7"/>
      <c r="F343" s="7"/>
      <c r="G343" s="7"/>
      <c r="H343" s="7"/>
      <c r="I343" s="7"/>
      <c r="J343" s="7"/>
      <c r="K343" s="7"/>
      <c r="L343" s="7"/>
      <c r="M343" s="7"/>
      <c r="N343" s="7"/>
      <c r="O343" s="5"/>
      <c r="P343" s="7"/>
      <c r="Q343" s="7"/>
      <c r="R343" s="7"/>
      <c r="S343" s="7"/>
      <c r="T343" s="7"/>
      <c r="U343" s="7"/>
      <c r="V343" s="7"/>
      <c r="W343" s="7"/>
      <c r="X343" s="7"/>
      <c r="Y343" s="7"/>
      <c r="Z343" s="7"/>
      <c r="AA343" s="7"/>
      <c r="AB343" s="7"/>
      <c r="AC343" s="7"/>
      <c r="AD343" s="7"/>
      <c r="AE343" s="7"/>
      <c r="AF343" s="7"/>
      <c r="AG343" s="7"/>
      <c r="AH343" s="7"/>
      <c r="AI343" s="7"/>
      <c r="AJ343" s="7"/>
      <c r="AK343" s="7"/>
      <c r="AL343" s="7"/>
      <c r="AM343" s="7"/>
      <c r="AN343" s="5"/>
      <c r="AO343" s="5"/>
      <c r="AP343" s="5"/>
      <c r="AQ343" s="5"/>
      <c r="AR343" s="5"/>
      <c r="AS343" s="5"/>
      <c r="AT343" s="5"/>
      <c r="AU343" s="5"/>
      <c r="AV343" s="5"/>
      <c r="AW343" s="5"/>
      <c r="AX343" s="5"/>
      <c r="AY343" s="5"/>
      <c r="AZ343" s="5"/>
      <c r="BA343" s="5"/>
      <c r="BB343" s="5"/>
      <c r="BC343" s="5"/>
      <c r="BD343" s="5"/>
      <c r="BE343" s="5"/>
      <c r="BF343" s="5"/>
      <c r="BG343" s="4">
        <v>337</v>
      </c>
      <c r="BH343"/>
      <c r="BI343"/>
      <c r="BJ343"/>
      <c r="BK343"/>
      <c r="BL343"/>
      <c r="BM343"/>
    </row>
    <row r="344" spans="1:65" s="3" customFormat="1" ht="11.25" outlineLevel="2">
      <c r="A344" s="6"/>
      <c r="B344" s="11" t="s">
        <v>101</v>
      </c>
      <c r="C344" s="7"/>
      <c r="D344" s="7"/>
      <c r="E344" s="7"/>
      <c r="F344" s="7"/>
      <c r="G344" s="7"/>
      <c r="H344" s="7"/>
      <c r="I344" s="7"/>
      <c r="J344" s="7"/>
      <c r="K344" s="7"/>
      <c r="L344" s="7"/>
      <c r="M344" s="7"/>
      <c r="N344" s="7"/>
      <c r="O344" s="5"/>
      <c r="P344" s="7"/>
      <c r="Q344" s="7"/>
      <c r="R344" s="7"/>
      <c r="S344" s="7"/>
      <c r="T344" s="7"/>
      <c r="U344" s="7"/>
      <c r="V344" s="7"/>
      <c r="W344" s="7"/>
      <c r="X344" s="7"/>
      <c r="Y344" s="7"/>
      <c r="Z344" s="7"/>
      <c r="AA344" s="7"/>
      <c r="AB344" s="7"/>
      <c r="AC344" s="7"/>
      <c r="AD344" s="7"/>
      <c r="AE344" s="7"/>
      <c r="AF344" s="7"/>
      <c r="AG344" s="7"/>
      <c r="AH344" s="7"/>
      <c r="AI344" s="7"/>
      <c r="AJ344" s="7"/>
      <c r="AK344" s="7"/>
      <c r="AL344" s="7"/>
      <c r="AM344" s="7"/>
      <c r="AN344" s="5"/>
      <c r="AO344" s="5"/>
      <c r="AP344" s="5"/>
      <c r="AQ344" s="5"/>
      <c r="AR344" s="5"/>
      <c r="AS344" s="5"/>
      <c r="AT344" s="5"/>
      <c r="AU344" s="5"/>
      <c r="AV344" s="5"/>
      <c r="AW344" s="5"/>
      <c r="AX344" s="5"/>
      <c r="AY344" s="5"/>
      <c r="AZ344" s="5"/>
      <c r="BA344" s="5"/>
      <c r="BB344" s="5"/>
      <c r="BC344" s="5"/>
      <c r="BD344" s="5"/>
      <c r="BE344" s="5"/>
      <c r="BF344" s="5"/>
      <c r="BG344" s="4">
        <v>338</v>
      </c>
      <c r="BH344"/>
      <c r="BI344"/>
      <c r="BJ344"/>
      <c r="BK344"/>
      <c r="BL344"/>
      <c r="BM344"/>
    </row>
    <row r="345" spans="1:65" s="3" customFormat="1" ht="11.25" outlineLevel="2">
      <c r="A345" s="6"/>
      <c r="B345" s="11" t="s">
        <v>100</v>
      </c>
      <c r="C345" s="25"/>
      <c r="D345" s="25"/>
      <c r="E345" s="25"/>
      <c r="F345" s="25">
        <f t="shared" ref="F345:N345" si="572">F289/F13</f>
        <v>5.6202623165648048E-3</v>
      </c>
      <c r="G345" s="25">
        <f t="shared" si="572"/>
        <v>1.0699261219806836E-2</v>
      </c>
      <c r="H345" s="25">
        <f t="shared" si="572"/>
        <v>1.1254313512105813E-2</v>
      </c>
      <c r="I345" s="25">
        <f t="shared" si="572"/>
        <v>5.3249089849392243E-2</v>
      </c>
      <c r="J345" s="25">
        <f t="shared" si="572"/>
        <v>5.2600591013676305E-2</v>
      </c>
      <c r="K345" s="25">
        <f t="shared" si="572"/>
        <v>8.0902692762516992E-3</v>
      </c>
      <c r="L345" s="25">
        <f t="shared" si="572"/>
        <v>3.9586242798739591E-3</v>
      </c>
      <c r="M345" s="25">
        <f t="shared" si="572"/>
        <v>2.9064442064673239E-3</v>
      </c>
      <c r="N345" s="25">
        <f t="shared" si="572"/>
        <v>2.8772544866682345E-3</v>
      </c>
      <c r="O345" s="5"/>
      <c r="P345" s="25"/>
      <c r="Q345" s="25"/>
      <c r="R345" s="25"/>
      <c r="S345" s="25"/>
      <c r="T345" s="25"/>
      <c r="U345" s="25"/>
      <c r="V345" s="25"/>
      <c r="W345" s="25"/>
      <c r="X345" s="25">
        <f t="shared" ref="X345:AY345" si="573">X289/(X13*4)</f>
        <v>4.5256194648257905E-3</v>
      </c>
      <c r="Y345" s="25">
        <f t="shared" si="573"/>
        <v>5.391266063363237E-3</v>
      </c>
      <c r="Z345" s="25">
        <f t="shared" si="573"/>
        <v>5.9387542539205687E-3</v>
      </c>
      <c r="AA345" s="25">
        <f t="shared" si="573"/>
        <v>1.0788509594183562E-2</v>
      </c>
      <c r="AB345" s="25">
        <f t="shared" si="573"/>
        <v>2.7473548044711266E-2</v>
      </c>
      <c r="AC345" s="25">
        <f t="shared" si="573"/>
        <v>3.1097084351829681E-2</v>
      </c>
      <c r="AD345" s="25">
        <f t="shared" si="573"/>
        <v>5.680462123427904E-2</v>
      </c>
      <c r="AE345" s="25">
        <f t="shared" si="573"/>
        <v>8.1751219006120965E-2</v>
      </c>
      <c r="AF345" s="25">
        <f t="shared" si="573"/>
        <v>6.2011027238103096E-2</v>
      </c>
      <c r="AG345" s="25">
        <f t="shared" si="573"/>
        <v>0.10979089532512321</v>
      </c>
      <c r="AH345" s="25">
        <f t="shared" si="573"/>
        <v>5.5357076609163419E-2</v>
      </c>
      <c r="AI345" s="25">
        <f t="shared" si="573"/>
        <v>5.0063687015676261E-2</v>
      </c>
      <c r="AJ345" s="25">
        <f t="shared" si="573"/>
        <v>3.6753330281661577E-2</v>
      </c>
      <c r="AK345" s="25">
        <f t="shared" si="573"/>
        <v>8.6986442334902637E-3</v>
      </c>
      <c r="AL345" s="25">
        <f t="shared" si="573"/>
        <v>6.843420817711123E-3</v>
      </c>
      <c r="AM345" s="25">
        <f t="shared" ref="AM345" si="574">AM289/(AM13*4)</f>
        <v>7.0865092576368202E-3</v>
      </c>
      <c r="AN345" s="25">
        <f t="shared" si="573"/>
        <v>7.0077840145895349E-3</v>
      </c>
      <c r="AO345" s="25">
        <f t="shared" si="573"/>
        <v>6.6854864554738436E-3</v>
      </c>
      <c r="AP345" s="25">
        <f t="shared" si="573"/>
        <v>2.7792627913567408E-3</v>
      </c>
      <c r="AQ345" s="25">
        <f t="shared" si="573"/>
        <v>2.7904262252379511E-3</v>
      </c>
      <c r="AR345" s="25">
        <f t="shared" si="573"/>
        <v>2.8845164352923705E-3</v>
      </c>
      <c r="AS345" s="25">
        <f t="shared" si="573"/>
        <v>2.9047702869057098E-3</v>
      </c>
      <c r="AT345" s="25">
        <f t="shared" si="573"/>
        <v>2.8930608530892158E-3</v>
      </c>
      <c r="AU345" s="25">
        <f t="shared" si="573"/>
        <v>2.9441415019820002E-3</v>
      </c>
      <c r="AV345" s="25">
        <f t="shared" si="573"/>
        <v>2.9249205029333683E-3</v>
      </c>
      <c r="AW345" s="25">
        <f t="shared" si="573"/>
        <v>2.815865590971584E-3</v>
      </c>
      <c r="AX345" s="25">
        <f t="shared" si="573"/>
        <v>2.8412782032189048E-3</v>
      </c>
      <c r="AY345" s="25">
        <f t="shared" si="573"/>
        <v>2.9304914481032367E-3</v>
      </c>
      <c r="AZ345" s="5"/>
      <c r="BA345" s="5"/>
      <c r="BB345" s="5"/>
      <c r="BC345" s="5"/>
      <c r="BD345" s="5"/>
      <c r="BE345" s="5"/>
      <c r="BF345" s="5"/>
      <c r="BG345" s="4">
        <v>339</v>
      </c>
      <c r="BH345"/>
      <c r="BI345"/>
      <c r="BJ345"/>
      <c r="BK345"/>
      <c r="BL345"/>
      <c r="BM345"/>
    </row>
    <row r="346" spans="1:65" s="3" customFormat="1" ht="11.25" outlineLevel="2">
      <c r="A346" s="6"/>
      <c r="B346" s="11" t="s">
        <v>99</v>
      </c>
      <c r="C346" s="25"/>
      <c r="D346" s="25"/>
      <c r="E346" s="25"/>
      <c r="F346" s="25">
        <f t="shared" ref="F346:N346" si="575">F294/F13</f>
        <v>3.6086038025734589E-2</v>
      </c>
      <c r="G346" s="25">
        <f t="shared" si="575"/>
        <v>3.5984928964999503E-2</v>
      </c>
      <c r="H346" s="25">
        <f t="shared" si="575"/>
        <v>1.9714584825149591E-2</v>
      </c>
      <c r="I346" s="25">
        <f t="shared" si="575"/>
        <v>3.1983482742434316E-2</v>
      </c>
      <c r="J346" s="25">
        <f t="shared" si="575"/>
        <v>2.0055587434324024E-2</v>
      </c>
      <c r="K346" s="25">
        <f t="shared" si="575"/>
        <v>8.3986684656619376E-3</v>
      </c>
      <c r="L346" s="25">
        <f t="shared" si="575"/>
        <v>4.1095261197764297E-3</v>
      </c>
      <c r="M346" s="25">
        <f t="shared" si="575"/>
        <v>3.017237185876767E-3</v>
      </c>
      <c r="N346" s="25">
        <f t="shared" si="575"/>
        <v>2.9869347607253877E-3</v>
      </c>
      <c r="O346" s="5"/>
      <c r="P346" s="25"/>
      <c r="Q346" s="25"/>
      <c r="R346" s="25"/>
      <c r="S346" s="25"/>
      <c r="T346" s="25"/>
      <c r="U346" s="25"/>
      <c r="V346" s="25"/>
      <c r="W346" s="25"/>
      <c r="X346" s="25">
        <f t="shared" ref="X346:AY346" si="576">X294/(X13*4)</f>
        <v>2.8499789782051456E-2</v>
      </c>
      <c r="Y346" s="25">
        <f t="shared" si="576"/>
        <v>2.3743557531657571E-2</v>
      </c>
      <c r="Z346" s="25">
        <f t="shared" si="576"/>
        <v>1.8866522615729398E-2</v>
      </c>
      <c r="AA346" s="25">
        <f t="shared" si="576"/>
        <v>1.889861938737435E-2</v>
      </c>
      <c r="AB346" s="25">
        <f t="shared" si="576"/>
        <v>2.188215197850675E-2</v>
      </c>
      <c r="AC346" s="25">
        <f t="shared" si="576"/>
        <v>3.0432896716563573E-2</v>
      </c>
      <c r="AD346" s="25">
        <f t="shared" si="576"/>
        <v>3.8552208248025736E-2</v>
      </c>
      <c r="AE346" s="25">
        <f t="shared" si="576"/>
        <v>4.9102974523142592E-2</v>
      </c>
      <c r="AF346" s="25">
        <f t="shared" si="576"/>
        <v>1.9125795762350645E-2</v>
      </c>
      <c r="AG346" s="25">
        <f t="shared" si="576"/>
        <v>2.3146810913005803E-2</v>
      </c>
      <c r="AH346" s="25">
        <f t="shared" si="576"/>
        <v>1.8733073641253942E-2</v>
      </c>
      <c r="AI346" s="25">
        <f t="shared" si="576"/>
        <v>1.9088315033693633E-2</v>
      </c>
      <c r="AJ346" s="25">
        <f t="shared" si="576"/>
        <v>1.4872554075430372E-2</v>
      </c>
      <c r="AK346" s="25">
        <f t="shared" si="576"/>
        <v>1.0129659643435979E-2</v>
      </c>
      <c r="AL346" s="25">
        <f t="shared" si="576"/>
        <v>8.019996429209069E-3</v>
      </c>
      <c r="AM346" s="25">
        <f t="shared" ref="AM346" si="577">AM294/(AM13*4)</f>
        <v>7.3566453478184678E-3</v>
      </c>
      <c r="AN346" s="25">
        <f t="shared" si="576"/>
        <v>7.274919116755472E-3</v>
      </c>
      <c r="AO346" s="25">
        <f t="shared" si="576"/>
        <v>6.9403356493978946E-3</v>
      </c>
      <c r="AP346" s="25">
        <f t="shared" si="576"/>
        <v>2.8852076447040162E-3</v>
      </c>
      <c r="AQ346" s="25">
        <f t="shared" si="576"/>
        <v>2.8967966260969895E-3</v>
      </c>
      <c r="AR346" s="25">
        <f t="shared" si="576"/>
        <v>2.994473533147688E-3</v>
      </c>
      <c r="AS346" s="25">
        <f t="shared" si="576"/>
        <v>3.0154994568894942E-3</v>
      </c>
      <c r="AT346" s="25">
        <f t="shared" si="576"/>
        <v>3.0033436621702725E-3</v>
      </c>
      <c r="AU346" s="25">
        <f t="shared" si="576"/>
        <v>3.0563714935578751E-3</v>
      </c>
      <c r="AV346" s="25">
        <f t="shared" si="576"/>
        <v>3.0364177944811176E-3</v>
      </c>
      <c r="AW346" s="25">
        <f t="shared" si="576"/>
        <v>2.9232057345553045E-3</v>
      </c>
      <c r="AX346" s="25">
        <f t="shared" si="576"/>
        <v>2.9495870696906101E-3</v>
      </c>
      <c r="AY346" s="25">
        <f t="shared" si="576"/>
        <v>3.0422011027894645E-3</v>
      </c>
      <c r="AZ346" s="5"/>
      <c r="BA346" s="5"/>
      <c r="BB346" s="5"/>
      <c r="BC346" s="5"/>
      <c r="BD346" s="5"/>
      <c r="BE346" s="5"/>
      <c r="BF346" s="5"/>
      <c r="BG346" s="4">
        <v>340</v>
      </c>
      <c r="BH346"/>
      <c r="BI346"/>
      <c r="BJ346"/>
      <c r="BK346"/>
      <c r="BL346"/>
      <c r="BM346"/>
    </row>
    <row r="347" spans="1:65" s="3" customFormat="1" ht="11.25" outlineLevel="2">
      <c r="A347" s="6"/>
      <c r="B347" s="11" t="s">
        <v>98</v>
      </c>
      <c r="C347" s="25"/>
      <c r="D347" s="25"/>
      <c r="E347" s="25"/>
      <c r="F347" s="25">
        <f t="shared" ref="F347:N347" si="578">F300/-F76</f>
        <v>0.43217178664221301</v>
      </c>
      <c r="G347" s="25">
        <f t="shared" si="578"/>
        <v>0.35068044662708592</v>
      </c>
      <c r="H347" s="25">
        <f t="shared" si="578"/>
        <v>9.2141087483694747E-2</v>
      </c>
      <c r="I347" s="25">
        <f t="shared" si="578"/>
        <v>0.34362680683311436</v>
      </c>
      <c r="J347" s="25">
        <f t="shared" si="578"/>
        <v>0.37263412551586728</v>
      </c>
      <c r="K347" s="25">
        <f t="shared" si="578"/>
        <v>0.77219901326948992</v>
      </c>
      <c r="L347" s="25">
        <f t="shared" si="578"/>
        <v>0.57108960573476708</v>
      </c>
      <c r="M347" s="25">
        <f t="shared" si="578"/>
        <v>0.44259444444444446</v>
      </c>
      <c r="N347" s="25">
        <f t="shared" si="578"/>
        <v>0.44259444444444446</v>
      </c>
      <c r="O347" s="5"/>
      <c r="P347" s="25"/>
      <c r="Q347" s="25"/>
      <c r="R347" s="25"/>
      <c r="S347" s="25"/>
      <c r="T347" s="25"/>
      <c r="U347" s="25"/>
      <c r="V347" s="25"/>
      <c r="W347" s="25"/>
      <c r="X347" s="25">
        <f t="shared" ref="X347:AY347" si="579">X300/(-X76*4)</f>
        <v>0.44323399761226928</v>
      </c>
      <c r="Y347" s="25">
        <f t="shared" si="579"/>
        <v>0.26609163928441038</v>
      </c>
      <c r="Z347" s="25">
        <f t="shared" si="579"/>
        <v>0.37974894838752754</v>
      </c>
      <c r="AA347" s="25">
        <f t="shared" si="579"/>
        <v>7.4953710297678403E-2</v>
      </c>
      <c r="AB347" s="25">
        <f t="shared" si="579"/>
        <v>0.32169025811823482</v>
      </c>
      <c r="AC347" s="25">
        <f t="shared" si="579"/>
        <v>0.39785982087065197</v>
      </c>
      <c r="AD347" s="25">
        <f t="shared" si="579"/>
        <v>0.51268155509446323</v>
      </c>
      <c r="AE347" s="25">
        <f t="shared" si="579"/>
        <v>0.36228304056879967</v>
      </c>
      <c r="AF347" s="25">
        <f t="shared" si="579"/>
        <v>0.33640601503759399</v>
      </c>
      <c r="AG347" s="25">
        <f t="shared" si="579"/>
        <v>0.23810707185458674</v>
      </c>
      <c r="AH347" s="25">
        <f t="shared" si="579"/>
        <v>0.392200349672991</v>
      </c>
      <c r="AI347" s="25">
        <f t="shared" si="579"/>
        <v>0.38335968610915905</v>
      </c>
      <c r="AJ347" s="25">
        <f t="shared" si="579"/>
        <v>0.56640819786576246</v>
      </c>
      <c r="AK347" s="25">
        <f t="shared" si="579"/>
        <v>0.52935064935064935</v>
      </c>
      <c r="AL347" s="25">
        <f t="shared" si="579"/>
        <v>0.7460892589624778</v>
      </c>
      <c r="AM347" s="25">
        <f t="shared" ref="AM347" si="580">AM300/(-AM76*4)</f>
        <v>0.63607402912621369</v>
      </c>
      <c r="AN347" s="25">
        <f t="shared" si="579"/>
        <v>0.94841666666666669</v>
      </c>
      <c r="AO347" s="25">
        <f t="shared" si="579"/>
        <v>0.94841666666666669</v>
      </c>
      <c r="AP347" s="25">
        <f t="shared" si="579"/>
        <v>0.39833499999999999</v>
      </c>
      <c r="AQ347" s="25">
        <f t="shared" si="579"/>
        <v>0.41930000000000001</v>
      </c>
      <c r="AR347" s="25">
        <f t="shared" si="579"/>
        <v>0.44259444444444446</v>
      </c>
      <c r="AS347" s="25">
        <f t="shared" si="579"/>
        <v>0.44259444444444446</v>
      </c>
      <c r="AT347" s="25">
        <f t="shared" si="579"/>
        <v>0.44259444444444446</v>
      </c>
      <c r="AU347" s="25">
        <f t="shared" si="579"/>
        <v>0.44259444444444446</v>
      </c>
      <c r="AV347" s="25">
        <f t="shared" si="579"/>
        <v>0.44259444444444446</v>
      </c>
      <c r="AW347" s="25">
        <f t="shared" si="579"/>
        <v>0.44259444444444446</v>
      </c>
      <c r="AX347" s="25">
        <f t="shared" si="579"/>
        <v>0.44259444444444446</v>
      </c>
      <c r="AY347" s="25">
        <f t="shared" si="579"/>
        <v>0.44259444444444446</v>
      </c>
      <c r="AZ347" s="5"/>
      <c r="BA347" s="5"/>
      <c r="BB347" s="5"/>
      <c r="BC347" s="5"/>
      <c r="BD347" s="5"/>
      <c r="BE347" s="5"/>
      <c r="BF347" s="5"/>
      <c r="BG347" s="4">
        <v>341</v>
      </c>
      <c r="BH347"/>
      <c r="BI347"/>
      <c r="BJ347"/>
      <c r="BK347"/>
      <c r="BL347"/>
      <c r="BM347"/>
    </row>
    <row r="348" spans="1:65" s="3" customFormat="1" ht="11.25" outlineLevel="2">
      <c r="A348" s="6"/>
      <c r="B348" s="11" t="s">
        <v>97</v>
      </c>
      <c r="C348" s="25"/>
      <c r="D348" s="25"/>
      <c r="E348" s="25"/>
      <c r="F348" s="25">
        <f t="shared" ref="F348:N348" si="581">F303/F291</f>
        <v>9.7216669065630326E-2</v>
      </c>
      <c r="G348" s="25">
        <f t="shared" si="581"/>
        <v>6.2564933937647393E-2</v>
      </c>
      <c r="H348" s="25">
        <f t="shared" si="581"/>
        <v>8.8379053673357313E-2</v>
      </c>
      <c r="I348" s="25">
        <f t="shared" si="581"/>
        <v>0.10283502698631569</v>
      </c>
      <c r="J348" s="25">
        <f t="shared" si="581"/>
        <v>9.6972112101245643E-3</v>
      </c>
      <c r="K348" s="25">
        <f t="shared" si="581"/>
        <v>4.5906305815435261E-3</v>
      </c>
      <c r="L348" s="25">
        <f t="shared" si="581"/>
        <v>4.5906305815435261E-3</v>
      </c>
      <c r="M348" s="25">
        <f t="shared" si="581"/>
        <v>4.5906305815435261E-3</v>
      </c>
      <c r="N348" s="25">
        <f t="shared" si="581"/>
        <v>4.5906305815435261E-3</v>
      </c>
      <c r="O348" s="5"/>
      <c r="P348" s="25"/>
      <c r="Q348" s="25"/>
      <c r="R348" s="25"/>
      <c r="S348" s="25"/>
      <c r="T348" s="25"/>
      <c r="U348" s="25"/>
      <c r="V348" s="25"/>
      <c r="W348" s="25"/>
      <c r="X348" s="25">
        <f t="shared" ref="X348:AL348" si="582">X303/X291</f>
        <v>6.1614896143903232E-2</v>
      </c>
      <c r="Y348" s="25">
        <f t="shared" si="582"/>
        <v>6.0970120788302613E-2</v>
      </c>
      <c r="Z348" s="25">
        <f t="shared" si="582"/>
        <v>6.3296148927989501E-2</v>
      </c>
      <c r="AA348" s="25">
        <f t="shared" si="582"/>
        <v>8.8379053673357313E-2</v>
      </c>
      <c r="AB348" s="25">
        <f t="shared" si="582"/>
        <v>8.6766364704103829E-2</v>
      </c>
      <c r="AC348" s="25">
        <f t="shared" si="582"/>
        <v>7.0335095127653097E-2</v>
      </c>
      <c r="AD348" s="25">
        <f t="shared" si="582"/>
        <v>8.8914548328189319E-2</v>
      </c>
      <c r="AE348" s="25">
        <f t="shared" si="582"/>
        <v>0.10283502698631569</v>
      </c>
      <c r="AF348" s="25">
        <f t="shared" si="582"/>
        <v>8.5246989181465602E-2</v>
      </c>
      <c r="AG348" s="25">
        <f t="shared" si="582"/>
        <v>3.500409022007895E-2</v>
      </c>
      <c r="AH348" s="25">
        <f t="shared" si="582"/>
        <v>9.0067325359308274E-3</v>
      </c>
      <c r="AI348" s="25">
        <f t="shared" si="582"/>
        <v>9.6972112101245643E-3</v>
      </c>
      <c r="AJ348" s="25">
        <f t="shared" si="582"/>
        <v>9.5409994449527375E-3</v>
      </c>
      <c r="AK348" s="25">
        <f t="shared" si="582"/>
        <v>1.0942791493686155E-2</v>
      </c>
      <c r="AL348" s="25">
        <f t="shared" si="582"/>
        <v>1.3979525884535996E-2</v>
      </c>
      <c r="AM348" s="25">
        <f t="shared" ref="AM348" si="583">AM303/AM291</f>
        <v>4.5906305815435261E-3</v>
      </c>
      <c r="AN348" s="18">
        <f t="shared" ref="AN348:AY348" si="584">AM348</f>
        <v>4.5906305815435261E-3</v>
      </c>
      <c r="AO348" s="18">
        <f t="shared" si="584"/>
        <v>4.5906305815435261E-3</v>
      </c>
      <c r="AP348" s="18">
        <f t="shared" si="584"/>
        <v>4.5906305815435261E-3</v>
      </c>
      <c r="AQ348" s="18">
        <f t="shared" si="584"/>
        <v>4.5906305815435261E-3</v>
      </c>
      <c r="AR348" s="18">
        <f t="shared" si="584"/>
        <v>4.5906305815435261E-3</v>
      </c>
      <c r="AS348" s="18">
        <f t="shared" si="584"/>
        <v>4.5906305815435261E-3</v>
      </c>
      <c r="AT348" s="18">
        <f t="shared" si="584"/>
        <v>4.5906305815435261E-3</v>
      </c>
      <c r="AU348" s="18">
        <f t="shared" si="584"/>
        <v>4.5906305815435261E-3</v>
      </c>
      <c r="AV348" s="18">
        <f t="shared" si="584"/>
        <v>4.5906305815435261E-3</v>
      </c>
      <c r="AW348" s="18">
        <f t="shared" si="584"/>
        <v>4.5906305815435261E-3</v>
      </c>
      <c r="AX348" s="18">
        <f t="shared" si="584"/>
        <v>4.5906305815435261E-3</v>
      </c>
      <c r="AY348" s="18">
        <f t="shared" si="584"/>
        <v>4.5906305815435261E-3</v>
      </c>
      <c r="AZ348" s="5"/>
      <c r="BA348" s="5"/>
      <c r="BB348" s="5"/>
      <c r="BC348" s="5"/>
      <c r="BD348" s="5"/>
      <c r="BE348" s="5"/>
      <c r="BF348" s="5"/>
      <c r="BG348" s="4">
        <v>342</v>
      </c>
      <c r="BH348"/>
      <c r="BI348"/>
      <c r="BJ348"/>
      <c r="BK348"/>
      <c r="BL348"/>
      <c r="BM348"/>
    </row>
    <row r="349" spans="1:65" s="3" customFormat="1" ht="11.25" outlineLevel="2">
      <c r="A349" s="6"/>
      <c r="B349" s="11" t="s">
        <v>96</v>
      </c>
      <c r="C349" s="25"/>
      <c r="D349" s="25"/>
      <c r="E349" s="25"/>
      <c r="F349" s="25">
        <f t="shared" ref="F349:N349" si="585">F304/F13</f>
        <v>2.9517956596888804E-2</v>
      </c>
      <c r="G349" s="25">
        <f t="shared" si="585"/>
        <v>2.1335793910476273E-2</v>
      </c>
      <c r="H349" s="25">
        <f t="shared" si="585"/>
        <v>2.1368156501269945E-2</v>
      </c>
      <c r="I349" s="25">
        <f t="shared" si="585"/>
        <v>4.0788744903216927E-2</v>
      </c>
      <c r="J349" s="25">
        <f t="shared" si="585"/>
        <v>7.1534710371523674E-2</v>
      </c>
      <c r="K349" s="25">
        <f t="shared" si="585"/>
        <v>4.395626149333972E-2</v>
      </c>
      <c r="L349" s="25">
        <f t="shared" si="585"/>
        <v>2.1508100417720857E-2</v>
      </c>
      <c r="M349" s="25">
        <f t="shared" si="585"/>
        <v>1.5791368271300697E-2</v>
      </c>
      <c r="N349" s="25">
        <f t="shared" si="585"/>
        <v>1.5632773926342065E-2</v>
      </c>
      <c r="O349" s="5"/>
      <c r="P349" s="25"/>
      <c r="Q349" s="25"/>
      <c r="R349" s="25"/>
      <c r="S349" s="25"/>
      <c r="T349" s="25"/>
      <c r="U349" s="25"/>
      <c r="V349" s="25"/>
      <c r="W349" s="25"/>
      <c r="X349" s="25">
        <f t="shared" ref="X349:AY349" si="586">X304/(X13*4)</f>
        <v>1.8461035086053734E-2</v>
      </c>
      <c r="Y349" s="25">
        <f t="shared" si="586"/>
        <v>1.9695433908272188E-2</v>
      </c>
      <c r="Z349" s="25">
        <f t="shared" si="586"/>
        <v>1.5219731229868345E-2</v>
      </c>
      <c r="AA349" s="25">
        <f t="shared" si="586"/>
        <v>2.0483751512341841E-2</v>
      </c>
      <c r="AB349" s="25">
        <f t="shared" si="586"/>
        <v>2.6898902119473281E-2</v>
      </c>
      <c r="AC349" s="25">
        <f t="shared" si="586"/>
        <v>3.7293909806030097E-2</v>
      </c>
      <c r="AD349" s="25">
        <f t="shared" si="586"/>
        <v>5.0172565077508044E-2</v>
      </c>
      <c r="AE349" s="25">
        <f t="shared" si="586"/>
        <v>6.2621344834229986E-2</v>
      </c>
      <c r="AF349" s="25">
        <f t="shared" si="586"/>
        <v>6.2435548405725363E-2</v>
      </c>
      <c r="AG349" s="25">
        <f t="shared" si="586"/>
        <v>9.0081751262593115E-2</v>
      </c>
      <c r="AH349" s="25">
        <f t="shared" si="586"/>
        <v>7.5629753292524568E-2</v>
      </c>
      <c r="AI349" s="25">
        <f t="shared" si="586"/>
        <v>6.8084621898371167E-2</v>
      </c>
      <c r="AJ349" s="25">
        <f t="shared" si="586"/>
        <v>6.2440970431618406E-2</v>
      </c>
      <c r="AK349" s="25">
        <f t="shared" si="586"/>
        <v>4.6425998816598493E-2</v>
      </c>
      <c r="AL349" s="25">
        <f t="shared" si="586"/>
        <v>4.4902695947152287E-2</v>
      </c>
      <c r="AM349" s="25">
        <f t="shared" ref="AM349" si="587">AM304/(AM13*4)</f>
        <v>3.8502606448221476E-2</v>
      </c>
      <c r="AN349" s="25">
        <f t="shared" si="586"/>
        <v>3.8074874409725422E-2</v>
      </c>
      <c r="AO349" s="25">
        <f t="shared" si="586"/>
        <v>3.63237589272358E-2</v>
      </c>
      <c r="AP349" s="25">
        <f t="shared" si="586"/>
        <v>1.5100362898203415E-2</v>
      </c>
      <c r="AQ349" s="25">
        <f t="shared" si="586"/>
        <v>1.5161016357574232E-2</v>
      </c>
      <c r="AR349" s="25">
        <f t="shared" si="586"/>
        <v>1.567222973452026E-2</v>
      </c>
      <c r="AS349" s="25">
        <f t="shared" si="586"/>
        <v>1.5782273487992913E-2</v>
      </c>
      <c r="AT349" s="25">
        <f t="shared" si="586"/>
        <v>1.5718653487569983E-2</v>
      </c>
      <c r="AU349" s="25">
        <f t="shared" si="586"/>
        <v>1.5996186197954745E-2</v>
      </c>
      <c r="AV349" s="25">
        <f t="shared" si="586"/>
        <v>1.5891754165905454E-2</v>
      </c>
      <c r="AW349" s="25">
        <f t="shared" si="586"/>
        <v>1.5299234181262094E-2</v>
      </c>
      <c r="AX349" s="25">
        <f t="shared" si="586"/>
        <v>1.5437306647212152E-2</v>
      </c>
      <c r="AY349" s="25">
        <f t="shared" si="586"/>
        <v>1.5922022370125879E-2</v>
      </c>
      <c r="AZ349" s="5"/>
      <c r="BA349" s="5"/>
      <c r="BB349" s="5"/>
      <c r="BC349" s="5"/>
      <c r="BD349" s="5"/>
      <c r="BE349" s="5"/>
      <c r="BF349" s="5"/>
      <c r="BG349" s="4">
        <v>343</v>
      </c>
      <c r="BH349"/>
      <c r="BI349"/>
      <c r="BJ349"/>
      <c r="BK349"/>
      <c r="BL349"/>
      <c r="BM349"/>
    </row>
    <row r="350" spans="1:65" s="3" customFormat="1" ht="11.25" outlineLevel="2">
      <c r="A350" s="6"/>
      <c r="B350" s="11"/>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4">
        <v>344</v>
      </c>
      <c r="BH350"/>
      <c r="BI350"/>
      <c r="BJ350"/>
      <c r="BK350"/>
      <c r="BL350"/>
      <c r="BM350"/>
    </row>
    <row r="351" spans="1:65" s="3" customFormat="1" ht="11.25" outlineLevel="1">
      <c r="A351" s="2" t="s">
        <v>0</v>
      </c>
      <c r="B351" s="17" t="s">
        <v>95</v>
      </c>
      <c r="G351" s="78"/>
      <c r="H351" s="78"/>
      <c r="I351" s="78"/>
      <c r="J351" s="78"/>
      <c r="K351" s="78"/>
      <c r="L351" s="78"/>
      <c r="M351" s="78"/>
      <c r="N351" s="78"/>
      <c r="P351" s="5"/>
      <c r="Q351" s="5"/>
      <c r="R351" s="5"/>
      <c r="S351" s="5"/>
      <c r="Y351" s="78"/>
      <c r="Z351" s="78"/>
      <c r="AA351" s="78"/>
      <c r="AB351" s="78"/>
      <c r="AC351" s="78"/>
      <c r="AD351" s="78"/>
      <c r="AE351" s="78"/>
      <c r="AF351" s="78"/>
      <c r="AG351" s="78"/>
      <c r="AH351" s="78"/>
      <c r="AI351" s="78"/>
      <c r="AJ351" s="78"/>
      <c r="AK351" s="78"/>
      <c r="AL351" s="78"/>
      <c r="AM351" s="78"/>
      <c r="AN351" s="78"/>
      <c r="AO351" s="78"/>
      <c r="AP351" s="78"/>
      <c r="AQ351" s="78"/>
      <c r="AR351" s="78"/>
      <c r="AS351" s="78"/>
      <c r="AT351" s="78"/>
      <c r="AU351" s="78"/>
      <c r="AV351" s="78"/>
      <c r="AW351" s="78"/>
      <c r="AX351" s="78"/>
      <c r="AY351" s="78"/>
      <c r="BG351" s="4">
        <v>345</v>
      </c>
      <c r="BH351"/>
      <c r="BI351"/>
      <c r="BJ351"/>
      <c r="BK351"/>
      <c r="BL351"/>
      <c r="BM351"/>
    </row>
    <row r="352" spans="1:65" s="3" customFormat="1" ht="11.25" outlineLevel="2">
      <c r="A352" s="2"/>
      <c r="B352" s="11" t="s">
        <v>47</v>
      </c>
      <c r="F352" s="12">
        <f t="shared" ref="F352:N359" si="588">INDEX($P352:$AZ352,1,MATCH(F$5,$P$5:$AZ$5,0))</f>
        <v>0</v>
      </c>
      <c r="G352" s="12">
        <f t="shared" si="588"/>
        <v>0</v>
      </c>
      <c r="H352" s="12">
        <f t="shared" si="588"/>
        <v>1209.1899999999998</v>
      </c>
      <c r="I352" s="12">
        <f t="shared" si="588"/>
        <v>1005.962</v>
      </c>
      <c r="J352" s="12">
        <f t="shared" si="588"/>
        <v>900.06400000000008</v>
      </c>
      <c r="K352" s="12">
        <f t="shared" si="588"/>
        <v>941.25699999999983</v>
      </c>
      <c r="L352" s="12">
        <f t="shared" si="588"/>
        <v>3981.7517986466974</v>
      </c>
      <c r="M352" s="12">
        <f t="shared" si="588"/>
        <v>3816.6141309591603</v>
      </c>
      <c r="N352" s="12">
        <f t="shared" si="588"/>
        <v>3683.6093446124964</v>
      </c>
      <c r="P352" s="5"/>
      <c r="Q352" s="5"/>
      <c r="R352" s="5"/>
      <c r="S352" s="5"/>
      <c r="X352" s="12">
        <f t="shared" ref="X352:AY352" si="589">X421</f>
        <v>1122.9360000000001</v>
      </c>
      <c r="Y352" s="12">
        <f t="shared" si="589"/>
        <v>1170.4850000000001</v>
      </c>
      <c r="Z352" s="12">
        <f t="shared" si="589"/>
        <v>1184.7189999999998</v>
      </c>
      <c r="AA352" s="12">
        <f t="shared" si="589"/>
        <v>1209.1899999999998</v>
      </c>
      <c r="AB352" s="12">
        <f t="shared" si="589"/>
        <v>1193.4289999999999</v>
      </c>
      <c r="AC352" s="12">
        <f t="shared" si="589"/>
        <v>1149.79</v>
      </c>
      <c r="AD352" s="12">
        <f t="shared" si="589"/>
        <v>1092.413</v>
      </c>
      <c r="AE352" s="12">
        <f t="shared" si="589"/>
        <v>1005.962</v>
      </c>
      <c r="AF352" s="12">
        <f t="shared" si="589"/>
        <v>1002.393</v>
      </c>
      <c r="AG352" s="12">
        <f t="shared" si="589"/>
        <v>925.32199999999989</v>
      </c>
      <c r="AH352" s="12">
        <f t="shared" si="589"/>
        <v>917.30099999999993</v>
      </c>
      <c r="AI352" s="12">
        <f t="shared" si="589"/>
        <v>900.06400000000008</v>
      </c>
      <c r="AJ352" s="12">
        <f t="shared" si="589"/>
        <v>877.64200000000005</v>
      </c>
      <c r="AK352" s="12">
        <f t="shared" si="589"/>
        <v>874.59600000000012</v>
      </c>
      <c r="AL352" s="12">
        <f t="shared" si="589"/>
        <v>902.10599999999988</v>
      </c>
      <c r="AM352" s="12">
        <f t="shared" ref="AM352" si="590">AM421</f>
        <v>941.25699999999983</v>
      </c>
      <c r="AN352" s="12">
        <f t="shared" si="589"/>
        <v>961.3124652051772</v>
      </c>
      <c r="AO352" s="12">
        <f t="shared" si="589"/>
        <v>4079.4338644400855</v>
      </c>
      <c r="AP352" s="12">
        <f t="shared" si="589"/>
        <v>4021.0178184503939</v>
      </c>
      <c r="AQ352" s="12">
        <f t="shared" si="589"/>
        <v>3981.7517986466974</v>
      </c>
      <c r="AR352" s="12">
        <f t="shared" si="589"/>
        <v>3940.2968398120979</v>
      </c>
      <c r="AS352" s="12">
        <f t="shared" si="589"/>
        <v>3896.8612707345324</v>
      </c>
      <c r="AT352" s="12">
        <f t="shared" si="589"/>
        <v>3858.4389950472232</v>
      </c>
      <c r="AU352" s="12">
        <f t="shared" si="589"/>
        <v>3816.6141309591603</v>
      </c>
      <c r="AV352" s="12">
        <f t="shared" si="589"/>
        <v>3788.7125572082437</v>
      </c>
      <c r="AW352" s="12">
        <f t="shared" si="589"/>
        <v>3769.619157483829</v>
      </c>
      <c r="AX352" s="12">
        <f t="shared" si="589"/>
        <v>3728.3535293447362</v>
      </c>
      <c r="AY352" s="12">
        <f t="shared" si="589"/>
        <v>3683.6093446124964</v>
      </c>
      <c r="BG352" s="4">
        <v>346</v>
      </c>
      <c r="BH352"/>
      <c r="BI352"/>
      <c r="BJ352"/>
      <c r="BK352"/>
      <c r="BL352"/>
      <c r="BM352"/>
    </row>
    <row r="353" spans="1:65" s="3" customFormat="1" ht="11.25" outlineLevel="2">
      <c r="A353" s="2"/>
      <c r="B353" s="79" t="s">
        <v>94</v>
      </c>
      <c r="F353" s="26">
        <f t="shared" si="588"/>
        <v>0</v>
      </c>
      <c r="G353" s="26">
        <f t="shared" si="588"/>
        <v>0</v>
      </c>
      <c r="H353" s="26">
        <f t="shared" si="588"/>
        <v>76.923000000000002</v>
      </c>
      <c r="I353" s="26">
        <f t="shared" si="588"/>
        <v>171.48599999999999</v>
      </c>
      <c r="J353" s="26">
        <f t="shared" si="588"/>
        <v>194.06900000000005</v>
      </c>
      <c r="K353" s="26">
        <f t="shared" si="588"/>
        <v>127.967</v>
      </c>
      <c r="L353" s="26">
        <f t="shared" si="588"/>
        <v>150</v>
      </c>
      <c r="M353" s="26">
        <f t="shared" si="588"/>
        <v>25</v>
      </c>
      <c r="N353" s="26">
        <f t="shared" si="588"/>
        <v>25</v>
      </c>
      <c r="P353" s="5"/>
      <c r="Q353" s="5"/>
      <c r="R353" s="5"/>
      <c r="S353" s="5"/>
      <c r="X353" s="26">
        <f t="shared" ref="X353:AL353" si="591">X285</f>
        <v>8.1020000000000003</v>
      </c>
      <c r="Y353" s="26">
        <f t="shared" si="591"/>
        <v>12.513999999999999</v>
      </c>
      <c r="Z353" s="26">
        <f t="shared" si="591"/>
        <v>45.097999999999999</v>
      </c>
      <c r="AA353" s="26">
        <f t="shared" si="591"/>
        <v>76.923000000000002</v>
      </c>
      <c r="AB353" s="26">
        <f t="shared" si="591"/>
        <v>118.372</v>
      </c>
      <c r="AC353" s="26">
        <f t="shared" si="591"/>
        <v>175.488</v>
      </c>
      <c r="AD353" s="26">
        <f t="shared" si="591"/>
        <v>179.48</v>
      </c>
      <c r="AE353" s="26">
        <f t="shared" si="591"/>
        <v>171.48599999999999</v>
      </c>
      <c r="AF353" s="26">
        <f t="shared" si="591"/>
        <v>143.87200000000001</v>
      </c>
      <c r="AG353" s="26">
        <f t="shared" si="591"/>
        <v>61.634999999999998</v>
      </c>
      <c r="AH353" s="26">
        <f t="shared" si="591"/>
        <v>213.434</v>
      </c>
      <c r="AI353" s="26">
        <f t="shared" si="591"/>
        <v>194.06900000000005</v>
      </c>
      <c r="AJ353" s="26">
        <f t="shared" si="591"/>
        <v>210.66399999999999</v>
      </c>
      <c r="AK353" s="26">
        <f t="shared" si="591"/>
        <v>178.52699999999999</v>
      </c>
      <c r="AL353" s="26">
        <f t="shared" si="591"/>
        <v>188.25700000000001</v>
      </c>
      <c r="AM353" s="26">
        <f t="shared" ref="AM353" si="592">AM285</f>
        <v>127.967</v>
      </c>
      <c r="AN353" s="81">
        <v>150</v>
      </c>
      <c r="AO353" s="81">
        <v>150</v>
      </c>
      <c r="AP353" s="81">
        <v>150</v>
      </c>
      <c r="AQ353" s="81">
        <v>150</v>
      </c>
      <c r="AR353" s="81">
        <v>25</v>
      </c>
      <c r="AS353" s="81">
        <v>25</v>
      </c>
      <c r="AT353" s="81">
        <v>25</v>
      </c>
      <c r="AU353" s="81">
        <v>25</v>
      </c>
      <c r="AV353" s="81">
        <v>25</v>
      </c>
      <c r="AW353" s="81">
        <v>25</v>
      </c>
      <c r="AX353" s="81">
        <v>25</v>
      </c>
      <c r="AY353" s="81">
        <v>25</v>
      </c>
      <c r="BG353" s="4">
        <v>347</v>
      </c>
      <c r="BH353"/>
      <c r="BI353"/>
      <c r="BJ353"/>
      <c r="BK353"/>
      <c r="BL353"/>
      <c r="BM353"/>
    </row>
    <row r="354" spans="1:65" s="3" customFormat="1" ht="11.25" outlineLevel="2">
      <c r="A354" s="2"/>
      <c r="B354" s="79" t="s">
        <v>93</v>
      </c>
      <c r="F354" s="26">
        <f t="shared" si="588"/>
        <v>0</v>
      </c>
      <c r="G354" s="26">
        <f t="shared" si="588"/>
        <v>0</v>
      </c>
      <c r="H354" s="26">
        <f t="shared" si="588"/>
        <v>1286.1129999999998</v>
      </c>
      <c r="I354" s="26">
        <f t="shared" si="588"/>
        <v>1177.4479999999999</v>
      </c>
      <c r="J354" s="26">
        <f t="shared" si="588"/>
        <v>1094.133</v>
      </c>
      <c r="K354" s="26">
        <f t="shared" si="588"/>
        <v>1069.2239999999999</v>
      </c>
      <c r="L354" s="26">
        <f t="shared" si="588"/>
        <v>4131.7517986466974</v>
      </c>
      <c r="M354" s="26">
        <f t="shared" si="588"/>
        <v>3841.6141309591603</v>
      </c>
      <c r="N354" s="26">
        <f t="shared" si="588"/>
        <v>3708.6093446124964</v>
      </c>
      <c r="P354" s="5"/>
      <c r="Q354" s="5"/>
      <c r="R354" s="5"/>
      <c r="S354" s="5"/>
      <c r="X354" s="26">
        <f t="shared" ref="X354:AY354" si="593">SUM(X352:X353)</f>
        <v>1131.0380000000002</v>
      </c>
      <c r="Y354" s="26">
        <f t="shared" si="593"/>
        <v>1182.999</v>
      </c>
      <c r="Z354" s="26">
        <f t="shared" si="593"/>
        <v>1229.8169999999998</v>
      </c>
      <c r="AA354" s="26">
        <f t="shared" si="593"/>
        <v>1286.1129999999998</v>
      </c>
      <c r="AB354" s="26">
        <f t="shared" si="593"/>
        <v>1311.8009999999999</v>
      </c>
      <c r="AC354" s="26">
        <f t="shared" si="593"/>
        <v>1325.278</v>
      </c>
      <c r="AD354" s="26">
        <f t="shared" si="593"/>
        <v>1271.893</v>
      </c>
      <c r="AE354" s="26">
        <f t="shared" si="593"/>
        <v>1177.4479999999999</v>
      </c>
      <c r="AF354" s="26">
        <f t="shared" si="593"/>
        <v>1146.2650000000001</v>
      </c>
      <c r="AG354" s="26">
        <f t="shared" si="593"/>
        <v>986.95699999999988</v>
      </c>
      <c r="AH354" s="26">
        <f t="shared" si="593"/>
        <v>1130.7349999999999</v>
      </c>
      <c r="AI354" s="26">
        <f t="shared" si="593"/>
        <v>1094.133</v>
      </c>
      <c r="AJ354" s="26">
        <f t="shared" si="593"/>
        <v>1088.306</v>
      </c>
      <c r="AK354" s="26">
        <f t="shared" si="593"/>
        <v>1053.123</v>
      </c>
      <c r="AL354" s="26">
        <f t="shared" si="593"/>
        <v>1090.3629999999998</v>
      </c>
      <c r="AM354" s="26">
        <f t="shared" ref="AM354" si="594">SUM(AM352:AM353)</f>
        <v>1069.2239999999999</v>
      </c>
      <c r="AN354" s="80">
        <f t="shared" si="593"/>
        <v>1111.3124652051772</v>
      </c>
      <c r="AO354" s="80">
        <f t="shared" si="593"/>
        <v>4229.433864440085</v>
      </c>
      <c r="AP354" s="80">
        <f t="shared" si="593"/>
        <v>4171.0178184503939</v>
      </c>
      <c r="AQ354" s="80">
        <f t="shared" si="593"/>
        <v>4131.7517986466974</v>
      </c>
      <c r="AR354" s="80">
        <f t="shared" si="593"/>
        <v>3965.2968398120979</v>
      </c>
      <c r="AS354" s="80">
        <f t="shared" si="593"/>
        <v>3921.8612707345324</v>
      </c>
      <c r="AT354" s="80">
        <f t="shared" si="593"/>
        <v>3883.4389950472232</v>
      </c>
      <c r="AU354" s="80">
        <f t="shared" si="593"/>
        <v>3841.6141309591603</v>
      </c>
      <c r="AV354" s="80">
        <f t="shared" si="593"/>
        <v>3813.7125572082437</v>
      </c>
      <c r="AW354" s="80">
        <f t="shared" si="593"/>
        <v>3794.619157483829</v>
      </c>
      <c r="AX354" s="80">
        <f t="shared" si="593"/>
        <v>3753.3535293447362</v>
      </c>
      <c r="AY354" s="80">
        <f t="shared" si="593"/>
        <v>3708.6093446124964</v>
      </c>
      <c r="BG354" s="4">
        <v>348</v>
      </c>
      <c r="BH354"/>
      <c r="BI354"/>
      <c r="BJ354"/>
      <c r="BK354"/>
      <c r="BL354"/>
      <c r="BM354"/>
    </row>
    <row r="355" spans="1:65" s="3" customFormat="1" ht="11.25" outlineLevel="2">
      <c r="A355" s="2"/>
      <c r="B355" s="79" t="s">
        <v>92</v>
      </c>
      <c r="F355" s="7">
        <f t="shared" si="588"/>
        <v>0</v>
      </c>
      <c r="G355" s="7">
        <f t="shared" si="588"/>
        <v>0</v>
      </c>
      <c r="H355" s="7">
        <f t="shared" si="588"/>
        <v>30.981999999999942</v>
      </c>
      <c r="I355" s="7">
        <f t="shared" si="588"/>
        <v>-61.216000000000022</v>
      </c>
      <c r="J355" s="7">
        <f t="shared" si="588"/>
        <v>251.04699999999997</v>
      </c>
      <c r="K355" s="7">
        <f t="shared" si="588"/>
        <v>319.92399999999998</v>
      </c>
      <c r="L355" s="7">
        <f t="shared" si="588"/>
        <v>2923.1925588619847</v>
      </c>
      <c r="M355" s="7">
        <f t="shared" si="588"/>
        <v>3217.5296469312375</v>
      </c>
      <c r="N355" s="7">
        <f t="shared" si="588"/>
        <v>3529.2497735670077</v>
      </c>
      <c r="P355" s="5"/>
      <c r="Q355" s="5"/>
      <c r="R355" s="5"/>
      <c r="S355" s="5"/>
      <c r="X355" s="7">
        <f t="shared" ref="X355:AY355" si="595">X311</f>
        <v>-134.06700000000009</v>
      </c>
      <c r="Y355" s="7">
        <f t="shared" si="595"/>
        <v>-84.918000000000006</v>
      </c>
      <c r="Z355" s="7">
        <f t="shared" si="595"/>
        <v>-24.630000000000038</v>
      </c>
      <c r="AA355" s="7">
        <f t="shared" si="595"/>
        <v>30.981999999999942</v>
      </c>
      <c r="AB355" s="7">
        <f t="shared" si="595"/>
        <v>58.366999999999997</v>
      </c>
      <c r="AC355" s="7">
        <f t="shared" si="595"/>
        <v>76.217999999999961</v>
      </c>
      <c r="AD355" s="7">
        <f t="shared" si="595"/>
        <v>29.289000000000065</v>
      </c>
      <c r="AE355" s="7">
        <f t="shared" si="595"/>
        <v>-61.216000000000022</v>
      </c>
      <c r="AF355" s="7">
        <f t="shared" si="595"/>
        <v>-73.948999999999955</v>
      </c>
      <c r="AG355" s="7">
        <f t="shared" si="595"/>
        <v>-159.90699999999995</v>
      </c>
      <c r="AH355" s="7">
        <f t="shared" si="595"/>
        <v>-13.658999999999935</v>
      </c>
      <c r="AI355" s="7">
        <f t="shared" si="595"/>
        <v>251.04699999999997</v>
      </c>
      <c r="AJ355" s="7">
        <f t="shared" si="595"/>
        <v>242.947</v>
      </c>
      <c r="AK355" s="7">
        <f t="shared" si="595"/>
        <v>256.73600000000005</v>
      </c>
      <c r="AL355" s="7">
        <f t="shared" si="595"/>
        <v>295.55</v>
      </c>
      <c r="AM355" s="7">
        <f t="shared" ref="AM355" si="596">AM311</f>
        <v>319.92399999999998</v>
      </c>
      <c r="AN355" s="12">
        <f t="shared" si="595"/>
        <v>352.41551400604516</v>
      </c>
      <c r="AO355" s="12">
        <f t="shared" si="595"/>
        <v>2703.148791677575</v>
      </c>
      <c r="AP355" s="12">
        <f t="shared" si="595"/>
        <v>2813.0877139488584</v>
      </c>
      <c r="AQ355" s="12">
        <f t="shared" si="595"/>
        <v>2923.1925588619847</v>
      </c>
      <c r="AR355" s="12">
        <f t="shared" si="595"/>
        <v>3003.1502430945689</v>
      </c>
      <c r="AS355" s="12">
        <f t="shared" si="595"/>
        <v>3076.0059045539433</v>
      </c>
      <c r="AT355" s="12">
        <f t="shared" si="595"/>
        <v>3150.1828883011881</v>
      </c>
      <c r="AU355" s="12">
        <f t="shared" si="595"/>
        <v>3217.5296469312375</v>
      </c>
      <c r="AV355" s="12">
        <f t="shared" si="595"/>
        <v>3290.3791270628712</v>
      </c>
      <c r="AW355" s="12">
        <f t="shared" si="595"/>
        <v>3376.0971148907661</v>
      </c>
      <c r="AX355" s="12">
        <f t="shared" si="595"/>
        <v>3458.4919037024497</v>
      </c>
      <c r="AY355" s="12">
        <f t="shared" si="595"/>
        <v>3529.2497735670077</v>
      </c>
      <c r="BG355" s="4">
        <v>349</v>
      </c>
      <c r="BH355"/>
      <c r="BI355"/>
      <c r="BJ355"/>
      <c r="BK355"/>
      <c r="BL355"/>
      <c r="BM355"/>
    </row>
    <row r="356" spans="1:65" s="3" customFormat="1" ht="11.25" outlineLevel="2">
      <c r="A356" s="2"/>
      <c r="B356" s="79" t="s">
        <v>91</v>
      </c>
      <c r="F356" s="7">
        <f t="shared" si="588"/>
        <v>0</v>
      </c>
      <c r="G356" s="7">
        <f t="shared" si="588"/>
        <v>0</v>
      </c>
      <c r="H356" s="7">
        <f t="shared" si="588"/>
        <v>2.492</v>
      </c>
      <c r="I356" s="7">
        <f t="shared" si="588"/>
        <v>0.84799999999999998</v>
      </c>
      <c r="J356" s="7">
        <f t="shared" si="588"/>
        <v>7.2999999999999995E-2</v>
      </c>
      <c r="K356" s="7">
        <f t="shared" si="588"/>
        <v>0.37</v>
      </c>
      <c r="L356" s="7">
        <f t="shared" si="588"/>
        <v>0.78599999999999992</v>
      </c>
      <c r="M356" s="7">
        <f t="shared" si="588"/>
        <v>1.202</v>
      </c>
      <c r="N356" s="7">
        <f t="shared" si="588"/>
        <v>1.6180000000000003</v>
      </c>
      <c r="P356" s="5"/>
      <c r="Q356" s="5"/>
      <c r="R356" s="5"/>
      <c r="S356" s="5"/>
      <c r="X356" s="7">
        <f t="shared" ref="X356:AY356" si="597">X312</f>
        <v>3.0939999999999999</v>
      </c>
      <c r="Y356" s="7">
        <f t="shared" si="597"/>
        <v>2.9449999999999998</v>
      </c>
      <c r="Z356" s="7">
        <f t="shared" si="597"/>
        <v>2.9649999999999999</v>
      </c>
      <c r="AA356" s="7">
        <f t="shared" si="597"/>
        <v>2.492</v>
      </c>
      <c r="AB356" s="7">
        <f t="shared" si="597"/>
        <v>2.613</v>
      </c>
      <c r="AC356" s="7">
        <f t="shared" si="597"/>
        <v>2.617</v>
      </c>
      <c r="AD356" s="7">
        <f t="shared" si="597"/>
        <v>1.0960000000000001</v>
      </c>
      <c r="AE356" s="7">
        <f t="shared" si="597"/>
        <v>0.84799999999999998</v>
      </c>
      <c r="AF356" s="7">
        <f t="shared" si="597"/>
        <v>0.31</v>
      </c>
      <c r="AG356" s="7">
        <f t="shared" si="597"/>
        <v>0.31</v>
      </c>
      <c r="AH356" s="7">
        <f t="shared" si="597"/>
        <v>0.312</v>
      </c>
      <c r="AI356" s="7">
        <f t="shared" si="597"/>
        <v>7.2999999999999995E-2</v>
      </c>
      <c r="AJ356" s="7">
        <f t="shared" si="597"/>
        <v>0.25</v>
      </c>
      <c r="AK356" s="7">
        <f t="shared" si="597"/>
        <v>0.26900000000000002</v>
      </c>
      <c r="AL356" s="7">
        <f t="shared" si="597"/>
        <v>0.30599999999999999</v>
      </c>
      <c r="AM356" s="7">
        <f t="shared" ref="AM356" si="598">AM312</f>
        <v>0.37</v>
      </c>
      <c r="AN356" s="12">
        <f t="shared" si="597"/>
        <v>0.47399999999999998</v>
      </c>
      <c r="AO356" s="12">
        <f t="shared" si="597"/>
        <v>0.57799999999999996</v>
      </c>
      <c r="AP356" s="12">
        <f t="shared" si="597"/>
        <v>0.68199999999999994</v>
      </c>
      <c r="AQ356" s="12">
        <f t="shared" si="597"/>
        <v>0.78599999999999992</v>
      </c>
      <c r="AR356" s="12">
        <f t="shared" si="597"/>
        <v>0.8899999999999999</v>
      </c>
      <c r="AS356" s="12">
        <f t="shared" si="597"/>
        <v>0.99399999999999988</v>
      </c>
      <c r="AT356" s="12">
        <f t="shared" si="597"/>
        <v>1.0979999999999999</v>
      </c>
      <c r="AU356" s="12">
        <f t="shared" si="597"/>
        <v>1.202</v>
      </c>
      <c r="AV356" s="12">
        <f t="shared" si="597"/>
        <v>1.306</v>
      </c>
      <c r="AW356" s="12">
        <f t="shared" si="597"/>
        <v>1.4100000000000001</v>
      </c>
      <c r="AX356" s="12">
        <f t="shared" si="597"/>
        <v>1.5140000000000002</v>
      </c>
      <c r="AY356" s="12">
        <f t="shared" si="597"/>
        <v>1.6180000000000003</v>
      </c>
      <c r="BG356" s="4">
        <v>350</v>
      </c>
      <c r="BH356"/>
      <c r="BI356"/>
      <c r="BJ356"/>
      <c r="BK356"/>
      <c r="BL356"/>
      <c r="BM356"/>
    </row>
    <row r="357" spans="1:65" s="3" customFormat="1" ht="11.25" outlineLevel="2">
      <c r="A357" s="2"/>
      <c r="B357" s="79" t="s">
        <v>90</v>
      </c>
      <c r="F357" s="72">
        <f t="shared" si="588"/>
        <v>0</v>
      </c>
      <c r="G357" s="72">
        <f t="shared" si="588"/>
        <v>0</v>
      </c>
      <c r="H357" s="72">
        <f t="shared" si="588"/>
        <v>1252.6389999999999</v>
      </c>
      <c r="I357" s="72">
        <f t="shared" si="588"/>
        <v>1237.816</v>
      </c>
      <c r="J357" s="72">
        <f t="shared" si="588"/>
        <v>843.01300000000003</v>
      </c>
      <c r="K357" s="72">
        <f t="shared" si="588"/>
        <v>748.93</v>
      </c>
      <c r="L357" s="72">
        <f t="shared" si="588"/>
        <v>1207.7732397847126</v>
      </c>
      <c r="M357" s="72">
        <f t="shared" si="588"/>
        <v>622.8824840279226</v>
      </c>
      <c r="N357" s="72">
        <f t="shared" si="588"/>
        <v>177.74157104548885</v>
      </c>
      <c r="P357" s="5"/>
      <c r="Q357" s="5"/>
      <c r="R357" s="5"/>
      <c r="S357" s="5"/>
      <c r="X357" s="72">
        <f t="shared" ref="X357:AL357" si="599">+X354-X355-X356</f>
        <v>1262.0110000000002</v>
      </c>
      <c r="Y357" s="72">
        <f t="shared" si="599"/>
        <v>1264.972</v>
      </c>
      <c r="Z357" s="72">
        <f t="shared" si="599"/>
        <v>1251.482</v>
      </c>
      <c r="AA357" s="72">
        <f t="shared" si="599"/>
        <v>1252.6389999999999</v>
      </c>
      <c r="AB357" s="72">
        <f t="shared" si="599"/>
        <v>1250.8209999999999</v>
      </c>
      <c r="AC357" s="72">
        <f t="shared" si="599"/>
        <v>1246.443</v>
      </c>
      <c r="AD357" s="72">
        <f t="shared" si="599"/>
        <v>1241.508</v>
      </c>
      <c r="AE357" s="72">
        <f t="shared" si="599"/>
        <v>1237.816</v>
      </c>
      <c r="AF357" s="72">
        <f t="shared" si="599"/>
        <v>1219.904</v>
      </c>
      <c r="AG357" s="72">
        <f t="shared" si="599"/>
        <v>1146.5539999999999</v>
      </c>
      <c r="AH357" s="72">
        <f t="shared" si="599"/>
        <v>1144.0819999999999</v>
      </c>
      <c r="AI357" s="72">
        <f t="shared" si="599"/>
        <v>843.01300000000003</v>
      </c>
      <c r="AJ357" s="72">
        <f t="shared" si="599"/>
        <v>845.10900000000004</v>
      </c>
      <c r="AK357" s="72">
        <f t="shared" si="599"/>
        <v>796.11799999999994</v>
      </c>
      <c r="AL357" s="72">
        <f t="shared" si="599"/>
        <v>794.50699999999983</v>
      </c>
      <c r="AM357" s="72">
        <f t="shared" ref="AM357" si="600">+AM354-AM355-AM356</f>
        <v>748.93</v>
      </c>
      <c r="AN357" s="77">
        <f t="shared" ref="AN357:AY357" si="601">AN354-SUM(AN355:AN356)</f>
        <v>758.42295119913206</v>
      </c>
      <c r="AO357" s="77">
        <f t="shared" si="601"/>
        <v>1525.7070727625101</v>
      </c>
      <c r="AP357" s="77">
        <f t="shared" si="601"/>
        <v>1357.2481045015356</v>
      </c>
      <c r="AQ357" s="77">
        <f t="shared" si="601"/>
        <v>1207.7732397847126</v>
      </c>
      <c r="AR357" s="77">
        <f t="shared" si="601"/>
        <v>961.25659671752919</v>
      </c>
      <c r="AS357" s="77">
        <f t="shared" si="601"/>
        <v>844.8613661805889</v>
      </c>
      <c r="AT357" s="77">
        <f t="shared" si="601"/>
        <v>732.15810674603517</v>
      </c>
      <c r="AU357" s="77">
        <f t="shared" si="601"/>
        <v>622.8824840279226</v>
      </c>
      <c r="AV357" s="77">
        <f t="shared" si="601"/>
        <v>522.02743014537236</v>
      </c>
      <c r="AW357" s="77">
        <f t="shared" si="601"/>
        <v>417.11204259306305</v>
      </c>
      <c r="AX357" s="77">
        <f t="shared" si="601"/>
        <v>293.3476256422864</v>
      </c>
      <c r="AY357" s="77">
        <f t="shared" si="601"/>
        <v>177.74157104548885</v>
      </c>
      <c r="BG357" s="4">
        <v>351</v>
      </c>
      <c r="BH357"/>
      <c r="BI357"/>
      <c r="BJ357"/>
      <c r="BK357"/>
      <c r="BL357"/>
      <c r="BM357"/>
    </row>
    <row r="358" spans="1:65" s="3" customFormat="1" ht="11.25" outlineLevel="2">
      <c r="A358" s="2"/>
      <c r="B358" s="79" t="s">
        <v>89</v>
      </c>
      <c r="F358" s="72">
        <f t="shared" si="588"/>
        <v>0</v>
      </c>
      <c r="G358" s="72">
        <f t="shared" si="588"/>
        <v>0</v>
      </c>
      <c r="H358" s="72">
        <f t="shared" si="588"/>
        <v>1252.6389999999999</v>
      </c>
      <c r="I358" s="72">
        <f t="shared" si="588"/>
        <v>1237.816</v>
      </c>
      <c r="J358" s="72">
        <f t="shared" si="588"/>
        <v>850.98799999999994</v>
      </c>
      <c r="K358" s="72">
        <f t="shared" si="588"/>
        <v>748.93</v>
      </c>
      <c r="L358" s="72">
        <f t="shared" si="588"/>
        <v>1692.3320000000001</v>
      </c>
      <c r="M358" s="72">
        <f t="shared" si="588"/>
        <v>1649.0820000000001</v>
      </c>
      <c r="N358" s="72">
        <f t="shared" si="588"/>
        <v>1605.8320000000001</v>
      </c>
      <c r="P358" s="5"/>
      <c r="Q358" s="5"/>
      <c r="R358" s="5"/>
      <c r="S358" s="5"/>
      <c r="X358" s="72"/>
      <c r="Y358" s="72">
        <f t="shared" ref="Y358:AY358" si="602">+Y367</f>
        <v>1264.972</v>
      </c>
      <c r="Z358" s="72">
        <f t="shared" si="602"/>
        <v>1251.482</v>
      </c>
      <c r="AA358" s="72">
        <f t="shared" si="602"/>
        <v>1252.6389999999999</v>
      </c>
      <c r="AB358" s="72">
        <f t="shared" si="602"/>
        <v>1250.8210000000001</v>
      </c>
      <c r="AC358" s="72">
        <f t="shared" si="602"/>
        <v>1246.4502</v>
      </c>
      <c r="AD358" s="72">
        <f t="shared" si="602"/>
        <v>1241.508</v>
      </c>
      <c r="AE358" s="72">
        <f t="shared" si="602"/>
        <v>1237.816</v>
      </c>
      <c r="AF358" s="72">
        <f t="shared" si="602"/>
        <v>1233.502</v>
      </c>
      <c r="AG358" s="72">
        <f t="shared" si="602"/>
        <v>1159.098</v>
      </c>
      <c r="AH358" s="72">
        <f t="shared" si="602"/>
        <v>1155.6029999999998</v>
      </c>
      <c r="AI358" s="72">
        <f t="shared" si="602"/>
        <v>850.98799999999994</v>
      </c>
      <c r="AJ358" s="72">
        <f t="shared" si="602"/>
        <v>852.34799999999996</v>
      </c>
      <c r="AK358" s="72">
        <f t="shared" si="602"/>
        <v>802.23599999999999</v>
      </c>
      <c r="AL358" s="72">
        <f t="shared" si="602"/>
        <v>799.93899999999996</v>
      </c>
      <c r="AM358" s="399">
        <f>+AM367+AM370</f>
        <v>748.93</v>
      </c>
      <c r="AN358" s="72">
        <f t="shared" si="602"/>
        <v>749.072</v>
      </c>
      <c r="AO358" s="72">
        <f t="shared" si="602"/>
        <v>1713.9570000000001</v>
      </c>
      <c r="AP358" s="72">
        <f t="shared" si="602"/>
        <v>1703.1445000000001</v>
      </c>
      <c r="AQ358" s="72">
        <f t="shared" si="602"/>
        <v>1692.3320000000001</v>
      </c>
      <c r="AR358" s="72">
        <f t="shared" si="602"/>
        <v>1681.5195000000001</v>
      </c>
      <c r="AS358" s="72">
        <f t="shared" si="602"/>
        <v>1670.7070000000001</v>
      </c>
      <c r="AT358" s="72">
        <f t="shared" si="602"/>
        <v>1659.8945000000001</v>
      </c>
      <c r="AU358" s="72">
        <f t="shared" si="602"/>
        <v>1649.0820000000001</v>
      </c>
      <c r="AV358" s="72">
        <f t="shared" si="602"/>
        <v>1638.2695000000001</v>
      </c>
      <c r="AW358" s="72">
        <f t="shared" si="602"/>
        <v>1627.4570000000001</v>
      </c>
      <c r="AX358" s="72">
        <f t="shared" si="602"/>
        <v>1616.6445000000001</v>
      </c>
      <c r="AY358" s="72">
        <f t="shared" si="602"/>
        <v>1605.8320000000001</v>
      </c>
      <c r="BG358" s="4">
        <v>352</v>
      </c>
      <c r="BH358"/>
      <c r="BI358"/>
      <c r="BJ358"/>
      <c r="BK358"/>
      <c r="BL358"/>
      <c r="BM358"/>
    </row>
    <row r="359" spans="1:65" s="3" customFormat="1" ht="11.25" outlineLevel="2">
      <c r="A359" s="2"/>
      <c r="B359" s="79" t="s">
        <v>88</v>
      </c>
      <c r="F359" s="72">
        <f t="shared" si="588"/>
        <v>0</v>
      </c>
      <c r="G359" s="72">
        <f t="shared" si="588"/>
        <v>0</v>
      </c>
      <c r="H359" s="72">
        <f t="shared" si="588"/>
        <v>0</v>
      </c>
      <c r="I359" s="72">
        <f t="shared" si="588"/>
        <v>0</v>
      </c>
      <c r="J359" s="72">
        <f t="shared" si="588"/>
        <v>0</v>
      </c>
      <c r="K359" s="72">
        <f t="shared" si="588"/>
        <v>0</v>
      </c>
      <c r="L359" s="72">
        <f t="shared" si="588"/>
        <v>0</v>
      </c>
      <c r="M359" s="72">
        <f t="shared" si="588"/>
        <v>0</v>
      </c>
      <c r="N359" s="72">
        <f t="shared" si="588"/>
        <v>0</v>
      </c>
      <c r="P359" s="5"/>
      <c r="Q359" s="5"/>
      <c r="R359" s="5"/>
      <c r="S359" s="5"/>
      <c r="X359" s="72"/>
      <c r="Y359" s="72">
        <f t="shared" ref="Y359:AY359" si="603">-MIN(Y358-Y357,0)</f>
        <v>0</v>
      </c>
      <c r="Z359" s="72">
        <f t="shared" si="603"/>
        <v>0</v>
      </c>
      <c r="AA359" s="72">
        <f t="shared" si="603"/>
        <v>0</v>
      </c>
      <c r="AB359" s="72">
        <f t="shared" si="603"/>
        <v>0</v>
      </c>
      <c r="AC359" s="72">
        <f t="shared" si="603"/>
        <v>0</v>
      </c>
      <c r="AD359" s="72">
        <f t="shared" si="603"/>
        <v>0</v>
      </c>
      <c r="AE359" s="72">
        <f t="shared" si="603"/>
        <v>0</v>
      </c>
      <c r="AF359" s="72">
        <f t="shared" si="603"/>
        <v>0</v>
      </c>
      <c r="AG359" s="72">
        <f t="shared" si="603"/>
        <v>0</v>
      </c>
      <c r="AH359" s="72">
        <f t="shared" si="603"/>
        <v>0</v>
      </c>
      <c r="AI359" s="72">
        <f t="shared" si="603"/>
        <v>0</v>
      </c>
      <c r="AJ359" s="72">
        <f t="shared" si="603"/>
        <v>0</v>
      </c>
      <c r="AK359" s="72">
        <f t="shared" si="603"/>
        <v>0</v>
      </c>
      <c r="AL359" s="72">
        <f t="shared" si="603"/>
        <v>0</v>
      </c>
      <c r="AM359" s="72">
        <f t="shared" ref="AM359" si="604">-MIN(AM358-AM357,0)</f>
        <v>0</v>
      </c>
      <c r="AN359" s="72">
        <f t="shared" si="603"/>
        <v>9.3509511991320551</v>
      </c>
      <c r="AO359" s="72">
        <f t="shared" si="603"/>
        <v>0</v>
      </c>
      <c r="AP359" s="72">
        <f t="shared" si="603"/>
        <v>0</v>
      </c>
      <c r="AQ359" s="72">
        <f t="shared" si="603"/>
        <v>0</v>
      </c>
      <c r="AR359" s="72">
        <f t="shared" si="603"/>
        <v>0</v>
      </c>
      <c r="AS359" s="72">
        <f t="shared" si="603"/>
        <v>0</v>
      </c>
      <c r="AT359" s="72">
        <f t="shared" si="603"/>
        <v>0</v>
      </c>
      <c r="AU359" s="72">
        <f t="shared" si="603"/>
        <v>0</v>
      </c>
      <c r="AV359" s="72">
        <f t="shared" si="603"/>
        <v>0</v>
      </c>
      <c r="AW359" s="72">
        <f t="shared" si="603"/>
        <v>0</v>
      </c>
      <c r="AX359" s="72">
        <f t="shared" si="603"/>
        <v>0</v>
      </c>
      <c r="AY359" s="72">
        <f t="shared" si="603"/>
        <v>0</v>
      </c>
      <c r="BG359" s="4">
        <v>353</v>
      </c>
      <c r="BH359"/>
      <c r="BI359"/>
      <c r="BJ359"/>
      <c r="BK359"/>
      <c r="BL359"/>
      <c r="BM359"/>
    </row>
    <row r="360" spans="1:65" s="3" customFormat="1" ht="11.25" outlineLevel="2">
      <c r="A360" s="2"/>
      <c r="B360" s="79"/>
      <c r="G360" s="78"/>
      <c r="H360" s="78"/>
      <c r="I360" s="78"/>
      <c r="J360" s="78"/>
      <c r="K360" s="78"/>
      <c r="L360" s="78"/>
      <c r="M360" s="78"/>
      <c r="N360" s="78"/>
      <c r="P360" s="5"/>
      <c r="Q360" s="5"/>
      <c r="R360" s="5"/>
      <c r="S360" s="5"/>
      <c r="X360" s="77"/>
      <c r="Y360" s="77"/>
      <c r="Z360" s="77"/>
      <c r="AA360" s="77"/>
      <c r="AB360" s="77"/>
      <c r="AC360" s="77"/>
      <c r="AD360" s="77"/>
      <c r="AE360" s="77"/>
      <c r="AF360" s="77"/>
      <c r="AG360" s="77"/>
      <c r="AH360" s="77"/>
      <c r="AI360" s="77"/>
      <c r="AJ360" s="77"/>
      <c r="AK360" s="77"/>
      <c r="AL360" s="77"/>
      <c r="AM360" s="77"/>
      <c r="BG360" s="4">
        <v>354</v>
      </c>
      <c r="BH360"/>
      <c r="BI360"/>
      <c r="BJ360"/>
      <c r="BK360"/>
      <c r="BL360"/>
      <c r="BM360"/>
    </row>
    <row r="361" spans="1:65" s="3" customFormat="1" ht="11.25" outlineLevel="1">
      <c r="A361" s="6" t="s">
        <v>0</v>
      </c>
      <c r="B361" s="17" t="s">
        <v>87</v>
      </c>
      <c r="C361" s="7"/>
      <c r="D361" s="7"/>
      <c r="E361" s="7"/>
      <c r="F361" s="7"/>
      <c r="G361" s="7"/>
      <c r="H361" s="7"/>
      <c r="I361" s="7"/>
      <c r="J361" s="7"/>
      <c r="K361" s="7"/>
      <c r="L361" s="7"/>
      <c r="M361" s="7"/>
      <c r="N361" s="7"/>
      <c r="O361" s="5"/>
      <c r="P361" s="7"/>
      <c r="Q361" s="7"/>
      <c r="R361" s="7"/>
      <c r="S361" s="7"/>
      <c r="T361" s="7"/>
      <c r="U361" s="7"/>
      <c r="V361" s="7"/>
      <c r="W361" s="7"/>
      <c r="X361" s="7"/>
      <c r="Y361" s="7"/>
      <c r="Z361" s="7"/>
      <c r="AA361" s="7"/>
      <c r="AB361" s="7"/>
      <c r="AC361" s="7"/>
      <c r="AD361" s="7"/>
      <c r="AE361" s="7"/>
      <c r="AF361" s="7"/>
      <c r="AG361" s="7"/>
      <c r="AH361" s="7"/>
      <c r="AI361" s="7"/>
      <c r="AJ361" s="7"/>
      <c r="AK361" s="7"/>
      <c r="AL361" s="7"/>
      <c r="AM361" s="7"/>
      <c r="AN361" s="5"/>
      <c r="AO361" s="5"/>
      <c r="AP361" s="5"/>
      <c r="AQ361" s="5"/>
      <c r="AR361" s="5"/>
      <c r="AS361" s="5"/>
      <c r="AT361" s="5"/>
      <c r="AU361" s="5"/>
      <c r="AV361" s="5"/>
      <c r="AW361" s="5"/>
      <c r="AX361" s="5"/>
      <c r="AY361" s="5"/>
      <c r="AZ361" s="5"/>
      <c r="BA361" s="5"/>
      <c r="BB361" s="5"/>
      <c r="BC361" s="5"/>
      <c r="BD361" s="5"/>
      <c r="BE361" s="5"/>
      <c r="BF361" s="5"/>
      <c r="BG361" s="4">
        <v>355</v>
      </c>
      <c r="BH361"/>
      <c r="BI361"/>
      <c r="BJ361"/>
      <c r="BK361"/>
      <c r="BL361"/>
      <c r="BM361"/>
    </row>
    <row r="362" spans="1:65" s="3" customFormat="1" ht="11.25" outlineLevel="2">
      <c r="A362" s="6"/>
      <c r="B362" s="11" t="s">
        <v>75</v>
      </c>
      <c r="C362" s="7"/>
      <c r="D362" s="7"/>
      <c r="E362" s="7"/>
      <c r="F362" s="7"/>
      <c r="G362" s="58">
        <f t="shared" ref="G362:N371" si="605">INDEX($P362:$AZ362,1,MATCH(G$5,$P$5:$AZ$5,0))</f>
        <v>0</v>
      </c>
      <c r="H362" s="58">
        <f t="shared" si="605"/>
        <v>0</v>
      </c>
      <c r="I362" s="58">
        <f t="shared" si="605"/>
        <v>0</v>
      </c>
      <c r="J362" s="58">
        <f t="shared" si="605"/>
        <v>0</v>
      </c>
      <c r="K362" s="58">
        <f t="shared" si="605"/>
        <v>688.99</v>
      </c>
      <c r="L362" s="58">
        <f t="shared" si="605"/>
        <v>0</v>
      </c>
      <c r="M362" s="58">
        <f t="shared" si="605"/>
        <v>0</v>
      </c>
      <c r="N362" s="58">
        <f t="shared" si="605"/>
        <v>0</v>
      </c>
      <c r="O362" s="5"/>
      <c r="P362" s="7"/>
      <c r="Q362" s="7"/>
      <c r="R362" s="7"/>
      <c r="S362" s="7"/>
      <c r="T362" s="7"/>
      <c r="U362" s="7"/>
      <c r="V362" s="7"/>
      <c r="W362" s="7"/>
      <c r="X362" s="7"/>
      <c r="Y362" s="61"/>
      <c r="Z362" s="61"/>
      <c r="AA362" s="61"/>
      <c r="AB362" s="61"/>
      <c r="AC362" s="61"/>
      <c r="AD362" s="61"/>
      <c r="AE362" s="61"/>
      <c r="AF362" s="73">
        <v>0</v>
      </c>
      <c r="AG362" s="73">
        <v>0</v>
      </c>
      <c r="AH362" s="73">
        <v>0</v>
      </c>
      <c r="AI362" s="73">
        <v>0</v>
      </c>
      <c r="AJ362" s="73">
        <v>0</v>
      </c>
      <c r="AK362" s="73">
        <v>0</v>
      </c>
      <c r="AL362" s="73">
        <v>0</v>
      </c>
      <c r="AM362" s="73">
        <v>688.99</v>
      </c>
      <c r="AN362" s="73">
        <f>+AM362-17.5/4</f>
        <v>684.61500000000001</v>
      </c>
      <c r="AO362" s="76">
        <v>0</v>
      </c>
      <c r="AP362" s="73">
        <v>0</v>
      </c>
      <c r="AQ362" s="73">
        <v>0</v>
      </c>
      <c r="AR362" s="73">
        <v>0</v>
      </c>
      <c r="AS362" s="73">
        <v>0</v>
      </c>
      <c r="AT362" s="73">
        <v>0</v>
      </c>
      <c r="AU362" s="73">
        <v>0</v>
      </c>
      <c r="AV362" s="73">
        <v>0</v>
      </c>
      <c r="AW362" s="73">
        <v>0</v>
      </c>
      <c r="AX362" s="76">
        <v>0</v>
      </c>
      <c r="AY362" s="73">
        <v>0</v>
      </c>
      <c r="AZ362" s="73"/>
      <c r="BA362" s="73"/>
      <c r="BB362" s="73"/>
      <c r="BC362" s="73"/>
      <c r="BD362" s="5"/>
      <c r="BE362" s="5"/>
      <c r="BF362" s="5"/>
      <c r="BG362" s="4">
        <v>356</v>
      </c>
      <c r="BH362"/>
      <c r="BI362"/>
      <c r="BJ362"/>
      <c r="BK362"/>
      <c r="BL362"/>
      <c r="BM362"/>
    </row>
    <row r="363" spans="1:65" s="3" customFormat="1" ht="11.25" outlineLevel="2">
      <c r="A363" s="6"/>
      <c r="B363" s="11" t="s">
        <v>74</v>
      </c>
      <c r="C363" s="7"/>
      <c r="D363" s="7"/>
      <c r="E363" s="7"/>
      <c r="F363" s="7"/>
      <c r="G363" s="58">
        <f t="shared" si="605"/>
        <v>0</v>
      </c>
      <c r="H363" s="58">
        <f t="shared" si="605"/>
        <v>0</v>
      </c>
      <c r="I363" s="58">
        <f t="shared" si="605"/>
        <v>0</v>
      </c>
      <c r="J363" s="58">
        <f t="shared" si="605"/>
        <v>0</v>
      </c>
      <c r="K363" s="58">
        <f t="shared" si="605"/>
        <v>0</v>
      </c>
      <c r="L363" s="58">
        <f t="shared" si="605"/>
        <v>1629.375</v>
      </c>
      <c r="M363" s="58">
        <f t="shared" si="605"/>
        <v>1588.125</v>
      </c>
      <c r="N363" s="58">
        <f t="shared" si="605"/>
        <v>1546.875</v>
      </c>
      <c r="O363" s="5"/>
      <c r="P363" s="7"/>
      <c r="Q363" s="7"/>
      <c r="R363" s="7"/>
      <c r="S363" s="7"/>
      <c r="T363" s="7"/>
      <c r="U363" s="7"/>
      <c r="V363" s="7"/>
      <c r="W363" s="7"/>
      <c r="X363" s="7"/>
      <c r="Y363" s="61"/>
      <c r="Z363" s="61"/>
      <c r="AA363" s="61"/>
      <c r="AB363" s="61"/>
      <c r="AC363" s="61"/>
      <c r="AD363" s="61"/>
      <c r="AE363" s="61"/>
      <c r="AF363" s="73"/>
      <c r="AG363" s="73"/>
      <c r="AH363" s="73"/>
      <c r="AI363" s="73"/>
      <c r="AJ363" s="73"/>
      <c r="AK363" s="73"/>
      <c r="AL363" s="73"/>
      <c r="AM363" s="73"/>
      <c r="AN363" s="73"/>
      <c r="AO363" s="73">
        <v>1650</v>
      </c>
      <c r="AP363" s="73">
        <f t="shared" ref="AP363:AY363" si="606">AO363-1650*0.025/4</f>
        <v>1639.6875</v>
      </c>
      <c r="AQ363" s="73">
        <f t="shared" si="606"/>
        <v>1629.375</v>
      </c>
      <c r="AR363" s="73">
        <f t="shared" si="606"/>
        <v>1619.0625</v>
      </c>
      <c r="AS363" s="73">
        <f t="shared" si="606"/>
        <v>1608.75</v>
      </c>
      <c r="AT363" s="73">
        <f t="shared" si="606"/>
        <v>1598.4375</v>
      </c>
      <c r="AU363" s="73">
        <f t="shared" si="606"/>
        <v>1588.125</v>
      </c>
      <c r="AV363" s="73">
        <f t="shared" si="606"/>
        <v>1577.8125</v>
      </c>
      <c r="AW363" s="73">
        <f t="shared" si="606"/>
        <v>1567.5</v>
      </c>
      <c r="AX363" s="73">
        <f t="shared" si="606"/>
        <v>1557.1875</v>
      </c>
      <c r="AY363" s="73">
        <f t="shared" si="606"/>
        <v>1546.875</v>
      </c>
      <c r="AZ363" s="73"/>
      <c r="BA363" s="73"/>
      <c r="BB363" s="73"/>
      <c r="BC363" s="73"/>
      <c r="BD363" s="5"/>
      <c r="BE363" s="5"/>
      <c r="BF363" s="5"/>
      <c r="BG363" s="4">
        <v>357</v>
      </c>
      <c r="BH363"/>
      <c r="BI363"/>
      <c r="BJ363"/>
      <c r="BK363"/>
      <c r="BL363"/>
      <c r="BM363"/>
    </row>
    <row r="364" spans="1:65" s="3" customFormat="1" ht="11.25" outlineLevel="2">
      <c r="A364" s="6"/>
      <c r="B364" s="11" t="s">
        <v>86</v>
      </c>
      <c r="C364" s="7"/>
      <c r="D364" s="7"/>
      <c r="E364" s="7"/>
      <c r="F364" s="7"/>
      <c r="G364" s="58">
        <f t="shared" si="605"/>
        <v>0</v>
      </c>
      <c r="H364" s="58">
        <f t="shared" si="605"/>
        <v>10</v>
      </c>
      <c r="I364" s="58">
        <f t="shared" si="605"/>
        <v>10</v>
      </c>
      <c r="J364" s="58">
        <f t="shared" si="605"/>
        <v>10</v>
      </c>
      <c r="K364" s="58">
        <f t="shared" si="605"/>
        <v>10</v>
      </c>
      <c r="L364" s="58">
        <f t="shared" si="605"/>
        <v>10</v>
      </c>
      <c r="M364" s="58">
        <f t="shared" si="605"/>
        <v>10</v>
      </c>
      <c r="N364" s="58">
        <f t="shared" si="605"/>
        <v>10</v>
      </c>
      <c r="O364" s="5"/>
      <c r="P364" s="7"/>
      <c r="Q364" s="7"/>
      <c r="R364" s="7"/>
      <c r="S364" s="7"/>
      <c r="T364" s="7"/>
      <c r="U364" s="7"/>
      <c r="V364" s="7"/>
      <c r="W364" s="7"/>
      <c r="X364" s="7"/>
      <c r="Y364" s="61">
        <v>10</v>
      </c>
      <c r="Z364" s="61">
        <v>10</v>
      </c>
      <c r="AA364" s="61">
        <v>10</v>
      </c>
      <c r="AB364" s="61">
        <v>10</v>
      </c>
      <c r="AC364" s="61">
        <v>10</v>
      </c>
      <c r="AD364" s="61">
        <v>10</v>
      </c>
      <c r="AE364" s="61">
        <v>10</v>
      </c>
      <c r="AF364" s="73">
        <v>10</v>
      </c>
      <c r="AG364" s="73">
        <v>10</v>
      </c>
      <c r="AH364" s="73">
        <v>10</v>
      </c>
      <c r="AI364" s="73">
        <f>AH364</f>
        <v>10</v>
      </c>
      <c r="AJ364" s="61">
        <v>10</v>
      </c>
      <c r="AK364" s="61">
        <v>10</v>
      </c>
      <c r="AL364" s="61">
        <v>10</v>
      </c>
      <c r="AM364" s="61">
        <v>10</v>
      </c>
      <c r="AN364" s="61">
        <f t="shared" ref="AN364:AY364" si="607">AM364</f>
        <v>10</v>
      </c>
      <c r="AO364" s="61">
        <f t="shared" si="607"/>
        <v>10</v>
      </c>
      <c r="AP364" s="61">
        <f t="shared" si="607"/>
        <v>10</v>
      </c>
      <c r="AQ364" s="61">
        <f t="shared" si="607"/>
        <v>10</v>
      </c>
      <c r="AR364" s="61">
        <f t="shared" si="607"/>
        <v>10</v>
      </c>
      <c r="AS364" s="61">
        <f t="shared" si="607"/>
        <v>10</v>
      </c>
      <c r="AT364" s="61">
        <f t="shared" si="607"/>
        <v>10</v>
      </c>
      <c r="AU364" s="61">
        <f t="shared" si="607"/>
        <v>10</v>
      </c>
      <c r="AV364" s="61">
        <f t="shared" si="607"/>
        <v>10</v>
      </c>
      <c r="AW364" s="61">
        <f t="shared" si="607"/>
        <v>10</v>
      </c>
      <c r="AX364" s="61">
        <f t="shared" si="607"/>
        <v>10</v>
      </c>
      <c r="AY364" s="61">
        <f t="shared" si="607"/>
        <v>10</v>
      </c>
      <c r="AZ364" s="61"/>
      <c r="BA364" s="61"/>
      <c r="BB364" s="61"/>
      <c r="BC364" s="61"/>
      <c r="BD364" s="5"/>
      <c r="BE364" s="5"/>
      <c r="BF364" s="5"/>
      <c r="BG364" s="4">
        <v>358</v>
      </c>
      <c r="BH364"/>
      <c r="BI364"/>
      <c r="BJ364"/>
      <c r="BK364"/>
      <c r="BL364"/>
      <c r="BM364"/>
    </row>
    <row r="365" spans="1:65" s="3" customFormat="1" ht="11.25" outlineLevel="2">
      <c r="A365" s="6"/>
      <c r="B365" s="11" t="s">
        <v>72</v>
      </c>
      <c r="C365" s="7"/>
      <c r="D365" s="7"/>
      <c r="E365" s="7"/>
      <c r="F365" s="7"/>
      <c r="G365" s="58">
        <f t="shared" si="605"/>
        <v>0</v>
      </c>
      <c r="H365" s="58">
        <f t="shared" si="605"/>
        <v>10.724</v>
      </c>
      <c r="I365" s="58">
        <f t="shared" si="605"/>
        <v>9.3010000000000002</v>
      </c>
      <c r="J365" s="58">
        <f t="shared" si="605"/>
        <v>3.6339999999999999</v>
      </c>
      <c r="K365" s="58">
        <f t="shared" si="605"/>
        <v>9.8840000000000003</v>
      </c>
      <c r="L365" s="58">
        <f t="shared" si="605"/>
        <v>7.8840000000000003</v>
      </c>
      <c r="M365" s="58">
        <f t="shared" si="605"/>
        <v>5.8840000000000003</v>
      </c>
      <c r="N365" s="58">
        <f t="shared" si="605"/>
        <v>3.8840000000000003</v>
      </c>
      <c r="O365" s="5"/>
      <c r="P365" s="7"/>
      <c r="Q365" s="7"/>
      <c r="R365" s="7"/>
      <c r="S365" s="7"/>
      <c r="T365" s="7"/>
      <c r="U365" s="7"/>
      <c r="V365" s="7"/>
      <c r="W365" s="7"/>
      <c r="X365" s="7"/>
      <c r="Y365" s="61">
        <v>7.2229999999999999</v>
      </c>
      <c r="Z365" s="61">
        <v>6.2889999999999997</v>
      </c>
      <c r="AA365" s="61">
        <v>10.724</v>
      </c>
      <c r="AB365" s="61">
        <v>11.743</v>
      </c>
      <c r="AC365" s="61">
        <v>11.824</v>
      </c>
      <c r="AD365" s="61">
        <v>10.327</v>
      </c>
      <c r="AE365" s="61">
        <v>9.3010000000000002</v>
      </c>
      <c r="AF365" s="73">
        <v>7.8559999999999999</v>
      </c>
      <c r="AG365" s="73">
        <v>5.4720000000000004</v>
      </c>
      <c r="AH365" s="73">
        <v>4.5140000000000002</v>
      </c>
      <c r="AI365" s="73">
        <v>3.6339999999999999</v>
      </c>
      <c r="AJ365" s="61">
        <v>7.0069999999999997</v>
      </c>
      <c r="AK365" s="61">
        <v>8.8000000000000007</v>
      </c>
      <c r="AL365" s="61">
        <v>8.5109999999999992</v>
      </c>
      <c r="AM365" s="61">
        <v>9.8840000000000003</v>
      </c>
      <c r="AN365" s="61">
        <f t="shared" ref="AN365:AY365" si="608">MAX(AM365-0.5,0)</f>
        <v>9.3840000000000003</v>
      </c>
      <c r="AO365" s="61">
        <f t="shared" si="608"/>
        <v>8.8840000000000003</v>
      </c>
      <c r="AP365" s="61">
        <f t="shared" si="608"/>
        <v>8.3840000000000003</v>
      </c>
      <c r="AQ365" s="61">
        <f t="shared" si="608"/>
        <v>7.8840000000000003</v>
      </c>
      <c r="AR365" s="61">
        <f t="shared" si="608"/>
        <v>7.3840000000000003</v>
      </c>
      <c r="AS365" s="61">
        <f t="shared" si="608"/>
        <v>6.8840000000000003</v>
      </c>
      <c r="AT365" s="61">
        <f t="shared" si="608"/>
        <v>6.3840000000000003</v>
      </c>
      <c r="AU365" s="61">
        <f t="shared" si="608"/>
        <v>5.8840000000000003</v>
      </c>
      <c r="AV365" s="61">
        <f t="shared" si="608"/>
        <v>5.3840000000000003</v>
      </c>
      <c r="AW365" s="61">
        <f t="shared" si="608"/>
        <v>4.8840000000000003</v>
      </c>
      <c r="AX365" s="61">
        <f t="shared" si="608"/>
        <v>4.3840000000000003</v>
      </c>
      <c r="AY365" s="61">
        <f t="shared" si="608"/>
        <v>3.8840000000000003</v>
      </c>
      <c r="AZ365" s="61"/>
      <c r="BA365" s="61"/>
      <c r="BB365" s="61"/>
      <c r="BC365" s="61"/>
      <c r="BD365" s="5"/>
      <c r="BE365" s="5"/>
      <c r="BF365" s="5"/>
      <c r="BG365" s="4">
        <v>359</v>
      </c>
      <c r="BH365"/>
      <c r="BI365"/>
      <c r="BJ365"/>
      <c r="BK365"/>
      <c r="BL365"/>
      <c r="BM365"/>
    </row>
    <row r="366" spans="1:65" s="3" customFormat="1" ht="11.25" outlineLevel="2">
      <c r="A366" s="6"/>
      <c r="B366" s="11" t="s">
        <v>85</v>
      </c>
      <c r="C366" s="7"/>
      <c r="D366" s="7"/>
      <c r="E366" s="7"/>
      <c r="F366" s="7"/>
      <c r="G366" s="58">
        <f t="shared" si="605"/>
        <v>0</v>
      </c>
      <c r="H366" s="58">
        <f t="shared" si="605"/>
        <v>1231.915</v>
      </c>
      <c r="I366" s="58">
        <f t="shared" si="605"/>
        <v>1218.5150000000001</v>
      </c>
      <c r="J366" s="58">
        <f t="shared" si="605"/>
        <v>837.35399999999993</v>
      </c>
      <c r="K366" s="58">
        <f t="shared" si="605"/>
        <v>45.073</v>
      </c>
      <c r="L366" s="58">
        <f t="shared" si="605"/>
        <v>45.073</v>
      </c>
      <c r="M366" s="58">
        <f t="shared" si="605"/>
        <v>45.073</v>
      </c>
      <c r="N366" s="58">
        <f t="shared" si="605"/>
        <v>45.073</v>
      </c>
      <c r="O366" s="5"/>
      <c r="P366" s="7"/>
      <c r="Q366" s="7"/>
      <c r="R366" s="7"/>
      <c r="S366" s="7"/>
      <c r="T366" s="7"/>
      <c r="U366" s="7"/>
      <c r="V366" s="7"/>
      <c r="W366" s="7"/>
      <c r="X366" s="7"/>
      <c r="Y366" s="61">
        <v>1247.749</v>
      </c>
      <c r="Z366" s="61">
        <v>1235.193</v>
      </c>
      <c r="AA366" s="61">
        <v>1231.915</v>
      </c>
      <c r="AB366" s="61">
        <v>1229.0780000000002</v>
      </c>
      <c r="AC366" s="61">
        <v>1224.6261999999999</v>
      </c>
      <c r="AD366" s="61">
        <v>1221.181</v>
      </c>
      <c r="AE366" s="61">
        <v>1218.5150000000001</v>
      </c>
      <c r="AF366" s="73">
        <v>1215.646</v>
      </c>
      <c r="AG366" s="73">
        <v>1143.626</v>
      </c>
      <c r="AH366" s="73">
        <v>1141.0889999999999</v>
      </c>
      <c r="AI366" s="73">
        <v>837.35399999999993</v>
      </c>
      <c r="AJ366" s="73">
        <v>835.34100000000001</v>
      </c>
      <c r="AK366" s="73">
        <v>783.43600000000004</v>
      </c>
      <c r="AL366" s="73">
        <v>781.428</v>
      </c>
      <c r="AM366" s="73">
        <v>45.073</v>
      </c>
      <c r="AN366" s="74">
        <f t="shared" ref="AN366:AY366" si="609">AM366</f>
        <v>45.073</v>
      </c>
      <c r="AO366" s="74">
        <f t="shared" si="609"/>
        <v>45.073</v>
      </c>
      <c r="AP366" s="74">
        <f t="shared" si="609"/>
        <v>45.073</v>
      </c>
      <c r="AQ366" s="74">
        <f t="shared" si="609"/>
        <v>45.073</v>
      </c>
      <c r="AR366" s="74">
        <f t="shared" si="609"/>
        <v>45.073</v>
      </c>
      <c r="AS366" s="74">
        <f t="shared" si="609"/>
        <v>45.073</v>
      </c>
      <c r="AT366" s="74">
        <f t="shared" si="609"/>
        <v>45.073</v>
      </c>
      <c r="AU366" s="74">
        <f t="shared" si="609"/>
        <v>45.073</v>
      </c>
      <c r="AV366" s="74">
        <f t="shared" si="609"/>
        <v>45.073</v>
      </c>
      <c r="AW366" s="74">
        <f t="shared" si="609"/>
        <v>45.073</v>
      </c>
      <c r="AX366" s="74">
        <f t="shared" si="609"/>
        <v>45.073</v>
      </c>
      <c r="AY366" s="74">
        <f t="shared" si="609"/>
        <v>45.073</v>
      </c>
      <c r="AZ366" s="74"/>
      <c r="BA366" s="74"/>
      <c r="BB366" s="74"/>
      <c r="BC366" s="74"/>
      <c r="BD366" s="5"/>
      <c r="BE366" s="5"/>
      <c r="BF366" s="5"/>
      <c r="BG366" s="4">
        <v>360</v>
      </c>
      <c r="BH366"/>
      <c r="BI366"/>
      <c r="BJ366"/>
      <c r="BK366"/>
      <c r="BL366"/>
      <c r="BM366"/>
    </row>
    <row r="367" spans="1:65" s="3" customFormat="1" ht="11.25" outlineLevel="2">
      <c r="A367" s="6"/>
      <c r="B367" s="11" t="s">
        <v>70</v>
      </c>
      <c r="C367" s="7"/>
      <c r="D367" s="7"/>
      <c r="E367" s="7"/>
      <c r="F367" s="7"/>
      <c r="G367" s="58">
        <f t="shared" si="605"/>
        <v>0</v>
      </c>
      <c r="H367" s="58">
        <f t="shared" si="605"/>
        <v>1252.6389999999999</v>
      </c>
      <c r="I367" s="58">
        <f t="shared" si="605"/>
        <v>1237.816</v>
      </c>
      <c r="J367" s="58">
        <f t="shared" si="605"/>
        <v>850.98799999999994</v>
      </c>
      <c r="K367" s="58">
        <f t="shared" si="605"/>
        <v>753.947</v>
      </c>
      <c r="L367" s="58">
        <f t="shared" si="605"/>
        <v>1692.3320000000001</v>
      </c>
      <c r="M367" s="58">
        <f t="shared" si="605"/>
        <v>1649.0820000000001</v>
      </c>
      <c r="N367" s="58">
        <f t="shared" si="605"/>
        <v>1605.8320000000001</v>
      </c>
      <c r="O367" s="5"/>
      <c r="P367" s="7"/>
      <c r="Q367" s="7"/>
      <c r="R367" s="7"/>
      <c r="S367" s="7"/>
      <c r="T367" s="7"/>
      <c r="U367" s="7"/>
      <c r="V367" s="7"/>
      <c r="W367" s="7"/>
      <c r="X367" s="7"/>
      <c r="Y367" s="74">
        <f t="shared" ref="Y367:AY367" si="610">SUM(Y362:Y366)</f>
        <v>1264.972</v>
      </c>
      <c r="Z367" s="74">
        <f t="shared" si="610"/>
        <v>1251.482</v>
      </c>
      <c r="AA367" s="74">
        <f t="shared" si="610"/>
        <v>1252.6389999999999</v>
      </c>
      <c r="AB367" s="74">
        <f t="shared" si="610"/>
        <v>1250.8210000000001</v>
      </c>
      <c r="AC367" s="74">
        <f t="shared" si="610"/>
        <v>1246.4502</v>
      </c>
      <c r="AD367" s="74">
        <f t="shared" si="610"/>
        <v>1241.508</v>
      </c>
      <c r="AE367" s="74">
        <f t="shared" si="610"/>
        <v>1237.816</v>
      </c>
      <c r="AF367" s="75">
        <f t="shared" si="610"/>
        <v>1233.502</v>
      </c>
      <c r="AG367" s="75">
        <f t="shared" si="610"/>
        <v>1159.098</v>
      </c>
      <c r="AH367" s="75">
        <f t="shared" si="610"/>
        <v>1155.6029999999998</v>
      </c>
      <c r="AI367" s="75">
        <f t="shared" si="610"/>
        <v>850.98799999999994</v>
      </c>
      <c r="AJ367" s="75">
        <f t="shared" si="610"/>
        <v>852.34799999999996</v>
      </c>
      <c r="AK367" s="75">
        <f t="shared" si="610"/>
        <v>802.23599999999999</v>
      </c>
      <c r="AL367" s="75">
        <f t="shared" si="610"/>
        <v>799.93899999999996</v>
      </c>
      <c r="AM367" s="75">
        <f t="shared" ref="AM367" si="611">SUM(AM362:AM366)</f>
        <v>753.947</v>
      </c>
      <c r="AN367" s="74">
        <f t="shared" si="610"/>
        <v>749.072</v>
      </c>
      <c r="AO367" s="74">
        <f t="shared" si="610"/>
        <v>1713.9570000000001</v>
      </c>
      <c r="AP367" s="74">
        <f t="shared" si="610"/>
        <v>1703.1445000000001</v>
      </c>
      <c r="AQ367" s="74">
        <f t="shared" si="610"/>
        <v>1692.3320000000001</v>
      </c>
      <c r="AR367" s="74">
        <f t="shared" si="610"/>
        <v>1681.5195000000001</v>
      </c>
      <c r="AS367" s="74">
        <f t="shared" si="610"/>
        <v>1670.7070000000001</v>
      </c>
      <c r="AT367" s="74">
        <f t="shared" si="610"/>
        <v>1659.8945000000001</v>
      </c>
      <c r="AU367" s="74">
        <f t="shared" si="610"/>
        <v>1649.0820000000001</v>
      </c>
      <c r="AV367" s="74">
        <f t="shared" si="610"/>
        <v>1638.2695000000001</v>
      </c>
      <c r="AW367" s="74">
        <f t="shared" si="610"/>
        <v>1627.4570000000001</v>
      </c>
      <c r="AX367" s="74">
        <f t="shared" si="610"/>
        <v>1616.6445000000001</v>
      </c>
      <c r="AY367" s="74">
        <f t="shared" si="610"/>
        <v>1605.8320000000001</v>
      </c>
      <c r="AZ367" s="74"/>
      <c r="BA367" s="74"/>
      <c r="BB367" s="74"/>
      <c r="BC367" s="74"/>
      <c r="BD367" s="5"/>
      <c r="BE367" s="5"/>
      <c r="BF367" s="5"/>
      <c r="BG367" s="4">
        <v>361</v>
      </c>
      <c r="BH367"/>
      <c r="BI367"/>
      <c r="BJ367"/>
      <c r="BK367"/>
      <c r="BL367"/>
      <c r="BM367"/>
    </row>
    <row r="368" spans="1:65" s="3" customFormat="1" ht="11.25" outlineLevel="2">
      <c r="A368" s="6"/>
      <c r="B368" s="11" t="s">
        <v>69</v>
      </c>
      <c r="C368" s="7"/>
      <c r="D368" s="7"/>
      <c r="E368" s="7"/>
      <c r="F368" s="7"/>
      <c r="G368" s="58">
        <f t="shared" si="605"/>
        <v>0</v>
      </c>
      <c r="H368" s="58">
        <f t="shared" si="605"/>
        <v>0</v>
      </c>
      <c r="I368" s="58">
        <f t="shared" si="605"/>
        <v>0</v>
      </c>
      <c r="J368" s="58">
        <f t="shared" si="605"/>
        <v>0</v>
      </c>
      <c r="K368" s="58">
        <f t="shared" si="605"/>
        <v>0</v>
      </c>
      <c r="L368" s="58">
        <f t="shared" si="605"/>
        <v>0</v>
      </c>
      <c r="M368" s="58">
        <f t="shared" si="605"/>
        <v>0</v>
      </c>
      <c r="N368" s="58">
        <f t="shared" si="605"/>
        <v>0</v>
      </c>
      <c r="O368" s="5"/>
      <c r="P368" s="7"/>
      <c r="Q368" s="7"/>
      <c r="R368" s="7"/>
      <c r="S368" s="7"/>
      <c r="T368" s="7"/>
      <c r="U368" s="7"/>
      <c r="V368" s="7"/>
      <c r="W368" s="7"/>
      <c r="X368" s="7"/>
      <c r="Y368" s="61">
        <v>0</v>
      </c>
      <c r="Z368" s="61">
        <v>0</v>
      </c>
      <c r="AA368" s="61">
        <v>0</v>
      </c>
      <c r="AB368" s="61">
        <v>0</v>
      </c>
      <c r="AC368" s="61">
        <v>0</v>
      </c>
      <c r="AD368" s="61">
        <v>0</v>
      </c>
      <c r="AE368" s="61">
        <v>0</v>
      </c>
      <c r="AF368" s="75">
        <f t="shared" ref="AF368:AY368" si="612">MIN(AF359,AF378)</f>
        <v>0</v>
      </c>
      <c r="AG368" s="75">
        <f t="shared" si="612"/>
        <v>0</v>
      </c>
      <c r="AH368" s="75">
        <f t="shared" si="612"/>
        <v>0</v>
      </c>
      <c r="AI368" s="75">
        <f t="shared" si="612"/>
        <v>0</v>
      </c>
      <c r="AJ368" s="75">
        <f t="shared" si="612"/>
        <v>0</v>
      </c>
      <c r="AK368" s="75">
        <f t="shared" si="612"/>
        <v>0</v>
      </c>
      <c r="AL368" s="75">
        <f t="shared" si="612"/>
        <v>0</v>
      </c>
      <c r="AM368" s="75">
        <f t="shared" si="612"/>
        <v>0</v>
      </c>
      <c r="AN368" s="74">
        <f t="shared" si="612"/>
        <v>9.3509511991320551</v>
      </c>
      <c r="AO368" s="74">
        <f t="shared" si="612"/>
        <v>0</v>
      </c>
      <c r="AP368" s="74">
        <f t="shared" si="612"/>
        <v>0</v>
      </c>
      <c r="AQ368" s="74">
        <f t="shared" si="612"/>
        <v>0</v>
      </c>
      <c r="AR368" s="74">
        <f t="shared" si="612"/>
        <v>0</v>
      </c>
      <c r="AS368" s="74">
        <f t="shared" si="612"/>
        <v>0</v>
      </c>
      <c r="AT368" s="74">
        <f t="shared" si="612"/>
        <v>0</v>
      </c>
      <c r="AU368" s="74">
        <f t="shared" si="612"/>
        <v>0</v>
      </c>
      <c r="AV368" s="74">
        <f t="shared" si="612"/>
        <v>0</v>
      </c>
      <c r="AW368" s="74">
        <f t="shared" si="612"/>
        <v>0</v>
      </c>
      <c r="AX368" s="74">
        <f t="shared" si="612"/>
        <v>0</v>
      </c>
      <c r="AY368" s="74">
        <f t="shared" si="612"/>
        <v>0</v>
      </c>
      <c r="AZ368" s="61"/>
      <c r="BA368" s="61"/>
      <c r="BB368" s="61"/>
      <c r="BC368" s="61"/>
      <c r="BD368" s="5"/>
      <c r="BE368" s="5"/>
      <c r="BF368" s="5"/>
      <c r="BG368" s="4">
        <v>362</v>
      </c>
      <c r="BH368"/>
      <c r="BI368"/>
      <c r="BJ368"/>
      <c r="BK368"/>
      <c r="BL368"/>
      <c r="BM368"/>
    </row>
    <row r="369" spans="1:65" s="3" customFormat="1" ht="11.25" outlineLevel="2">
      <c r="A369" s="6"/>
      <c r="B369" s="11" t="s">
        <v>68</v>
      </c>
      <c r="C369" s="7"/>
      <c r="D369" s="7"/>
      <c r="E369" s="7"/>
      <c r="F369" s="7"/>
      <c r="G369" s="58">
        <f t="shared" si="605"/>
        <v>0</v>
      </c>
      <c r="H369" s="58">
        <f t="shared" si="605"/>
        <v>1252.6389999999999</v>
      </c>
      <c r="I369" s="58">
        <f t="shared" si="605"/>
        <v>1237.816</v>
      </c>
      <c r="J369" s="58">
        <f t="shared" si="605"/>
        <v>850.98799999999994</v>
      </c>
      <c r="K369" s="58">
        <f t="shared" si="605"/>
        <v>753.947</v>
      </c>
      <c r="L369" s="58">
        <f t="shared" si="605"/>
        <v>1692.3320000000001</v>
      </c>
      <c r="M369" s="58">
        <f t="shared" si="605"/>
        <v>1649.0820000000001</v>
      </c>
      <c r="N369" s="58">
        <f t="shared" si="605"/>
        <v>1605.8320000000001</v>
      </c>
      <c r="O369" s="5"/>
      <c r="P369" s="7"/>
      <c r="Q369" s="7"/>
      <c r="R369" s="7"/>
      <c r="S369" s="7"/>
      <c r="T369" s="7"/>
      <c r="U369" s="7"/>
      <c r="V369" s="7"/>
      <c r="W369" s="7"/>
      <c r="X369" s="7"/>
      <c r="Y369" s="7">
        <f t="shared" ref="Y369:AY369" si="613">SUM(Y367:Y368)</f>
        <v>1264.972</v>
      </c>
      <c r="Z369" s="7">
        <f t="shared" si="613"/>
        <v>1251.482</v>
      </c>
      <c r="AA369" s="7">
        <f t="shared" si="613"/>
        <v>1252.6389999999999</v>
      </c>
      <c r="AB369" s="7">
        <f t="shared" si="613"/>
        <v>1250.8210000000001</v>
      </c>
      <c r="AC369" s="7">
        <f t="shared" si="613"/>
        <v>1246.4502</v>
      </c>
      <c r="AD369" s="7">
        <f t="shared" si="613"/>
        <v>1241.508</v>
      </c>
      <c r="AE369" s="7">
        <f t="shared" si="613"/>
        <v>1237.816</v>
      </c>
      <c r="AF369" s="72">
        <f t="shared" si="613"/>
        <v>1233.502</v>
      </c>
      <c r="AG369" s="72">
        <f t="shared" si="613"/>
        <v>1159.098</v>
      </c>
      <c r="AH369" s="72">
        <f t="shared" si="613"/>
        <v>1155.6029999999998</v>
      </c>
      <c r="AI369" s="72">
        <f t="shared" si="613"/>
        <v>850.98799999999994</v>
      </c>
      <c r="AJ369" s="72">
        <f t="shared" si="613"/>
        <v>852.34799999999996</v>
      </c>
      <c r="AK369" s="72">
        <f t="shared" si="613"/>
        <v>802.23599999999999</v>
      </c>
      <c r="AL369" s="72">
        <f t="shared" si="613"/>
        <v>799.93899999999996</v>
      </c>
      <c r="AM369" s="72">
        <f t="shared" ref="AM369" si="614">SUM(AM367:AM368)</f>
        <v>753.947</v>
      </c>
      <c r="AN369" s="7">
        <f t="shared" si="613"/>
        <v>758.42295119913206</v>
      </c>
      <c r="AO369" s="7">
        <f t="shared" si="613"/>
        <v>1713.9570000000001</v>
      </c>
      <c r="AP369" s="7">
        <f t="shared" si="613"/>
        <v>1703.1445000000001</v>
      </c>
      <c r="AQ369" s="7">
        <f t="shared" si="613"/>
        <v>1692.3320000000001</v>
      </c>
      <c r="AR369" s="7">
        <f t="shared" si="613"/>
        <v>1681.5195000000001</v>
      </c>
      <c r="AS369" s="7">
        <f t="shared" si="613"/>
        <v>1670.7070000000001</v>
      </c>
      <c r="AT369" s="7">
        <f t="shared" si="613"/>
        <v>1659.8945000000001</v>
      </c>
      <c r="AU369" s="7">
        <f t="shared" si="613"/>
        <v>1649.0820000000001</v>
      </c>
      <c r="AV369" s="7">
        <f t="shared" si="613"/>
        <v>1638.2695000000001</v>
      </c>
      <c r="AW369" s="7">
        <f t="shared" si="613"/>
        <v>1627.4570000000001</v>
      </c>
      <c r="AX369" s="7">
        <f t="shared" si="613"/>
        <v>1616.6445000000001</v>
      </c>
      <c r="AY369" s="7">
        <f t="shared" si="613"/>
        <v>1605.8320000000001</v>
      </c>
      <c r="AZ369" s="7"/>
      <c r="BA369" s="7"/>
      <c r="BB369" s="7"/>
      <c r="BC369" s="7"/>
      <c r="BD369" s="5"/>
      <c r="BE369" s="5"/>
      <c r="BF369" s="5"/>
      <c r="BG369" s="4">
        <v>363</v>
      </c>
      <c r="BH369"/>
      <c r="BI369"/>
      <c r="BJ369"/>
      <c r="BK369"/>
      <c r="BL369"/>
      <c r="BM369"/>
    </row>
    <row r="370" spans="1:65" s="3" customFormat="1" ht="11.25" outlineLevel="2">
      <c r="A370" s="6"/>
      <c r="B370" s="11" t="s">
        <v>84</v>
      </c>
      <c r="C370" s="7"/>
      <c r="D370" s="7"/>
      <c r="E370" s="7"/>
      <c r="F370" s="72">
        <f>INDEX($P370:$AZ370,1,MATCH(F$5,$P$5:$AZ$5,0))</f>
        <v>0</v>
      </c>
      <c r="G370" s="72">
        <f t="shared" si="605"/>
        <v>0</v>
      </c>
      <c r="H370" s="72">
        <f t="shared" si="605"/>
        <v>0</v>
      </c>
      <c r="I370" s="72">
        <f t="shared" si="605"/>
        <v>0</v>
      </c>
      <c r="J370" s="72">
        <f t="shared" si="605"/>
        <v>-7.9749999999999996</v>
      </c>
      <c r="K370" s="72">
        <f t="shared" si="605"/>
        <v>-5.0170000000000003</v>
      </c>
      <c r="L370" s="72">
        <f t="shared" si="605"/>
        <v>-5.0170000000000003</v>
      </c>
      <c r="M370" s="72">
        <f t="shared" si="605"/>
        <v>-5.0170000000000003</v>
      </c>
      <c r="N370" s="72">
        <f t="shared" si="605"/>
        <v>-5.0170000000000003</v>
      </c>
      <c r="O370" s="5"/>
      <c r="P370" s="7"/>
      <c r="Q370" s="7"/>
      <c r="R370" s="7"/>
      <c r="S370" s="7"/>
      <c r="T370" s="7"/>
      <c r="U370" s="7"/>
      <c r="V370" s="7"/>
      <c r="W370" s="7"/>
      <c r="X370" s="7"/>
      <c r="Y370" s="7"/>
      <c r="Z370" s="7"/>
      <c r="AA370" s="7"/>
      <c r="AB370" s="7"/>
      <c r="AC370" s="7"/>
      <c r="AD370" s="7"/>
      <c r="AE370" s="61"/>
      <c r="AF370" s="73">
        <v>-13.598000000000001</v>
      </c>
      <c r="AG370" s="73">
        <v>-12.544</v>
      </c>
      <c r="AH370" s="73">
        <v>-11.521000000000001</v>
      </c>
      <c r="AI370" s="73">
        <v>-7.9749999999999996</v>
      </c>
      <c r="AJ370" s="73">
        <v>-7.2389999999999999</v>
      </c>
      <c r="AK370" s="73">
        <v>-6.1180000000000003</v>
      </c>
      <c r="AL370" s="73">
        <v>-5.4320000000000004</v>
      </c>
      <c r="AM370" s="73">
        <v>-5.0170000000000003</v>
      </c>
      <c r="AN370" s="73">
        <f t="shared" ref="AN370:AY370" si="615">AM370</f>
        <v>-5.0170000000000003</v>
      </c>
      <c r="AO370" s="73">
        <f t="shared" si="615"/>
        <v>-5.0170000000000003</v>
      </c>
      <c r="AP370" s="73">
        <f t="shared" si="615"/>
        <v>-5.0170000000000003</v>
      </c>
      <c r="AQ370" s="73">
        <f t="shared" si="615"/>
        <v>-5.0170000000000003</v>
      </c>
      <c r="AR370" s="73">
        <f t="shared" si="615"/>
        <v>-5.0170000000000003</v>
      </c>
      <c r="AS370" s="73">
        <f t="shared" si="615"/>
        <v>-5.0170000000000003</v>
      </c>
      <c r="AT370" s="73">
        <f t="shared" si="615"/>
        <v>-5.0170000000000003</v>
      </c>
      <c r="AU370" s="73">
        <f t="shared" si="615"/>
        <v>-5.0170000000000003</v>
      </c>
      <c r="AV370" s="73">
        <f t="shared" si="615"/>
        <v>-5.0170000000000003</v>
      </c>
      <c r="AW370" s="73">
        <f t="shared" si="615"/>
        <v>-5.0170000000000003</v>
      </c>
      <c r="AX370" s="73">
        <f t="shared" si="615"/>
        <v>-5.0170000000000003</v>
      </c>
      <c r="AY370" s="73">
        <f t="shared" si="615"/>
        <v>-5.0170000000000003</v>
      </c>
      <c r="AZ370" s="7"/>
      <c r="BA370" s="7"/>
      <c r="BB370" s="7"/>
      <c r="BC370" s="7"/>
      <c r="BD370" s="5"/>
      <c r="BE370" s="5"/>
      <c r="BF370" s="5"/>
      <c r="BG370" s="4">
        <v>364</v>
      </c>
      <c r="BH370"/>
      <c r="BI370"/>
      <c r="BJ370"/>
      <c r="BK370"/>
      <c r="BL370"/>
      <c r="BM370"/>
    </row>
    <row r="371" spans="1:65" s="3" customFormat="1" ht="11.25" outlineLevel="2">
      <c r="A371" s="6"/>
      <c r="B371" s="11" t="s">
        <v>83</v>
      </c>
      <c r="C371" s="7"/>
      <c r="D371" s="7"/>
      <c r="E371" s="7"/>
      <c r="F371" s="72">
        <f>INDEX($P371:$AZ371,1,MATCH(F$5,$P$5:$AZ$5,0))</f>
        <v>0</v>
      </c>
      <c r="G371" s="72">
        <f t="shared" si="605"/>
        <v>0</v>
      </c>
      <c r="H371" s="72">
        <f t="shared" si="605"/>
        <v>1252.6389999999999</v>
      </c>
      <c r="I371" s="72">
        <f t="shared" si="605"/>
        <v>1237.816</v>
      </c>
      <c r="J371" s="72">
        <f t="shared" si="605"/>
        <v>843.01299999999992</v>
      </c>
      <c r="K371" s="72">
        <f t="shared" si="605"/>
        <v>748.93</v>
      </c>
      <c r="L371" s="72">
        <f t="shared" si="605"/>
        <v>1687.3150000000001</v>
      </c>
      <c r="M371" s="72">
        <f t="shared" si="605"/>
        <v>1644.0650000000001</v>
      </c>
      <c r="N371" s="72">
        <f t="shared" si="605"/>
        <v>1600.8150000000001</v>
      </c>
      <c r="O371" s="5"/>
      <c r="P371" s="7"/>
      <c r="Q371" s="7"/>
      <c r="R371" s="7"/>
      <c r="S371" s="7"/>
      <c r="T371" s="7"/>
      <c r="U371" s="7"/>
      <c r="V371" s="7"/>
      <c r="W371" s="7"/>
      <c r="X371" s="7"/>
      <c r="Y371" s="72">
        <f t="shared" ref="Y371:AY371" si="616">+Y369+Y370</f>
        <v>1264.972</v>
      </c>
      <c r="Z371" s="72">
        <f t="shared" si="616"/>
        <v>1251.482</v>
      </c>
      <c r="AA371" s="72">
        <f t="shared" si="616"/>
        <v>1252.6389999999999</v>
      </c>
      <c r="AB371" s="72">
        <f t="shared" si="616"/>
        <v>1250.8210000000001</v>
      </c>
      <c r="AC371" s="72">
        <f t="shared" si="616"/>
        <v>1246.4502</v>
      </c>
      <c r="AD371" s="72">
        <f t="shared" si="616"/>
        <v>1241.508</v>
      </c>
      <c r="AE371" s="72">
        <f t="shared" si="616"/>
        <v>1237.816</v>
      </c>
      <c r="AF371" s="72">
        <f t="shared" si="616"/>
        <v>1219.904</v>
      </c>
      <c r="AG371" s="72">
        <f t="shared" si="616"/>
        <v>1146.5539999999999</v>
      </c>
      <c r="AH371" s="72">
        <f t="shared" si="616"/>
        <v>1144.0819999999999</v>
      </c>
      <c r="AI371" s="72">
        <f t="shared" si="616"/>
        <v>843.01299999999992</v>
      </c>
      <c r="AJ371" s="72">
        <f t="shared" si="616"/>
        <v>845.10899999999992</v>
      </c>
      <c r="AK371" s="72">
        <f t="shared" si="616"/>
        <v>796.11799999999994</v>
      </c>
      <c r="AL371" s="72">
        <f>+AL369+AL370</f>
        <v>794.50699999999995</v>
      </c>
      <c r="AM371" s="72">
        <f>+AM369+AM370</f>
        <v>748.93</v>
      </c>
      <c r="AN371" s="72">
        <f t="shared" si="616"/>
        <v>753.40595119913201</v>
      </c>
      <c r="AO371" s="72">
        <f t="shared" si="616"/>
        <v>1708.94</v>
      </c>
      <c r="AP371" s="72">
        <f t="shared" si="616"/>
        <v>1698.1275000000001</v>
      </c>
      <c r="AQ371" s="72">
        <f t="shared" si="616"/>
        <v>1687.3150000000001</v>
      </c>
      <c r="AR371" s="72">
        <f t="shared" si="616"/>
        <v>1676.5025000000001</v>
      </c>
      <c r="AS371" s="72">
        <f t="shared" si="616"/>
        <v>1665.69</v>
      </c>
      <c r="AT371" s="72">
        <f t="shared" si="616"/>
        <v>1654.8775000000001</v>
      </c>
      <c r="AU371" s="72">
        <f t="shared" si="616"/>
        <v>1644.0650000000001</v>
      </c>
      <c r="AV371" s="72">
        <f t="shared" si="616"/>
        <v>1633.2525000000001</v>
      </c>
      <c r="AW371" s="72">
        <f t="shared" si="616"/>
        <v>1622.44</v>
      </c>
      <c r="AX371" s="72">
        <f t="shared" si="616"/>
        <v>1611.6275000000001</v>
      </c>
      <c r="AY371" s="72">
        <f t="shared" si="616"/>
        <v>1600.8150000000001</v>
      </c>
      <c r="AZ371" s="7"/>
      <c r="BA371" s="7"/>
      <c r="BB371" s="7"/>
      <c r="BC371" s="7"/>
      <c r="BD371" s="5"/>
      <c r="BE371" s="5"/>
      <c r="BF371" s="5"/>
      <c r="BG371" s="4">
        <v>365</v>
      </c>
      <c r="BH371"/>
      <c r="BI371"/>
      <c r="BJ371"/>
      <c r="BK371"/>
      <c r="BL371"/>
      <c r="BM371"/>
    </row>
    <row r="372" spans="1:65" s="3" customFormat="1" ht="11.25" outlineLevel="2">
      <c r="A372" s="6"/>
      <c r="B372" s="11"/>
      <c r="C372" s="7"/>
      <c r="D372" s="7"/>
      <c r="E372" s="7"/>
      <c r="F372" s="7"/>
      <c r="G372" s="58"/>
      <c r="H372" s="58"/>
      <c r="I372" s="58"/>
      <c r="J372" s="58"/>
      <c r="K372" s="58"/>
      <c r="L372" s="58"/>
      <c r="M372" s="58"/>
      <c r="N372" s="58"/>
      <c r="O372" s="5"/>
      <c r="P372" s="7"/>
      <c r="Q372" s="7"/>
      <c r="R372" s="7"/>
      <c r="S372" s="7"/>
      <c r="T372" s="7"/>
      <c r="U372" s="7"/>
      <c r="V372" s="7"/>
      <c r="W372" s="7"/>
      <c r="X372" s="7"/>
      <c r="Y372" s="72">
        <f t="shared" ref="Y372:AY372" si="617">+Y371-Y319</f>
        <v>0</v>
      </c>
      <c r="Z372" s="72">
        <f t="shared" si="617"/>
        <v>0</v>
      </c>
      <c r="AA372" s="72">
        <f t="shared" si="617"/>
        <v>0</v>
      </c>
      <c r="AB372" s="72">
        <f t="shared" si="617"/>
        <v>0</v>
      </c>
      <c r="AC372" s="72">
        <f t="shared" si="617"/>
        <v>7.2000000000116415E-3</v>
      </c>
      <c r="AD372" s="72">
        <f t="shared" si="617"/>
        <v>0</v>
      </c>
      <c r="AE372" s="72">
        <f t="shared" si="617"/>
        <v>0</v>
      </c>
      <c r="AF372" s="72">
        <f t="shared" si="617"/>
        <v>0</v>
      </c>
      <c r="AG372" s="72">
        <f t="shared" si="617"/>
        <v>0</v>
      </c>
      <c r="AH372" s="72">
        <f t="shared" si="617"/>
        <v>0</v>
      </c>
      <c r="AI372" s="72">
        <f t="shared" si="617"/>
        <v>0</v>
      </c>
      <c r="AJ372" s="72">
        <f t="shared" si="617"/>
        <v>0</v>
      </c>
      <c r="AK372" s="72">
        <f t="shared" si="617"/>
        <v>0</v>
      </c>
      <c r="AL372" s="72">
        <f t="shared" si="617"/>
        <v>0</v>
      </c>
      <c r="AM372" s="72">
        <f t="shared" si="617"/>
        <v>0</v>
      </c>
      <c r="AN372" s="72">
        <f t="shared" si="617"/>
        <v>0</v>
      </c>
      <c r="AO372" s="72">
        <f t="shared" si="617"/>
        <v>0</v>
      </c>
      <c r="AP372" s="72">
        <f t="shared" si="617"/>
        <v>0</v>
      </c>
      <c r="AQ372" s="72">
        <f t="shared" si="617"/>
        <v>0</v>
      </c>
      <c r="AR372" s="72">
        <f t="shared" si="617"/>
        <v>0</v>
      </c>
      <c r="AS372" s="72">
        <f t="shared" si="617"/>
        <v>0</v>
      </c>
      <c r="AT372" s="72">
        <f t="shared" si="617"/>
        <v>0</v>
      </c>
      <c r="AU372" s="72">
        <f t="shared" si="617"/>
        <v>0</v>
      </c>
      <c r="AV372" s="72">
        <f t="shared" si="617"/>
        <v>0</v>
      </c>
      <c r="AW372" s="72">
        <f t="shared" si="617"/>
        <v>0</v>
      </c>
      <c r="AX372" s="72">
        <f t="shared" si="617"/>
        <v>0</v>
      </c>
      <c r="AY372" s="72">
        <f t="shared" si="617"/>
        <v>0</v>
      </c>
      <c r="AZ372" s="7"/>
      <c r="BA372" s="7"/>
      <c r="BB372" s="7"/>
      <c r="BC372" s="7"/>
      <c r="BD372" s="5"/>
      <c r="BE372" s="5"/>
      <c r="BF372" s="5"/>
      <c r="BG372" s="4">
        <v>366</v>
      </c>
      <c r="BH372"/>
      <c r="BI372"/>
      <c r="BJ372"/>
      <c r="BK372"/>
      <c r="BL372"/>
      <c r="BM372"/>
    </row>
    <row r="373" spans="1:65" s="3" customFormat="1" ht="11.25" outlineLevel="2">
      <c r="A373" s="6"/>
      <c r="B373" s="11"/>
      <c r="C373" s="7"/>
      <c r="D373" s="7"/>
      <c r="E373" s="7"/>
      <c r="F373" s="7"/>
      <c r="G373" s="7"/>
      <c r="H373" s="7"/>
      <c r="I373" s="7"/>
      <c r="J373" s="7"/>
      <c r="K373" s="7"/>
      <c r="L373" s="7"/>
      <c r="M373" s="7"/>
      <c r="N373" s="7"/>
      <c r="O373" s="5"/>
      <c r="P373" s="7"/>
      <c r="Q373" s="7"/>
      <c r="R373" s="7"/>
      <c r="S373" s="7"/>
      <c r="T373" s="7"/>
      <c r="U373" s="7"/>
      <c r="V373" s="7"/>
      <c r="W373" s="7"/>
      <c r="X373" s="7"/>
      <c r="Y373" s="7"/>
      <c r="Z373" s="7"/>
      <c r="AA373" s="7"/>
      <c r="AB373" s="7"/>
      <c r="AC373" s="7"/>
      <c r="AD373" s="7"/>
      <c r="AE373" s="7"/>
      <c r="AF373" s="7"/>
      <c r="AG373" s="7"/>
      <c r="AH373" s="7"/>
      <c r="AI373" s="7"/>
      <c r="AJ373" s="7"/>
      <c r="AK373" s="7"/>
      <c r="AL373" s="7"/>
      <c r="AM373" s="7"/>
      <c r="AN373" s="5"/>
      <c r="AO373" s="5"/>
      <c r="AP373" s="5"/>
      <c r="AQ373" s="5"/>
      <c r="AR373" s="5"/>
      <c r="AS373" s="5"/>
      <c r="AT373" s="5"/>
      <c r="AU373" s="5"/>
      <c r="AV373" s="5"/>
      <c r="AW373" s="5"/>
      <c r="AX373" s="5"/>
      <c r="AY373" s="5"/>
      <c r="AZ373" s="5"/>
      <c r="BA373" s="5"/>
      <c r="BB373" s="5"/>
      <c r="BC373" s="5"/>
      <c r="BD373" s="5"/>
      <c r="BE373" s="5"/>
      <c r="BF373" s="5"/>
      <c r="BG373" s="4">
        <v>367</v>
      </c>
      <c r="BH373"/>
      <c r="BI373"/>
      <c r="BJ373"/>
      <c r="BK373"/>
      <c r="BL373"/>
      <c r="BM373"/>
    </row>
    <row r="374" spans="1:65" s="3" customFormat="1" ht="11.25" outlineLevel="2">
      <c r="A374" s="6"/>
      <c r="B374" s="11" t="s">
        <v>413</v>
      </c>
      <c r="C374" s="7"/>
      <c r="D374" s="7"/>
      <c r="E374" s="7"/>
      <c r="F374" s="7"/>
      <c r="G374" s="7"/>
      <c r="H374" s="7"/>
      <c r="I374" s="7"/>
      <c r="J374" s="7"/>
      <c r="K374" s="7"/>
      <c r="L374" s="7"/>
      <c r="M374" s="7"/>
      <c r="N374" s="7"/>
      <c r="O374" s="5"/>
      <c r="P374" s="7"/>
      <c r="Q374" s="7"/>
      <c r="R374" s="7"/>
      <c r="S374" s="7"/>
      <c r="T374" s="7"/>
      <c r="U374" s="7"/>
      <c r="V374" s="7"/>
      <c r="W374" s="7"/>
      <c r="X374" s="7"/>
      <c r="Y374" s="7"/>
      <c r="Z374" s="7"/>
      <c r="AA374" s="7"/>
      <c r="AB374" s="7"/>
      <c r="AC374" s="7"/>
      <c r="AD374" s="7"/>
      <c r="AE374" s="7"/>
      <c r="AF374" s="7"/>
      <c r="AG374" s="7"/>
      <c r="AH374" s="7"/>
      <c r="AI374" s="7"/>
      <c r="AJ374" s="7"/>
      <c r="AK374" s="7"/>
      <c r="AL374" s="7"/>
      <c r="AM374" s="7">
        <f>0.5*AM286+0.1*AM287</f>
        <v>85.510800000000003</v>
      </c>
      <c r="AN374" s="7">
        <f t="shared" ref="AN374:AY374" si="618">0.5*AN286+0.1*AN287</f>
        <v>88.420456349784843</v>
      </c>
      <c r="AO374" s="7">
        <f t="shared" si="618"/>
        <v>224.66975852045218</v>
      </c>
      <c r="AP374" s="7">
        <f t="shared" si="618"/>
        <v>216.8165581834927</v>
      </c>
      <c r="AQ374" s="7">
        <f t="shared" si="618"/>
        <v>216.04296357498586</v>
      </c>
      <c r="AR374" s="7">
        <f t="shared" si="618"/>
        <v>214.01348378395485</v>
      </c>
      <c r="AS374" s="7">
        <f t="shared" si="618"/>
        <v>210.50138609604377</v>
      </c>
      <c r="AT374" s="7">
        <f t="shared" si="618"/>
        <v>209.05890916321169</v>
      </c>
      <c r="AU374" s="7">
        <f t="shared" si="618"/>
        <v>205.64083425721992</v>
      </c>
      <c r="AV374" s="7">
        <f t="shared" si="618"/>
        <v>209.08422712032169</v>
      </c>
      <c r="AW374" s="7">
        <f t="shared" si="618"/>
        <v>216.9216577452367</v>
      </c>
      <c r="AX374" s="7">
        <f t="shared" si="618"/>
        <v>212.75244361678779</v>
      </c>
      <c r="AY374" s="7">
        <f t="shared" si="618"/>
        <v>206.59214394622981</v>
      </c>
      <c r="AZ374" s="5"/>
      <c r="BA374" s="5"/>
      <c r="BB374" s="5"/>
      <c r="BC374" s="5"/>
      <c r="BD374" s="5"/>
      <c r="BE374" s="5"/>
      <c r="BF374" s="5"/>
      <c r="BG374" s="4">
        <v>368</v>
      </c>
      <c r="BH374"/>
      <c r="BI374"/>
      <c r="BJ374"/>
      <c r="BK374"/>
      <c r="BL374"/>
      <c r="BM374"/>
    </row>
    <row r="375" spans="1:65" s="3" customFormat="1" ht="11.25" outlineLevel="2">
      <c r="A375" s="6"/>
      <c r="B375" s="11" t="s">
        <v>415</v>
      </c>
      <c r="C375" s="7"/>
      <c r="D375" s="7"/>
      <c r="E375" s="7"/>
      <c r="F375" s="7"/>
      <c r="G375" s="7"/>
      <c r="H375" s="7"/>
      <c r="I375" s="7"/>
      <c r="J375" s="7"/>
      <c r="K375" s="7"/>
      <c r="L375" s="7"/>
      <c r="M375" s="7"/>
      <c r="N375" s="7"/>
      <c r="O375" s="5"/>
      <c r="P375" s="7"/>
      <c r="Q375" s="7"/>
      <c r="R375" s="7"/>
      <c r="S375" s="7"/>
      <c r="T375" s="7"/>
      <c r="U375" s="7"/>
      <c r="V375" s="7"/>
      <c r="W375" s="7"/>
      <c r="X375" s="7"/>
      <c r="Y375" s="7"/>
      <c r="Z375" s="7"/>
      <c r="AA375" s="7"/>
      <c r="AB375" s="7"/>
      <c r="AC375" s="7"/>
      <c r="AD375" s="7"/>
      <c r="AE375" s="7"/>
      <c r="AF375" s="7"/>
      <c r="AG375" s="7"/>
      <c r="AH375" s="7"/>
      <c r="AI375" s="7"/>
      <c r="AJ375" s="7"/>
      <c r="AK375" s="7"/>
      <c r="AL375" s="7"/>
      <c r="AM375" s="61">
        <v>125</v>
      </c>
      <c r="AN375" s="61">
        <v>125</v>
      </c>
      <c r="AO375" s="61">
        <v>125</v>
      </c>
      <c r="AP375" s="61">
        <v>125</v>
      </c>
      <c r="AQ375" s="61">
        <v>125</v>
      </c>
      <c r="AR375" s="61">
        <v>125</v>
      </c>
      <c r="AS375" s="61">
        <v>125</v>
      </c>
      <c r="AT375" s="61">
        <v>125</v>
      </c>
      <c r="AU375" s="61">
        <v>125</v>
      </c>
      <c r="AV375" s="61">
        <v>125</v>
      </c>
      <c r="AW375" s="61">
        <v>125</v>
      </c>
      <c r="AX375" s="61">
        <v>125</v>
      </c>
      <c r="AY375" s="61">
        <v>125</v>
      </c>
      <c r="AZ375" s="5"/>
      <c r="BA375" s="5"/>
      <c r="BB375" s="5"/>
      <c r="BC375" s="5"/>
      <c r="BD375" s="5"/>
      <c r="BE375" s="5"/>
      <c r="BF375" s="5"/>
      <c r="BG375" s="4">
        <v>369</v>
      </c>
      <c r="BH375"/>
      <c r="BI375"/>
      <c r="BJ375"/>
      <c r="BK375"/>
      <c r="BL375"/>
      <c r="BM375"/>
    </row>
    <row r="376" spans="1:65" s="3" customFormat="1" ht="11.25" outlineLevel="2">
      <c r="A376" s="6"/>
      <c r="B376" s="11" t="s">
        <v>414</v>
      </c>
      <c r="C376" s="7"/>
      <c r="D376" s="7"/>
      <c r="E376" s="7"/>
      <c r="F376" s="7"/>
      <c r="G376" s="58">
        <f t="shared" ref="G376:N380" si="619">INDEX($P376:$AZ376,1,MATCH(G$5,$P$5:$AZ$5,0))</f>
        <v>0</v>
      </c>
      <c r="H376" s="58">
        <f t="shared" si="619"/>
        <v>125</v>
      </c>
      <c r="I376" s="58">
        <f t="shared" si="619"/>
        <v>31.25</v>
      </c>
      <c r="J376" s="58">
        <f t="shared" si="619"/>
        <v>31.25</v>
      </c>
      <c r="K376" s="58">
        <f t="shared" si="619"/>
        <v>85.510800000000003</v>
      </c>
      <c r="L376" s="58">
        <f t="shared" si="619"/>
        <v>125</v>
      </c>
      <c r="M376" s="58">
        <f t="shared" si="619"/>
        <v>125</v>
      </c>
      <c r="N376" s="58">
        <f t="shared" si="619"/>
        <v>125</v>
      </c>
      <c r="O376" s="5"/>
      <c r="P376" s="7"/>
      <c r="Q376" s="7"/>
      <c r="R376" s="7"/>
      <c r="S376" s="7"/>
      <c r="T376" s="7"/>
      <c r="U376" s="7"/>
      <c r="V376" s="7"/>
      <c r="W376" s="7"/>
      <c r="X376" s="7"/>
      <c r="Y376" s="7"/>
      <c r="Z376" s="61"/>
      <c r="AA376" s="61">
        <v>125</v>
      </c>
      <c r="AB376" s="61">
        <v>125</v>
      </c>
      <c r="AC376" s="61">
        <v>125</v>
      </c>
      <c r="AD376" s="61">
        <f>IF(AD403&gt;4.75,40,100)</f>
        <v>40</v>
      </c>
      <c r="AE376" s="70">
        <f>IF(AE403&gt;4.75,IF(AE402&lt;AE401,31.25,40),100)</f>
        <v>31.25</v>
      </c>
      <c r="AF376" s="70">
        <f>IF(AF403&gt;4.75,IF(AF402&lt;AF401,31.25,40),100)</f>
        <v>31.25</v>
      </c>
      <c r="AG376" s="70">
        <f>IF(AG403&gt;4.75,IF(AG402&lt;AG401,31.25,40),100)</f>
        <v>31.25</v>
      </c>
      <c r="AH376" s="70">
        <f>IF(AH403&gt;4.75,IF(AH402&lt;AH401,31.25,40),100)</f>
        <v>31.25</v>
      </c>
      <c r="AI376" s="71">
        <f>IF(AI403&gt;4.75,IF(AI402&lt;AI401,31.25,40),100)</f>
        <v>31.25</v>
      </c>
      <c r="AJ376" s="70">
        <f>IF(AJ403&gt;4.75,40,100)</f>
        <v>40</v>
      </c>
      <c r="AK376" s="61">
        <f>IF(AK403&gt;4.75,40,100)</f>
        <v>40</v>
      </c>
      <c r="AL376" s="61">
        <v>125</v>
      </c>
      <c r="AM376" s="7">
        <f>MIN(AM375,AM374)</f>
        <v>85.510800000000003</v>
      </c>
      <c r="AN376" s="7">
        <f t="shared" ref="AN376:AY376" si="620">MIN(AN375,AN374)</f>
        <v>88.420456349784843</v>
      </c>
      <c r="AO376" s="7">
        <f t="shared" si="620"/>
        <v>125</v>
      </c>
      <c r="AP376" s="7">
        <f t="shared" si="620"/>
        <v>125</v>
      </c>
      <c r="AQ376" s="7">
        <f t="shared" si="620"/>
        <v>125</v>
      </c>
      <c r="AR376" s="7">
        <f t="shared" si="620"/>
        <v>125</v>
      </c>
      <c r="AS376" s="7">
        <f t="shared" si="620"/>
        <v>125</v>
      </c>
      <c r="AT376" s="7">
        <f t="shared" si="620"/>
        <v>125</v>
      </c>
      <c r="AU376" s="7">
        <f t="shared" si="620"/>
        <v>125</v>
      </c>
      <c r="AV376" s="7">
        <f t="shared" si="620"/>
        <v>125</v>
      </c>
      <c r="AW376" s="7">
        <f t="shared" si="620"/>
        <v>125</v>
      </c>
      <c r="AX376" s="7">
        <f t="shared" si="620"/>
        <v>125</v>
      </c>
      <c r="AY376" s="7">
        <f t="shared" si="620"/>
        <v>125</v>
      </c>
      <c r="AZ376" s="61"/>
      <c r="BA376" s="61"/>
      <c r="BB376" s="61"/>
      <c r="BC376" s="61"/>
      <c r="BD376" s="5"/>
      <c r="BE376" s="5"/>
      <c r="BF376" s="5"/>
      <c r="BG376" s="4">
        <v>370</v>
      </c>
      <c r="BH376"/>
      <c r="BI376"/>
      <c r="BJ376"/>
      <c r="BK376"/>
      <c r="BL376"/>
      <c r="BM376"/>
    </row>
    <row r="377" spans="1:65" s="3" customFormat="1" ht="11.25" outlineLevel="2">
      <c r="A377" s="6"/>
      <c r="B377" s="11" t="s">
        <v>82</v>
      </c>
      <c r="C377" s="7"/>
      <c r="D377" s="7"/>
      <c r="E377" s="7"/>
      <c r="F377" s="7"/>
      <c r="G377" s="58">
        <f t="shared" si="619"/>
        <v>0</v>
      </c>
      <c r="H377" s="58">
        <f t="shared" si="619"/>
        <v>-11.5</v>
      </c>
      <c r="I377" s="58">
        <f t="shared" si="619"/>
        <v>-11.532999999999999</v>
      </c>
      <c r="J377" s="58">
        <f t="shared" si="619"/>
        <v>-13.818</v>
      </c>
      <c r="K377" s="58">
        <f t="shared" si="619"/>
        <v>-15.558</v>
      </c>
      <c r="L377" s="58">
        <f t="shared" si="619"/>
        <v>-15.558</v>
      </c>
      <c r="M377" s="58">
        <f t="shared" si="619"/>
        <v>-15.558</v>
      </c>
      <c r="N377" s="58">
        <f t="shared" si="619"/>
        <v>-15.558</v>
      </c>
      <c r="O377" s="5"/>
      <c r="P377" s="7"/>
      <c r="Q377" s="7"/>
      <c r="R377" s="7"/>
      <c r="S377" s="7"/>
      <c r="T377" s="7"/>
      <c r="U377" s="7"/>
      <c r="V377" s="7"/>
      <c r="W377" s="7"/>
      <c r="X377" s="7"/>
      <c r="Y377" s="7"/>
      <c r="Z377" s="61"/>
      <c r="AA377" s="61">
        <v>-11.5</v>
      </c>
      <c r="AB377" s="61">
        <v>-11.5</v>
      </c>
      <c r="AC377" s="61">
        <v>-11.5</v>
      </c>
      <c r="AD377" s="61">
        <v>-11.532999999999999</v>
      </c>
      <c r="AE377" s="61">
        <v>-11.532999999999999</v>
      </c>
      <c r="AF377" s="61">
        <v>-12.927</v>
      </c>
      <c r="AG377" s="61">
        <v>-12.927</v>
      </c>
      <c r="AH377" s="61">
        <v>-13.818</v>
      </c>
      <c r="AI377" s="61">
        <v>-13.818</v>
      </c>
      <c r="AJ377" s="61">
        <v>-15.505000000000001</v>
      </c>
      <c r="AK377" s="61">
        <v>-15.27</v>
      </c>
      <c r="AL377" s="61">
        <v>-15.257999999999999</v>
      </c>
      <c r="AM377" s="61">
        <v>-15.558</v>
      </c>
      <c r="AN377" s="61">
        <f t="shared" ref="AN377:AY377" si="621">AM377</f>
        <v>-15.558</v>
      </c>
      <c r="AO377" s="61">
        <f t="shared" si="621"/>
        <v>-15.558</v>
      </c>
      <c r="AP377" s="61">
        <f t="shared" si="621"/>
        <v>-15.558</v>
      </c>
      <c r="AQ377" s="61">
        <f t="shared" si="621"/>
        <v>-15.558</v>
      </c>
      <c r="AR377" s="61">
        <f t="shared" si="621"/>
        <v>-15.558</v>
      </c>
      <c r="AS377" s="61">
        <f t="shared" si="621"/>
        <v>-15.558</v>
      </c>
      <c r="AT377" s="61">
        <f t="shared" si="621"/>
        <v>-15.558</v>
      </c>
      <c r="AU377" s="61">
        <f t="shared" si="621"/>
        <v>-15.558</v>
      </c>
      <c r="AV377" s="61">
        <f t="shared" si="621"/>
        <v>-15.558</v>
      </c>
      <c r="AW377" s="61">
        <f t="shared" si="621"/>
        <v>-15.558</v>
      </c>
      <c r="AX377" s="61">
        <f t="shared" si="621"/>
        <v>-15.558</v>
      </c>
      <c r="AY377" s="61">
        <f t="shared" si="621"/>
        <v>-15.558</v>
      </c>
      <c r="AZ377" s="61"/>
      <c r="BA377" s="61"/>
      <c r="BB377" s="61"/>
      <c r="BC377" s="61"/>
      <c r="BD377" s="5"/>
      <c r="BE377" s="5"/>
      <c r="BF377" s="5"/>
      <c r="BG377" s="4">
        <v>371</v>
      </c>
      <c r="BH377"/>
      <c r="BI377"/>
      <c r="BJ377"/>
      <c r="BK377"/>
      <c r="BL377"/>
      <c r="BM377"/>
    </row>
    <row r="378" spans="1:65" s="3" customFormat="1" ht="11.25" outlineLevel="2">
      <c r="A378" s="6"/>
      <c r="B378" s="11" t="s">
        <v>81</v>
      </c>
      <c r="C378" s="7"/>
      <c r="D378" s="7"/>
      <c r="E378" s="7"/>
      <c r="F378" s="7"/>
      <c r="G378" s="58">
        <f t="shared" si="619"/>
        <v>0</v>
      </c>
      <c r="H378" s="58">
        <f t="shared" si="619"/>
        <v>113.5</v>
      </c>
      <c r="I378" s="58">
        <f t="shared" si="619"/>
        <v>19.716999999999999</v>
      </c>
      <c r="J378" s="58">
        <f t="shared" si="619"/>
        <v>17.432000000000002</v>
      </c>
      <c r="K378" s="58">
        <f t="shared" si="619"/>
        <v>69.952799999999996</v>
      </c>
      <c r="L378" s="58">
        <f t="shared" si="619"/>
        <v>109.44200000000001</v>
      </c>
      <c r="M378" s="58">
        <f t="shared" si="619"/>
        <v>109.44200000000001</v>
      </c>
      <c r="N378" s="58">
        <f t="shared" si="619"/>
        <v>109.44200000000001</v>
      </c>
      <c r="O378" s="5"/>
      <c r="P378" s="7"/>
      <c r="Q378" s="7"/>
      <c r="R378" s="7"/>
      <c r="S378" s="7"/>
      <c r="T378" s="7"/>
      <c r="U378" s="7"/>
      <c r="V378" s="7"/>
      <c r="W378" s="7"/>
      <c r="X378" s="7"/>
      <c r="Y378" s="7"/>
      <c r="Z378" s="7"/>
      <c r="AA378" s="7">
        <f t="shared" ref="AA378:AY378" si="622">SUM(AA376:AA377)</f>
        <v>113.5</v>
      </c>
      <c r="AB378" s="7">
        <f t="shared" si="622"/>
        <v>113.5</v>
      </c>
      <c r="AC378" s="7">
        <f t="shared" si="622"/>
        <v>113.5</v>
      </c>
      <c r="AD378" s="7">
        <f t="shared" si="622"/>
        <v>28.466999999999999</v>
      </c>
      <c r="AE378" s="7">
        <f t="shared" si="622"/>
        <v>19.716999999999999</v>
      </c>
      <c r="AF378" s="7">
        <f t="shared" si="622"/>
        <v>18.323</v>
      </c>
      <c r="AG378" s="7">
        <f t="shared" si="622"/>
        <v>18.323</v>
      </c>
      <c r="AH378" s="7">
        <f t="shared" si="622"/>
        <v>17.432000000000002</v>
      </c>
      <c r="AI378" s="7">
        <f t="shared" si="622"/>
        <v>17.432000000000002</v>
      </c>
      <c r="AJ378" s="7">
        <f t="shared" si="622"/>
        <v>24.494999999999997</v>
      </c>
      <c r="AK378" s="7">
        <f t="shared" si="622"/>
        <v>24.73</v>
      </c>
      <c r="AL378" s="7">
        <f t="shared" si="622"/>
        <v>109.742</v>
      </c>
      <c r="AM378" s="7">
        <f t="shared" si="622"/>
        <v>69.952799999999996</v>
      </c>
      <c r="AN378" s="7">
        <f t="shared" si="622"/>
        <v>72.86245634978485</v>
      </c>
      <c r="AO378" s="7">
        <f t="shared" si="622"/>
        <v>109.44200000000001</v>
      </c>
      <c r="AP378" s="7">
        <f t="shared" si="622"/>
        <v>109.44200000000001</v>
      </c>
      <c r="AQ378" s="7">
        <f t="shared" si="622"/>
        <v>109.44200000000001</v>
      </c>
      <c r="AR378" s="7">
        <f t="shared" si="622"/>
        <v>109.44200000000001</v>
      </c>
      <c r="AS378" s="7">
        <f t="shared" si="622"/>
        <v>109.44200000000001</v>
      </c>
      <c r="AT378" s="7">
        <f t="shared" si="622"/>
        <v>109.44200000000001</v>
      </c>
      <c r="AU378" s="7">
        <f t="shared" si="622"/>
        <v>109.44200000000001</v>
      </c>
      <c r="AV378" s="7">
        <f t="shared" si="622"/>
        <v>109.44200000000001</v>
      </c>
      <c r="AW378" s="7">
        <f t="shared" si="622"/>
        <v>109.44200000000001</v>
      </c>
      <c r="AX378" s="7">
        <f t="shared" si="622"/>
        <v>109.44200000000001</v>
      </c>
      <c r="AY378" s="7">
        <f t="shared" si="622"/>
        <v>109.44200000000001</v>
      </c>
      <c r="AZ378" s="7"/>
      <c r="BA378" s="7"/>
      <c r="BB378" s="7"/>
      <c r="BC378" s="7"/>
      <c r="BD378" s="5"/>
      <c r="BE378" s="5"/>
      <c r="BF378" s="5"/>
      <c r="BG378" s="4">
        <v>372</v>
      </c>
      <c r="BH378"/>
      <c r="BI378"/>
      <c r="BJ378"/>
      <c r="BK378"/>
      <c r="BL378"/>
      <c r="BM378"/>
    </row>
    <row r="379" spans="1:65" s="3" customFormat="1" ht="11.25" outlineLevel="2">
      <c r="A379" s="6"/>
      <c r="B379" s="11" t="s">
        <v>80</v>
      </c>
      <c r="C379" s="7"/>
      <c r="D379" s="7"/>
      <c r="E379" s="7"/>
      <c r="F379" s="7"/>
      <c r="G379" s="58">
        <f t="shared" si="619"/>
        <v>0</v>
      </c>
      <c r="H379" s="58">
        <f t="shared" si="619"/>
        <v>113.5</v>
      </c>
      <c r="I379" s="58">
        <f t="shared" si="619"/>
        <v>19.716999999999999</v>
      </c>
      <c r="J379" s="58">
        <f t="shared" si="619"/>
        <v>17.432000000000002</v>
      </c>
      <c r="K379" s="58">
        <f t="shared" si="619"/>
        <v>69.952799999999996</v>
      </c>
      <c r="L379" s="58">
        <f t="shared" si="619"/>
        <v>109.44200000000001</v>
      </c>
      <c r="M379" s="58">
        <f t="shared" si="619"/>
        <v>109.44200000000001</v>
      </c>
      <c r="N379" s="58">
        <f t="shared" si="619"/>
        <v>109.44200000000001</v>
      </c>
      <c r="O379" s="5"/>
      <c r="P379" s="7"/>
      <c r="Q379" s="7"/>
      <c r="R379" s="7"/>
      <c r="S379" s="7"/>
      <c r="T379" s="7"/>
      <c r="U379" s="7"/>
      <c r="V379" s="7"/>
      <c r="W379" s="7"/>
      <c r="X379" s="7"/>
      <c r="Y379" s="7"/>
      <c r="Z379" s="7"/>
      <c r="AA379" s="7">
        <f t="shared" ref="AA379:AY379" si="623">+AA378-AA368</f>
        <v>113.5</v>
      </c>
      <c r="AB379" s="7">
        <f t="shared" si="623"/>
        <v>113.5</v>
      </c>
      <c r="AC379" s="7">
        <f t="shared" si="623"/>
        <v>113.5</v>
      </c>
      <c r="AD379" s="7">
        <f t="shared" si="623"/>
        <v>28.466999999999999</v>
      </c>
      <c r="AE379" s="7">
        <f t="shared" si="623"/>
        <v>19.716999999999999</v>
      </c>
      <c r="AF379" s="7">
        <f t="shared" si="623"/>
        <v>18.323</v>
      </c>
      <c r="AG379" s="7">
        <f t="shared" si="623"/>
        <v>18.323</v>
      </c>
      <c r="AH379" s="7">
        <f t="shared" si="623"/>
        <v>17.432000000000002</v>
      </c>
      <c r="AI379" s="7">
        <f t="shared" si="623"/>
        <v>17.432000000000002</v>
      </c>
      <c r="AJ379" s="7">
        <f t="shared" si="623"/>
        <v>24.494999999999997</v>
      </c>
      <c r="AK379" s="7">
        <f t="shared" si="623"/>
        <v>24.73</v>
      </c>
      <c r="AL379" s="7">
        <f t="shared" si="623"/>
        <v>109.742</v>
      </c>
      <c r="AM379" s="7">
        <f t="shared" si="623"/>
        <v>69.952799999999996</v>
      </c>
      <c r="AN379" s="7">
        <f t="shared" si="623"/>
        <v>63.511505150652795</v>
      </c>
      <c r="AO379" s="7">
        <f t="shared" si="623"/>
        <v>109.44200000000001</v>
      </c>
      <c r="AP379" s="7">
        <f t="shared" si="623"/>
        <v>109.44200000000001</v>
      </c>
      <c r="AQ379" s="7">
        <f t="shared" si="623"/>
        <v>109.44200000000001</v>
      </c>
      <c r="AR379" s="7">
        <f t="shared" si="623"/>
        <v>109.44200000000001</v>
      </c>
      <c r="AS379" s="7">
        <f t="shared" si="623"/>
        <v>109.44200000000001</v>
      </c>
      <c r="AT379" s="7">
        <f t="shared" si="623"/>
        <v>109.44200000000001</v>
      </c>
      <c r="AU379" s="7">
        <f t="shared" si="623"/>
        <v>109.44200000000001</v>
      </c>
      <c r="AV379" s="7">
        <f t="shared" si="623"/>
        <v>109.44200000000001</v>
      </c>
      <c r="AW379" s="7">
        <f t="shared" si="623"/>
        <v>109.44200000000001</v>
      </c>
      <c r="AX379" s="7">
        <f t="shared" si="623"/>
        <v>109.44200000000001</v>
      </c>
      <c r="AY379" s="7">
        <f t="shared" si="623"/>
        <v>109.44200000000001</v>
      </c>
      <c r="AZ379" s="7"/>
      <c r="BA379" s="7"/>
      <c r="BB379" s="7"/>
      <c r="BC379" s="7"/>
      <c r="BD379" s="5"/>
      <c r="BE379" s="5"/>
      <c r="BF379" s="5"/>
      <c r="BG379" s="4">
        <v>373</v>
      </c>
      <c r="BH379"/>
      <c r="BI379"/>
      <c r="BJ379"/>
      <c r="BK379"/>
      <c r="BL379"/>
      <c r="BM379"/>
    </row>
    <row r="380" spans="1:65" s="3" customFormat="1" ht="11.25" outlineLevel="2">
      <c r="A380" s="6"/>
      <c r="B380" s="11" t="s">
        <v>79</v>
      </c>
      <c r="C380" s="7"/>
      <c r="D380" s="7"/>
      <c r="E380" s="7"/>
      <c r="F380" s="7"/>
      <c r="G380" s="58">
        <f t="shared" si="619"/>
        <v>0</v>
      </c>
      <c r="H380" s="58">
        <f t="shared" si="619"/>
        <v>190.423</v>
      </c>
      <c r="I380" s="58">
        <f t="shared" si="619"/>
        <v>191.20299999999997</v>
      </c>
      <c r="J380" s="58">
        <f t="shared" si="619"/>
        <v>211.50100000000003</v>
      </c>
      <c r="K380" s="58">
        <f t="shared" si="619"/>
        <v>197.91980000000001</v>
      </c>
      <c r="L380" s="58">
        <f t="shared" si="619"/>
        <v>738.98376021528793</v>
      </c>
      <c r="M380" s="58">
        <f t="shared" si="619"/>
        <v>1155.6245159720763</v>
      </c>
      <c r="N380" s="58">
        <f t="shared" si="619"/>
        <v>1557.515428954511</v>
      </c>
      <c r="O380" s="5"/>
      <c r="P380" s="7"/>
      <c r="Q380" s="7"/>
      <c r="R380" s="7"/>
      <c r="S380" s="7"/>
      <c r="T380" s="7"/>
      <c r="U380" s="7"/>
      <c r="V380" s="7"/>
      <c r="W380" s="7"/>
      <c r="X380" s="7"/>
      <c r="Y380" s="7"/>
      <c r="Z380" s="7"/>
      <c r="AA380" s="7">
        <f t="shared" ref="AA380:AY380" si="624">+AA379+AA285</f>
        <v>190.423</v>
      </c>
      <c r="AB380" s="7">
        <f t="shared" si="624"/>
        <v>231.87200000000001</v>
      </c>
      <c r="AC380" s="7">
        <f t="shared" si="624"/>
        <v>288.988</v>
      </c>
      <c r="AD380" s="7">
        <f t="shared" si="624"/>
        <v>207.947</v>
      </c>
      <c r="AE380" s="7">
        <f t="shared" si="624"/>
        <v>191.20299999999997</v>
      </c>
      <c r="AF380" s="7">
        <f t="shared" si="624"/>
        <v>162.19500000000002</v>
      </c>
      <c r="AG380" s="7">
        <f t="shared" si="624"/>
        <v>79.957999999999998</v>
      </c>
      <c r="AH380" s="7">
        <f t="shared" si="624"/>
        <v>230.86599999999999</v>
      </c>
      <c r="AI380" s="7">
        <f t="shared" si="624"/>
        <v>211.50100000000003</v>
      </c>
      <c r="AJ380" s="7">
        <f t="shared" si="624"/>
        <v>235.15899999999999</v>
      </c>
      <c r="AK380" s="7">
        <f t="shared" si="624"/>
        <v>203.25699999999998</v>
      </c>
      <c r="AL380" s="7">
        <f t="shared" si="624"/>
        <v>297.99900000000002</v>
      </c>
      <c r="AM380" s="7">
        <f t="shared" si="624"/>
        <v>197.91980000000001</v>
      </c>
      <c r="AN380" s="7">
        <f t="shared" si="624"/>
        <v>208.4945051506526</v>
      </c>
      <c r="AO380" s="7">
        <f t="shared" si="624"/>
        <v>442.67492723749081</v>
      </c>
      <c r="AP380" s="7">
        <f t="shared" si="624"/>
        <v>600.32139549846499</v>
      </c>
      <c r="AQ380" s="7">
        <f t="shared" si="624"/>
        <v>738.98376021528793</v>
      </c>
      <c r="AR380" s="7">
        <f t="shared" si="624"/>
        <v>849.68790328247087</v>
      </c>
      <c r="AS380" s="7">
        <f t="shared" si="624"/>
        <v>955.27063381941059</v>
      </c>
      <c r="AT380" s="7">
        <f t="shared" si="624"/>
        <v>1057.1613932539644</v>
      </c>
      <c r="AU380" s="7">
        <f t="shared" si="624"/>
        <v>1155.6245159720763</v>
      </c>
      <c r="AV380" s="7">
        <f t="shared" si="624"/>
        <v>1245.6670698546275</v>
      </c>
      <c r="AW380" s="7">
        <f t="shared" si="624"/>
        <v>1339.7699574069366</v>
      </c>
      <c r="AX380" s="7">
        <f t="shared" si="624"/>
        <v>1452.7218743577127</v>
      </c>
      <c r="AY380" s="7">
        <f t="shared" si="624"/>
        <v>1557.515428954511</v>
      </c>
      <c r="AZ380" s="7"/>
      <c r="BA380" s="7"/>
      <c r="BB380" s="7"/>
      <c r="BC380" s="7"/>
      <c r="BD380" s="5"/>
      <c r="BE380" s="5"/>
      <c r="BF380" s="5"/>
      <c r="BG380" s="4">
        <v>374</v>
      </c>
      <c r="BH380"/>
      <c r="BI380"/>
      <c r="BJ380"/>
      <c r="BK380"/>
      <c r="BL380"/>
      <c r="BM380"/>
    </row>
    <row r="381" spans="1:65" s="3" customFormat="1" ht="11.25" outlineLevel="2">
      <c r="A381" s="6"/>
      <c r="B381" s="11"/>
      <c r="C381" s="7"/>
      <c r="D381" s="7"/>
      <c r="E381" s="7"/>
      <c r="F381" s="7"/>
      <c r="G381" s="58"/>
      <c r="H381" s="58"/>
      <c r="I381" s="58"/>
      <c r="J381" s="58"/>
      <c r="K381" s="58"/>
      <c r="L381" s="58"/>
      <c r="M381" s="58"/>
      <c r="N381" s="58"/>
      <c r="O381" s="5"/>
      <c r="P381" s="7"/>
      <c r="Q381" s="7"/>
      <c r="R381" s="7"/>
      <c r="S381" s="7"/>
      <c r="T381" s="7"/>
      <c r="U381" s="7"/>
      <c r="V381" s="7"/>
      <c r="W381" s="7"/>
      <c r="X381" s="7"/>
      <c r="Y381" s="7"/>
      <c r="Z381" s="7"/>
      <c r="AA381" s="7"/>
      <c r="AB381" s="7"/>
      <c r="AC381" s="7"/>
      <c r="AD381" s="7"/>
      <c r="AE381" s="7"/>
      <c r="AF381" s="7"/>
      <c r="AG381" s="7"/>
      <c r="AH381" s="7"/>
      <c r="AI381" s="7"/>
      <c r="AJ381" s="7"/>
      <c r="AK381" s="7"/>
      <c r="AL381" s="7"/>
      <c r="AM381" s="7"/>
      <c r="AN381" s="7"/>
      <c r="AO381" s="7"/>
      <c r="AP381" s="7"/>
      <c r="AQ381" s="7"/>
      <c r="AR381" s="7"/>
      <c r="AS381" s="7"/>
      <c r="AT381" s="7"/>
      <c r="AU381" s="7"/>
      <c r="AV381" s="7"/>
      <c r="AW381" s="7"/>
      <c r="AX381" s="7"/>
      <c r="AY381" s="7"/>
      <c r="AZ381" s="7"/>
      <c r="BA381" s="7"/>
      <c r="BB381" s="7"/>
      <c r="BC381" s="7"/>
      <c r="BD381" s="5"/>
      <c r="BE381" s="5"/>
      <c r="BF381" s="5"/>
      <c r="BG381" s="4">
        <v>375</v>
      </c>
      <c r="BH381"/>
      <c r="BI381"/>
      <c r="BJ381"/>
      <c r="BK381"/>
      <c r="BL381"/>
      <c r="BM381"/>
    </row>
    <row r="382" spans="1:65" s="3" customFormat="1" ht="11.25" outlineLevel="2">
      <c r="A382" s="6"/>
      <c r="B382" s="11" t="s">
        <v>78</v>
      </c>
      <c r="C382" s="7"/>
      <c r="D382" s="7"/>
      <c r="E382" s="7"/>
      <c r="F382" s="7"/>
      <c r="G382" s="58">
        <f t="shared" ref="G382:N383" si="625">INDEX($P382:$AZ382,1,MATCH(G$5,$P$5:$AZ$5,0))</f>
        <v>0</v>
      </c>
      <c r="H382" s="58">
        <f t="shared" si="625"/>
        <v>17.274000000000001</v>
      </c>
      <c r="I382" s="58">
        <f t="shared" si="625"/>
        <v>17.536000000000001</v>
      </c>
      <c r="J382" s="58">
        <f t="shared" si="625"/>
        <v>10.707000000000001</v>
      </c>
      <c r="K382" s="58">
        <f t="shared" si="625"/>
        <v>19.189</v>
      </c>
      <c r="L382" s="58">
        <f t="shared" si="625"/>
        <v>43.25</v>
      </c>
      <c r="M382" s="58">
        <f t="shared" si="625"/>
        <v>43.25</v>
      </c>
      <c r="N382" s="58">
        <f t="shared" si="625"/>
        <v>0</v>
      </c>
      <c r="O382" s="5"/>
      <c r="P382" s="7"/>
      <c r="Q382" s="7"/>
      <c r="R382" s="7"/>
      <c r="S382" s="7"/>
      <c r="T382" s="7"/>
      <c r="U382" s="7"/>
      <c r="V382" s="7"/>
      <c r="W382" s="7"/>
      <c r="X382" s="7"/>
      <c r="Y382" s="7"/>
      <c r="Z382" s="7">
        <f t="shared" ref="Z382:AM382" si="626">Z298</f>
        <v>15.597</v>
      </c>
      <c r="AA382" s="7">
        <f t="shared" si="626"/>
        <v>17.274000000000001</v>
      </c>
      <c r="AB382" s="7">
        <f t="shared" si="626"/>
        <v>17.277000000000001</v>
      </c>
      <c r="AC382" s="7">
        <f t="shared" si="626"/>
        <v>16.797000000000001</v>
      </c>
      <c r="AD382" s="7">
        <f t="shared" si="626"/>
        <v>17.196999999999999</v>
      </c>
      <c r="AE382" s="7">
        <f t="shared" si="626"/>
        <v>17.536000000000001</v>
      </c>
      <c r="AF382" s="7">
        <f t="shared" si="626"/>
        <v>100.307</v>
      </c>
      <c r="AG382" s="7">
        <f t="shared" si="626"/>
        <v>30.677</v>
      </c>
      <c r="AH382" s="7">
        <f t="shared" si="626"/>
        <v>30.393999999999998</v>
      </c>
      <c r="AI382" s="7">
        <f t="shared" si="626"/>
        <v>10.707000000000001</v>
      </c>
      <c r="AJ382" s="7">
        <f t="shared" si="626"/>
        <v>11.617000000000001</v>
      </c>
      <c r="AK382" s="7">
        <f t="shared" si="626"/>
        <v>12.172000000000001</v>
      </c>
      <c r="AL382" s="7">
        <f t="shared" si="626"/>
        <v>11.772</v>
      </c>
      <c r="AM382" s="7">
        <f t="shared" si="626"/>
        <v>19.189</v>
      </c>
      <c r="AN382" s="69">
        <v>12</v>
      </c>
      <c r="AO382" s="7">
        <f t="shared" ref="AO382:AY382" si="627">-SUM(AP391:AS391)</f>
        <v>43.25</v>
      </c>
      <c r="AP382" s="7">
        <f t="shared" si="627"/>
        <v>43.25</v>
      </c>
      <c r="AQ382" s="7">
        <f t="shared" si="627"/>
        <v>43.25</v>
      </c>
      <c r="AR382" s="7">
        <f t="shared" si="627"/>
        <v>43.25</v>
      </c>
      <c r="AS382" s="7">
        <f t="shared" si="627"/>
        <v>43.25</v>
      </c>
      <c r="AT382" s="7">
        <f t="shared" si="627"/>
        <v>43.25</v>
      </c>
      <c r="AU382" s="7">
        <f t="shared" si="627"/>
        <v>43.25</v>
      </c>
      <c r="AV382" s="7">
        <f t="shared" si="627"/>
        <v>32.4375</v>
      </c>
      <c r="AW382" s="7">
        <f t="shared" si="627"/>
        <v>21.625</v>
      </c>
      <c r="AX382" s="7">
        <f t="shared" si="627"/>
        <v>10.8125</v>
      </c>
      <c r="AY382" s="7">
        <f t="shared" si="627"/>
        <v>0</v>
      </c>
      <c r="AZ382" s="61"/>
      <c r="BA382" s="61"/>
      <c r="BB382" s="61"/>
      <c r="BC382" s="61"/>
      <c r="BD382" s="5"/>
      <c r="BE382" s="5"/>
      <c r="BF382" s="5"/>
      <c r="BG382" s="4">
        <v>376</v>
      </c>
      <c r="BH382"/>
      <c r="BI382"/>
      <c r="BJ382"/>
      <c r="BK382"/>
      <c r="BL382"/>
      <c r="BM382"/>
    </row>
    <row r="383" spans="1:65" s="3" customFormat="1" ht="11.25" outlineLevel="2">
      <c r="A383" s="6"/>
      <c r="B383" s="11" t="s">
        <v>77</v>
      </c>
      <c r="C383" s="7"/>
      <c r="D383" s="7"/>
      <c r="E383" s="7"/>
      <c r="F383" s="7"/>
      <c r="G383" s="58">
        <f t="shared" si="625"/>
        <v>0</v>
      </c>
      <c r="H383" s="58">
        <f t="shared" si="625"/>
        <v>1235.3649999999998</v>
      </c>
      <c r="I383" s="58">
        <f t="shared" si="625"/>
        <v>1220.28</v>
      </c>
      <c r="J383" s="58">
        <f t="shared" si="625"/>
        <v>840.28099999999995</v>
      </c>
      <c r="K383" s="58">
        <f t="shared" si="625"/>
        <v>734.75800000000004</v>
      </c>
      <c r="L383" s="58">
        <f t="shared" si="625"/>
        <v>1644.0650000000001</v>
      </c>
      <c r="M383" s="58">
        <f t="shared" si="625"/>
        <v>1600.8150000000001</v>
      </c>
      <c r="N383" s="58">
        <f t="shared" si="625"/>
        <v>1600.8150000000001</v>
      </c>
      <c r="O383" s="5"/>
      <c r="P383" s="7"/>
      <c r="Q383" s="7"/>
      <c r="R383" s="7"/>
      <c r="S383" s="7"/>
      <c r="T383" s="7"/>
      <c r="U383" s="7"/>
      <c r="V383" s="7"/>
      <c r="W383" s="7"/>
      <c r="X383" s="7"/>
      <c r="Y383" s="7"/>
      <c r="Z383" s="7">
        <f t="shared" ref="Z383:AM383" si="628">Z369-Z382</f>
        <v>1235.885</v>
      </c>
      <c r="AA383" s="7">
        <f t="shared" si="628"/>
        <v>1235.3649999999998</v>
      </c>
      <c r="AB383" s="7">
        <f t="shared" si="628"/>
        <v>1233.5440000000001</v>
      </c>
      <c r="AC383" s="7">
        <f t="shared" si="628"/>
        <v>1229.6532</v>
      </c>
      <c r="AD383" s="7">
        <f t="shared" si="628"/>
        <v>1224.3110000000001</v>
      </c>
      <c r="AE383" s="7">
        <f t="shared" si="628"/>
        <v>1220.28</v>
      </c>
      <c r="AF383" s="7">
        <f t="shared" si="628"/>
        <v>1133.1949999999999</v>
      </c>
      <c r="AG383" s="7">
        <f t="shared" si="628"/>
        <v>1128.421</v>
      </c>
      <c r="AH383" s="7">
        <f t="shared" si="628"/>
        <v>1125.2089999999998</v>
      </c>
      <c r="AI383" s="7">
        <f t="shared" si="628"/>
        <v>840.28099999999995</v>
      </c>
      <c r="AJ383" s="7">
        <f t="shared" si="628"/>
        <v>840.73099999999999</v>
      </c>
      <c r="AK383" s="7">
        <f t="shared" si="628"/>
        <v>790.06399999999996</v>
      </c>
      <c r="AL383" s="7">
        <f t="shared" si="628"/>
        <v>788.16699999999992</v>
      </c>
      <c r="AM383" s="7">
        <f t="shared" si="628"/>
        <v>734.75800000000004</v>
      </c>
      <c r="AN383" s="7">
        <f t="shared" ref="AN383:AY383" si="629">AN371-AN382</f>
        <v>741.40595119913201</v>
      </c>
      <c r="AO383" s="7">
        <f t="shared" si="629"/>
        <v>1665.69</v>
      </c>
      <c r="AP383" s="7">
        <f t="shared" si="629"/>
        <v>1654.8775000000001</v>
      </c>
      <c r="AQ383" s="7">
        <f t="shared" si="629"/>
        <v>1644.0650000000001</v>
      </c>
      <c r="AR383" s="7">
        <f t="shared" si="629"/>
        <v>1633.2525000000001</v>
      </c>
      <c r="AS383" s="7">
        <f t="shared" si="629"/>
        <v>1622.44</v>
      </c>
      <c r="AT383" s="7">
        <f t="shared" si="629"/>
        <v>1611.6275000000001</v>
      </c>
      <c r="AU383" s="7">
        <f t="shared" si="629"/>
        <v>1600.8150000000001</v>
      </c>
      <c r="AV383" s="7">
        <f t="shared" si="629"/>
        <v>1600.8150000000001</v>
      </c>
      <c r="AW383" s="7">
        <f t="shared" si="629"/>
        <v>1600.8150000000001</v>
      </c>
      <c r="AX383" s="7">
        <f t="shared" si="629"/>
        <v>1600.8150000000001</v>
      </c>
      <c r="AY383" s="7">
        <f t="shared" si="629"/>
        <v>1600.8150000000001</v>
      </c>
      <c r="AZ383" s="7"/>
      <c r="BA383" s="7"/>
      <c r="BB383" s="7"/>
      <c r="BC383" s="7"/>
      <c r="BD383" s="5"/>
      <c r="BE383" s="5"/>
      <c r="BF383" s="5"/>
      <c r="BG383" s="4">
        <v>377</v>
      </c>
      <c r="BH383"/>
      <c r="BI383"/>
      <c r="BJ383"/>
      <c r="BK383"/>
      <c r="BL383"/>
      <c r="BM383"/>
    </row>
    <row r="384" spans="1:65" s="3" customFormat="1" ht="11.25" outlineLevel="2">
      <c r="A384" s="6"/>
      <c r="B384" s="11"/>
      <c r="C384" s="7"/>
      <c r="D384" s="7"/>
      <c r="E384" s="7"/>
      <c r="F384" s="7"/>
      <c r="G384" s="7"/>
      <c r="H384" s="7"/>
      <c r="I384" s="7"/>
      <c r="J384" s="7"/>
      <c r="K384" s="7"/>
      <c r="L384" s="7"/>
      <c r="M384" s="7"/>
      <c r="N384" s="7"/>
      <c r="O384" s="5"/>
      <c r="P384" s="7"/>
      <c r="Q384" s="7"/>
      <c r="R384" s="7"/>
      <c r="S384" s="7"/>
      <c r="T384" s="7"/>
      <c r="U384" s="7"/>
      <c r="V384" s="7"/>
      <c r="W384" s="7"/>
      <c r="X384" s="7"/>
      <c r="Y384" s="7"/>
      <c r="Z384" s="7"/>
      <c r="AA384" s="7"/>
      <c r="AB384" s="7"/>
      <c r="AC384" s="7"/>
      <c r="AD384" s="7"/>
      <c r="AE384" s="7"/>
      <c r="AF384" s="7"/>
      <c r="AG384" s="7"/>
      <c r="AH384" s="7"/>
      <c r="AI384" s="7"/>
      <c r="AJ384" s="7"/>
      <c r="AK384" s="7"/>
      <c r="AL384" s="7"/>
      <c r="AM384" s="7"/>
      <c r="AN384" s="5"/>
      <c r="AO384" s="5"/>
      <c r="AP384" s="5"/>
      <c r="AQ384" s="5"/>
      <c r="AR384" s="5"/>
      <c r="AS384" s="5"/>
      <c r="AT384" s="5"/>
      <c r="AU384" s="5"/>
      <c r="AV384" s="5"/>
      <c r="AW384" s="5"/>
      <c r="AX384" s="5"/>
      <c r="AY384" s="5"/>
      <c r="AZ384" s="5"/>
      <c r="BA384" s="5"/>
      <c r="BB384" s="5"/>
      <c r="BC384" s="5"/>
      <c r="BD384" s="5"/>
      <c r="BE384" s="5"/>
      <c r="BF384" s="5"/>
      <c r="BG384" s="4">
        <v>378</v>
      </c>
      <c r="BH384"/>
      <c r="BI384"/>
      <c r="BJ384"/>
      <c r="BK384"/>
      <c r="BL384"/>
      <c r="BM384"/>
    </row>
    <row r="385" spans="1:65" s="3" customFormat="1" ht="11.25" outlineLevel="2">
      <c r="A385" s="6"/>
      <c r="B385" s="11" t="s">
        <v>76</v>
      </c>
      <c r="C385" s="7"/>
      <c r="D385" s="7"/>
      <c r="E385" s="7"/>
      <c r="F385" s="7"/>
      <c r="G385" s="7"/>
      <c r="H385" s="7"/>
      <c r="I385" s="7"/>
      <c r="J385" s="7"/>
      <c r="K385" s="7"/>
      <c r="L385" s="7"/>
      <c r="M385" s="7"/>
      <c r="N385" s="7"/>
      <c r="O385" s="5"/>
      <c r="P385" s="7"/>
      <c r="Q385" s="7"/>
      <c r="R385" s="7"/>
      <c r="S385" s="7"/>
      <c r="T385" s="7"/>
      <c r="U385" s="7"/>
      <c r="V385" s="7"/>
      <c r="W385" s="7"/>
      <c r="X385" s="7"/>
      <c r="Y385" s="7"/>
      <c r="Z385" s="7"/>
      <c r="AA385" s="7"/>
      <c r="AB385" s="7"/>
      <c r="AC385" s="7"/>
      <c r="AD385" s="7"/>
      <c r="AE385" s="7"/>
      <c r="AF385" s="7"/>
      <c r="AG385" s="7"/>
      <c r="AH385" s="7"/>
      <c r="AI385" s="7"/>
      <c r="AJ385" s="7"/>
      <c r="AK385" s="7"/>
      <c r="AL385" s="7"/>
      <c r="AM385" s="7"/>
      <c r="AN385" s="5"/>
      <c r="AO385" s="5"/>
      <c r="AP385" s="5"/>
      <c r="AQ385" s="5"/>
      <c r="AR385" s="5"/>
      <c r="AS385" s="5"/>
      <c r="AT385" s="5"/>
      <c r="AU385" s="5"/>
      <c r="AV385" s="5"/>
      <c r="AW385" s="5"/>
      <c r="AX385" s="5"/>
      <c r="AY385" s="5"/>
      <c r="AZ385" s="5"/>
      <c r="BA385" s="5"/>
      <c r="BB385" s="5"/>
      <c r="BC385" s="5"/>
      <c r="BD385" s="5"/>
      <c r="BE385" s="5"/>
      <c r="BF385" s="5"/>
      <c r="BG385" s="4">
        <v>379</v>
      </c>
      <c r="BH385"/>
      <c r="BI385"/>
      <c r="BJ385"/>
      <c r="BK385"/>
      <c r="BL385"/>
      <c r="BM385"/>
    </row>
    <row r="386" spans="1:65" s="3" customFormat="1" ht="11.25" outlineLevel="2">
      <c r="A386" s="6"/>
      <c r="B386" s="56" t="s">
        <v>75</v>
      </c>
      <c r="C386" s="7"/>
      <c r="D386" s="7"/>
      <c r="E386" s="7"/>
      <c r="F386" s="7"/>
      <c r="G386" s="7"/>
      <c r="H386" s="7"/>
      <c r="I386" s="7">
        <f t="shared" ref="I386:M393" si="630">+I362-H362</f>
        <v>0</v>
      </c>
      <c r="J386" s="7">
        <f t="shared" si="630"/>
        <v>0</v>
      </c>
      <c r="K386" s="7">
        <f t="shared" si="630"/>
        <v>688.99</v>
      </c>
      <c r="L386" s="7">
        <f t="shared" si="630"/>
        <v>-688.99</v>
      </c>
      <c r="M386" s="7">
        <f t="shared" si="630"/>
        <v>0</v>
      </c>
      <c r="N386" s="7">
        <f>+N361-M361</f>
        <v>0</v>
      </c>
      <c r="O386" s="5"/>
      <c r="P386" s="7"/>
      <c r="Q386" s="7"/>
      <c r="R386" s="7"/>
      <c r="S386" s="7"/>
      <c r="T386" s="7"/>
      <c r="U386" s="7"/>
      <c r="V386" s="7"/>
      <c r="W386" s="7"/>
      <c r="X386" s="7"/>
      <c r="Y386" s="7"/>
      <c r="Z386" s="7">
        <f t="shared" ref="Z386:AE387" si="631">+Z361-Y361</f>
        <v>0</v>
      </c>
      <c r="AA386" s="7">
        <f t="shared" si="631"/>
        <v>0</v>
      </c>
      <c r="AB386" s="7">
        <f t="shared" si="631"/>
        <v>0</v>
      </c>
      <c r="AC386" s="7">
        <f t="shared" si="631"/>
        <v>0</v>
      </c>
      <c r="AD386" s="7">
        <f t="shared" si="631"/>
        <v>0</v>
      </c>
      <c r="AE386" s="7">
        <f t="shared" si="631"/>
        <v>0</v>
      </c>
      <c r="AF386" s="7">
        <f t="shared" ref="AF386:AY386" si="632">+AF362-AE362</f>
        <v>0</v>
      </c>
      <c r="AG386" s="7">
        <f t="shared" si="632"/>
        <v>0</v>
      </c>
      <c r="AH386" s="7">
        <f t="shared" si="632"/>
        <v>0</v>
      </c>
      <c r="AI386" s="7">
        <f t="shared" si="632"/>
        <v>0</v>
      </c>
      <c r="AJ386" s="7">
        <f t="shared" si="632"/>
        <v>0</v>
      </c>
      <c r="AK386" s="7">
        <f t="shared" si="632"/>
        <v>0</v>
      </c>
      <c r="AL386" s="7">
        <f t="shared" si="632"/>
        <v>0</v>
      </c>
      <c r="AM386" s="7">
        <f t="shared" si="632"/>
        <v>688.99</v>
      </c>
      <c r="AN386" s="7">
        <f t="shared" si="632"/>
        <v>-4.375</v>
      </c>
      <c r="AO386" s="7">
        <f t="shared" si="632"/>
        <v>-684.61500000000001</v>
      </c>
      <c r="AP386" s="7">
        <f t="shared" si="632"/>
        <v>0</v>
      </c>
      <c r="AQ386" s="7">
        <f t="shared" si="632"/>
        <v>0</v>
      </c>
      <c r="AR386" s="7">
        <f t="shared" si="632"/>
        <v>0</v>
      </c>
      <c r="AS386" s="7">
        <f t="shared" si="632"/>
        <v>0</v>
      </c>
      <c r="AT386" s="7">
        <f t="shared" si="632"/>
        <v>0</v>
      </c>
      <c r="AU386" s="7">
        <f t="shared" si="632"/>
        <v>0</v>
      </c>
      <c r="AV386" s="7">
        <f t="shared" si="632"/>
        <v>0</v>
      </c>
      <c r="AW386" s="7">
        <f t="shared" si="632"/>
        <v>0</v>
      </c>
      <c r="AX386" s="7">
        <f t="shared" si="632"/>
        <v>0</v>
      </c>
      <c r="AY386" s="7">
        <f t="shared" si="632"/>
        <v>0</v>
      </c>
      <c r="AZ386" s="5"/>
      <c r="BA386" s="5"/>
      <c r="BB386" s="5"/>
      <c r="BC386" s="5"/>
      <c r="BD386" s="5"/>
      <c r="BE386" s="5"/>
      <c r="BF386" s="5"/>
      <c r="BG386" s="4">
        <v>380</v>
      </c>
      <c r="BH386"/>
      <c r="BI386"/>
      <c r="BJ386"/>
      <c r="BK386"/>
      <c r="BL386"/>
      <c r="BM386"/>
    </row>
    <row r="387" spans="1:65" s="3" customFormat="1" ht="11.25" outlineLevel="2">
      <c r="A387" s="6"/>
      <c r="B387" s="56" t="s">
        <v>74</v>
      </c>
      <c r="C387" s="7"/>
      <c r="D387" s="7"/>
      <c r="E387" s="7"/>
      <c r="F387" s="7"/>
      <c r="G387" s="7"/>
      <c r="H387" s="7"/>
      <c r="I387" s="7">
        <f t="shared" si="630"/>
        <v>0</v>
      </c>
      <c r="J387" s="7">
        <f t="shared" si="630"/>
        <v>0</v>
      </c>
      <c r="K387" s="7">
        <f t="shared" si="630"/>
        <v>0</v>
      </c>
      <c r="L387" s="7">
        <f t="shared" si="630"/>
        <v>1629.375</v>
      </c>
      <c r="M387" s="7">
        <f t="shared" si="630"/>
        <v>-41.25</v>
      </c>
      <c r="N387" s="7">
        <f>+N362-M362</f>
        <v>0</v>
      </c>
      <c r="O387" s="5"/>
      <c r="P387" s="7"/>
      <c r="Q387" s="7"/>
      <c r="R387" s="7"/>
      <c r="S387" s="7"/>
      <c r="T387" s="7"/>
      <c r="U387" s="7"/>
      <c r="V387" s="7"/>
      <c r="W387" s="7"/>
      <c r="X387" s="7"/>
      <c r="Y387" s="7"/>
      <c r="Z387" s="7">
        <f t="shared" si="631"/>
        <v>0</v>
      </c>
      <c r="AA387" s="7">
        <f t="shared" si="631"/>
        <v>0</v>
      </c>
      <c r="AB387" s="7">
        <f t="shared" si="631"/>
        <v>0</v>
      </c>
      <c r="AC387" s="7">
        <f t="shared" si="631"/>
        <v>0</v>
      </c>
      <c r="AD387" s="7">
        <f t="shared" si="631"/>
        <v>0</v>
      </c>
      <c r="AE387" s="7">
        <f t="shared" si="631"/>
        <v>0</v>
      </c>
      <c r="AF387" s="7">
        <f t="shared" ref="AF387:AY387" si="633">+AF363-AE363</f>
        <v>0</v>
      </c>
      <c r="AG387" s="7">
        <f t="shared" si="633"/>
        <v>0</v>
      </c>
      <c r="AH387" s="7">
        <f t="shared" si="633"/>
        <v>0</v>
      </c>
      <c r="AI387" s="7">
        <f t="shared" si="633"/>
        <v>0</v>
      </c>
      <c r="AJ387" s="7">
        <f t="shared" si="633"/>
        <v>0</v>
      </c>
      <c r="AK387" s="7">
        <f t="shared" si="633"/>
        <v>0</v>
      </c>
      <c r="AL387" s="7">
        <f t="shared" si="633"/>
        <v>0</v>
      </c>
      <c r="AM387" s="7">
        <f t="shared" si="633"/>
        <v>0</v>
      </c>
      <c r="AN387" s="7">
        <f t="shared" si="633"/>
        <v>0</v>
      </c>
      <c r="AO387" s="7">
        <f t="shared" si="633"/>
        <v>1650</v>
      </c>
      <c r="AP387" s="7">
        <f t="shared" si="633"/>
        <v>-10.3125</v>
      </c>
      <c r="AQ387" s="7">
        <f t="shared" si="633"/>
        <v>-10.3125</v>
      </c>
      <c r="AR387" s="7">
        <f t="shared" si="633"/>
        <v>-10.3125</v>
      </c>
      <c r="AS387" s="7">
        <f t="shared" si="633"/>
        <v>-10.3125</v>
      </c>
      <c r="AT387" s="7">
        <f t="shared" si="633"/>
        <v>-10.3125</v>
      </c>
      <c r="AU387" s="7">
        <f t="shared" si="633"/>
        <v>-10.3125</v>
      </c>
      <c r="AV387" s="7">
        <f t="shared" si="633"/>
        <v>-10.3125</v>
      </c>
      <c r="AW387" s="7">
        <f t="shared" si="633"/>
        <v>-10.3125</v>
      </c>
      <c r="AX387" s="7">
        <f t="shared" si="633"/>
        <v>-10.3125</v>
      </c>
      <c r="AY387" s="7">
        <f t="shared" si="633"/>
        <v>-10.3125</v>
      </c>
      <c r="AZ387" s="5"/>
      <c r="BA387" s="5"/>
      <c r="BB387" s="5"/>
      <c r="BC387" s="5"/>
      <c r="BD387" s="5"/>
      <c r="BE387" s="5"/>
      <c r="BF387" s="5"/>
      <c r="BG387" s="4">
        <v>381</v>
      </c>
      <c r="BH387"/>
      <c r="BI387"/>
      <c r="BJ387"/>
      <c r="BK387"/>
      <c r="BL387"/>
      <c r="BM387"/>
    </row>
    <row r="388" spans="1:65" s="3" customFormat="1" ht="11.25" outlineLevel="2">
      <c r="A388" s="6"/>
      <c r="B388" s="56" t="s">
        <v>73</v>
      </c>
      <c r="C388" s="7"/>
      <c r="D388" s="7"/>
      <c r="E388" s="7"/>
      <c r="F388" s="7"/>
      <c r="G388" s="7"/>
      <c r="H388" s="7"/>
      <c r="I388" s="7">
        <f t="shared" si="630"/>
        <v>0</v>
      </c>
      <c r="J388" s="7">
        <f t="shared" si="630"/>
        <v>0</v>
      </c>
      <c r="K388" s="7">
        <f t="shared" si="630"/>
        <v>0</v>
      </c>
      <c r="L388" s="7">
        <f t="shared" si="630"/>
        <v>0</v>
      </c>
      <c r="M388" s="7">
        <f t="shared" si="630"/>
        <v>0</v>
      </c>
      <c r="N388" s="7">
        <f t="shared" ref="N388:N393" si="634">+N364-M364</f>
        <v>0</v>
      </c>
      <c r="O388" s="5"/>
      <c r="P388" s="7"/>
      <c r="Q388" s="7"/>
      <c r="R388" s="7"/>
      <c r="S388" s="7"/>
      <c r="T388" s="7"/>
      <c r="U388" s="7"/>
      <c r="V388" s="7"/>
      <c r="W388" s="7"/>
      <c r="X388" s="7"/>
      <c r="Y388" s="7"/>
      <c r="Z388" s="7">
        <f t="shared" ref="Z388:AE393" si="635">+Z364-Y364</f>
        <v>0</v>
      </c>
      <c r="AA388" s="7">
        <f t="shared" si="635"/>
        <v>0</v>
      </c>
      <c r="AB388" s="7">
        <f t="shared" si="635"/>
        <v>0</v>
      </c>
      <c r="AC388" s="7">
        <f t="shared" si="635"/>
        <v>0</v>
      </c>
      <c r="AD388" s="7">
        <f t="shared" si="635"/>
        <v>0</v>
      </c>
      <c r="AE388" s="7">
        <f t="shared" si="635"/>
        <v>0</v>
      </c>
      <c r="AF388" s="7">
        <f t="shared" ref="AF388:AY388" si="636">+AF364-AE364</f>
        <v>0</v>
      </c>
      <c r="AG388" s="7">
        <f t="shared" si="636"/>
        <v>0</v>
      </c>
      <c r="AH388" s="7">
        <f t="shared" si="636"/>
        <v>0</v>
      </c>
      <c r="AI388" s="7">
        <f t="shared" si="636"/>
        <v>0</v>
      </c>
      <c r="AJ388" s="7">
        <f t="shared" si="636"/>
        <v>0</v>
      </c>
      <c r="AK388" s="7">
        <f t="shared" si="636"/>
        <v>0</v>
      </c>
      <c r="AL388" s="7">
        <f t="shared" si="636"/>
        <v>0</v>
      </c>
      <c r="AM388" s="7">
        <f t="shared" si="636"/>
        <v>0</v>
      </c>
      <c r="AN388" s="7">
        <f t="shared" si="636"/>
        <v>0</v>
      </c>
      <c r="AO388" s="7">
        <f t="shared" si="636"/>
        <v>0</v>
      </c>
      <c r="AP388" s="7">
        <f t="shared" si="636"/>
        <v>0</v>
      </c>
      <c r="AQ388" s="7">
        <f t="shared" si="636"/>
        <v>0</v>
      </c>
      <c r="AR388" s="7">
        <f t="shared" si="636"/>
        <v>0</v>
      </c>
      <c r="AS388" s="7">
        <f t="shared" si="636"/>
        <v>0</v>
      </c>
      <c r="AT388" s="7">
        <f t="shared" si="636"/>
        <v>0</v>
      </c>
      <c r="AU388" s="7">
        <f t="shared" si="636"/>
        <v>0</v>
      </c>
      <c r="AV388" s="7">
        <f t="shared" si="636"/>
        <v>0</v>
      </c>
      <c r="AW388" s="7">
        <f t="shared" si="636"/>
        <v>0</v>
      </c>
      <c r="AX388" s="7">
        <f t="shared" si="636"/>
        <v>0</v>
      </c>
      <c r="AY388" s="7">
        <f t="shared" si="636"/>
        <v>0</v>
      </c>
      <c r="AZ388" s="7"/>
      <c r="BA388" s="7"/>
      <c r="BB388" s="7"/>
      <c r="BC388" s="7"/>
      <c r="BD388" s="5"/>
      <c r="BE388" s="5"/>
      <c r="BF388" s="5"/>
      <c r="BG388" s="4">
        <v>382</v>
      </c>
      <c r="BH388"/>
      <c r="BI388"/>
      <c r="BJ388"/>
      <c r="BK388"/>
      <c r="BL388"/>
      <c r="BM388"/>
    </row>
    <row r="389" spans="1:65" s="3" customFormat="1" ht="11.25" outlineLevel="2">
      <c r="A389" s="6"/>
      <c r="B389" s="56" t="s">
        <v>72</v>
      </c>
      <c r="C389" s="7"/>
      <c r="D389" s="7"/>
      <c r="E389" s="7"/>
      <c r="F389" s="7"/>
      <c r="G389" s="7"/>
      <c r="H389" s="7"/>
      <c r="I389" s="7">
        <f t="shared" si="630"/>
        <v>-1.423</v>
      </c>
      <c r="J389" s="7">
        <f t="shared" si="630"/>
        <v>-5.6669999999999998</v>
      </c>
      <c r="K389" s="7">
        <f t="shared" si="630"/>
        <v>6.25</v>
      </c>
      <c r="L389" s="7">
        <f t="shared" si="630"/>
        <v>-2</v>
      </c>
      <c r="M389" s="7">
        <f t="shared" si="630"/>
        <v>-2</v>
      </c>
      <c r="N389" s="7">
        <f t="shared" si="634"/>
        <v>-2</v>
      </c>
      <c r="O389" s="5"/>
      <c r="P389" s="7"/>
      <c r="Q389" s="7"/>
      <c r="R389" s="7"/>
      <c r="S389" s="7"/>
      <c r="T389" s="7"/>
      <c r="U389" s="7"/>
      <c r="V389" s="7"/>
      <c r="W389" s="7"/>
      <c r="X389" s="7"/>
      <c r="Y389" s="7"/>
      <c r="Z389" s="7">
        <f t="shared" si="635"/>
        <v>-0.93400000000000016</v>
      </c>
      <c r="AA389" s="7">
        <f t="shared" si="635"/>
        <v>4.4350000000000005</v>
      </c>
      <c r="AB389" s="7">
        <f t="shared" si="635"/>
        <v>1.0190000000000001</v>
      </c>
      <c r="AC389" s="7">
        <f t="shared" si="635"/>
        <v>8.0999999999999517E-2</v>
      </c>
      <c r="AD389" s="7">
        <f t="shared" si="635"/>
        <v>-1.4969999999999999</v>
      </c>
      <c r="AE389" s="7">
        <f t="shared" si="635"/>
        <v>-1.0259999999999998</v>
      </c>
      <c r="AF389" s="7">
        <f t="shared" ref="AF389:AY389" si="637">+AF365-AE365</f>
        <v>-1.4450000000000003</v>
      </c>
      <c r="AG389" s="7">
        <f t="shared" si="637"/>
        <v>-2.3839999999999995</v>
      </c>
      <c r="AH389" s="7">
        <f t="shared" si="637"/>
        <v>-0.95800000000000018</v>
      </c>
      <c r="AI389" s="7">
        <f t="shared" si="637"/>
        <v>-0.88000000000000034</v>
      </c>
      <c r="AJ389" s="7">
        <f t="shared" si="637"/>
        <v>3.3729999999999998</v>
      </c>
      <c r="AK389" s="7">
        <f t="shared" si="637"/>
        <v>1.793000000000001</v>
      </c>
      <c r="AL389" s="7">
        <f t="shared" si="637"/>
        <v>-0.28900000000000148</v>
      </c>
      <c r="AM389" s="7">
        <f t="shared" si="637"/>
        <v>1.3730000000000011</v>
      </c>
      <c r="AN389" s="7">
        <f t="shared" si="637"/>
        <v>-0.5</v>
      </c>
      <c r="AO389" s="7">
        <f t="shared" si="637"/>
        <v>-0.5</v>
      </c>
      <c r="AP389" s="7">
        <f t="shared" si="637"/>
        <v>-0.5</v>
      </c>
      <c r="AQ389" s="7">
        <f t="shared" si="637"/>
        <v>-0.5</v>
      </c>
      <c r="AR389" s="7">
        <f t="shared" si="637"/>
        <v>-0.5</v>
      </c>
      <c r="AS389" s="7">
        <f t="shared" si="637"/>
        <v>-0.5</v>
      </c>
      <c r="AT389" s="7">
        <f t="shared" si="637"/>
        <v>-0.5</v>
      </c>
      <c r="AU389" s="7">
        <f t="shared" si="637"/>
        <v>-0.5</v>
      </c>
      <c r="AV389" s="7">
        <f t="shared" si="637"/>
        <v>-0.5</v>
      </c>
      <c r="AW389" s="7">
        <f t="shared" si="637"/>
        <v>-0.5</v>
      </c>
      <c r="AX389" s="7">
        <f t="shared" si="637"/>
        <v>-0.5</v>
      </c>
      <c r="AY389" s="7">
        <f t="shared" si="637"/>
        <v>-0.5</v>
      </c>
      <c r="AZ389" s="7"/>
      <c r="BA389" s="7"/>
      <c r="BB389" s="7"/>
      <c r="BC389" s="7"/>
      <c r="BD389" s="5"/>
      <c r="BE389" s="5"/>
      <c r="BF389" s="5"/>
      <c r="BG389" s="4">
        <v>383</v>
      </c>
      <c r="BH389"/>
      <c r="BI389"/>
      <c r="BJ389"/>
      <c r="BK389"/>
      <c r="BL389"/>
      <c r="BM389"/>
    </row>
    <row r="390" spans="1:65" s="3" customFormat="1" ht="11.25" outlineLevel="2">
      <c r="A390" s="6"/>
      <c r="B390" s="56" t="s">
        <v>71</v>
      </c>
      <c r="C390" s="7"/>
      <c r="D390" s="7"/>
      <c r="E390" s="7"/>
      <c r="F390" s="7"/>
      <c r="G390" s="7"/>
      <c r="H390" s="7"/>
      <c r="I390" s="7">
        <f t="shared" si="630"/>
        <v>-13.399999999999864</v>
      </c>
      <c r="J390" s="7">
        <f t="shared" si="630"/>
        <v>-381.16100000000017</v>
      </c>
      <c r="K390" s="7">
        <f t="shared" si="630"/>
        <v>-792.28099999999995</v>
      </c>
      <c r="L390" s="7">
        <f t="shared" si="630"/>
        <v>0</v>
      </c>
      <c r="M390" s="7">
        <f t="shared" si="630"/>
        <v>0</v>
      </c>
      <c r="N390" s="7">
        <f t="shared" si="634"/>
        <v>0</v>
      </c>
      <c r="O390" s="5"/>
      <c r="P390" s="7"/>
      <c r="Q390" s="7"/>
      <c r="R390" s="7"/>
      <c r="S390" s="7"/>
      <c r="T390" s="7"/>
      <c r="U390" s="7"/>
      <c r="V390" s="7"/>
      <c r="W390" s="7"/>
      <c r="X390" s="7"/>
      <c r="Y390" s="7"/>
      <c r="Z390" s="7">
        <f t="shared" si="635"/>
        <v>-12.55600000000004</v>
      </c>
      <c r="AA390" s="7">
        <f t="shared" si="635"/>
        <v>-3.27800000000002</v>
      </c>
      <c r="AB390" s="7">
        <f t="shared" si="635"/>
        <v>-2.8369999999997617</v>
      </c>
      <c r="AC390" s="7">
        <f t="shared" si="635"/>
        <v>-4.4518000000002758</v>
      </c>
      <c r="AD390" s="7">
        <f t="shared" si="635"/>
        <v>-3.4451999999998861</v>
      </c>
      <c r="AE390" s="7">
        <f t="shared" si="635"/>
        <v>-2.66599999999994</v>
      </c>
      <c r="AF390" s="7">
        <f t="shared" ref="AF390:AY390" si="638">+AF366-AE366</f>
        <v>-2.8690000000001419</v>
      </c>
      <c r="AG390" s="7">
        <f t="shared" si="638"/>
        <v>-72.019999999999982</v>
      </c>
      <c r="AH390" s="7">
        <f t="shared" si="638"/>
        <v>-2.5370000000000346</v>
      </c>
      <c r="AI390" s="7">
        <f t="shared" si="638"/>
        <v>-303.73500000000001</v>
      </c>
      <c r="AJ390" s="7">
        <f t="shared" si="638"/>
        <v>-2.01299999999992</v>
      </c>
      <c r="AK390" s="7">
        <f t="shared" si="638"/>
        <v>-51.904999999999973</v>
      </c>
      <c r="AL390" s="7">
        <f t="shared" si="638"/>
        <v>-2.0080000000000382</v>
      </c>
      <c r="AM390" s="7">
        <f t="shared" si="638"/>
        <v>-736.35500000000002</v>
      </c>
      <c r="AN390" s="7">
        <f t="shared" si="638"/>
        <v>0</v>
      </c>
      <c r="AO390" s="7">
        <f t="shared" si="638"/>
        <v>0</v>
      </c>
      <c r="AP390" s="7">
        <f t="shared" si="638"/>
        <v>0</v>
      </c>
      <c r="AQ390" s="7">
        <f t="shared" si="638"/>
        <v>0</v>
      </c>
      <c r="AR390" s="7">
        <f t="shared" si="638"/>
        <v>0</v>
      </c>
      <c r="AS390" s="7">
        <f t="shared" si="638"/>
        <v>0</v>
      </c>
      <c r="AT390" s="7">
        <f t="shared" si="638"/>
        <v>0</v>
      </c>
      <c r="AU390" s="7">
        <f t="shared" si="638"/>
        <v>0</v>
      </c>
      <c r="AV390" s="7">
        <f t="shared" si="638"/>
        <v>0</v>
      </c>
      <c r="AW390" s="7">
        <f t="shared" si="638"/>
        <v>0</v>
      </c>
      <c r="AX390" s="7">
        <f t="shared" si="638"/>
        <v>0</v>
      </c>
      <c r="AY390" s="7">
        <f t="shared" si="638"/>
        <v>0</v>
      </c>
      <c r="AZ390" s="7"/>
      <c r="BA390" s="7"/>
      <c r="BB390" s="7"/>
      <c r="BC390" s="7"/>
      <c r="BD390" s="5"/>
      <c r="BE390" s="5"/>
      <c r="BF390" s="5"/>
      <c r="BG390" s="4">
        <v>384</v>
      </c>
      <c r="BH390"/>
      <c r="BI390"/>
      <c r="BJ390"/>
      <c r="BK390"/>
      <c r="BL390"/>
      <c r="BM390"/>
    </row>
    <row r="391" spans="1:65" s="3" customFormat="1" ht="11.25" outlineLevel="2">
      <c r="A391" s="6"/>
      <c r="B391" s="56" t="s">
        <v>70</v>
      </c>
      <c r="C391" s="7"/>
      <c r="D391" s="7"/>
      <c r="E391" s="7"/>
      <c r="F391" s="7"/>
      <c r="G391" s="7"/>
      <c r="H391" s="7"/>
      <c r="I391" s="7">
        <f t="shared" si="630"/>
        <v>-14.822999999999865</v>
      </c>
      <c r="J391" s="7">
        <f t="shared" si="630"/>
        <v>-386.82800000000009</v>
      </c>
      <c r="K391" s="7">
        <f t="shared" si="630"/>
        <v>-97.04099999999994</v>
      </c>
      <c r="L391" s="7">
        <f t="shared" si="630"/>
        <v>938.3850000000001</v>
      </c>
      <c r="M391" s="7">
        <f t="shared" si="630"/>
        <v>-43.25</v>
      </c>
      <c r="N391" s="7">
        <f t="shared" si="634"/>
        <v>-43.25</v>
      </c>
      <c r="O391" s="5"/>
      <c r="P391" s="7"/>
      <c r="Q391" s="7"/>
      <c r="R391" s="7"/>
      <c r="S391" s="7"/>
      <c r="T391" s="7"/>
      <c r="U391" s="7"/>
      <c r="V391" s="7"/>
      <c r="W391" s="7"/>
      <c r="X391" s="7"/>
      <c r="Y391" s="7"/>
      <c r="Z391" s="7">
        <f t="shared" si="635"/>
        <v>-13.490000000000009</v>
      </c>
      <c r="AA391" s="7">
        <f t="shared" si="635"/>
        <v>1.1569999999999254</v>
      </c>
      <c r="AB391" s="7">
        <f t="shared" si="635"/>
        <v>-1.8179999999997563</v>
      </c>
      <c r="AC391" s="7">
        <f t="shared" si="635"/>
        <v>-4.3708000000001448</v>
      </c>
      <c r="AD391" s="7">
        <f t="shared" si="635"/>
        <v>-4.9421999999999571</v>
      </c>
      <c r="AE391" s="7">
        <f t="shared" si="635"/>
        <v>-3.6920000000000073</v>
      </c>
      <c r="AF391" s="7">
        <f t="shared" ref="AF391:AY391" si="639">+AF367-AE367</f>
        <v>-4.3140000000000782</v>
      </c>
      <c r="AG391" s="7">
        <f t="shared" si="639"/>
        <v>-74.403999999999996</v>
      </c>
      <c r="AH391" s="7">
        <f t="shared" si="639"/>
        <v>-3.4950000000001182</v>
      </c>
      <c r="AI391" s="7">
        <f t="shared" si="639"/>
        <v>-304.6149999999999</v>
      </c>
      <c r="AJ391" s="7">
        <f t="shared" si="639"/>
        <v>1.3600000000000136</v>
      </c>
      <c r="AK391" s="7">
        <f t="shared" si="639"/>
        <v>-50.111999999999966</v>
      </c>
      <c r="AL391" s="7">
        <f t="shared" si="639"/>
        <v>-2.2970000000000255</v>
      </c>
      <c r="AM391" s="7">
        <f t="shared" si="639"/>
        <v>-45.991999999999962</v>
      </c>
      <c r="AN391" s="7">
        <f t="shared" si="639"/>
        <v>-4.875</v>
      </c>
      <c r="AO391" s="7">
        <f t="shared" si="639"/>
        <v>964.8850000000001</v>
      </c>
      <c r="AP391" s="7">
        <f t="shared" si="639"/>
        <v>-10.8125</v>
      </c>
      <c r="AQ391" s="7">
        <f t="shared" si="639"/>
        <v>-10.8125</v>
      </c>
      <c r="AR391" s="7">
        <f t="shared" si="639"/>
        <v>-10.8125</v>
      </c>
      <c r="AS391" s="7">
        <f t="shared" si="639"/>
        <v>-10.8125</v>
      </c>
      <c r="AT391" s="7">
        <f t="shared" si="639"/>
        <v>-10.8125</v>
      </c>
      <c r="AU391" s="7">
        <f t="shared" si="639"/>
        <v>-10.8125</v>
      </c>
      <c r="AV391" s="7">
        <f t="shared" si="639"/>
        <v>-10.8125</v>
      </c>
      <c r="AW391" s="7">
        <f t="shared" si="639"/>
        <v>-10.8125</v>
      </c>
      <c r="AX391" s="7">
        <f t="shared" si="639"/>
        <v>-10.8125</v>
      </c>
      <c r="AY391" s="7">
        <f t="shared" si="639"/>
        <v>-10.8125</v>
      </c>
      <c r="AZ391" s="7"/>
      <c r="BA391" s="7"/>
      <c r="BB391" s="7"/>
      <c r="BC391" s="7"/>
      <c r="BD391" s="5"/>
      <c r="BE391" s="5"/>
      <c r="BF391" s="5"/>
      <c r="BG391" s="4">
        <v>385</v>
      </c>
      <c r="BH391"/>
      <c r="BI391"/>
      <c r="BJ391"/>
      <c r="BK391"/>
      <c r="BL391"/>
      <c r="BM391"/>
    </row>
    <row r="392" spans="1:65" s="3" customFormat="1" ht="11.25" outlineLevel="2">
      <c r="A392" s="6"/>
      <c r="B392" s="56" t="s">
        <v>69</v>
      </c>
      <c r="C392" s="7"/>
      <c r="D392" s="7"/>
      <c r="E392" s="7"/>
      <c r="F392" s="7"/>
      <c r="G392" s="7"/>
      <c r="H392" s="7"/>
      <c r="I392" s="7">
        <f t="shared" si="630"/>
        <v>0</v>
      </c>
      <c r="J392" s="7">
        <f t="shared" si="630"/>
        <v>0</v>
      </c>
      <c r="K392" s="7">
        <f t="shared" si="630"/>
        <v>0</v>
      </c>
      <c r="L392" s="7">
        <f t="shared" si="630"/>
        <v>0</v>
      </c>
      <c r="M392" s="7">
        <f t="shared" si="630"/>
        <v>0</v>
      </c>
      <c r="N392" s="7">
        <f t="shared" si="634"/>
        <v>0</v>
      </c>
      <c r="O392" s="5"/>
      <c r="P392" s="7"/>
      <c r="Q392" s="7"/>
      <c r="R392" s="7"/>
      <c r="S392" s="7"/>
      <c r="T392" s="7"/>
      <c r="U392" s="7"/>
      <c r="V392" s="7"/>
      <c r="W392" s="7"/>
      <c r="X392" s="7"/>
      <c r="Y392" s="7"/>
      <c r="Z392" s="7">
        <f t="shared" si="635"/>
        <v>0</v>
      </c>
      <c r="AA392" s="7">
        <f t="shared" si="635"/>
        <v>0</v>
      </c>
      <c r="AB392" s="7">
        <f t="shared" si="635"/>
        <v>0</v>
      </c>
      <c r="AC392" s="7">
        <f t="shared" si="635"/>
        <v>0</v>
      </c>
      <c r="AD392" s="7">
        <f t="shared" si="635"/>
        <v>0</v>
      </c>
      <c r="AE392" s="7">
        <f t="shared" si="635"/>
        <v>0</v>
      </c>
      <c r="AF392" s="7">
        <f t="shared" ref="AF392:AY392" si="640">+AF368-AE368</f>
        <v>0</v>
      </c>
      <c r="AG392" s="7">
        <f t="shared" si="640"/>
        <v>0</v>
      </c>
      <c r="AH392" s="7">
        <f t="shared" si="640"/>
        <v>0</v>
      </c>
      <c r="AI392" s="7">
        <f t="shared" si="640"/>
        <v>0</v>
      </c>
      <c r="AJ392" s="7">
        <f t="shared" si="640"/>
        <v>0</v>
      </c>
      <c r="AK392" s="7">
        <f t="shared" si="640"/>
        <v>0</v>
      </c>
      <c r="AL392" s="7">
        <f t="shared" si="640"/>
        <v>0</v>
      </c>
      <c r="AM392" s="7">
        <f t="shared" si="640"/>
        <v>0</v>
      </c>
      <c r="AN392" s="7">
        <f t="shared" si="640"/>
        <v>9.3509511991320551</v>
      </c>
      <c r="AO392" s="7">
        <f t="shared" si="640"/>
        <v>-9.3509511991320551</v>
      </c>
      <c r="AP392" s="7">
        <f t="shared" si="640"/>
        <v>0</v>
      </c>
      <c r="AQ392" s="7">
        <f t="shared" si="640"/>
        <v>0</v>
      </c>
      <c r="AR392" s="7">
        <f t="shared" si="640"/>
        <v>0</v>
      </c>
      <c r="AS392" s="7">
        <f t="shared" si="640"/>
        <v>0</v>
      </c>
      <c r="AT392" s="7">
        <f t="shared" si="640"/>
        <v>0</v>
      </c>
      <c r="AU392" s="7">
        <f t="shared" si="640"/>
        <v>0</v>
      </c>
      <c r="AV392" s="7">
        <f t="shared" si="640"/>
        <v>0</v>
      </c>
      <c r="AW392" s="7">
        <f t="shared" si="640"/>
        <v>0</v>
      </c>
      <c r="AX392" s="7">
        <f t="shared" si="640"/>
        <v>0</v>
      </c>
      <c r="AY392" s="7">
        <f t="shared" si="640"/>
        <v>0</v>
      </c>
      <c r="AZ392" s="7"/>
      <c r="BA392" s="7"/>
      <c r="BB392" s="7"/>
      <c r="BC392" s="7"/>
      <c r="BD392" s="5"/>
      <c r="BE392" s="5"/>
      <c r="BF392" s="5"/>
      <c r="BG392" s="4">
        <v>386</v>
      </c>
      <c r="BH392"/>
      <c r="BI392"/>
      <c r="BJ392"/>
      <c r="BK392"/>
      <c r="BL392"/>
      <c r="BM392"/>
    </row>
    <row r="393" spans="1:65" s="3" customFormat="1" ht="11.25" outlineLevel="2">
      <c r="A393" s="6"/>
      <c r="B393" s="56" t="s">
        <v>68</v>
      </c>
      <c r="C393" s="7"/>
      <c r="D393" s="7"/>
      <c r="E393" s="7"/>
      <c r="F393" s="7"/>
      <c r="G393" s="7"/>
      <c r="H393" s="7"/>
      <c r="I393" s="7">
        <f t="shared" si="630"/>
        <v>-14.822999999999865</v>
      </c>
      <c r="J393" s="7">
        <f t="shared" si="630"/>
        <v>-386.82800000000009</v>
      </c>
      <c r="K393" s="7">
        <f t="shared" si="630"/>
        <v>-97.04099999999994</v>
      </c>
      <c r="L393" s="7">
        <f t="shared" si="630"/>
        <v>938.3850000000001</v>
      </c>
      <c r="M393" s="7">
        <f t="shared" si="630"/>
        <v>-43.25</v>
      </c>
      <c r="N393" s="7">
        <f t="shared" si="634"/>
        <v>-43.25</v>
      </c>
      <c r="O393" s="5"/>
      <c r="P393" s="7"/>
      <c r="Q393" s="7"/>
      <c r="R393" s="7"/>
      <c r="S393" s="7"/>
      <c r="T393" s="7"/>
      <c r="U393" s="7"/>
      <c r="V393" s="7"/>
      <c r="W393" s="7"/>
      <c r="X393" s="7"/>
      <c r="Y393" s="7"/>
      <c r="Z393" s="7">
        <f t="shared" si="635"/>
        <v>-13.490000000000009</v>
      </c>
      <c r="AA393" s="7">
        <f t="shared" si="635"/>
        <v>1.1569999999999254</v>
      </c>
      <c r="AB393" s="7">
        <f t="shared" si="635"/>
        <v>-1.8179999999997563</v>
      </c>
      <c r="AC393" s="7">
        <f t="shared" si="635"/>
        <v>-4.3708000000001448</v>
      </c>
      <c r="AD393" s="7">
        <f t="shared" si="635"/>
        <v>-4.9421999999999571</v>
      </c>
      <c r="AE393" s="7">
        <f t="shared" si="635"/>
        <v>-3.6920000000000073</v>
      </c>
      <c r="AF393" s="7">
        <f t="shared" ref="AF393:AY393" si="641">+AF369-AE369</f>
        <v>-4.3140000000000782</v>
      </c>
      <c r="AG393" s="7">
        <f t="shared" si="641"/>
        <v>-74.403999999999996</v>
      </c>
      <c r="AH393" s="7">
        <f t="shared" si="641"/>
        <v>-3.4950000000001182</v>
      </c>
      <c r="AI393" s="7">
        <f t="shared" si="641"/>
        <v>-304.6149999999999</v>
      </c>
      <c r="AJ393" s="7">
        <f t="shared" si="641"/>
        <v>1.3600000000000136</v>
      </c>
      <c r="AK393" s="7">
        <f t="shared" si="641"/>
        <v>-50.111999999999966</v>
      </c>
      <c r="AL393" s="7">
        <f t="shared" si="641"/>
        <v>-2.2970000000000255</v>
      </c>
      <c r="AM393" s="7">
        <f t="shared" si="641"/>
        <v>-45.991999999999962</v>
      </c>
      <c r="AN393" s="7">
        <f t="shared" si="641"/>
        <v>4.4759511991320551</v>
      </c>
      <c r="AO393" s="7">
        <f t="shared" si="641"/>
        <v>955.53404880086805</v>
      </c>
      <c r="AP393" s="7">
        <f t="shared" si="641"/>
        <v>-10.8125</v>
      </c>
      <c r="AQ393" s="7">
        <f t="shared" si="641"/>
        <v>-10.8125</v>
      </c>
      <c r="AR393" s="7">
        <f t="shared" si="641"/>
        <v>-10.8125</v>
      </c>
      <c r="AS393" s="7">
        <f t="shared" si="641"/>
        <v>-10.8125</v>
      </c>
      <c r="AT393" s="7">
        <f t="shared" si="641"/>
        <v>-10.8125</v>
      </c>
      <c r="AU393" s="7">
        <f t="shared" si="641"/>
        <v>-10.8125</v>
      </c>
      <c r="AV393" s="7">
        <f t="shared" si="641"/>
        <v>-10.8125</v>
      </c>
      <c r="AW393" s="7">
        <f t="shared" si="641"/>
        <v>-10.8125</v>
      </c>
      <c r="AX393" s="7">
        <f t="shared" si="641"/>
        <v>-10.8125</v>
      </c>
      <c r="AY393" s="7">
        <f t="shared" si="641"/>
        <v>-10.8125</v>
      </c>
      <c r="AZ393" s="7"/>
      <c r="BA393" s="7"/>
      <c r="BB393" s="7"/>
      <c r="BC393" s="7"/>
      <c r="BD393" s="5"/>
      <c r="BE393" s="5"/>
      <c r="BF393" s="5"/>
      <c r="BG393" s="4">
        <v>387</v>
      </c>
      <c r="BH393"/>
      <c r="BI393"/>
      <c r="BJ393"/>
      <c r="BK393"/>
      <c r="BL393"/>
      <c r="BM393"/>
    </row>
    <row r="394" spans="1:65" s="3" customFormat="1" ht="11.25" outlineLevel="2">
      <c r="A394" s="6"/>
      <c r="B394" s="56"/>
      <c r="C394" s="7"/>
      <c r="D394" s="7"/>
      <c r="E394" s="7"/>
      <c r="F394" s="7"/>
      <c r="G394" s="7"/>
      <c r="H394" s="7"/>
      <c r="I394" s="7"/>
      <c r="J394" s="7"/>
      <c r="K394" s="7"/>
      <c r="L394" s="7"/>
      <c r="M394" s="7"/>
      <c r="N394" s="7"/>
      <c r="O394" s="5"/>
      <c r="P394" s="7"/>
      <c r="Q394" s="7"/>
      <c r="R394" s="7"/>
      <c r="S394" s="7"/>
      <c r="T394" s="7"/>
      <c r="U394" s="7"/>
      <c r="V394" s="7"/>
      <c r="W394" s="7"/>
      <c r="X394" s="7"/>
      <c r="Y394" s="7"/>
      <c r="Z394" s="7"/>
      <c r="AA394" s="7"/>
      <c r="AB394" s="7"/>
      <c r="AC394" s="7"/>
      <c r="AD394" s="7"/>
      <c r="AE394" s="7"/>
      <c r="AF394" s="7"/>
      <c r="AG394" s="7"/>
      <c r="AH394" s="7"/>
      <c r="AI394" s="7"/>
      <c r="AJ394" s="7"/>
      <c r="AK394" s="7"/>
      <c r="AL394" s="7"/>
      <c r="AM394" s="7"/>
      <c r="AN394" s="7"/>
      <c r="AO394" s="7"/>
      <c r="AP394" s="7"/>
      <c r="AQ394" s="7"/>
      <c r="AR394" s="7"/>
      <c r="AS394" s="7"/>
      <c r="AT394" s="7"/>
      <c r="AU394" s="7"/>
      <c r="AV394" s="7"/>
      <c r="AW394" s="7"/>
      <c r="AX394" s="7"/>
      <c r="AY394" s="7"/>
      <c r="AZ394" s="7"/>
      <c r="BA394" s="5"/>
      <c r="BB394" s="5"/>
      <c r="BC394" s="5"/>
      <c r="BD394" s="5"/>
      <c r="BE394" s="5"/>
      <c r="BF394" s="5"/>
      <c r="BG394" s="4">
        <v>388</v>
      </c>
      <c r="BH394"/>
      <c r="BI394"/>
      <c r="BJ394"/>
      <c r="BK394"/>
      <c r="BL394"/>
      <c r="BM394"/>
    </row>
    <row r="395" spans="1:65" s="3" customFormat="1" ht="11.25" outlineLevel="2">
      <c r="A395" s="6"/>
      <c r="B395" s="68" t="s">
        <v>67</v>
      </c>
      <c r="C395" s="7"/>
      <c r="D395" s="7"/>
      <c r="E395" s="7"/>
      <c r="F395" s="7"/>
      <c r="G395" s="7"/>
      <c r="H395" s="7"/>
      <c r="I395" s="7"/>
      <c r="J395" s="7"/>
      <c r="K395" s="7"/>
      <c r="L395" s="7"/>
      <c r="M395" s="7"/>
      <c r="N395" s="7"/>
      <c r="O395" s="5"/>
      <c r="P395" s="7"/>
      <c r="Q395" s="7"/>
      <c r="R395" s="7"/>
      <c r="S395" s="7"/>
      <c r="T395" s="7"/>
      <c r="U395" s="7"/>
      <c r="V395" s="7"/>
      <c r="W395" s="7"/>
      <c r="X395" s="7"/>
      <c r="Y395" s="7"/>
      <c r="Z395" s="7"/>
      <c r="AA395" s="7"/>
      <c r="AB395" s="7"/>
      <c r="AC395" s="7"/>
      <c r="AD395" s="67"/>
      <c r="AE395" s="67"/>
      <c r="AF395" s="67"/>
      <c r="AG395" s="67"/>
      <c r="AH395" s="67"/>
      <c r="AI395" s="67"/>
      <c r="AJ395" s="67"/>
      <c r="AK395" s="67"/>
      <c r="AL395" s="67"/>
      <c r="AM395" s="67"/>
      <c r="AN395" s="7"/>
      <c r="AO395" s="7"/>
      <c r="AP395" s="7"/>
      <c r="AQ395" s="7"/>
      <c r="AR395" s="7"/>
      <c r="AS395" s="7"/>
      <c r="AT395" s="7"/>
      <c r="AU395" s="7"/>
      <c r="AV395" s="7"/>
      <c r="AW395" s="7"/>
      <c r="AX395" s="7"/>
      <c r="AY395" s="7"/>
      <c r="AZ395" s="7"/>
      <c r="BA395" s="5"/>
      <c r="BB395" s="5"/>
      <c r="BC395" s="5"/>
      <c r="BD395" s="5"/>
      <c r="BE395" s="5"/>
      <c r="BF395" s="5"/>
      <c r="BG395" s="4">
        <v>389</v>
      </c>
      <c r="BH395"/>
      <c r="BI395"/>
      <c r="BJ395"/>
      <c r="BK395"/>
      <c r="BL395"/>
      <c r="BM395"/>
    </row>
    <row r="396" spans="1:65" s="3" customFormat="1" ht="11.25" outlineLevel="2">
      <c r="A396" s="6"/>
      <c r="B396" s="56" t="s">
        <v>66</v>
      </c>
      <c r="C396" s="7"/>
      <c r="D396" s="7"/>
      <c r="E396" s="7"/>
      <c r="F396" s="7"/>
      <c r="G396" s="7"/>
      <c r="H396" s="7"/>
      <c r="I396" s="58">
        <f t="shared" ref="I396:N397" si="642">INDEX($P396:$AZ396,1,MATCH(I$5,$P$5:$AZ$5,0))</f>
        <v>11.533000000000001</v>
      </c>
      <c r="J396" s="58">
        <f t="shared" si="642"/>
        <v>13.817999999999998</v>
      </c>
      <c r="K396" s="58">
        <f t="shared" si="642"/>
        <v>15.558000000000007</v>
      </c>
      <c r="L396" s="58">
        <f t="shared" si="642"/>
        <v>15.557999999999993</v>
      </c>
      <c r="M396" s="58">
        <f t="shared" si="642"/>
        <v>15.557999999999993</v>
      </c>
      <c r="N396" s="58">
        <f t="shared" si="642"/>
        <v>15.557999999999993</v>
      </c>
      <c r="O396" s="5"/>
      <c r="P396" s="7"/>
      <c r="Q396" s="7"/>
      <c r="R396" s="7"/>
      <c r="S396" s="7"/>
      <c r="T396" s="7"/>
      <c r="U396" s="7"/>
      <c r="V396" s="7"/>
      <c r="W396" s="7"/>
      <c r="X396" s="7"/>
      <c r="Y396" s="7"/>
      <c r="Z396" s="7"/>
      <c r="AA396" s="7">
        <f t="shared" ref="AA396:AY396" si="643">AA376-AA379</f>
        <v>11.5</v>
      </c>
      <c r="AB396" s="7">
        <f t="shared" si="643"/>
        <v>11.5</v>
      </c>
      <c r="AC396" s="7">
        <f t="shared" si="643"/>
        <v>11.5</v>
      </c>
      <c r="AD396" s="7">
        <f t="shared" si="643"/>
        <v>11.533000000000001</v>
      </c>
      <c r="AE396" s="7">
        <f t="shared" si="643"/>
        <v>11.533000000000001</v>
      </c>
      <c r="AF396" s="7">
        <f t="shared" si="643"/>
        <v>12.927</v>
      </c>
      <c r="AG396" s="7">
        <f t="shared" si="643"/>
        <v>12.927</v>
      </c>
      <c r="AH396" s="7">
        <f t="shared" si="643"/>
        <v>13.817999999999998</v>
      </c>
      <c r="AI396" s="7">
        <f t="shared" si="643"/>
        <v>13.817999999999998</v>
      </c>
      <c r="AJ396" s="7">
        <f t="shared" si="643"/>
        <v>15.505000000000003</v>
      </c>
      <c r="AK396" s="7">
        <f t="shared" si="643"/>
        <v>15.27</v>
      </c>
      <c r="AL396" s="7">
        <f t="shared" si="643"/>
        <v>15.257999999999996</v>
      </c>
      <c r="AM396" s="7">
        <f t="shared" si="643"/>
        <v>15.558000000000007</v>
      </c>
      <c r="AN396" s="7">
        <f t="shared" si="643"/>
        <v>24.908951199132048</v>
      </c>
      <c r="AO396" s="7">
        <f t="shared" si="643"/>
        <v>15.557999999999993</v>
      </c>
      <c r="AP396" s="7">
        <f t="shared" si="643"/>
        <v>15.557999999999993</v>
      </c>
      <c r="AQ396" s="7">
        <f t="shared" si="643"/>
        <v>15.557999999999993</v>
      </c>
      <c r="AR396" s="7">
        <f t="shared" si="643"/>
        <v>15.557999999999993</v>
      </c>
      <c r="AS396" s="7">
        <f t="shared" si="643"/>
        <v>15.557999999999993</v>
      </c>
      <c r="AT396" s="7">
        <f t="shared" si="643"/>
        <v>15.557999999999993</v>
      </c>
      <c r="AU396" s="7">
        <f t="shared" si="643"/>
        <v>15.557999999999993</v>
      </c>
      <c r="AV396" s="7">
        <f t="shared" si="643"/>
        <v>15.557999999999993</v>
      </c>
      <c r="AW396" s="7">
        <f t="shared" si="643"/>
        <v>15.557999999999993</v>
      </c>
      <c r="AX396" s="7">
        <f t="shared" si="643"/>
        <v>15.557999999999993</v>
      </c>
      <c r="AY396" s="7">
        <f t="shared" si="643"/>
        <v>15.557999999999993</v>
      </c>
      <c r="AZ396" s="7"/>
      <c r="BA396" s="5"/>
      <c r="BB396" s="5"/>
      <c r="BC396" s="5"/>
      <c r="BD396" s="5"/>
      <c r="BE396" s="5"/>
      <c r="BF396" s="5"/>
      <c r="BG396" s="4">
        <v>390</v>
      </c>
      <c r="BH396"/>
      <c r="BI396"/>
      <c r="BJ396"/>
      <c r="BK396"/>
      <c r="BL396"/>
      <c r="BM396"/>
    </row>
    <row r="397" spans="1:65" s="3" customFormat="1" ht="11.25" outlineLevel="2">
      <c r="A397" s="6"/>
      <c r="B397" s="56" t="s">
        <v>65</v>
      </c>
      <c r="C397" s="7"/>
      <c r="D397" s="7"/>
      <c r="E397" s="7"/>
      <c r="F397" s="7"/>
      <c r="G397" s="7"/>
      <c r="H397" s="7"/>
      <c r="I397" s="58">
        <f t="shared" si="642"/>
        <v>31.25</v>
      </c>
      <c r="J397" s="58">
        <f t="shared" si="642"/>
        <v>31.25</v>
      </c>
      <c r="K397" s="58">
        <f t="shared" si="642"/>
        <v>31.25</v>
      </c>
      <c r="L397" s="58">
        <f t="shared" si="642"/>
        <v>31.25</v>
      </c>
      <c r="M397" s="58">
        <f t="shared" si="642"/>
        <v>31.25</v>
      </c>
      <c r="N397" s="58">
        <f t="shared" si="642"/>
        <v>31.25</v>
      </c>
      <c r="O397" s="5"/>
      <c r="P397" s="7"/>
      <c r="Q397" s="7"/>
      <c r="R397" s="7"/>
      <c r="S397" s="7"/>
      <c r="T397" s="7"/>
      <c r="U397" s="7"/>
      <c r="V397" s="7"/>
      <c r="W397" s="7"/>
      <c r="X397" s="7"/>
      <c r="Y397" s="7"/>
      <c r="Z397" s="7"/>
      <c r="AA397" s="66">
        <v>31.25</v>
      </c>
      <c r="AB397" s="66">
        <v>31.25</v>
      </c>
      <c r="AC397" s="66">
        <v>31.25</v>
      </c>
      <c r="AD397" s="66">
        <v>31.25</v>
      </c>
      <c r="AE397" s="66">
        <v>31.25</v>
      </c>
      <c r="AF397" s="66">
        <v>31.25</v>
      </c>
      <c r="AG397" s="66">
        <v>31.25</v>
      </c>
      <c r="AH397" s="66">
        <v>31.25</v>
      </c>
      <c r="AI397" s="66">
        <v>31.25</v>
      </c>
      <c r="AJ397" s="66">
        <v>31.25</v>
      </c>
      <c r="AK397" s="66">
        <v>31.25</v>
      </c>
      <c r="AL397" s="66">
        <v>31.25</v>
      </c>
      <c r="AM397" s="66">
        <v>31.25</v>
      </c>
      <c r="AN397" s="66">
        <v>31.25</v>
      </c>
      <c r="AO397" s="66">
        <v>31.25</v>
      </c>
      <c r="AP397" s="66">
        <v>31.25</v>
      </c>
      <c r="AQ397" s="66">
        <v>31.25</v>
      </c>
      <c r="AR397" s="66">
        <v>31.25</v>
      </c>
      <c r="AS397" s="66">
        <v>31.25</v>
      </c>
      <c r="AT397" s="66">
        <v>31.25</v>
      </c>
      <c r="AU397" s="66">
        <v>31.25</v>
      </c>
      <c r="AV397" s="66">
        <v>31.25</v>
      </c>
      <c r="AW397" s="66">
        <v>31.25</v>
      </c>
      <c r="AX397" s="66">
        <v>31.25</v>
      </c>
      <c r="AY397" s="66">
        <v>31.25</v>
      </c>
      <c r="AZ397" s="7"/>
      <c r="BA397" s="5"/>
      <c r="BB397" s="5"/>
      <c r="BC397" s="5"/>
      <c r="BD397" s="5"/>
      <c r="BE397" s="5"/>
      <c r="BF397" s="5"/>
      <c r="BG397" s="4">
        <v>391</v>
      </c>
      <c r="BH397"/>
      <c r="BI397"/>
      <c r="BJ397"/>
      <c r="BK397"/>
      <c r="BL397"/>
      <c r="BM397"/>
    </row>
    <row r="398" spans="1:65" s="3" customFormat="1" ht="11.25" outlineLevel="2">
      <c r="A398" s="6"/>
      <c r="B398" s="56" t="s">
        <v>417</v>
      </c>
      <c r="C398" s="7"/>
      <c r="D398" s="7"/>
      <c r="E398" s="7"/>
      <c r="F398" s="7"/>
      <c r="G398" s="7"/>
      <c r="H398" s="7"/>
      <c r="I398" s="58"/>
      <c r="J398" s="58"/>
      <c r="K398" s="58"/>
      <c r="L398" s="58"/>
      <c r="M398" s="58"/>
      <c r="N398" s="58"/>
      <c r="O398" s="5"/>
      <c r="P398" s="7"/>
      <c r="Q398" s="7"/>
      <c r="R398" s="7"/>
      <c r="S398" s="7"/>
      <c r="T398" s="7"/>
      <c r="U398" s="7"/>
      <c r="V398" s="7"/>
      <c r="W398" s="7"/>
      <c r="X398" s="7"/>
      <c r="Y398" s="7"/>
      <c r="Z398" s="7"/>
      <c r="AA398" s="66"/>
      <c r="AB398" s="66"/>
      <c r="AC398" s="66"/>
      <c r="AD398" s="66"/>
      <c r="AE398" s="66"/>
      <c r="AF398" s="66"/>
      <c r="AG398" s="66"/>
      <c r="AH398" s="66"/>
      <c r="AI398" s="66"/>
      <c r="AJ398" s="66"/>
      <c r="AK398" s="66"/>
      <c r="AL398" s="66"/>
      <c r="AM398" s="411">
        <v>1.1000000000000001</v>
      </c>
      <c r="AN398" s="411">
        <v>1.1000000000000001</v>
      </c>
      <c r="AO398" s="411">
        <v>1.1000000000000001</v>
      </c>
      <c r="AP398" s="411">
        <v>1.1000000000000001</v>
      </c>
      <c r="AQ398" s="411">
        <v>1.1000000000000001</v>
      </c>
      <c r="AR398" s="411">
        <v>1.1000000000000001</v>
      </c>
      <c r="AS398" s="411">
        <v>1.1000000000000001</v>
      </c>
      <c r="AT398" s="411">
        <v>1.1000000000000001</v>
      </c>
      <c r="AU398" s="411">
        <v>1.1000000000000001</v>
      </c>
      <c r="AV398" s="411">
        <v>1.1000000000000001</v>
      </c>
      <c r="AW398" s="411">
        <v>1.1000000000000001</v>
      </c>
      <c r="AX398" s="411">
        <v>1.1000000000000001</v>
      </c>
      <c r="AY398" s="411">
        <v>1.1000000000000001</v>
      </c>
      <c r="AZ398" s="7"/>
      <c r="BA398" s="5"/>
      <c r="BB398" s="5"/>
      <c r="BC398" s="5"/>
      <c r="BD398" s="5"/>
      <c r="BE398" s="5"/>
      <c r="BF398" s="5"/>
      <c r="BG398" s="4">
        <v>392</v>
      </c>
      <c r="BH398"/>
      <c r="BI398"/>
      <c r="BJ398"/>
      <c r="BK398"/>
      <c r="BL398"/>
      <c r="BM398"/>
    </row>
    <row r="399" spans="1:65" s="3" customFormat="1" ht="11.25" outlineLevel="2">
      <c r="A399" s="6"/>
      <c r="B399" s="56" t="s">
        <v>416</v>
      </c>
      <c r="C399" s="7"/>
      <c r="D399" s="7"/>
      <c r="E399" s="7"/>
      <c r="F399" s="7"/>
      <c r="G399" s="7"/>
      <c r="H399" s="7"/>
      <c r="I399" s="58"/>
      <c r="J399" s="58"/>
      <c r="K399" s="58"/>
      <c r="L399" s="58"/>
      <c r="M399" s="58"/>
      <c r="N399" s="58"/>
      <c r="O399" s="5"/>
      <c r="P399" s="7"/>
      <c r="Q399" s="7"/>
      <c r="R399" s="7"/>
      <c r="S399" s="7"/>
      <c r="T399" s="7"/>
      <c r="U399" s="7"/>
      <c r="V399" s="7"/>
      <c r="W399" s="7"/>
      <c r="X399" s="7"/>
      <c r="Y399" s="7"/>
      <c r="Z399" s="7"/>
      <c r="AA399" s="65"/>
      <c r="AB399" s="65"/>
      <c r="AC399" s="65"/>
      <c r="AD399" s="65"/>
      <c r="AE399" s="65"/>
      <c r="AF399" s="65"/>
      <c r="AG399" s="65"/>
      <c r="AH399" s="65"/>
      <c r="AI399" s="65"/>
      <c r="AJ399" s="65"/>
      <c r="AK399" s="65"/>
      <c r="AL399" s="65"/>
      <c r="AM399" s="412">
        <f t="shared" ref="AM399:AY399" si="644">-AM214/(AM24+MIN(0,AM27)+AM258)</f>
        <v>1.353087047752273</v>
      </c>
      <c r="AN399" s="412">
        <f t="shared" si="644"/>
        <v>1.344410432111423</v>
      </c>
      <c r="AO399" s="412">
        <f t="shared" si="644"/>
        <v>1.69811115410564</v>
      </c>
      <c r="AP399" s="412">
        <f t="shared" si="644"/>
        <v>4.6367665408787309</v>
      </c>
      <c r="AQ399" s="412">
        <f t="shared" si="644"/>
        <v>3.4107391402922898</v>
      </c>
      <c r="AR399" s="412">
        <f t="shared" si="644"/>
        <v>2.5264537363947994</v>
      </c>
      <c r="AS399" s="412">
        <f t="shared" si="644"/>
        <v>2.4654139216157489</v>
      </c>
      <c r="AT399" s="412">
        <f t="shared" si="644"/>
        <v>2.4716980494563439</v>
      </c>
      <c r="AU399" s="412">
        <f t="shared" si="644"/>
        <v>2.4101316342885974</v>
      </c>
      <c r="AV399" s="412">
        <f t="shared" si="644"/>
        <v>2.4522026189949355</v>
      </c>
      <c r="AW399" s="412">
        <f t="shared" si="644"/>
        <v>2.5504884587537742</v>
      </c>
      <c r="AX399" s="412">
        <f t="shared" si="644"/>
        <v>2.5212539888703707</v>
      </c>
      <c r="AY399" s="412">
        <f t="shared" si="644"/>
        <v>2.4225080630952585</v>
      </c>
      <c r="AZ399" s="7"/>
      <c r="BA399" s="5"/>
      <c r="BB399" s="5"/>
      <c r="BC399" s="5"/>
      <c r="BD399" s="5"/>
      <c r="BE399" s="5"/>
      <c r="BF399" s="5"/>
      <c r="BG399" s="4">
        <v>393</v>
      </c>
      <c r="BH399"/>
      <c r="BI399"/>
      <c r="BJ399"/>
      <c r="BK399"/>
      <c r="BL399"/>
      <c r="BM399"/>
    </row>
    <row r="400" spans="1:65" s="3" customFormat="1" ht="11.25" outlineLevel="2">
      <c r="A400" s="6"/>
      <c r="B400" s="56" t="s">
        <v>61</v>
      </c>
      <c r="C400" s="7"/>
      <c r="D400" s="7"/>
      <c r="E400" s="7"/>
      <c r="F400" s="7"/>
      <c r="G400" s="7"/>
      <c r="H400" s="7"/>
      <c r="I400" s="55">
        <f t="shared" ref="I400:N403" si="645">INDEX($P400:$AZ400,1,MATCH(I$5,$P$5:$AZ$5,0))</f>
        <v>4.75</v>
      </c>
      <c r="J400" s="55">
        <f t="shared" si="645"/>
        <v>4.75</v>
      </c>
      <c r="K400" s="55">
        <f t="shared" si="645"/>
        <v>0</v>
      </c>
      <c r="L400" s="55">
        <f t="shared" si="645"/>
        <v>0</v>
      </c>
      <c r="M400" s="55">
        <f t="shared" si="645"/>
        <v>0</v>
      </c>
      <c r="N400" s="55">
        <f t="shared" si="645"/>
        <v>0</v>
      </c>
      <c r="O400" s="5"/>
      <c r="P400" s="7"/>
      <c r="Q400" s="7"/>
      <c r="R400" s="7"/>
      <c r="S400" s="7"/>
      <c r="T400" s="7"/>
      <c r="U400" s="7"/>
      <c r="V400" s="7"/>
      <c r="W400" s="7"/>
      <c r="X400" s="7"/>
      <c r="Y400" s="7"/>
      <c r="Z400" s="7"/>
      <c r="AA400" s="7"/>
      <c r="AB400" s="7"/>
      <c r="AC400" s="7"/>
      <c r="AD400" s="62">
        <v>4.75</v>
      </c>
      <c r="AE400" s="62">
        <v>4.75</v>
      </c>
      <c r="AF400" s="62">
        <v>4.75</v>
      </c>
      <c r="AG400" s="62">
        <v>4.75</v>
      </c>
      <c r="AH400" s="62">
        <v>4.75</v>
      </c>
      <c r="AI400" s="62">
        <v>4.75</v>
      </c>
      <c r="AJ400" s="64">
        <v>6.5</v>
      </c>
      <c r="AK400" s="63">
        <v>6</v>
      </c>
      <c r="AL400" s="63">
        <v>5.5</v>
      </c>
      <c r="AM400" s="407"/>
      <c r="AN400" s="407"/>
      <c r="AO400" s="407"/>
      <c r="AP400" s="407"/>
      <c r="AQ400" s="407"/>
      <c r="AR400" s="407"/>
      <c r="AS400" s="407"/>
      <c r="AT400" s="407"/>
      <c r="AU400" s="407"/>
      <c r="AV400" s="407"/>
      <c r="AW400" s="407"/>
      <c r="AX400" s="407"/>
      <c r="AY400" s="407"/>
      <c r="AZ400" s="7"/>
      <c r="BA400" s="5"/>
      <c r="BB400" s="5"/>
      <c r="BC400" s="5"/>
      <c r="BD400" s="5"/>
      <c r="BE400" s="5"/>
      <c r="BF400" s="5"/>
      <c r="BG400" s="4">
        <v>394</v>
      </c>
      <c r="BH400"/>
      <c r="BI400"/>
      <c r="BJ400"/>
      <c r="BK400"/>
      <c r="BL400"/>
      <c r="BM400"/>
    </row>
    <row r="401" spans="1:257" s="3" customFormat="1" ht="11.25" outlineLevel="2">
      <c r="A401" s="6"/>
      <c r="B401" s="56" t="s">
        <v>64</v>
      </c>
      <c r="C401" s="7"/>
      <c r="D401" s="7"/>
      <c r="E401" s="7"/>
      <c r="F401" s="7"/>
      <c r="G401" s="7"/>
      <c r="H401" s="7"/>
      <c r="I401" s="58">
        <f t="shared" si="645"/>
        <v>40</v>
      </c>
      <c r="J401" s="58">
        <f t="shared" si="645"/>
        <v>130</v>
      </c>
      <c r="K401" s="58">
        <f t="shared" si="645"/>
        <v>0</v>
      </c>
      <c r="L401" s="58">
        <f t="shared" si="645"/>
        <v>0</v>
      </c>
      <c r="M401" s="58">
        <f t="shared" si="645"/>
        <v>0</v>
      </c>
      <c r="N401" s="58">
        <f t="shared" si="645"/>
        <v>0</v>
      </c>
      <c r="O401" s="5"/>
      <c r="P401" s="7"/>
      <c r="Q401" s="7"/>
      <c r="R401" s="7"/>
      <c r="S401" s="7"/>
      <c r="T401" s="7"/>
      <c r="U401" s="7"/>
      <c r="V401" s="7"/>
      <c r="W401" s="7"/>
      <c r="X401" s="7"/>
      <c r="Y401" s="7"/>
      <c r="Z401" s="7"/>
      <c r="AA401" s="7"/>
      <c r="AB401" s="7"/>
      <c r="AC401" s="7"/>
      <c r="AD401" s="61">
        <v>20</v>
      </c>
      <c r="AE401" s="61">
        <v>40</v>
      </c>
      <c r="AF401" s="61">
        <v>60</v>
      </c>
      <c r="AG401" s="61">
        <v>90</v>
      </c>
      <c r="AH401" s="61">
        <v>110</v>
      </c>
      <c r="AI401" s="61">
        <v>130</v>
      </c>
      <c r="AJ401" s="60" t="s">
        <v>63</v>
      </c>
      <c r="AK401" s="59" t="s">
        <v>63</v>
      </c>
      <c r="AL401" s="59" t="s">
        <v>63</v>
      </c>
      <c r="AM401" s="408"/>
      <c r="AN401" s="408"/>
      <c r="AO401" s="408"/>
      <c r="AP401" s="408"/>
      <c r="AQ401" s="408"/>
      <c r="AR401" s="408"/>
      <c r="AS401" s="408"/>
      <c r="AT401" s="408"/>
      <c r="AU401" s="408"/>
      <c r="AV401" s="408"/>
      <c r="AW401" s="408"/>
      <c r="AX401" s="408"/>
      <c r="AY401" s="408"/>
      <c r="AZ401" s="7"/>
      <c r="BA401" s="5"/>
      <c r="BB401" s="5"/>
      <c r="BC401" s="5"/>
      <c r="BD401" s="5"/>
      <c r="BE401" s="5"/>
      <c r="BF401" s="5"/>
      <c r="BG401" s="4">
        <v>395</v>
      </c>
      <c r="BH401"/>
      <c r="BI401"/>
      <c r="BJ401"/>
      <c r="BK401"/>
      <c r="BL401"/>
      <c r="BM401"/>
    </row>
    <row r="402" spans="1:257" s="3" customFormat="1" ht="11.25" outlineLevel="2">
      <c r="A402" s="6"/>
      <c r="B402" s="56" t="s">
        <v>62</v>
      </c>
      <c r="C402" s="7"/>
      <c r="D402" s="7"/>
      <c r="E402" s="7"/>
      <c r="F402" s="7"/>
      <c r="G402" s="7"/>
      <c r="H402" s="7"/>
      <c r="I402" s="58">
        <f t="shared" si="645"/>
        <v>26.448999999999984</v>
      </c>
      <c r="J402" s="58">
        <f t="shared" si="645"/>
        <v>21.653000000000006</v>
      </c>
      <c r="K402" s="58">
        <f t="shared" si="645"/>
        <v>0</v>
      </c>
      <c r="L402" s="58">
        <f t="shared" si="645"/>
        <v>0</v>
      </c>
      <c r="M402" s="58">
        <f t="shared" si="645"/>
        <v>0</v>
      </c>
      <c r="N402" s="58">
        <f t="shared" si="645"/>
        <v>0</v>
      </c>
      <c r="O402" s="5"/>
      <c r="P402" s="7"/>
      <c r="Q402" s="7"/>
      <c r="R402" s="7"/>
      <c r="S402" s="7"/>
      <c r="T402" s="7"/>
      <c r="U402" s="7"/>
      <c r="V402" s="7"/>
      <c r="W402" s="7"/>
      <c r="X402" s="7"/>
      <c r="Y402" s="7"/>
      <c r="Z402" s="7"/>
      <c r="AA402" s="7"/>
      <c r="AB402" s="7"/>
      <c r="AC402" s="7"/>
      <c r="AD402" s="7">
        <f>SUM($AD214:AD214)</f>
        <v>21.763000000000005</v>
      </c>
      <c r="AE402" s="7">
        <f>SUM($AD214:AE214)</f>
        <v>26.448999999999984</v>
      </c>
      <c r="AF402" s="7">
        <f>SUM($AD214:AF214)</f>
        <v>36.495999999999988</v>
      </c>
      <c r="AG402" s="7">
        <f>SUM($AD214:AG214)</f>
        <v>31.500000000000007</v>
      </c>
      <c r="AH402" s="57">
        <f>SUM(AE214:AH214)</f>
        <v>14.632000000000009</v>
      </c>
      <c r="AI402" s="7">
        <f>SUM(AF214:AI214)</f>
        <v>21.653000000000006</v>
      </c>
      <c r="AJ402" s="7">
        <f>SUM(AG214:AJ214)</f>
        <v>33.264999999999972</v>
      </c>
      <c r="AK402" s="7">
        <f>SUM(AH214:AK214)</f>
        <v>85.245000000000005</v>
      </c>
      <c r="AL402" s="7">
        <f>SUM(AI214:AL214)</f>
        <v>152.73399999999998</v>
      </c>
      <c r="AM402" s="409"/>
      <c r="AN402" s="409"/>
      <c r="AO402" s="409"/>
      <c r="AP402" s="409"/>
      <c r="AQ402" s="409"/>
      <c r="AR402" s="409"/>
      <c r="AS402" s="409"/>
      <c r="AT402" s="409"/>
      <c r="AU402" s="409"/>
      <c r="AV402" s="409"/>
      <c r="AW402" s="409"/>
      <c r="AX402" s="409"/>
      <c r="AY402" s="409"/>
      <c r="AZ402" s="7"/>
      <c r="BA402" s="5"/>
      <c r="BB402" s="5"/>
      <c r="BC402" s="5"/>
      <c r="BD402" s="5"/>
      <c r="BE402" s="5"/>
      <c r="BF402" s="5"/>
      <c r="BG402" s="4">
        <v>396</v>
      </c>
      <c r="BH402"/>
      <c r="BI402"/>
      <c r="BJ402"/>
      <c r="BK402"/>
      <c r="BL402"/>
      <c r="BM402"/>
    </row>
    <row r="403" spans="1:257" s="3" customFormat="1" ht="11.25" outlineLevel="2">
      <c r="A403" s="6"/>
      <c r="B403" s="56" t="s">
        <v>61</v>
      </c>
      <c r="C403" s="7"/>
      <c r="D403" s="7"/>
      <c r="E403" s="7"/>
      <c r="F403" s="7"/>
      <c r="G403" s="7"/>
      <c r="H403" s="7"/>
      <c r="I403" s="55">
        <f t="shared" si="645"/>
        <v>8.9934682311911942</v>
      </c>
      <c r="J403" s="55">
        <f t="shared" si="645"/>
        <v>39.301159192721549</v>
      </c>
      <c r="K403" s="55">
        <f t="shared" si="645"/>
        <v>0</v>
      </c>
      <c r="L403" s="55">
        <f t="shared" si="645"/>
        <v>0</v>
      </c>
      <c r="M403" s="55">
        <f t="shared" si="645"/>
        <v>0</v>
      </c>
      <c r="N403" s="55">
        <f t="shared" si="645"/>
        <v>0</v>
      </c>
      <c r="O403" s="5"/>
      <c r="P403" s="7"/>
      <c r="Q403" s="7"/>
      <c r="R403" s="7"/>
      <c r="S403" s="7"/>
      <c r="T403" s="7"/>
      <c r="U403" s="7"/>
      <c r="V403" s="7"/>
      <c r="W403" s="7"/>
      <c r="X403" s="7"/>
      <c r="Y403" s="7"/>
      <c r="Z403" s="54">
        <f t="shared" ref="Z403:AL403" si="646">Z367/SUM(W214:Z214)</f>
        <v>3.4663377313480606</v>
      </c>
      <c r="AA403" s="54">
        <f t="shared" si="646"/>
        <v>3.1529613330356612</v>
      </c>
      <c r="AB403" s="54">
        <f t="shared" si="646"/>
        <v>3.2046229600427352</v>
      </c>
      <c r="AC403" s="54">
        <f t="shared" si="646"/>
        <v>3.7944613567453689</v>
      </c>
      <c r="AD403" s="54">
        <f t="shared" si="646"/>
        <v>5.3210298258622233</v>
      </c>
      <c r="AE403" s="54">
        <f t="shared" si="646"/>
        <v>8.9934682311911942</v>
      </c>
      <c r="AF403" s="54">
        <f t="shared" si="646"/>
        <v>16.997877852496966</v>
      </c>
      <c r="AG403" s="54">
        <f t="shared" si="646"/>
        <v>36.796761904761894</v>
      </c>
      <c r="AH403" s="54">
        <f t="shared" si="646"/>
        <v>78.977788408966589</v>
      </c>
      <c r="AI403" s="54">
        <f t="shared" si="646"/>
        <v>39.301159192721549</v>
      </c>
      <c r="AJ403" s="54">
        <f t="shared" si="646"/>
        <v>25.622967082519185</v>
      </c>
      <c r="AK403" s="54">
        <f t="shared" si="646"/>
        <v>9.4109449234559204</v>
      </c>
      <c r="AL403" s="54">
        <f t="shared" si="646"/>
        <v>5.2374651354642721</v>
      </c>
      <c r="AM403" s="410"/>
      <c r="AN403" s="410"/>
      <c r="AO403" s="410"/>
      <c r="AP403" s="410"/>
      <c r="AQ403" s="410"/>
      <c r="AR403" s="410"/>
      <c r="AS403" s="410"/>
      <c r="AT403" s="410"/>
      <c r="AU403" s="410"/>
      <c r="AV403" s="410"/>
      <c r="AW403" s="410"/>
      <c r="AX403" s="410"/>
      <c r="AY403" s="410"/>
      <c r="AZ403" s="7"/>
      <c r="BA403" s="5"/>
      <c r="BB403" s="5"/>
      <c r="BC403" s="5"/>
      <c r="BD403" s="5"/>
      <c r="BE403" s="5"/>
      <c r="BF403" s="5"/>
      <c r="BG403" s="4">
        <v>397</v>
      </c>
      <c r="BH403"/>
      <c r="BI403"/>
      <c r="BJ403"/>
      <c r="BK403"/>
      <c r="BL403"/>
      <c r="BM403"/>
    </row>
    <row r="404" spans="1:257" s="3" customFormat="1" ht="11.25" outlineLevel="2">
      <c r="A404" s="2"/>
      <c r="B404" s="16"/>
      <c r="C404" s="7"/>
      <c r="D404" s="7"/>
      <c r="E404" s="7"/>
      <c r="F404" s="7"/>
      <c r="G404" s="7"/>
      <c r="H404" s="7"/>
      <c r="I404" s="7"/>
      <c r="J404" s="7"/>
      <c r="K404" s="7"/>
      <c r="L404" s="7"/>
      <c r="M404" s="7"/>
      <c r="N404" s="7"/>
      <c r="O404" s="5"/>
      <c r="P404" s="7"/>
      <c r="Q404" s="7"/>
      <c r="R404" s="7"/>
      <c r="S404" s="7"/>
      <c r="T404" s="7"/>
      <c r="U404" s="7"/>
      <c r="V404" s="7"/>
      <c r="W404" s="7"/>
      <c r="X404" s="7"/>
      <c r="Y404" s="7"/>
      <c r="Z404" s="7"/>
      <c r="AA404" s="7"/>
      <c r="AB404" s="7"/>
      <c r="AC404" s="7"/>
      <c r="AD404" s="7"/>
      <c r="AE404" s="7"/>
      <c r="AF404" s="7"/>
      <c r="AG404" s="7"/>
      <c r="AH404" s="7"/>
      <c r="AI404" s="7"/>
      <c r="AJ404" s="7"/>
      <c r="AK404" s="7"/>
      <c r="AL404" s="7"/>
      <c r="AM404" s="7"/>
      <c r="AN404" s="5"/>
      <c r="AO404" s="5"/>
      <c r="AP404" s="5"/>
      <c r="AQ404" s="5"/>
      <c r="AR404" s="5"/>
      <c r="AS404" s="5"/>
      <c r="AT404" s="5"/>
      <c r="AU404" s="5"/>
      <c r="AV404" s="5"/>
      <c r="AW404" s="5"/>
      <c r="AX404" s="5"/>
      <c r="AY404" s="5"/>
      <c r="AZ404" s="5"/>
      <c r="BA404" s="5"/>
      <c r="BB404" s="5"/>
      <c r="BC404" s="5"/>
      <c r="BD404" s="5"/>
      <c r="BE404" s="5"/>
      <c r="BF404" s="5"/>
      <c r="BG404" s="4">
        <v>398</v>
      </c>
      <c r="BH404"/>
      <c r="BI404"/>
      <c r="BJ404"/>
      <c r="BK404"/>
      <c r="BL404"/>
      <c r="BM404"/>
    </row>
    <row r="405" spans="1:257" s="3" customFormat="1" ht="11.25" outlineLevel="1">
      <c r="A405" s="2" t="s">
        <v>0</v>
      </c>
      <c r="B405" s="29" t="s">
        <v>60</v>
      </c>
      <c r="C405" s="7"/>
      <c r="D405" s="7"/>
      <c r="E405" s="7"/>
      <c r="F405" s="7"/>
      <c r="G405" s="7"/>
      <c r="H405" s="7"/>
      <c r="I405" s="7"/>
      <c r="J405" s="7"/>
      <c r="K405" s="7"/>
      <c r="L405" s="7"/>
      <c r="M405" s="7"/>
      <c r="N405" s="7"/>
      <c r="O405" s="5"/>
      <c r="P405" s="7"/>
      <c r="Q405" s="7"/>
      <c r="R405" s="7"/>
      <c r="S405" s="7"/>
      <c r="T405" s="7"/>
      <c r="U405" s="7"/>
      <c r="V405" s="7"/>
      <c r="W405" s="7"/>
      <c r="X405" s="7"/>
      <c r="Y405" s="7"/>
      <c r="Z405" s="7"/>
      <c r="AA405" s="7"/>
      <c r="AB405" s="7"/>
      <c r="AC405" s="7"/>
      <c r="AD405" s="7"/>
      <c r="AE405" s="7"/>
      <c r="AF405" s="7"/>
      <c r="AG405" s="7"/>
      <c r="AH405" s="7"/>
      <c r="AI405" s="7"/>
      <c r="AJ405" s="7"/>
      <c r="AK405" s="7"/>
      <c r="AL405" s="7"/>
      <c r="AM405" s="7"/>
      <c r="AN405" s="5"/>
      <c r="AO405" s="5"/>
      <c r="AP405" s="5"/>
      <c r="AQ405" s="5"/>
      <c r="AR405" s="5"/>
      <c r="AS405" s="5"/>
      <c r="AT405" s="5"/>
      <c r="AU405" s="5"/>
      <c r="AV405" s="5"/>
      <c r="AW405" s="5"/>
      <c r="AX405" s="5"/>
      <c r="AY405" s="5"/>
      <c r="AZ405" s="5"/>
      <c r="BA405" s="5"/>
      <c r="BB405" s="5"/>
      <c r="BC405" s="5"/>
      <c r="BD405" s="5"/>
      <c r="BE405" s="5"/>
      <c r="BF405" s="5"/>
      <c r="BG405" s="4">
        <v>399</v>
      </c>
      <c r="BH405"/>
      <c r="BI405"/>
      <c r="BJ405"/>
      <c r="BK405"/>
      <c r="BL405"/>
      <c r="BM405"/>
    </row>
    <row r="406" spans="1:257" s="3" customFormat="1" ht="12.75" customHeight="1" outlineLevel="2">
      <c r="A406" s="6"/>
      <c r="B406" s="16" t="s">
        <v>59</v>
      </c>
      <c r="C406" s="45"/>
      <c r="D406" s="45"/>
      <c r="E406" s="45">
        <f>E407</f>
        <v>161.31444444444443</v>
      </c>
      <c r="F406" s="45">
        <v>155.82679400000001</v>
      </c>
      <c r="G406" s="45">
        <v>156.008218</v>
      </c>
      <c r="H406" s="45">
        <v>157.94966400000001</v>
      </c>
      <c r="I406" s="53">
        <f t="shared" ref="I406:N407" si="647">AVERAGEIF($P$4:$AZ$4,I$4,$P406:$AZ406)</f>
        <v>161.27553374999999</v>
      </c>
      <c r="J406" s="53">
        <f t="shared" si="647"/>
        <v>179.8305</v>
      </c>
      <c r="K406" s="53">
        <f t="shared" si="647"/>
        <v>223.9915</v>
      </c>
      <c r="L406" s="53">
        <f t="shared" si="647"/>
        <v>434.78662920406146</v>
      </c>
      <c r="M406" s="53">
        <f t="shared" si="647"/>
        <v>649.44515218862637</v>
      </c>
      <c r="N406" s="53">
        <f t="shared" si="647"/>
        <v>655.95584998730408</v>
      </c>
      <c r="O406" s="5"/>
      <c r="P406" s="7"/>
      <c r="Q406" s="7"/>
      <c r="R406" s="7"/>
      <c r="S406" s="7"/>
      <c r="T406" s="45"/>
      <c r="U406" s="45">
        <v>155.90988999999999</v>
      </c>
      <c r="V406" s="7"/>
      <c r="W406" s="7"/>
      <c r="X406" s="43">
        <v>156.462356</v>
      </c>
      <c r="Y406" s="43">
        <v>161.667124</v>
      </c>
      <c r="Z406" s="43">
        <v>158.04978199999999</v>
      </c>
      <c r="AA406" s="43">
        <v>160.54263599999999</v>
      </c>
      <c r="AB406" s="43">
        <v>160.948858</v>
      </c>
      <c r="AC406" s="43">
        <v>161.30697499999999</v>
      </c>
      <c r="AD406" s="43">
        <v>161.41305399999999</v>
      </c>
      <c r="AE406" s="43">
        <v>161.43324799999999</v>
      </c>
      <c r="AF406" s="43">
        <v>161.446</v>
      </c>
      <c r="AG406" s="43">
        <v>161.64699999999999</v>
      </c>
      <c r="AH406" s="43">
        <v>183.62</v>
      </c>
      <c r="AI406" s="43">
        <v>212.60900000000001</v>
      </c>
      <c r="AJ406" s="43">
        <v>223.739</v>
      </c>
      <c r="AK406" s="43">
        <v>224.01499999999999</v>
      </c>
      <c r="AL406" s="43">
        <v>224.08199999999999</v>
      </c>
      <c r="AM406" s="43">
        <v>224.13</v>
      </c>
      <c r="AN406" s="52">
        <f>AM406+AN410</f>
        <v>224.690325</v>
      </c>
      <c r="AO406" s="52">
        <f>AN406+AO410</f>
        <v>225.25205081249999</v>
      </c>
      <c r="AP406" s="52">
        <f t="shared" ref="AP406:AY406" si="648">AVERAGE(AO408:AP408)</f>
        <v>643.79782555905138</v>
      </c>
      <c r="AQ406" s="52">
        <f t="shared" si="648"/>
        <v>645.40631544469443</v>
      </c>
      <c r="AR406" s="52">
        <f t="shared" si="648"/>
        <v>647.01782062094912</v>
      </c>
      <c r="AS406" s="52">
        <f t="shared" si="648"/>
        <v>648.63335079103115</v>
      </c>
      <c r="AT406" s="52">
        <f t="shared" si="648"/>
        <v>650.25291475529616</v>
      </c>
      <c r="AU406" s="52">
        <f t="shared" si="648"/>
        <v>651.87652258722903</v>
      </c>
      <c r="AV406" s="52">
        <f t="shared" si="648"/>
        <v>653.50418438390716</v>
      </c>
      <c r="AW406" s="52">
        <f t="shared" si="648"/>
        <v>655.13591026762117</v>
      </c>
      <c r="AX406" s="52">
        <f t="shared" si="648"/>
        <v>656.77171038593565</v>
      </c>
      <c r="AY406" s="52">
        <f t="shared" si="648"/>
        <v>658.41159491175245</v>
      </c>
      <c r="AZ406" s="5"/>
      <c r="BA406" s="5"/>
      <c r="BB406" s="5"/>
      <c r="BC406" s="5"/>
      <c r="BD406" s="5"/>
      <c r="BE406" s="5"/>
      <c r="BF406" s="5"/>
      <c r="BG406" s="4">
        <v>400</v>
      </c>
      <c r="BH406"/>
      <c r="BI406"/>
      <c r="BJ406"/>
      <c r="BK406"/>
      <c r="BL406"/>
      <c r="BM406"/>
    </row>
    <row r="407" spans="1:257" s="3" customFormat="1" ht="12.75" customHeight="1" outlineLevel="2">
      <c r="A407" s="6"/>
      <c r="B407" s="33" t="s">
        <v>58</v>
      </c>
      <c r="C407" s="50"/>
      <c r="D407" s="50"/>
      <c r="E407" s="50">
        <f>E37</f>
        <v>161.31444444444443</v>
      </c>
      <c r="F407" s="51">
        <v>164.32832400000001</v>
      </c>
      <c r="G407" s="51">
        <v>164.63755399999999</v>
      </c>
      <c r="H407" s="51">
        <v>166.27712299999999</v>
      </c>
      <c r="I407" s="50">
        <f t="shared" si="647"/>
        <v>163.99314674999999</v>
      </c>
      <c r="J407" s="50">
        <f t="shared" si="647"/>
        <v>179.8305</v>
      </c>
      <c r="K407" s="50">
        <f t="shared" si="647"/>
        <v>226.64124999999999</v>
      </c>
      <c r="L407" s="50">
        <f t="shared" si="647"/>
        <v>443.48236178814261</v>
      </c>
      <c r="M407" s="50">
        <f t="shared" si="647"/>
        <v>662.43405523239892</v>
      </c>
      <c r="N407" s="50">
        <f t="shared" si="647"/>
        <v>669.07496698705017</v>
      </c>
      <c r="O407" s="5"/>
      <c r="P407" s="7"/>
      <c r="Q407" s="7"/>
      <c r="R407" s="7"/>
      <c r="S407" s="7"/>
      <c r="T407" s="45">
        <f>T37</f>
        <v>164.596924</v>
      </c>
      <c r="U407" s="45">
        <f>U37</f>
        <v>164.54898399999999</v>
      </c>
      <c r="V407" s="7"/>
      <c r="W407" s="7"/>
      <c r="X407" s="43">
        <v>165.07799</v>
      </c>
      <c r="Y407" s="43">
        <v>172.3</v>
      </c>
      <c r="Z407" s="43">
        <v>166.911474</v>
      </c>
      <c r="AA407" s="43">
        <v>167.02542199999999</v>
      </c>
      <c r="AB407" s="43">
        <v>166.33855700000001</v>
      </c>
      <c r="AC407" s="43">
        <v>166.78772799999999</v>
      </c>
      <c r="AD407" s="43">
        <v>161.41305399999999</v>
      </c>
      <c r="AE407" s="43">
        <v>161.43324799999999</v>
      </c>
      <c r="AF407" s="43">
        <v>161.446</v>
      </c>
      <c r="AG407" s="43">
        <v>161.64699999999999</v>
      </c>
      <c r="AH407" s="43">
        <v>183.62</v>
      </c>
      <c r="AI407" s="43">
        <v>212.60900000000001</v>
      </c>
      <c r="AJ407" s="43">
        <v>223.739</v>
      </c>
      <c r="AK407" s="43">
        <v>228.184</v>
      </c>
      <c r="AL407" s="43">
        <v>226.4</v>
      </c>
      <c r="AM407" s="43">
        <v>228.24199999999999</v>
      </c>
      <c r="AN407" s="49">
        <f t="shared" ref="AN407:AY407" si="649">+AN409*AN406</f>
        <v>229.18413150000001</v>
      </c>
      <c r="AO407" s="49">
        <f t="shared" si="649"/>
        <v>229.75709182874999</v>
      </c>
      <c r="AP407" s="49">
        <f t="shared" si="649"/>
        <v>656.67378207023239</v>
      </c>
      <c r="AQ407" s="49">
        <f t="shared" si="649"/>
        <v>658.31444175358831</v>
      </c>
      <c r="AR407" s="49">
        <f t="shared" si="649"/>
        <v>659.95817703336809</v>
      </c>
      <c r="AS407" s="49">
        <f t="shared" si="649"/>
        <v>661.60601780685181</v>
      </c>
      <c r="AT407" s="49">
        <f t="shared" si="649"/>
        <v>663.25797305040214</v>
      </c>
      <c r="AU407" s="49">
        <f t="shared" si="649"/>
        <v>664.91405303897363</v>
      </c>
      <c r="AV407" s="49">
        <f t="shared" si="649"/>
        <v>666.57426807158527</v>
      </c>
      <c r="AW407" s="49">
        <f t="shared" si="649"/>
        <v>668.23862847297357</v>
      </c>
      <c r="AX407" s="49">
        <f t="shared" si="649"/>
        <v>669.90714459365438</v>
      </c>
      <c r="AY407" s="49">
        <f t="shared" si="649"/>
        <v>671.57982680998748</v>
      </c>
      <c r="AZ407" s="5"/>
      <c r="BA407" s="5"/>
      <c r="BB407" s="5"/>
      <c r="BC407" s="5"/>
      <c r="BD407" s="5"/>
      <c r="BE407" s="5"/>
      <c r="BF407" s="5"/>
      <c r="BG407" s="4">
        <v>401</v>
      </c>
      <c r="BH407"/>
      <c r="BI407"/>
      <c r="BJ407"/>
      <c r="BK407"/>
      <c r="BL407"/>
      <c r="BM407"/>
    </row>
    <row r="408" spans="1:257" s="3" customFormat="1" ht="12.75" customHeight="1" outlineLevel="2">
      <c r="A408" s="6"/>
      <c r="B408" s="11" t="s">
        <v>57</v>
      </c>
      <c r="C408" s="50"/>
      <c r="D408" s="50"/>
      <c r="E408" s="50"/>
      <c r="F408" s="50">
        <f>155.744684+0.132634</f>
        <v>155.877318</v>
      </c>
      <c r="G408" s="50">
        <f>156.213034+0.249322</f>
        <v>156.462356</v>
      </c>
      <c r="H408" s="50">
        <f>AA408</f>
        <v>160.91326599999999</v>
      </c>
      <c r="I408" s="50">
        <f t="shared" ref="I408:N408" si="650">INDEX($P408:$AZ408,1,MATCH(I$5,$P$5:$AZ$5,0))</f>
        <v>161.43324799999999</v>
      </c>
      <c r="J408" s="50">
        <f t="shared" si="650"/>
        <v>223.601</v>
      </c>
      <c r="K408" s="50">
        <f t="shared" si="650"/>
        <v>224.291</v>
      </c>
      <c r="L408" s="50">
        <f t="shared" si="650"/>
        <v>646.21106272664326</v>
      </c>
      <c r="M408" s="50">
        <f t="shared" si="650"/>
        <v>652.68933873067317</v>
      </c>
      <c r="N408" s="50">
        <f t="shared" si="650"/>
        <v>659.2325595497349</v>
      </c>
      <c r="O408" s="5"/>
      <c r="P408" s="7"/>
      <c r="Q408" s="7"/>
      <c r="R408" s="7"/>
      <c r="S408" s="7"/>
      <c r="T408" s="45"/>
      <c r="U408" s="45"/>
      <c r="V408" s="7"/>
      <c r="W408" s="7"/>
      <c r="X408" s="43">
        <v>156.462356</v>
      </c>
      <c r="Y408" s="43">
        <f>X408</f>
        <v>156.462356</v>
      </c>
      <c r="Z408" s="43">
        <f>Y408+Z410</f>
        <v>156.462356</v>
      </c>
      <c r="AA408" s="43">
        <v>160.91326599999999</v>
      </c>
      <c r="AB408" s="43">
        <v>161.13376600000001</v>
      </c>
      <c r="AC408" s="43">
        <v>161.42304799999999</v>
      </c>
      <c r="AD408" s="43">
        <v>161.43324799999999</v>
      </c>
      <c r="AE408" s="43">
        <v>161.43324799999999</v>
      </c>
      <c r="AF408" s="43">
        <v>161.50299999999999</v>
      </c>
      <c r="AG408" s="43">
        <v>162.02000000000001</v>
      </c>
      <c r="AH408" s="43">
        <v>191.947</v>
      </c>
      <c r="AI408" s="43">
        <f>223.601</f>
        <v>223.601</v>
      </c>
      <c r="AJ408" s="43">
        <v>223.93899999999999</v>
      </c>
      <c r="AK408" s="43">
        <v>224.08099999999999</v>
      </c>
      <c r="AL408" s="43">
        <v>224.09200000000001</v>
      </c>
      <c r="AM408" s="43">
        <v>224.291</v>
      </c>
      <c r="AN408" s="49">
        <f>AM408+AN410</f>
        <v>224.851325</v>
      </c>
      <c r="AO408" s="398">
        <f>AN408/0.35+AO410</f>
        <v>642.99408295535716</v>
      </c>
      <c r="AP408" s="49">
        <f t="shared" ref="AP408:AY408" si="651">AO408+AP410</f>
        <v>644.60156816274559</v>
      </c>
      <c r="AQ408" s="49">
        <f t="shared" si="651"/>
        <v>646.21106272664326</v>
      </c>
      <c r="AR408" s="49">
        <f t="shared" si="651"/>
        <v>647.82457851525498</v>
      </c>
      <c r="AS408" s="49">
        <f t="shared" si="651"/>
        <v>649.44212306680731</v>
      </c>
      <c r="AT408" s="49">
        <f t="shared" si="651"/>
        <v>651.06370644378489</v>
      </c>
      <c r="AU408" s="49">
        <f t="shared" si="651"/>
        <v>652.68933873067317</v>
      </c>
      <c r="AV408" s="49">
        <f t="shared" si="651"/>
        <v>654.31903003714126</v>
      </c>
      <c r="AW408" s="49">
        <f t="shared" si="651"/>
        <v>655.95279049810108</v>
      </c>
      <c r="AX408" s="49">
        <f t="shared" si="651"/>
        <v>657.5906302737701</v>
      </c>
      <c r="AY408" s="49">
        <f t="shared" si="651"/>
        <v>659.2325595497349</v>
      </c>
      <c r="AZ408" s="5"/>
      <c r="BA408" s="5"/>
      <c r="BB408" s="5"/>
      <c r="BC408" s="5"/>
      <c r="BD408" s="5"/>
      <c r="BE408" s="5"/>
      <c r="BF408" s="5"/>
      <c r="BG408" s="4">
        <v>402</v>
      </c>
      <c r="BH408"/>
      <c r="BI408"/>
      <c r="BJ408"/>
      <c r="BK408"/>
      <c r="BL408"/>
      <c r="BM408"/>
    </row>
    <row r="409" spans="1:257" s="3" customFormat="1" ht="11.25" outlineLevel="2">
      <c r="A409" s="6"/>
      <c r="B409" s="11" t="s">
        <v>56</v>
      </c>
      <c r="C409" s="25"/>
      <c r="D409" s="25"/>
      <c r="E409" s="47">
        <f t="shared" ref="E409:N409" si="652">E407/E406</f>
        <v>1</v>
      </c>
      <c r="F409" s="47">
        <f t="shared" si="652"/>
        <v>1.0545575621609722</v>
      </c>
      <c r="G409" s="47">
        <f t="shared" si="652"/>
        <v>1.0553133425317376</v>
      </c>
      <c r="H409" s="47">
        <f t="shared" si="652"/>
        <v>1.0527222330780013</v>
      </c>
      <c r="I409" s="47">
        <f t="shared" si="652"/>
        <v>1.0168507456575073</v>
      </c>
      <c r="J409" s="47">
        <f t="shared" si="652"/>
        <v>1</v>
      </c>
      <c r="K409" s="47">
        <f t="shared" si="652"/>
        <v>1.0118296899659138</v>
      </c>
      <c r="L409" s="47">
        <f t="shared" si="652"/>
        <v>1.0199999999999998</v>
      </c>
      <c r="M409" s="47">
        <f t="shared" si="652"/>
        <v>1.02</v>
      </c>
      <c r="N409" s="47">
        <f t="shared" si="652"/>
        <v>1.02</v>
      </c>
      <c r="O409" s="48"/>
      <c r="P409" s="47"/>
      <c r="Q409" s="47"/>
      <c r="R409" s="47"/>
      <c r="S409" s="47"/>
      <c r="T409" s="47"/>
      <c r="U409" s="47">
        <f>U407/U406</f>
        <v>1.0554108145416561</v>
      </c>
      <c r="V409" s="47"/>
      <c r="W409" s="47"/>
      <c r="X409" s="47">
        <f t="shared" ref="X409:AM409" si="653">X407/X406</f>
        <v>1.0550652196493833</v>
      </c>
      <c r="Y409" s="47">
        <f t="shared" si="653"/>
        <v>1.065770180955282</v>
      </c>
      <c r="Z409" s="47">
        <f t="shared" si="653"/>
        <v>1.0560689922368891</v>
      </c>
      <c r="AA409" s="47">
        <f t="shared" si="653"/>
        <v>1.0403804631686751</v>
      </c>
      <c r="AB409" s="47">
        <f t="shared" si="653"/>
        <v>1.0334870285317588</v>
      </c>
      <c r="AC409" s="47">
        <f t="shared" si="653"/>
        <v>1.033977160628051</v>
      </c>
      <c r="AD409" s="47">
        <f t="shared" si="653"/>
        <v>1</v>
      </c>
      <c r="AE409" s="47">
        <f t="shared" si="653"/>
        <v>1</v>
      </c>
      <c r="AF409" s="47">
        <f t="shared" si="653"/>
        <v>1</v>
      </c>
      <c r="AG409" s="47">
        <f t="shared" si="653"/>
        <v>1</v>
      </c>
      <c r="AH409" s="47">
        <f t="shared" si="653"/>
        <v>1</v>
      </c>
      <c r="AI409" s="47">
        <f t="shared" si="653"/>
        <v>1</v>
      </c>
      <c r="AJ409" s="47">
        <f t="shared" si="653"/>
        <v>1</v>
      </c>
      <c r="AK409" s="47">
        <f t="shared" si="653"/>
        <v>1.0186103609133317</v>
      </c>
      <c r="AL409" s="47">
        <f t="shared" si="653"/>
        <v>1.0103444274863667</v>
      </c>
      <c r="AM409" s="47">
        <f t="shared" si="653"/>
        <v>1.0183464953375274</v>
      </c>
      <c r="AN409" s="46">
        <f t="shared" ref="AN409:AY409" si="654">IF(AN28&gt;0,1.02,1)</f>
        <v>1.02</v>
      </c>
      <c r="AO409" s="46">
        <f t="shared" si="654"/>
        <v>1.02</v>
      </c>
      <c r="AP409" s="46">
        <f t="shared" si="654"/>
        <v>1.02</v>
      </c>
      <c r="AQ409" s="46">
        <f t="shared" si="654"/>
        <v>1.02</v>
      </c>
      <c r="AR409" s="46">
        <f t="shared" si="654"/>
        <v>1.02</v>
      </c>
      <c r="AS409" s="46">
        <f t="shared" si="654"/>
        <v>1.02</v>
      </c>
      <c r="AT409" s="46">
        <f t="shared" si="654"/>
        <v>1.02</v>
      </c>
      <c r="AU409" s="46">
        <f t="shared" si="654"/>
        <v>1.02</v>
      </c>
      <c r="AV409" s="46">
        <f t="shared" si="654"/>
        <v>1.02</v>
      </c>
      <c r="AW409" s="46">
        <f t="shared" si="654"/>
        <v>1.02</v>
      </c>
      <c r="AX409" s="46">
        <f t="shared" si="654"/>
        <v>1.02</v>
      </c>
      <c r="AY409" s="46">
        <f t="shared" si="654"/>
        <v>1.02</v>
      </c>
      <c r="AZ409" s="5"/>
      <c r="BA409" s="5"/>
      <c r="BB409" s="5"/>
      <c r="BC409" s="5"/>
      <c r="BD409" s="5"/>
      <c r="BE409" s="5"/>
      <c r="BF409" s="5"/>
      <c r="BG409" s="4">
        <v>403</v>
      </c>
      <c r="BH409"/>
      <c r="BI409"/>
      <c r="BJ409"/>
      <c r="BK409"/>
      <c r="BL409"/>
      <c r="BM409"/>
    </row>
    <row r="410" spans="1:257" s="3" customFormat="1" ht="12.75" customHeight="1" outlineLevel="2">
      <c r="A410" s="6"/>
      <c r="B410" s="16" t="s">
        <v>55</v>
      </c>
      <c r="C410" s="45"/>
      <c r="D410" s="45"/>
      <c r="E410" s="45"/>
      <c r="F410" s="45"/>
      <c r="G410" s="45"/>
      <c r="H410" s="45"/>
      <c r="I410" s="45"/>
      <c r="J410" s="45"/>
      <c r="K410" s="45"/>
      <c r="L410" s="45"/>
      <c r="M410" s="45"/>
      <c r="N410" s="45"/>
      <c r="O410" s="5"/>
      <c r="P410" s="7"/>
      <c r="Q410" s="7"/>
      <c r="R410" s="7"/>
      <c r="S410" s="7"/>
      <c r="T410" s="45"/>
      <c r="U410" s="45"/>
      <c r="V410" s="7"/>
      <c r="W410" s="7"/>
      <c r="X410" s="43"/>
      <c r="Y410" s="43"/>
      <c r="Z410" s="43"/>
      <c r="AA410" s="43"/>
      <c r="AB410" s="44">
        <f t="shared" ref="AB410:AM410" si="655">AB406-AA406</f>
        <v>0.40622200000001385</v>
      </c>
      <c r="AC410" s="44">
        <f t="shared" si="655"/>
        <v>0.35811699999999291</v>
      </c>
      <c r="AD410" s="44">
        <f t="shared" si="655"/>
        <v>0.10607899999999404</v>
      </c>
      <c r="AE410" s="44">
        <f t="shared" si="655"/>
        <v>2.0194000000003598E-2</v>
      </c>
      <c r="AF410" s="44">
        <f t="shared" si="655"/>
        <v>1.2752000000006092E-2</v>
      </c>
      <c r="AG410" s="44">
        <f t="shared" si="655"/>
        <v>0.20099999999999341</v>
      </c>
      <c r="AH410" s="44">
        <f t="shared" si="655"/>
        <v>21.973000000000013</v>
      </c>
      <c r="AI410" s="44">
        <f t="shared" si="655"/>
        <v>28.989000000000004</v>
      </c>
      <c r="AJ410" s="44">
        <f t="shared" si="655"/>
        <v>11.129999999999995</v>
      </c>
      <c r="AK410" s="44">
        <f t="shared" si="655"/>
        <v>0.27599999999998204</v>
      </c>
      <c r="AL410" s="44">
        <f t="shared" si="655"/>
        <v>6.7000000000007276E-2</v>
      </c>
      <c r="AM410" s="44">
        <f t="shared" si="655"/>
        <v>4.8000000000001819E-2</v>
      </c>
      <c r="AN410" s="43">
        <f>AM406*0.01/4</f>
        <v>0.56032499999999996</v>
      </c>
      <c r="AO410" s="43">
        <f>AN406*0.01/4</f>
        <v>0.56172581249999998</v>
      </c>
      <c r="AP410" s="43">
        <f>AO408*0.01/4</f>
        <v>1.607485207388393</v>
      </c>
      <c r="AQ410" s="43">
        <f t="shared" ref="AQ410:AY410" si="656">AP406*0.01/4</f>
        <v>1.6094945638976286</v>
      </c>
      <c r="AR410" s="43">
        <f t="shared" si="656"/>
        <v>1.6135157886117362</v>
      </c>
      <c r="AS410" s="43">
        <f t="shared" si="656"/>
        <v>1.6175445515523728</v>
      </c>
      <c r="AT410" s="43">
        <f t="shared" si="656"/>
        <v>1.6215833769775778</v>
      </c>
      <c r="AU410" s="43">
        <f t="shared" si="656"/>
        <v>1.6256322868882405</v>
      </c>
      <c r="AV410" s="43">
        <f t="shared" si="656"/>
        <v>1.6296913064680727</v>
      </c>
      <c r="AW410" s="43">
        <f t="shared" si="656"/>
        <v>1.633760460959768</v>
      </c>
      <c r="AX410" s="43">
        <f t="shared" si="656"/>
        <v>1.637839775669053</v>
      </c>
      <c r="AY410" s="43">
        <f t="shared" si="656"/>
        <v>1.6419292759648392</v>
      </c>
      <c r="AZ410" s="5"/>
      <c r="BA410" s="5"/>
      <c r="BB410" s="5"/>
      <c r="BC410" s="5"/>
      <c r="BD410" s="5"/>
      <c r="BE410" s="5"/>
      <c r="BF410" s="5"/>
      <c r="BG410" s="4">
        <v>404</v>
      </c>
      <c r="BH410"/>
      <c r="BI410"/>
      <c r="BJ410"/>
      <c r="BK410"/>
      <c r="BL410"/>
      <c r="BM410"/>
    </row>
    <row r="411" spans="1:257" s="3" customFormat="1" ht="11.25" outlineLevel="2">
      <c r="A411" s="6"/>
      <c r="B411" s="40"/>
      <c r="C411" s="7"/>
      <c r="D411" s="7"/>
      <c r="E411" s="7"/>
      <c r="F411" s="7"/>
      <c r="G411" s="7"/>
      <c r="H411" s="7"/>
      <c r="I411" s="7"/>
      <c r="J411" s="7"/>
      <c r="K411" s="7"/>
      <c r="L411" s="7"/>
      <c r="M411" s="7"/>
      <c r="N411" s="7"/>
      <c r="O411" s="5"/>
      <c r="P411" s="7"/>
      <c r="Q411" s="7"/>
      <c r="R411" s="7"/>
      <c r="S411" s="7"/>
      <c r="T411" s="7"/>
      <c r="U411" s="7"/>
      <c r="V411" s="7"/>
      <c r="W411" s="7"/>
      <c r="X411" s="7"/>
      <c r="Y411" s="7"/>
      <c r="Z411" s="7"/>
      <c r="AA411" s="7"/>
      <c r="AB411" s="7"/>
      <c r="AC411" s="7"/>
      <c r="AD411" s="7"/>
      <c r="AE411" s="7"/>
      <c r="AF411" s="7"/>
      <c r="AG411" s="7"/>
      <c r="AH411" s="7"/>
      <c r="AI411" s="7"/>
      <c r="AJ411" s="7"/>
      <c r="AK411" s="7"/>
      <c r="AL411" s="7"/>
      <c r="AM411" s="7"/>
      <c r="AN411" s="7"/>
      <c r="AO411" s="7"/>
      <c r="AP411" s="7"/>
      <c r="AQ411" s="7"/>
      <c r="AR411" s="7"/>
      <c r="AS411" s="7"/>
      <c r="AT411" s="7"/>
      <c r="AU411" s="7"/>
      <c r="AV411" s="7"/>
      <c r="AW411" s="7"/>
      <c r="AX411" s="7"/>
      <c r="AY411" s="7"/>
      <c r="AZ411" s="5"/>
      <c r="BA411" s="5"/>
      <c r="BB411" s="5"/>
      <c r="BC411" s="5"/>
      <c r="BD411" s="5"/>
      <c r="BE411" s="5"/>
      <c r="BF411" s="5"/>
      <c r="BG411" s="4">
        <v>405</v>
      </c>
      <c r="BH411"/>
      <c r="BI411"/>
      <c r="BJ411"/>
      <c r="BK411"/>
      <c r="BL411"/>
      <c r="BM411"/>
    </row>
    <row r="412" spans="1:257" s="30" customFormat="1" ht="11.25" outlineLevel="2">
      <c r="A412" s="42"/>
      <c r="B412" s="41" t="s">
        <v>54</v>
      </c>
      <c r="E412" s="30">
        <f t="shared" ref="E412:N412" si="657">E32/E406</f>
        <v>0.9</v>
      </c>
      <c r="F412" s="30">
        <f t="shared" si="657"/>
        <v>0.95545827632184976</v>
      </c>
      <c r="G412" s="30">
        <f t="shared" si="657"/>
        <v>0.66638156202771281</v>
      </c>
      <c r="H412" s="30">
        <f t="shared" si="657"/>
        <v>1.0791392395744512</v>
      </c>
      <c r="I412" s="30">
        <f t="shared" si="657"/>
        <v>-0.57128938195189805</v>
      </c>
      <c r="J412" s="30">
        <f t="shared" si="657"/>
        <v>-0.77957854757674594</v>
      </c>
      <c r="K412" s="30">
        <f t="shared" si="657"/>
        <v>0.24013411223193742</v>
      </c>
      <c r="L412" s="30">
        <f t="shared" si="657"/>
        <v>0.6607115756707399</v>
      </c>
      <c r="M412" s="30">
        <f t="shared" si="657"/>
        <v>0.42241763934142623</v>
      </c>
      <c r="N412" s="30">
        <f t="shared" si="657"/>
        <v>0.4447252458247255</v>
      </c>
      <c r="X412" s="30">
        <f t="shared" ref="X412:AY412" si="658">X32/X406</f>
        <v>0.22074958400856506</v>
      </c>
      <c r="Y412" s="30">
        <f t="shared" si="658"/>
        <v>0.27167354260597887</v>
      </c>
      <c r="Z412" s="30">
        <f t="shared" si="658"/>
        <v>0.34215168990236261</v>
      </c>
      <c r="AA412" s="30">
        <f t="shared" si="658"/>
        <v>0.23615533508494288</v>
      </c>
      <c r="AB412" s="30">
        <f t="shared" si="658"/>
        <v>0.19111039607376396</v>
      </c>
      <c r="AC412" s="30">
        <f t="shared" si="658"/>
        <v>8.7640351571902156E-2</v>
      </c>
      <c r="AD412" s="30">
        <f t="shared" si="658"/>
        <v>-0.28622220356477485</v>
      </c>
      <c r="AE412" s="30">
        <f t="shared" si="658"/>
        <v>-0.56265361147909276</v>
      </c>
      <c r="AF412" s="30">
        <f t="shared" si="658"/>
        <v>-7.2940797542212235E-2</v>
      </c>
      <c r="AG412" s="30">
        <f t="shared" si="658"/>
        <v>-0.5436908819835814</v>
      </c>
      <c r="AH412" s="30">
        <f t="shared" si="658"/>
        <v>-0.11232436553752312</v>
      </c>
      <c r="AI412" s="30">
        <f t="shared" si="658"/>
        <v>-9.3622565366470942E-2</v>
      </c>
      <c r="AJ412" s="30">
        <f t="shared" si="658"/>
        <v>-5.1792490357067969E-2</v>
      </c>
      <c r="AK412" s="30">
        <f t="shared" si="658"/>
        <v>4.6795973483918701E-2</v>
      </c>
      <c r="AL412" s="30">
        <f t="shared" si="658"/>
        <v>0.15594291375478622</v>
      </c>
      <c r="AM412" s="30">
        <f t="shared" si="658"/>
        <v>8.900638022576178E-2</v>
      </c>
      <c r="AN412" s="30">
        <f t="shared" si="658"/>
        <v>0.1312540448995532</v>
      </c>
      <c r="AO412" s="30">
        <f t="shared" si="658"/>
        <v>0.21191051313119147</v>
      </c>
      <c r="AP412" s="30">
        <f t="shared" si="658"/>
        <v>0.16299980848826029</v>
      </c>
      <c r="AQ412" s="30">
        <f t="shared" si="658"/>
        <v>0.16285066073564436</v>
      </c>
      <c r="AR412" s="30">
        <f t="shared" si="658"/>
        <v>0.11585103507759094</v>
      </c>
      <c r="AS412" s="30">
        <f t="shared" si="658"/>
        <v>0.10461327863672461</v>
      </c>
      <c r="AT412" s="30">
        <f t="shared" si="658"/>
        <v>0.10638473458173968</v>
      </c>
      <c r="AU412" s="30">
        <f t="shared" si="658"/>
        <v>9.5641975849355271E-2</v>
      </c>
      <c r="AV412" s="30">
        <f t="shared" si="658"/>
        <v>0.10382409440208692</v>
      </c>
      <c r="AW412" s="30">
        <f t="shared" si="658"/>
        <v>0.12320800396199008</v>
      </c>
      <c r="AX412" s="30">
        <f t="shared" si="658"/>
        <v>0.11784123400535099</v>
      </c>
      <c r="AY412" s="30">
        <f t="shared" si="658"/>
        <v>9.9873499149679801E-2</v>
      </c>
      <c r="BG412" s="4">
        <v>406</v>
      </c>
      <c r="BH412"/>
      <c r="BI412"/>
      <c r="BJ412"/>
      <c r="BK412"/>
      <c r="BL412"/>
      <c r="BM412"/>
      <c r="BN412" s="3"/>
      <c r="BO412" s="3"/>
      <c r="BP412" s="3"/>
      <c r="BQ412" s="3"/>
      <c r="BR412" s="3"/>
      <c r="BS412" s="3"/>
      <c r="BT412" s="3"/>
      <c r="BU412" s="3"/>
      <c r="BV412" s="3"/>
      <c r="BW412" s="3"/>
      <c r="BX412" s="3"/>
      <c r="BY412" s="3"/>
      <c r="BZ412" s="3"/>
      <c r="CA412" s="3"/>
      <c r="CB412" s="3"/>
      <c r="CC412" s="3"/>
      <c r="CD412" s="3"/>
      <c r="CE412" s="3"/>
      <c r="CF412" s="3"/>
      <c r="CG412" s="3"/>
      <c r="CH412" s="3"/>
      <c r="CI412" s="3"/>
      <c r="CJ412" s="3"/>
      <c r="CK412" s="3"/>
      <c r="CL412" s="3"/>
      <c r="CM412" s="3"/>
      <c r="CN412" s="3"/>
      <c r="CO412" s="3"/>
      <c r="CP412" s="3"/>
      <c r="CQ412" s="3"/>
      <c r="CR412" s="3"/>
      <c r="CS412" s="3"/>
      <c r="CT412" s="3"/>
      <c r="CU412" s="3"/>
      <c r="CV412" s="3"/>
      <c r="CW412" s="3"/>
      <c r="CX412" s="3"/>
      <c r="CY412" s="3"/>
      <c r="CZ412" s="3"/>
      <c r="DA412" s="3"/>
      <c r="DB412" s="3"/>
      <c r="DC412" s="3"/>
      <c r="DD412" s="3"/>
      <c r="DE412" s="3"/>
      <c r="DF412" s="3"/>
      <c r="DG412" s="3"/>
      <c r="DH412" s="3"/>
      <c r="DI412" s="3"/>
      <c r="DJ412" s="3"/>
      <c r="DK412" s="3"/>
      <c r="DL412" s="3"/>
      <c r="DM412" s="3"/>
      <c r="DN412" s="3"/>
      <c r="DO412" s="3"/>
      <c r="DP412" s="3"/>
      <c r="DQ412" s="3"/>
      <c r="DR412" s="3"/>
      <c r="DS412" s="3"/>
      <c r="DT412" s="3"/>
      <c r="DU412" s="3"/>
      <c r="DV412" s="3"/>
      <c r="DW412" s="3"/>
      <c r="DX412" s="3"/>
      <c r="DY412" s="3"/>
      <c r="DZ412" s="3"/>
      <c r="EA412" s="3"/>
      <c r="EB412" s="3"/>
      <c r="EC412" s="3"/>
      <c r="ED412" s="3"/>
      <c r="EE412" s="3"/>
      <c r="EF412" s="3"/>
      <c r="EG412" s="3"/>
      <c r="EH412" s="3"/>
      <c r="EI412" s="3"/>
      <c r="EJ412" s="3"/>
      <c r="EK412" s="3"/>
      <c r="EL412" s="3"/>
      <c r="EM412" s="3"/>
      <c r="EN412" s="3"/>
      <c r="EO412" s="3"/>
      <c r="EP412" s="3"/>
      <c r="EQ412" s="3"/>
      <c r="ER412" s="3"/>
      <c r="ES412" s="3"/>
      <c r="ET412" s="3"/>
      <c r="EU412" s="3"/>
      <c r="EV412" s="3"/>
      <c r="EW412" s="3"/>
      <c r="EX412" s="3"/>
      <c r="EY412" s="3"/>
      <c r="EZ412" s="3"/>
      <c r="FA412" s="3"/>
      <c r="FB412" s="3"/>
      <c r="FC412" s="3"/>
      <c r="FD412" s="3"/>
      <c r="FE412" s="3"/>
      <c r="FF412" s="3"/>
      <c r="FG412" s="3"/>
      <c r="FH412" s="3"/>
      <c r="FI412" s="3"/>
      <c r="FJ412" s="3"/>
      <c r="FK412" s="3"/>
      <c r="FL412" s="3"/>
      <c r="FM412" s="3"/>
      <c r="FN412" s="3"/>
      <c r="FO412" s="3"/>
      <c r="FP412" s="3"/>
      <c r="FQ412" s="3"/>
      <c r="FR412" s="3"/>
      <c r="FS412" s="3"/>
      <c r="FT412" s="3"/>
      <c r="FU412" s="3"/>
      <c r="FV412" s="3"/>
      <c r="FW412" s="3"/>
      <c r="FX412" s="3"/>
      <c r="FY412" s="3"/>
      <c r="FZ412" s="3"/>
      <c r="GA412" s="3"/>
      <c r="GB412" s="3"/>
      <c r="GC412" s="3"/>
      <c r="GD412" s="3"/>
      <c r="GE412" s="3"/>
      <c r="GF412" s="3"/>
      <c r="GG412" s="3"/>
      <c r="GH412" s="3"/>
      <c r="GI412" s="3"/>
      <c r="GJ412" s="3"/>
      <c r="GK412" s="3"/>
      <c r="GL412" s="3"/>
      <c r="GM412" s="3"/>
      <c r="GN412" s="3"/>
      <c r="GO412" s="3"/>
      <c r="GP412" s="3"/>
      <c r="GQ412" s="3"/>
      <c r="GR412" s="3"/>
      <c r="GS412" s="3"/>
      <c r="GT412" s="3"/>
      <c r="GU412" s="3"/>
      <c r="GV412" s="3"/>
      <c r="GW412" s="3"/>
      <c r="GX412" s="3"/>
      <c r="GY412" s="3"/>
      <c r="GZ412" s="3"/>
      <c r="HA412" s="3"/>
      <c r="HB412" s="3"/>
      <c r="HC412" s="3"/>
      <c r="HD412" s="3"/>
      <c r="HE412" s="3"/>
      <c r="HF412" s="3"/>
      <c r="HG412" s="3"/>
      <c r="HH412" s="3"/>
      <c r="HI412" s="3"/>
      <c r="HJ412" s="3"/>
      <c r="HK412" s="3"/>
      <c r="HL412" s="3"/>
      <c r="HM412" s="3"/>
      <c r="HN412" s="3"/>
      <c r="HO412" s="3"/>
      <c r="HP412" s="3"/>
      <c r="HQ412" s="3"/>
      <c r="HR412" s="3"/>
      <c r="HS412" s="3"/>
      <c r="HT412" s="3"/>
      <c r="HU412" s="3"/>
      <c r="HV412" s="3"/>
      <c r="HW412" s="3"/>
      <c r="HX412" s="3"/>
      <c r="HY412" s="3"/>
      <c r="HZ412" s="3"/>
      <c r="IA412" s="3"/>
      <c r="IB412" s="3"/>
      <c r="IC412" s="3"/>
      <c r="ID412" s="3"/>
      <c r="IE412" s="3"/>
      <c r="IF412" s="3"/>
      <c r="IG412" s="3"/>
      <c r="IH412" s="3"/>
      <c r="II412" s="3"/>
      <c r="IJ412" s="3"/>
      <c r="IK412" s="3"/>
      <c r="IL412" s="3"/>
      <c r="IM412" s="3"/>
      <c r="IN412" s="3"/>
      <c r="IO412" s="3"/>
      <c r="IP412" s="3"/>
      <c r="IQ412" s="3"/>
      <c r="IR412" s="3"/>
      <c r="IS412" s="3"/>
      <c r="IT412" s="3"/>
      <c r="IU412" s="3"/>
      <c r="IV412" s="3"/>
      <c r="IW412" s="3"/>
    </row>
    <row r="413" spans="1:257" s="30" customFormat="1" ht="11.25" outlineLevel="2">
      <c r="A413" s="42"/>
      <c r="B413" s="41" t="s">
        <v>53</v>
      </c>
      <c r="E413" s="30">
        <f t="shared" ref="E413:N413" si="659">E30/E406</f>
        <v>0.98076555850202862</v>
      </c>
      <c r="F413" s="30">
        <f t="shared" si="659"/>
        <v>0.96481139950809713</v>
      </c>
      <c r="G413" s="30">
        <f t="shared" si="659"/>
        <v>0.81609164973604109</v>
      </c>
      <c r="H413" s="30">
        <f t="shared" si="659"/>
        <v>1.1290744518456213</v>
      </c>
      <c r="I413" s="30">
        <f t="shared" si="659"/>
        <v>6.1515840433546548E-2</v>
      </c>
      <c r="J413" s="30">
        <f t="shared" si="659"/>
        <v>-0.358835125298545</v>
      </c>
      <c r="K413" s="30">
        <f t="shared" si="659"/>
        <v>0.28040628773859727</v>
      </c>
      <c r="L413" s="30">
        <f t="shared" si="659"/>
        <v>0.6607115756707399</v>
      </c>
      <c r="M413" s="30">
        <f t="shared" si="659"/>
        <v>0.42241763934142623</v>
      </c>
      <c r="N413" s="30">
        <f t="shared" si="659"/>
        <v>0.4447252458247255</v>
      </c>
      <c r="X413" s="30">
        <f t="shared" ref="X413:AY413" si="660">X30/X406</f>
        <v>0.22095730170393199</v>
      </c>
      <c r="Y413" s="30">
        <f t="shared" si="660"/>
        <v>0.28020186899595034</v>
      </c>
      <c r="Z413" s="30">
        <f t="shared" si="660"/>
        <v>0.36561265234772677</v>
      </c>
      <c r="AA413" s="30">
        <f t="shared" si="660"/>
        <v>0.25339686088124286</v>
      </c>
      <c r="AB413" s="30">
        <f t="shared" si="660"/>
        <v>0.19231574790049141</v>
      </c>
      <c r="AC413" s="30">
        <f t="shared" si="660"/>
        <v>1.791615024706792E-2</v>
      </c>
      <c r="AD413" s="30">
        <f t="shared" si="660"/>
        <v>-4.5120266419096396E-2</v>
      </c>
      <c r="AE413" s="30">
        <f t="shared" si="660"/>
        <v>-0.10307046538517273</v>
      </c>
      <c r="AF413" s="30">
        <f t="shared" si="660"/>
        <v>-7.2646581519517348E-2</v>
      </c>
      <c r="AG413" s="30">
        <f t="shared" si="660"/>
        <v>-0.11002987992353702</v>
      </c>
      <c r="AH413" s="30">
        <f t="shared" si="660"/>
        <v>-7.7469774534364419E-2</v>
      </c>
      <c r="AI413" s="30">
        <f t="shared" si="660"/>
        <v>-9.7785136094897321E-2</v>
      </c>
      <c r="AJ413" s="30">
        <f t="shared" si="660"/>
        <v>-5.1792490357067969E-2</v>
      </c>
      <c r="AK413" s="30">
        <f t="shared" si="660"/>
        <v>4.6795973483918701E-2</v>
      </c>
      <c r="AL413" s="30">
        <f t="shared" si="660"/>
        <v>0.15594291375478622</v>
      </c>
      <c r="AM413" s="30">
        <f t="shared" si="660"/>
        <v>0.12925366974523708</v>
      </c>
      <c r="AN413" s="30">
        <f t="shared" si="660"/>
        <v>0.1312540448995532</v>
      </c>
      <c r="AO413" s="30">
        <f t="shared" si="660"/>
        <v>0.21191051313119147</v>
      </c>
      <c r="AP413" s="30">
        <f t="shared" si="660"/>
        <v>0.16299980848826029</v>
      </c>
      <c r="AQ413" s="30">
        <f t="shared" si="660"/>
        <v>0.16285066073564436</v>
      </c>
      <c r="AR413" s="30">
        <f t="shared" si="660"/>
        <v>0.11585103507759094</v>
      </c>
      <c r="AS413" s="30">
        <f t="shared" si="660"/>
        <v>0.10461327863672461</v>
      </c>
      <c r="AT413" s="30">
        <f t="shared" si="660"/>
        <v>0.10638473458173968</v>
      </c>
      <c r="AU413" s="30">
        <f t="shared" si="660"/>
        <v>9.5641975849355271E-2</v>
      </c>
      <c r="AV413" s="30">
        <f t="shared" si="660"/>
        <v>0.10382409440208692</v>
      </c>
      <c r="AW413" s="30">
        <f t="shared" si="660"/>
        <v>0.12320800396199008</v>
      </c>
      <c r="AX413" s="30">
        <f t="shared" si="660"/>
        <v>0.11784123400535099</v>
      </c>
      <c r="AY413" s="30">
        <f t="shared" si="660"/>
        <v>9.9873499149679801E-2</v>
      </c>
      <c r="BG413" s="4">
        <v>407</v>
      </c>
      <c r="BH413"/>
      <c r="BI413"/>
      <c r="BJ413"/>
      <c r="BK413"/>
      <c r="BL413"/>
      <c r="BM413"/>
      <c r="BN413" s="3"/>
      <c r="BO413" s="3"/>
      <c r="BP413" s="3"/>
      <c r="BQ413" s="3"/>
      <c r="BR413" s="3"/>
      <c r="BS413" s="3"/>
      <c r="BT413" s="3"/>
      <c r="BU413" s="3"/>
      <c r="BV413" s="3"/>
      <c r="BW413" s="3"/>
      <c r="BX413" s="3"/>
      <c r="BY413" s="3"/>
      <c r="BZ413" s="3"/>
      <c r="CA413" s="3"/>
      <c r="CB413" s="3"/>
      <c r="CC413" s="3"/>
      <c r="CD413" s="3"/>
      <c r="CE413" s="3"/>
      <c r="CF413" s="3"/>
      <c r="CG413" s="3"/>
      <c r="CH413" s="3"/>
      <c r="CI413" s="3"/>
      <c r="CJ413" s="3"/>
      <c r="CK413" s="3"/>
      <c r="CL413" s="3"/>
      <c r="CM413" s="3"/>
      <c r="CN413" s="3"/>
      <c r="CO413" s="3"/>
      <c r="CP413" s="3"/>
      <c r="CQ413" s="3"/>
      <c r="CR413" s="3"/>
      <c r="CS413" s="3"/>
      <c r="CT413" s="3"/>
      <c r="CU413" s="3"/>
      <c r="CV413" s="3"/>
      <c r="CW413" s="3"/>
      <c r="CX413" s="3"/>
      <c r="CY413" s="3"/>
      <c r="CZ413" s="3"/>
      <c r="DA413" s="3"/>
      <c r="DB413" s="3"/>
      <c r="DC413" s="3"/>
      <c r="DD413" s="3"/>
      <c r="DE413" s="3"/>
      <c r="DF413" s="3"/>
      <c r="DG413" s="3"/>
      <c r="DH413" s="3"/>
      <c r="DI413" s="3"/>
      <c r="DJ413" s="3"/>
      <c r="DK413" s="3"/>
      <c r="DL413" s="3"/>
      <c r="DM413" s="3"/>
      <c r="DN413" s="3"/>
      <c r="DO413" s="3"/>
      <c r="DP413" s="3"/>
      <c r="DQ413" s="3"/>
      <c r="DR413" s="3"/>
      <c r="DS413" s="3"/>
      <c r="DT413" s="3"/>
      <c r="DU413" s="3"/>
      <c r="DV413" s="3"/>
      <c r="DW413" s="3"/>
      <c r="DX413" s="3"/>
      <c r="DY413" s="3"/>
      <c r="DZ413" s="3"/>
      <c r="EA413" s="3"/>
      <c r="EB413" s="3"/>
      <c r="EC413" s="3"/>
      <c r="ED413" s="3"/>
      <c r="EE413" s="3"/>
      <c r="EF413" s="3"/>
      <c r="EG413" s="3"/>
      <c r="EH413" s="3"/>
      <c r="EI413" s="3"/>
      <c r="EJ413" s="3"/>
      <c r="EK413" s="3"/>
      <c r="EL413" s="3"/>
      <c r="EM413" s="3"/>
      <c r="EN413" s="3"/>
      <c r="EO413" s="3"/>
      <c r="EP413" s="3"/>
      <c r="EQ413" s="3"/>
      <c r="ER413" s="3"/>
      <c r="ES413" s="3"/>
      <c r="ET413" s="3"/>
      <c r="EU413" s="3"/>
      <c r="EV413" s="3"/>
      <c r="EW413" s="3"/>
      <c r="EX413" s="3"/>
      <c r="EY413" s="3"/>
      <c r="EZ413" s="3"/>
      <c r="FA413" s="3"/>
      <c r="FB413" s="3"/>
      <c r="FC413" s="3"/>
      <c r="FD413" s="3"/>
      <c r="FE413" s="3"/>
      <c r="FF413" s="3"/>
      <c r="FG413" s="3"/>
      <c r="FH413" s="3"/>
      <c r="FI413" s="3"/>
      <c r="FJ413" s="3"/>
      <c r="FK413" s="3"/>
      <c r="FL413" s="3"/>
      <c r="FM413" s="3"/>
      <c r="FN413" s="3"/>
      <c r="FO413" s="3"/>
      <c r="FP413" s="3"/>
      <c r="FQ413" s="3"/>
      <c r="FR413" s="3"/>
      <c r="FS413" s="3"/>
      <c r="FT413" s="3"/>
      <c r="FU413" s="3"/>
      <c r="FV413" s="3"/>
      <c r="FW413" s="3"/>
      <c r="FX413" s="3"/>
      <c r="FY413" s="3"/>
      <c r="FZ413" s="3"/>
      <c r="GA413" s="3"/>
      <c r="GB413" s="3"/>
      <c r="GC413" s="3"/>
      <c r="GD413" s="3"/>
      <c r="GE413" s="3"/>
      <c r="GF413" s="3"/>
      <c r="GG413" s="3"/>
      <c r="GH413" s="3"/>
      <c r="GI413" s="3"/>
      <c r="GJ413" s="3"/>
      <c r="GK413" s="3"/>
      <c r="GL413" s="3"/>
      <c r="GM413" s="3"/>
      <c r="GN413" s="3"/>
      <c r="GO413" s="3"/>
      <c r="GP413" s="3"/>
      <c r="GQ413" s="3"/>
      <c r="GR413" s="3"/>
      <c r="GS413" s="3"/>
      <c r="GT413" s="3"/>
      <c r="GU413" s="3"/>
      <c r="GV413" s="3"/>
      <c r="GW413" s="3"/>
      <c r="GX413" s="3"/>
      <c r="GY413" s="3"/>
      <c r="GZ413" s="3"/>
      <c r="HA413" s="3"/>
      <c r="HB413" s="3"/>
      <c r="HC413" s="3"/>
      <c r="HD413" s="3"/>
      <c r="HE413" s="3"/>
      <c r="HF413" s="3"/>
      <c r="HG413" s="3"/>
      <c r="HH413" s="3"/>
      <c r="HI413" s="3"/>
      <c r="HJ413" s="3"/>
      <c r="HK413" s="3"/>
      <c r="HL413" s="3"/>
      <c r="HM413" s="3"/>
      <c r="HN413" s="3"/>
      <c r="HO413" s="3"/>
      <c r="HP413" s="3"/>
      <c r="HQ413" s="3"/>
      <c r="HR413" s="3"/>
      <c r="HS413" s="3"/>
      <c r="HT413" s="3"/>
      <c r="HU413" s="3"/>
      <c r="HV413" s="3"/>
      <c r="HW413" s="3"/>
      <c r="HX413" s="3"/>
      <c r="HY413" s="3"/>
      <c r="HZ413" s="3"/>
      <c r="IA413" s="3"/>
      <c r="IB413" s="3"/>
      <c r="IC413" s="3"/>
      <c r="ID413" s="3"/>
      <c r="IE413" s="3"/>
      <c r="IF413" s="3"/>
      <c r="IG413" s="3"/>
      <c r="IH413" s="3"/>
      <c r="II413" s="3"/>
      <c r="IJ413" s="3"/>
      <c r="IK413" s="3"/>
      <c r="IL413" s="3"/>
      <c r="IM413" s="3"/>
      <c r="IN413" s="3"/>
      <c r="IO413" s="3"/>
      <c r="IP413" s="3"/>
      <c r="IQ413" s="3"/>
      <c r="IR413" s="3"/>
      <c r="IS413" s="3"/>
      <c r="IT413" s="3"/>
      <c r="IU413" s="3"/>
      <c r="IV413" s="3"/>
      <c r="IW413" s="3"/>
    </row>
    <row r="414" spans="1:257" s="3" customFormat="1" ht="11.25" outlineLevel="2">
      <c r="A414" s="6"/>
      <c r="B414" s="40"/>
      <c r="C414" s="7"/>
      <c r="D414" s="7"/>
      <c r="E414" s="7"/>
      <c r="F414" s="7"/>
      <c r="G414" s="7"/>
      <c r="H414" s="7"/>
      <c r="I414" s="7"/>
      <c r="J414" s="7"/>
      <c r="K414" s="7"/>
      <c r="L414" s="7"/>
      <c r="M414" s="7"/>
      <c r="N414" s="7"/>
      <c r="O414" s="5"/>
      <c r="P414" s="7"/>
      <c r="Q414" s="7"/>
      <c r="R414" s="7"/>
      <c r="S414" s="7"/>
      <c r="T414" s="7"/>
      <c r="U414" s="7"/>
      <c r="V414" s="7"/>
      <c r="W414" s="7"/>
      <c r="X414" s="7"/>
      <c r="Y414" s="7"/>
      <c r="Z414" s="7"/>
      <c r="AA414" s="7"/>
      <c r="AB414" s="7"/>
      <c r="AC414" s="7"/>
      <c r="AD414" s="7"/>
      <c r="AE414" s="7"/>
      <c r="AF414" s="7"/>
      <c r="AG414" s="7"/>
      <c r="AH414" s="7"/>
      <c r="AI414" s="7"/>
      <c r="AJ414" s="7"/>
      <c r="AK414" s="7"/>
      <c r="AL414" s="7"/>
      <c r="AM414" s="7"/>
      <c r="AN414" s="7"/>
      <c r="AO414" s="7"/>
      <c r="AP414" s="7"/>
      <c r="AQ414" s="7"/>
      <c r="AR414" s="7"/>
      <c r="AS414" s="7"/>
      <c r="AT414" s="7"/>
      <c r="AU414" s="7"/>
      <c r="AV414" s="7"/>
      <c r="AW414" s="7"/>
      <c r="AX414" s="7"/>
      <c r="AY414" s="7"/>
      <c r="AZ414" s="5"/>
      <c r="BA414" s="5"/>
      <c r="BB414" s="5"/>
      <c r="BC414" s="5"/>
      <c r="BD414" s="5"/>
      <c r="BE414" s="5"/>
      <c r="BF414" s="5"/>
      <c r="BG414" s="4">
        <v>408</v>
      </c>
      <c r="BH414"/>
      <c r="BI414"/>
      <c r="BJ414"/>
      <c r="BK414"/>
      <c r="BL414"/>
      <c r="BM414"/>
    </row>
    <row r="415" spans="1:257" s="3" customFormat="1" ht="11.25" outlineLevel="2">
      <c r="A415" s="6"/>
      <c r="B415" s="36" t="s">
        <v>52</v>
      </c>
      <c r="C415" s="7">
        <f t="shared" ref="C415:N415" si="661">C311</f>
        <v>26.062999999999999</v>
      </c>
      <c r="D415" s="7">
        <f t="shared" si="661"/>
        <v>-335.29599999999999</v>
      </c>
      <c r="E415" s="7">
        <f t="shared" si="661"/>
        <v>-451.04900000000004</v>
      </c>
      <c r="F415" s="7">
        <f t="shared" si="661"/>
        <v>-289.53799999999995</v>
      </c>
      <c r="G415" s="7">
        <f t="shared" si="661"/>
        <v>-168.37900000000002</v>
      </c>
      <c r="H415" s="7">
        <f t="shared" si="661"/>
        <v>30.981999999999942</v>
      </c>
      <c r="I415" s="7">
        <f t="shared" si="661"/>
        <v>-61.216000000000022</v>
      </c>
      <c r="J415" s="7">
        <f t="shared" si="661"/>
        <v>251.04699999999997</v>
      </c>
      <c r="K415" s="7">
        <f t="shared" si="661"/>
        <v>319.92399999999998</v>
      </c>
      <c r="L415" s="7">
        <f t="shared" si="661"/>
        <v>2923.1925588619847</v>
      </c>
      <c r="M415" s="7">
        <f t="shared" si="661"/>
        <v>3217.5296469312375</v>
      </c>
      <c r="N415" s="7">
        <f t="shared" si="661"/>
        <v>3529.2497735670077</v>
      </c>
      <c r="O415" s="5"/>
      <c r="P415" s="7"/>
      <c r="Q415" s="7"/>
      <c r="R415" s="7"/>
      <c r="S415" s="7"/>
      <c r="T415" s="7"/>
      <c r="U415" s="7"/>
      <c r="V415" s="7"/>
      <c r="W415" s="7"/>
      <c r="X415" s="7">
        <f t="shared" ref="X415:AY415" si="662">X311</f>
        <v>-134.06700000000009</v>
      </c>
      <c r="Y415" s="7">
        <f t="shared" si="662"/>
        <v>-84.918000000000006</v>
      </c>
      <c r="Z415" s="7">
        <f t="shared" si="662"/>
        <v>-24.630000000000038</v>
      </c>
      <c r="AA415" s="7">
        <f t="shared" si="662"/>
        <v>30.981999999999942</v>
      </c>
      <c r="AB415" s="7">
        <f t="shared" si="662"/>
        <v>58.366999999999997</v>
      </c>
      <c r="AC415" s="7">
        <f t="shared" si="662"/>
        <v>76.217999999999961</v>
      </c>
      <c r="AD415" s="7">
        <f t="shared" si="662"/>
        <v>29.289000000000065</v>
      </c>
      <c r="AE415" s="7">
        <f t="shared" si="662"/>
        <v>-61.216000000000022</v>
      </c>
      <c r="AF415" s="7">
        <f t="shared" si="662"/>
        <v>-73.948999999999955</v>
      </c>
      <c r="AG415" s="7">
        <f t="shared" si="662"/>
        <v>-159.90699999999995</v>
      </c>
      <c r="AH415" s="7">
        <f t="shared" si="662"/>
        <v>-13.658999999999935</v>
      </c>
      <c r="AI415" s="7">
        <f t="shared" si="662"/>
        <v>251.04699999999997</v>
      </c>
      <c r="AJ415" s="7">
        <f t="shared" si="662"/>
        <v>242.947</v>
      </c>
      <c r="AK415" s="7">
        <f t="shared" si="662"/>
        <v>256.73600000000005</v>
      </c>
      <c r="AL415" s="7">
        <f t="shared" si="662"/>
        <v>295.55</v>
      </c>
      <c r="AM415" s="7">
        <f t="shared" si="662"/>
        <v>319.92399999999998</v>
      </c>
      <c r="AN415" s="7">
        <f t="shared" si="662"/>
        <v>352.41551400604516</v>
      </c>
      <c r="AO415" s="7">
        <f t="shared" si="662"/>
        <v>2703.148791677575</v>
      </c>
      <c r="AP415" s="7">
        <f t="shared" si="662"/>
        <v>2813.0877139488584</v>
      </c>
      <c r="AQ415" s="7">
        <f t="shared" si="662"/>
        <v>2923.1925588619847</v>
      </c>
      <c r="AR415" s="7">
        <f t="shared" si="662"/>
        <v>3003.1502430945689</v>
      </c>
      <c r="AS415" s="7">
        <f t="shared" si="662"/>
        <v>3076.0059045539433</v>
      </c>
      <c r="AT415" s="7">
        <f t="shared" si="662"/>
        <v>3150.1828883011881</v>
      </c>
      <c r="AU415" s="7">
        <f t="shared" si="662"/>
        <v>3217.5296469312375</v>
      </c>
      <c r="AV415" s="7">
        <f t="shared" si="662"/>
        <v>3290.3791270628712</v>
      </c>
      <c r="AW415" s="7">
        <f t="shared" si="662"/>
        <v>3376.0971148907661</v>
      </c>
      <c r="AX415" s="7">
        <f t="shared" si="662"/>
        <v>3458.4919037024497</v>
      </c>
      <c r="AY415" s="7">
        <f t="shared" si="662"/>
        <v>3529.2497735670077</v>
      </c>
      <c r="AZ415" s="5"/>
      <c r="BA415" s="5"/>
      <c r="BB415" s="5"/>
      <c r="BC415" s="5"/>
      <c r="BD415" s="5"/>
      <c r="BE415" s="5"/>
      <c r="BF415" s="5"/>
      <c r="BG415" s="4">
        <v>409</v>
      </c>
      <c r="BH415"/>
      <c r="BI415"/>
      <c r="BJ415"/>
      <c r="BK415"/>
      <c r="BL415"/>
      <c r="BM415"/>
    </row>
    <row r="416" spans="1:257" s="3" customFormat="1" ht="11.25" outlineLevel="2">
      <c r="A416" s="6"/>
      <c r="B416" s="36" t="s">
        <v>51</v>
      </c>
      <c r="C416" s="7"/>
      <c r="D416" s="7"/>
      <c r="E416" s="7"/>
      <c r="F416" s="7">
        <f t="shared" ref="F416:N416" si="663">(F311-F293-F292)</f>
        <v>-325.05799999999994</v>
      </c>
      <c r="G416" s="7">
        <f t="shared" si="663"/>
        <v>-362.06700000000001</v>
      </c>
      <c r="H416" s="7">
        <f t="shared" si="663"/>
        <v>-154.46400000000006</v>
      </c>
      <c r="I416" s="7">
        <f t="shared" si="663"/>
        <v>-172.99900000000002</v>
      </c>
      <c r="J416" s="7">
        <f t="shared" si="663"/>
        <v>140.40499999999997</v>
      </c>
      <c r="K416" s="7">
        <f t="shared" si="663"/>
        <v>211.35499999999999</v>
      </c>
      <c r="L416" s="7">
        <f t="shared" si="663"/>
        <v>2598.1873922219588</v>
      </c>
      <c r="M416" s="7">
        <f t="shared" si="663"/>
        <v>2905.6284802912119</v>
      </c>
      <c r="N416" s="7">
        <f t="shared" si="663"/>
        <v>3230.4526069269818</v>
      </c>
      <c r="O416" s="5"/>
      <c r="P416" s="7"/>
      <c r="Q416" s="7"/>
      <c r="R416" s="7"/>
      <c r="S416" s="7"/>
      <c r="T416" s="7"/>
      <c r="U416" s="7"/>
      <c r="V416" s="7"/>
      <c r="W416" s="7"/>
      <c r="X416" s="7">
        <f t="shared" ref="X416:AY416" si="664">(X311-X293-X292)</f>
        <v>-326.42000000000007</v>
      </c>
      <c r="Y416" s="7">
        <f t="shared" si="664"/>
        <v>-275.95</v>
      </c>
      <c r="Z416" s="7">
        <f t="shared" si="664"/>
        <v>-214.18100000000004</v>
      </c>
      <c r="AA416" s="7">
        <f t="shared" si="664"/>
        <v>-154.46400000000006</v>
      </c>
      <c r="AB416" s="7">
        <f t="shared" si="664"/>
        <v>-125.74799999999999</v>
      </c>
      <c r="AC416" s="7">
        <f t="shared" si="664"/>
        <v>-106.90800000000004</v>
      </c>
      <c r="AD416" s="7">
        <f t="shared" si="664"/>
        <v>-152.62499999999994</v>
      </c>
      <c r="AE416" s="7">
        <f t="shared" si="664"/>
        <v>-172.99900000000002</v>
      </c>
      <c r="AF416" s="7">
        <f t="shared" si="664"/>
        <v>-184.60399999999993</v>
      </c>
      <c r="AG416" s="7">
        <f t="shared" si="664"/>
        <v>-269.26499999999993</v>
      </c>
      <c r="AH416" s="7">
        <f t="shared" si="664"/>
        <v>-123.34599999999993</v>
      </c>
      <c r="AI416" s="7">
        <f t="shared" si="664"/>
        <v>140.40499999999997</v>
      </c>
      <c r="AJ416" s="7">
        <f t="shared" si="664"/>
        <v>133.46</v>
      </c>
      <c r="AK416" s="7">
        <f t="shared" si="664"/>
        <v>148.91100000000006</v>
      </c>
      <c r="AL416" s="7">
        <f t="shared" si="664"/>
        <v>185.01500000000004</v>
      </c>
      <c r="AM416" s="7">
        <f t="shared" si="664"/>
        <v>211.35499999999999</v>
      </c>
      <c r="AN416" s="7">
        <f t="shared" si="664"/>
        <v>247.12251400604515</v>
      </c>
      <c r="AO416" s="7">
        <f t="shared" si="664"/>
        <v>2371.5916250375494</v>
      </c>
      <c r="AP416" s="7">
        <f t="shared" si="664"/>
        <v>2484.8065473088327</v>
      </c>
      <c r="AQ416" s="7">
        <f t="shared" si="664"/>
        <v>2598.1873922219588</v>
      </c>
      <c r="AR416" s="7">
        <f t="shared" si="664"/>
        <v>2681.4210764545433</v>
      </c>
      <c r="AS416" s="7">
        <f t="shared" si="664"/>
        <v>2757.5527379139176</v>
      </c>
      <c r="AT416" s="7">
        <f t="shared" si="664"/>
        <v>2835.0057216611622</v>
      </c>
      <c r="AU416" s="7">
        <f t="shared" si="664"/>
        <v>2905.6284802912119</v>
      </c>
      <c r="AV416" s="7">
        <f t="shared" si="664"/>
        <v>2981.7539604228455</v>
      </c>
      <c r="AW416" s="7">
        <f t="shared" si="664"/>
        <v>3070.7479482507406</v>
      </c>
      <c r="AX416" s="7">
        <f t="shared" si="664"/>
        <v>3156.418737062424</v>
      </c>
      <c r="AY416" s="7">
        <f t="shared" si="664"/>
        <v>3230.4526069269818</v>
      </c>
      <c r="AZ416" s="5"/>
      <c r="BA416" s="5"/>
      <c r="BB416" s="5"/>
      <c r="BC416" s="5"/>
      <c r="BD416" s="5"/>
      <c r="BE416" s="5"/>
      <c r="BF416" s="5"/>
      <c r="BG416" s="4">
        <v>410</v>
      </c>
      <c r="BH416"/>
      <c r="BI416"/>
      <c r="BJ416"/>
      <c r="BK416"/>
      <c r="BL416"/>
      <c r="BM416"/>
    </row>
    <row r="417" spans="1:65" s="37" customFormat="1" ht="11.25" outlineLevel="2">
      <c r="A417" s="39"/>
      <c r="B417" s="36" t="s">
        <v>50</v>
      </c>
      <c r="C417" s="38"/>
      <c r="D417" s="38"/>
      <c r="E417" s="38" t="e">
        <f t="shared" ref="E417:N417" si="665">E311/E408</f>
        <v>#DIV/0!</v>
      </c>
      <c r="F417" s="38">
        <f t="shared" si="665"/>
        <v>-1.85747358060138</v>
      </c>
      <c r="G417" s="38">
        <f t="shared" si="665"/>
        <v>-1.0761630100980968</v>
      </c>
      <c r="H417" s="38">
        <f t="shared" si="665"/>
        <v>0.19253850704888398</v>
      </c>
      <c r="I417" s="38">
        <f t="shared" si="665"/>
        <v>-0.37920317380964808</v>
      </c>
      <c r="J417" s="38">
        <f t="shared" si="665"/>
        <v>1.1227454260043559</v>
      </c>
      <c r="K417" s="38">
        <f t="shared" si="665"/>
        <v>1.4263791235493175</v>
      </c>
      <c r="L417" s="38">
        <f t="shared" si="665"/>
        <v>4.5235879226947526</v>
      </c>
      <c r="M417" s="38">
        <f t="shared" si="665"/>
        <v>4.9296494610875268</v>
      </c>
      <c r="N417" s="38">
        <f t="shared" si="665"/>
        <v>5.3535732154636522</v>
      </c>
      <c r="O417" s="38"/>
      <c r="P417" s="38"/>
      <c r="Q417" s="38"/>
      <c r="R417" s="38"/>
      <c r="S417" s="38"/>
      <c r="T417" s="38"/>
      <c r="U417" s="38"/>
      <c r="V417" s="38"/>
      <c r="W417" s="38"/>
      <c r="X417" s="38">
        <f t="shared" ref="X417:AY417" si="666">X311/X408</f>
        <v>-0.85686425430024904</v>
      </c>
      <c r="Y417" s="38">
        <f t="shared" si="666"/>
        <v>-0.54273757708211945</v>
      </c>
      <c r="Z417" s="38">
        <f t="shared" si="666"/>
        <v>-0.15741805651961446</v>
      </c>
      <c r="AA417" s="38">
        <f t="shared" si="666"/>
        <v>0.19253850704888398</v>
      </c>
      <c r="AB417" s="38">
        <f t="shared" si="666"/>
        <v>0.3622269959233746</v>
      </c>
      <c r="AC417" s="38">
        <f t="shared" si="666"/>
        <v>0.47216305815263732</v>
      </c>
      <c r="AD417" s="38">
        <f t="shared" si="666"/>
        <v>0.18143102714504059</v>
      </c>
      <c r="AE417" s="38">
        <f t="shared" si="666"/>
        <v>-0.37920317380964808</v>
      </c>
      <c r="AF417" s="38">
        <f t="shared" si="666"/>
        <v>-0.45788003938007321</v>
      </c>
      <c r="AG417" s="38">
        <f t="shared" si="666"/>
        <v>-0.98695840019750614</v>
      </c>
      <c r="AH417" s="38">
        <f t="shared" si="666"/>
        <v>-7.1160268199033774E-2</v>
      </c>
      <c r="AI417" s="38">
        <f t="shared" si="666"/>
        <v>1.1227454260043559</v>
      </c>
      <c r="AJ417" s="38">
        <f t="shared" si="666"/>
        <v>1.0848802575701419</v>
      </c>
      <c r="AK417" s="38">
        <f t="shared" si="666"/>
        <v>1.1457285535141313</v>
      </c>
      <c r="AL417" s="38">
        <f t="shared" si="666"/>
        <v>1.3188779608375132</v>
      </c>
      <c r="AM417" s="38">
        <f t="shared" si="666"/>
        <v>1.4263791235493175</v>
      </c>
      <c r="AN417" s="38">
        <f t="shared" si="666"/>
        <v>1.5673268280987231</v>
      </c>
      <c r="AO417" s="38">
        <f t="shared" si="666"/>
        <v>4.2040025924550442</v>
      </c>
      <c r="AP417" s="38">
        <f t="shared" si="666"/>
        <v>4.3640720917989215</v>
      </c>
      <c r="AQ417" s="38">
        <f t="shared" si="666"/>
        <v>4.5235879226947526</v>
      </c>
      <c r="AR417" s="38">
        <f t="shared" si="666"/>
        <v>4.6357460687543988</v>
      </c>
      <c r="AS417" s="38">
        <f t="shared" si="666"/>
        <v>4.7363818811572811</v>
      </c>
      <c r="AT417" s="38">
        <f t="shared" si="666"/>
        <v>4.8385171176381432</v>
      </c>
      <c r="AU417" s="38">
        <f t="shared" si="666"/>
        <v>4.9296494610875268</v>
      </c>
      <c r="AV417" s="38">
        <f t="shared" si="666"/>
        <v>5.0287076731913158</v>
      </c>
      <c r="AW417" s="38">
        <f t="shared" si="666"/>
        <v>5.1468599018034658</v>
      </c>
      <c r="AX417" s="38">
        <f t="shared" si="666"/>
        <v>5.2593387808196113</v>
      </c>
      <c r="AY417" s="38">
        <f t="shared" si="666"/>
        <v>5.3535732154636522</v>
      </c>
      <c r="AZ417" s="38"/>
      <c r="BA417" s="38"/>
      <c r="BB417" s="38"/>
      <c r="BC417" s="38"/>
      <c r="BD417" s="38"/>
      <c r="BE417" s="38"/>
      <c r="BF417" s="38"/>
      <c r="BG417" s="4">
        <v>411</v>
      </c>
      <c r="BH417"/>
      <c r="BI417"/>
      <c r="BJ417"/>
      <c r="BK417"/>
      <c r="BL417"/>
      <c r="BM417"/>
    </row>
    <row r="418" spans="1:65" s="37" customFormat="1" ht="11.25" outlineLevel="2">
      <c r="A418" s="39"/>
      <c r="B418" s="36" t="s">
        <v>49</v>
      </c>
      <c r="C418" s="38"/>
      <c r="D418" s="38"/>
      <c r="E418" s="38"/>
      <c r="F418" s="38">
        <f t="shared" ref="F418:N418" si="667">(F311-F293-F292)/F408</f>
        <v>-2.0853450917085956</v>
      </c>
      <c r="G418" s="38">
        <f t="shared" si="667"/>
        <v>-2.3140837787205504</v>
      </c>
      <c r="H418" s="38">
        <f t="shared" si="667"/>
        <v>-0.95992085574846309</v>
      </c>
      <c r="I418" s="38">
        <f t="shared" si="667"/>
        <v>-1.071644175802001</v>
      </c>
      <c r="J418" s="38">
        <f t="shared" si="667"/>
        <v>0.62792652984557307</v>
      </c>
      <c r="K418" s="38">
        <f t="shared" si="667"/>
        <v>0.9423249261004677</v>
      </c>
      <c r="L418" s="38">
        <f t="shared" si="667"/>
        <v>4.0206482712615372</v>
      </c>
      <c r="M418" s="38">
        <f t="shared" si="667"/>
        <v>4.4517786761186784</v>
      </c>
      <c r="N418" s="38">
        <f t="shared" si="667"/>
        <v>4.9003232017748433</v>
      </c>
      <c r="O418" s="38"/>
      <c r="P418" s="38"/>
      <c r="Q418" s="38"/>
      <c r="R418" s="38"/>
      <c r="S418" s="38"/>
      <c r="T418" s="38"/>
      <c r="U418" s="38"/>
      <c r="V418" s="38"/>
      <c r="W418" s="38"/>
      <c r="X418" s="38">
        <f t="shared" ref="X418:AY418" si="668">(X311-X293-X292)/X408</f>
        <v>-2.0862526191283997</v>
      </c>
      <c r="Y418" s="38">
        <f t="shared" si="668"/>
        <v>-1.7636830165078172</v>
      </c>
      <c r="Z418" s="38">
        <f t="shared" si="668"/>
        <v>-1.3688979603502842</v>
      </c>
      <c r="AA418" s="38">
        <f t="shared" si="668"/>
        <v>-0.95992085574846309</v>
      </c>
      <c r="AB418" s="38">
        <f t="shared" si="668"/>
        <v>-0.78039509111951111</v>
      </c>
      <c r="AC418" s="38">
        <f t="shared" si="668"/>
        <v>-0.66228460758590091</v>
      </c>
      <c r="AD418" s="38">
        <f t="shared" si="668"/>
        <v>-0.94543721253753099</v>
      </c>
      <c r="AE418" s="38">
        <f t="shared" si="668"/>
        <v>-1.071644175802001</v>
      </c>
      <c r="AF418" s="38">
        <f t="shared" si="668"/>
        <v>-1.143037590632991</v>
      </c>
      <c r="AG418" s="38">
        <f t="shared" si="668"/>
        <v>-1.6619244537711388</v>
      </c>
      <c r="AH418" s="38">
        <f t="shared" si="668"/>
        <v>-0.64260446894194712</v>
      </c>
      <c r="AI418" s="38">
        <f t="shared" si="668"/>
        <v>0.62792652984557307</v>
      </c>
      <c r="AJ418" s="38">
        <f t="shared" si="668"/>
        <v>0.59596586570449994</v>
      </c>
      <c r="AK418" s="38">
        <f t="shared" si="668"/>
        <v>0.66454094724675483</v>
      </c>
      <c r="AL418" s="38">
        <f t="shared" si="668"/>
        <v>0.82562072720132818</v>
      </c>
      <c r="AM418" s="38">
        <f t="shared" si="668"/>
        <v>0.9423249261004677</v>
      </c>
      <c r="AN418" s="38">
        <f t="shared" si="668"/>
        <v>1.0990485113042814</v>
      </c>
      <c r="AO418" s="38">
        <f t="shared" si="668"/>
        <v>3.6883568416946195</v>
      </c>
      <c r="AP418" s="38">
        <f t="shared" si="668"/>
        <v>3.8547944498352229</v>
      </c>
      <c r="AQ418" s="38">
        <f t="shared" si="668"/>
        <v>4.0206482712615372</v>
      </c>
      <c r="AR418" s="38">
        <f t="shared" si="668"/>
        <v>4.1391159974202818</v>
      </c>
      <c r="AS418" s="38">
        <f t="shared" si="668"/>
        <v>4.2460330797333441</v>
      </c>
      <c r="AT418" s="38">
        <f t="shared" si="668"/>
        <v>4.354421377819417</v>
      </c>
      <c r="AU418" s="38">
        <f t="shared" si="668"/>
        <v>4.4517786761186784</v>
      </c>
      <c r="AV418" s="38">
        <f t="shared" si="668"/>
        <v>4.5570338375357835</v>
      </c>
      <c r="AW418" s="38">
        <f t="shared" si="668"/>
        <v>4.6813551108136187</v>
      </c>
      <c r="AX418" s="38">
        <f t="shared" si="668"/>
        <v>4.7999752304079122</v>
      </c>
      <c r="AY418" s="38">
        <f t="shared" si="668"/>
        <v>4.9003232017748433</v>
      </c>
      <c r="AZ418" s="38"/>
      <c r="BA418" s="38"/>
      <c r="BB418" s="38"/>
      <c r="BC418" s="38"/>
      <c r="BD418" s="38"/>
      <c r="BE418" s="38"/>
      <c r="BF418" s="38"/>
      <c r="BG418" s="4">
        <v>412</v>
      </c>
      <c r="BH418"/>
      <c r="BI418"/>
      <c r="BJ418"/>
      <c r="BK418"/>
      <c r="BL418"/>
      <c r="BM418"/>
    </row>
    <row r="419" spans="1:65" s="3" customFormat="1" ht="11.25" outlineLevel="2">
      <c r="A419" s="6"/>
      <c r="B419" s="36"/>
      <c r="C419" s="30"/>
      <c r="D419" s="30"/>
      <c r="E419" s="30"/>
      <c r="F419" s="30"/>
      <c r="G419" s="30"/>
      <c r="H419" s="30"/>
      <c r="I419" s="30"/>
      <c r="J419" s="30"/>
      <c r="K419" s="30"/>
      <c r="L419" s="30"/>
      <c r="M419" s="30"/>
      <c r="N419" s="30"/>
      <c r="O419" s="5"/>
      <c r="P419" s="30"/>
      <c r="Q419" s="30"/>
      <c r="R419" s="30"/>
      <c r="S419" s="30"/>
      <c r="T419" s="30"/>
      <c r="U419" s="30"/>
      <c r="V419" s="30"/>
      <c r="W419" s="30"/>
      <c r="X419" s="30"/>
      <c r="Y419" s="30"/>
      <c r="Z419" s="30"/>
      <c r="AA419" s="30"/>
      <c r="AB419" s="30"/>
      <c r="AC419" s="30"/>
      <c r="AD419" s="30"/>
      <c r="AE419" s="30"/>
      <c r="AF419" s="30"/>
      <c r="AG419" s="30"/>
      <c r="AH419" s="30"/>
      <c r="AI419" s="30"/>
      <c r="AJ419" s="30"/>
      <c r="AK419" s="30"/>
      <c r="AL419" s="30"/>
      <c r="AM419" s="30"/>
      <c r="AN419" s="30"/>
      <c r="AO419" s="30"/>
      <c r="AP419" s="30"/>
      <c r="AQ419" s="30"/>
      <c r="AR419" s="30"/>
      <c r="AS419" s="30"/>
      <c r="AT419" s="30"/>
      <c r="AU419" s="30"/>
      <c r="AV419" s="30"/>
      <c r="AW419" s="30"/>
      <c r="AX419" s="30"/>
      <c r="AY419" s="30"/>
      <c r="AZ419" s="5"/>
      <c r="BA419" s="5"/>
      <c r="BB419" s="5"/>
      <c r="BC419" s="5"/>
      <c r="BD419" s="5"/>
      <c r="BE419" s="5"/>
      <c r="BF419" s="5"/>
      <c r="BG419" s="4">
        <v>413</v>
      </c>
      <c r="BH419"/>
      <c r="BI419"/>
      <c r="BJ419"/>
      <c r="BK419"/>
      <c r="BL419"/>
      <c r="BM419"/>
    </row>
    <row r="420" spans="1:65" s="3" customFormat="1" ht="11.25" outlineLevel="1">
      <c r="A420" s="2" t="s">
        <v>0</v>
      </c>
      <c r="B420" s="35" t="s">
        <v>48</v>
      </c>
      <c r="C420" s="30"/>
      <c r="D420" s="30"/>
      <c r="E420" s="30"/>
      <c r="F420" s="30"/>
      <c r="G420" s="30"/>
      <c r="H420" s="30"/>
      <c r="I420" s="30"/>
      <c r="J420" s="30"/>
      <c r="K420" s="30"/>
      <c r="L420" s="30"/>
      <c r="M420" s="30"/>
      <c r="N420" s="30"/>
      <c r="O420" s="5"/>
      <c r="P420" s="30"/>
      <c r="Q420" s="30"/>
      <c r="R420" s="30"/>
      <c r="S420" s="30"/>
      <c r="T420" s="30"/>
      <c r="U420" s="30"/>
      <c r="V420" s="30"/>
      <c r="W420" s="30"/>
      <c r="X420" s="30"/>
      <c r="Y420" s="30"/>
      <c r="Z420" s="30"/>
      <c r="AA420" s="30"/>
      <c r="AB420" s="30"/>
      <c r="AC420" s="30"/>
      <c r="AD420" s="30"/>
      <c r="AE420" s="30"/>
      <c r="AF420" s="30"/>
      <c r="AG420" s="30"/>
      <c r="AH420" s="30"/>
      <c r="AI420" s="30"/>
      <c r="AJ420" s="30"/>
      <c r="AK420" s="30"/>
      <c r="AL420" s="30"/>
      <c r="AM420" s="30"/>
      <c r="AN420" s="30"/>
      <c r="AO420" s="30"/>
      <c r="AP420" s="30"/>
      <c r="AQ420" s="30"/>
      <c r="AR420" s="30"/>
      <c r="AS420" s="30"/>
      <c r="AT420" s="30"/>
      <c r="AU420" s="30"/>
      <c r="AV420" s="30"/>
      <c r="AW420" s="30"/>
      <c r="AX420" s="30"/>
      <c r="AY420" s="30"/>
      <c r="AZ420" s="5"/>
      <c r="BA420" s="5"/>
      <c r="BB420" s="5"/>
      <c r="BC420" s="5"/>
      <c r="BD420" s="5"/>
      <c r="BE420" s="5"/>
      <c r="BF420" s="5"/>
      <c r="BG420" s="4">
        <v>414</v>
      </c>
      <c r="BH420"/>
      <c r="BI420"/>
      <c r="BJ420"/>
      <c r="BK420"/>
      <c r="BL420"/>
      <c r="BM420"/>
    </row>
    <row r="421" spans="1:65" s="3" customFormat="1" ht="11.25" outlineLevel="2">
      <c r="A421" s="6"/>
      <c r="B421" s="34" t="s">
        <v>47</v>
      </c>
      <c r="C421" s="7"/>
      <c r="D421" s="7"/>
      <c r="E421" s="7"/>
      <c r="F421" s="7">
        <f t="shared" ref="F421:N421" si="669">SUM(F286:F289,F291:F294)-SUM(F299:F300,F303:F304)</f>
        <v>533.40099999999984</v>
      </c>
      <c r="G421" s="7">
        <f t="shared" si="669"/>
        <v>1078.973</v>
      </c>
      <c r="H421" s="7">
        <f t="shared" si="669"/>
        <v>1209.1899999999998</v>
      </c>
      <c r="I421" s="7">
        <f t="shared" si="669"/>
        <v>1005.962</v>
      </c>
      <c r="J421" s="7">
        <f t="shared" si="669"/>
        <v>900.06400000000008</v>
      </c>
      <c r="K421" s="7">
        <f t="shared" si="669"/>
        <v>941.25699999999983</v>
      </c>
      <c r="L421" s="7">
        <f t="shared" si="669"/>
        <v>3981.7517986466974</v>
      </c>
      <c r="M421" s="7">
        <f t="shared" si="669"/>
        <v>3816.6141309591603</v>
      </c>
      <c r="N421" s="7">
        <f t="shared" si="669"/>
        <v>3683.6093446124964</v>
      </c>
      <c r="O421" s="5"/>
      <c r="P421" s="5"/>
      <c r="Q421" s="5"/>
      <c r="R421" s="5"/>
      <c r="S421" s="5"/>
      <c r="T421" s="7"/>
      <c r="U421" s="5"/>
      <c r="V421" s="5"/>
      <c r="W421" s="7"/>
      <c r="X421" s="7">
        <f t="shared" ref="X421:AY421" si="670">SUM(X286:X289,X291:X294)-SUM(X299:X300,X303:X304)</f>
        <v>1122.9360000000001</v>
      </c>
      <c r="Y421" s="7">
        <f t="shared" si="670"/>
        <v>1170.4850000000001</v>
      </c>
      <c r="Z421" s="7">
        <f t="shared" si="670"/>
        <v>1184.7189999999998</v>
      </c>
      <c r="AA421" s="7">
        <f t="shared" si="670"/>
        <v>1209.1899999999998</v>
      </c>
      <c r="AB421" s="7">
        <f t="shared" si="670"/>
        <v>1193.4289999999999</v>
      </c>
      <c r="AC421" s="7">
        <f t="shared" si="670"/>
        <v>1149.79</v>
      </c>
      <c r="AD421" s="7">
        <f t="shared" si="670"/>
        <v>1092.413</v>
      </c>
      <c r="AE421" s="7">
        <f t="shared" si="670"/>
        <v>1005.962</v>
      </c>
      <c r="AF421" s="7">
        <f t="shared" si="670"/>
        <v>1002.393</v>
      </c>
      <c r="AG421" s="7">
        <f t="shared" si="670"/>
        <v>925.32199999999989</v>
      </c>
      <c r="AH421" s="7">
        <f t="shared" si="670"/>
        <v>917.30099999999993</v>
      </c>
      <c r="AI421" s="7">
        <f t="shared" si="670"/>
        <v>900.06400000000008</v>
      </c>
      <c r="AJ421" s="7">
        <f t="shared" si="670"/>
        <v>877.64200000000005</v>
      </c>
      <c r="AK421" s="7">
        <f t="shared" si="670"/>
        <v>874.59600000000012</v>
      </c>
      <c r="AL421" s="7">
        <f t="shared" si="670"/>
        <v>902.10599999999988</v>
      </c>
      <c r="AM421" s="7">
        <f t="shared" si="670"/>
        <v>941.25699999999983</v>
      </c>
      <c r="AN421" s="7">
        <f t="shared" si="670"/>
        <v>961.3124652051772</v>
      </c>
      <c r="AO421" s="7">
        <f t="shared" si="670"/>
        <v>4079.4338644400855</v>
      </c>
      <c r="AP421" s="7">
        <f t="shared" si="670"/>
        <v>4021.0178184503939</v>
      </c>
      <c r="AQ421" s="7">
        <f t="shared" si="670"/>
        <v>3981.7517986466974</v>
      </c>
      <c r="AR421" s="7">
        <f t="shared" si="670"/>
        <v>3940.2968398120979</v>
      </c>
      <c r="AS421" s="7">
        <f t="shared" si="670"/>
        <v>3896.8612707345324</v>
      </c>
      <c r="AT421" s="7">
        <f t="shared" si="670"/>
        <v>3858.4389950472232</v>
      </c>
      <c r="AU421" s="7">
        <f t="shared" si="670"/>
        <v>3816.6141309591603</v>
      </c>
      <c r="AV421" s="7">
        <f t="shared" si="670"/>
        <v>3788.7125572082437</v>
      </c>
      <c r="AW421" s="7">
        <f t="shared" si="670"/>
        <v>3769.619157483829</v>
      </c>
      <c r="AX421" s="7">
        <f t="shared" si="670"/>
        <v>3728.3535293447362</v>
      </c>
      <c r="AY421" s="7">
        <f t="shared" si="670"/>
        <v>3683.6093446124964</v>
      </c>
      <c r="AZ421" s="5"/>
      <c r="BA421" s="5"/>
      <c r="BB421" s="5"/>
      <c r="BC421" s="5"/>
      <c r="BD421" s="5"/>
      <c r="BE421" s="5"/>
      <c r="BF421" s="5"/>
      <c r="BG421" s="4">
        <v>415</v>
      </c>
      <c r="BH421"/>
      <c r="BI421"/>
      <c r="BJ421"/>
      <c r="BK421"/>
      <c r="BL421"/>
      <c r="BM421"/>
    </row>
    <row r="422" spans="1:65" s="3" customFormat="1" ht="11.25" outlineLevel="2">
      <c r="A422" s="6"/>
      <c r="B422" s="34" t="s">
        <v>46</v>
      </c>
      <c r="C422" s="7"/>
      <c r="D422" s="7"/>
      <c r="E422" s="7"/>
      <c r="F422" s="7">
        <f t="shared" ref="F422:N422" si="671">SUM(F311:F312,F302,F298)-F285</f>
        <v>533.40100000000018</v>
      </c>
      <c r="G422" s="7">
        <f t="shared" si="671"/>
        <v>1078.973</v>
      </c>
      <c r="H422" s="7">
        <f t="shared" si="671"/>
        <v>1209.1899999999998</v>
      </c>
      <c r="I422" s="7">
        <f t="shared" si="671"/>
        <v>1005.9620000000001</v>
      </c>
      <c r="J422" s="7">
        <f t="shared" si="671"/>
        <v>900.06399999999996</v>
      </c>
      <c r="K422" s="7">
        <f t="shared" si="671"/>
        <v>941.25699999999995</v>
      </c>
      <c r="L422" s="7">
        <f t="shared" si="671"/>
        <v>3981.7517986466969</v>
      </c>
      <c r="M422" s="7">
        <f t="shared" si="671"/>
        <v>3816.6141309591612</v>
      </c>
      <c r="N422" s="7">
        <f t="shared" si="671"/>
        <v>3683.6093446124969</v>
      </c>
      <c r="O422" s="5"/>
      <c r="P422" s="5"/>
      <c r="Q422" s="5"/>
      <c r="R422" s="5"/>
      <c r="S422" s="5"/>
      <c r="T422" s="7"/>
      <c r="U422" s="5"/>
      <c r="V422" s="5"/>
      <c r="W422" s="7"/>
      <c r="X422" s="7">
        <f t="shared" ref="X422:AY422" si="672">SUM(X311:X312,X302,X298)-X285</f>
        <v>1122.9359999999997</v>
      </c>
      <c r="Y422" s="7">
        <f t="shared" si="672"/>
        <v>1170.4850000000001</v>
      </c>
      <c r="Z422" s="7">
        <f t="shared" si="672"/>
        <v>1184.7190000000001</v>
      </c>
      <c r="AA422" s="7">
        <f t="shared" si="672"/>
        <v>1209.1899999999998</v>
      </c>
      <c r="AB422" s="7">
        <f t="shared" si="672"/>
        <v>1193.4290000000001</v>
      </c>
      <c r="AC422" s="7">
        <f t="shared" si="672"/>
        <v>1149.79</v>
      </c>
      <c r="AD422" s="7">
        <f t="shared" si="672"/>
        <v>1092.4129999999998</v>
      </c>
      <c r="AE422" s="7">
        <f t="shared" si="672"/>
        <v>1005.9620000000001</v>
      </c>
      <c r="AF422" s="7">
        <f t="shared" si="672"/>
        <v>1002.393</v>
      </c>
      <c r="AG422" s="7">
        <f t="shared" si="672"/>
        <v>925.322</v>
      </c>
      <c r="AH422" s="7">
        <f t="shared" si="672"/>
        <v>917.30100000000016</v>
      </c>
      <c r="AI422" s="7">
        <f t="shared" si="672"/>
        <v>900.06399999999996</v>
      </c>
      <c r="AJ422" s="7">
        <f t="shared" si="672"/>
        <v>877.64199999999983</v>
      </c>
      <c r="AK422" s="7">
        <f t="shared" si="672"/>
        <v>874.596</v>
      </c>
      <c r="AL422" s="7">
        <f t="shared" si="672"/>
        <v>902.10599999999977</v>
      </c>
      <c r="AM422" s="7">
        <f t="shared" si="672"/>
        <v>941.25699999999995</v>
      </c>
      <c r="AN422" s="7">
        <f t="shared" si="672"/>
        <v>961.31246520517732</v>
      </c>
      <c r="AO422" s="7">
        <f t="shared" si="672"/>
        <v>4079.4338644400841</v>
      </c>
      <c r="AP422" s="7">
        <f t="shared" si="672"/>
        <v>4021.017818450393</v>
      </c>
      <c r="AQ422" s="7">
        <f t="shared" si="672"/>
        <v>3981.7517986466969</v>
      </c>
      <c r="AR422" s="7">
        <f t="shared" si="672"/>
        <v>3940.2968398120984</v>
      </c>
      <c r="AS422" s="7">
        <f t="shared" si="672"/>
        <v>3896.8612707345324</v>
      </c>
      <c r="AT422" s="7">
        <f t="shared" si="672"/>
        <v>3858.4389950472237</v>
      </c>
      <c r="AU422" s="7">
        <f t="shared" si="672"/>
        <v>3816.6141309591612</v>
      </c>
      <c r="AV422" s="7">
        <f t="shared" si="672"/>
        <v>3788.7125572082432</v>
      </c>
      <c r="AW422" s="7">
        <f t="shared" si="672"/>
        <v>3769.6191574838294</v>
      </c>
      <c r="AX422" s="7">
        <f t="shared" si="672"/>
        <v>3728.3535293447371</v>
      </c>
      <c r="AY422" s="7">
        <f t="shared" si="672"/>
        <v>3683.6093446124969</v>
      </c>
      <c r="AZ422" s="5"/>
      <c r="BA422" s="5"/>
      <c r="BB422" s="5"/>
      <c r="BC422" s="5"/>
      <c r="BD422" s="5"/>
      <c r="BE422" s="5"/>
      <c r="BF422" s="5"/>
      <c r="BG422" s="4">
        <v>416</v>
      </c>
      <c r="BH422"/>
      <c r="BI422"/>
      <c r="BJ422"/>
      <c r="BK422"/>
      <c r="BL422"/>
      <c r="BM422"/>
    </row>
    <row r="423" spans="1:65" s="3" customFormat="1" ht="11.25" outlineLevel="2">
      <c r="A423" s="6"/>
      <c r="B423" s="33" t="s">
        <v>45</v>
      </c>
      <c r="C423" s="7"/>
      <c r="D423" s="7"/>
      <c r="E423" s="7"/>
      <c r="F423" s="7">
        <f t="shared" ref="F423:N423" si="673">F23</f>
        <v>280.70899999999995</v>
      </c>
      <c r="G423" s="7">
        <f t="shared" si="673"/>
        <v>246.84199999999993</v>
      </c>
      <c r="H423" s="7">
        <f t="shared" si="673"/>
        <v>321.5516803000001</v>
      </c>
      <c r="I423" s="7">
        <f t="shared" si="673"/>
        <v>68.967000000000056</v>
      </c>
      <c r="J423" s="7">
        <f t="shared" si="673"/>
        <v>-58.415999999999997</v>
      </c>
      <c r="K423" s="7">
        <f t="shared" si="673"/>
        <v>115.56</v>
      </c>
      <c r="L423" s="7">
        <f t="shared" si="673"/>
        <v>391.47123294271722</v>
      </c>
      <c r="M423" s="7">
        <f t="shared" si="673"/>
        <v>468.94319720000351</v>
      </c>
      <c r="N423" s="7">
        <f t="shared" si="673"/>
        <v>487.81141848673491</v>
      </c>
      <c r="O423" s="5"/>
      <c r="P423" s="5"/>
      <c r="Q423" s="5"/>
      <c r="R423" s="5"/>
      <c r="S423" s="5"/>
      <c r="T423" s="7"/>
      <c r="U423" s="5"/>
      <c r="V423" s="5"/>
      <c r="W423" s="7"/>
      <c r="X423" s="7">
        <f t="shared" ref="X423:AY423" si="674">X23</f>
        <v>67.12700000000001</v>
      </c>
      <c r="Y423" s="7">
        <f t="shared" si="674"/>
        <v>81.376680300000061</v>
      </c>
      <c r="Z423" s="7">
        <f t="shared" si="674"/>
        <v>97.388000000000005</v>
      </c>
      <c r="AA423" s="7">
        <f t="shared" si="674"/>
        <v>75.660000000000011</v>
      </c>
      <c r="AB423" s="7">
        <f t="shared" si="674"/>
        <v>57.452999999999989</v>
      </c>
      <c r="AC423" s="7">
        <f t="shared" si="674"/>
        <v>17.64700000000003</v>
      </c>
      <c r="AD423" s="7">
        <f t="shared" si="674"/>
        <v>3.8960000000000079</v>
      </c>
      <c r="AE423" s="7">
        <f t="shared" si="674"/>
        <v>-10.029000000000003</v>
      </c>
      <c r="AF423" s="7">
        <f t="shared" si="674"/>
        <v>-10.199999999999996</v>
      </c>
      <c r="AG423" s="7">
        <f t="shared" si="674"/>
        <v>-26.949999999999985</v>
      </c>
      <c r="AH423" s="7">
        <f t="shared" si="674"/>
        <v>-14.660999999999994</v>
      </c>
      <c r="AI423" s="7">
        <f t="shared" si="674"/>
        <v>-6.6050000000000253</v>
      </c>
      <c r="AJ423" s="7">
        <f t="shared" si="674"/>
        <v>-2.1000000000029218E-2</v>
      </c>
      <c r="AK423" s="7">
        <f t="shared" si="674"/>
        <v>24.026000000000046</v>
      </c>
      <c r="AL423" s="7">
        <f t="shared" si="674"/>
        <v>49.783000000000001</v>
      </c>
      <c r="AM423" s="7">
        <f t="shared" si="674"/>
        <v>41.771999999999984</v>
      </c>
      <c r="AN423" s="7">
        <f t="shared" si="674"/>
        <v>45.807260422963751</v>
      </c>
      <c r="AO423" s="7">
        <f t="shared" si="674"/>
        <v>64.898616598493149</v>
      </c>
      <c r="AP423" s="7">
        <f t="shared" si="674"/>
        <v>140.39424819925392</v>
      </c>
      <c r="AQ423" s="7">
        <f t="shared" si="674"/>
        <v>140.37110772200646</v>
      </c>
      <c r="AR423" s="7">
        <f t="shared" si="674"/>
        <v>125.59737454282785</v>
      </c>
      <c r="AS423" s="7">
        <f t="shared" si="674"/>
        <v>116.41149573575882</v>
      </c>
      <c r="AT423" s="7">
        <f t="shared" si="674"/>
        <v>117.88807903132249</v>
      </c>
      <c r="AU423" s="7">
        <f t="shared" si="674"/>
        <v>109.04624789009425</v>
      </c>
      <c r="AV423" s="7">
        <f t="shared" si="674"/>
        <v>115.81574158276405</v>
      </c>
      <c r="AW423" s="7">
        <f t="shared" si="674"/>
        <v>131.90901526869627</v>
      </c>
      <c r="AX423" s="7">
        <f t="shared" si="674"/>
        <v>127.50645767301727</v>
      </c>
      <c r="AY423" s="7">
        <f t="shared" si="674"/>
        <v>112.58020396225726</v>
      </c>
      <c r="AZ423" s="5"/>
      <c r="BA423" s="5"/>
      <c r="BB423" s="5"/>
      <c r="BC423" s="5"/>
      <c r="BD423" s="5"/>
      <c r="BE423" s="5"/>
      <c r="BF423" s="5"/>
      <c r="BG423" s="4">
        <v>417</v>
      </c>
      <c r="BH423"/>
      <c r="BI423"/>
      <c r="BJ423"/>
      <c r="BK423"/>
      <c r="BL423"/>
      <c r="BM423"/>
    </row>
    <row r="424" spans="1:65" s="3" customFormat="1" ht="11.25" outlineLevel="2">
      <c r="A424" s="2"/>
      <c r="B424" s="11" t="s">
        <v>44</v>
      </c>
      <c r="C424" s="32"/>
      <c r="D424" s="32"/>
      <c r="E424" s="32"/>
      <c r="F424" s="32">
        <f t="shared" ref="F424:N424" si="675">F423*(1-F465)</f>
        <v>179.20462559999999</v>
      </c>
      <c r="G424" s="32">
        <f t="shared" si="675"/>
        <v>151.56098799999995</v>
      </c>
      <c r="H424" s="32">
        <f t="shared" si="675"/>
        <v>200.96980018750006</v>
      </c>
      <c r="I424" s="32">
        <f t="shared" si="675"/>
        <v>43.104375000000033</v>
      </c>
      <c r="J424" s="32">
        <f t="shared" si="675"/>
        <v>-36.51</v>
      </c>
      <c r="K424" s="32">
        <f t="shared" si="675"/>
        <v>72.224999999999994</v>
      </c>
      <c r="L424" s="32">
        <f t="shared" si="675"/>
        <v>297.51813703646508</v>
      </c>
      <c r="M424" s="32">
        <f t="shared" si="675"/>
        <v>356.39682987200268</v>
      </c>
      <c r="N424" s="32">
        <f t="shared" si="675"/>
        <v>370.73667804991851</v>
      </c>
      <c r="P424" s="5"/>
      <c r="Q424" s="5"/>
      <c r="R424" s="5"/>
      <c r="S424" s="5"/>
      <c r="X424" s="32">
        <f t="shared" ref="X424:AY424" si="676">X423*(1-X465)</f>
        <v>41.954375000000006</v>
      </c>
      <c r="Y424" s="32">
        <f t="shared" si="676"/>
        <v>50.860425187500041</v>
      </c>
      <c r="Z424" s="32">
        <f t="shared" si="676"/>
        <v>60.867500000000007</v>
      </c>
      <c r="AA424" s="32">
        <f t="shared" si="676"/>
        <v>47.287500000000009</v>
      </c>
      <c r="AB424" s="32">
        <f t="shared" si="676"/>
        <v>35.908124999999991</v>
      </c>
      <c r="AC424" s="32">
        <f t="shared" si="676"/>
        <v>11.029375000000019</v>
      </c>
      <c r="AD424" s="32">
        <f t="shared" si="676"/>
        <v>2.4350000000000049</v>
      </c>
      <c r="AE424" s="32">
        <f t="shared" si="676"/>
        <v>-6.2681250000000022</v>
      </c>
      <c r="AF424" s="32">
        <f t="shared" si="676"/>
        <v>-6.3749999999999973</v>
      </c>
      <c r="AG424" s="32">
        <f t="shared" si="676"/>
        <v>-16.843749999999989</v>
      </c>
      <c r="AH424" s="32">
        <f t="shared" si="676"/>
        <v>-9.1631249999999973</v>
      </c>
      <c r="AI424" s="32">
        <f t="shared" si="676"/>
        <v>-4.1281250000000158</v>
      </c>
      <c r="AJ424" s="32">
        <f t="shared" si="676"/>
        <v>-1.3125000000018261E-2</v>
      </c>
      <c r="AK424" s="32">
        <f t="shared" si="676"/>
        <v>15.016250000000028</v>
      </c>
      <c r="AL424" s="32">
        <f t="shared" si="676"/>
        <v>31.114375000000003</v>
      </c>
      <c r="AM424" s="32">
        <f t="shared" ref="AM424" si="677">AM423*(1-AM465)</f>
        <v>26.107499999999991</v>
      </c>
      <c r="AN424" s="32">
        <f t="shared" si="676"/>
        <v>34.813517921452451</v>
      </c>
      <c r="AO424" s="32">
        <f t="shared" si="676"/>
        <v>49.322948614854795</v>
      </c>
      <c r="AP424" s="32">
        <f t="shared" si="676"/>
        <v>106.69962863143299</v>
      </c>
      <c r="AQ424" s="32">
        <f t="shared" si="676"/>
        <v>106.68204186872491</v>
      </c>
      <c r="AR424" s="32">
        <f t="shared" si="676"/>
        <v>95.454004652549173</v>
      </c>
      <c r="AS424" s="32">
        <f t="shared" si="676"/>
        <v>88.472736759176698</v>
      </c>
      <c r="AT424" s="32">
        <f t="shared" si="676"/>
        <v>89.594940063805097</v>
      </c>
      <c r="AU424" s="32">
        <f t="shared" si="676"/>
        <v>82.87514839647163</v>
      </c>
      <c r="AV424" s="32">
        <f t="shared" si="676"/>
        <v>88.019963602900674</v>
      </c>
      <c r="AW424" s="32">
        <f t="shared" si="676"/>
        <v>100.25085160420916</v>
      </c>
      <c r="AX424" s="32">
        <f t="shared" si="676"/>
        <v>96.904907831493119</v>
      </c>
      <c r="AY424" s="32">
        <f t="shared" si="676"/>
        <v>85.560955011315514</v>
      </c>
      <c r="BG424" s="4">
        <v>418</v>
      </c>
      <c r="BH424"/>
      <c r="BI424"/>
      <c r="BJ424"/>
      <c r="BK424"/>
      <c r="BL424"/>
      <c r="BM424"/>
    </row>
    <row r="425" spans="1:65" s="3" customFormat="1" ht="11.25" outlineLevel="2">
      <c r="A425" s="6"/>
      <c r="B425" s="11" t="s">
        <v>43</v>
      </c>
      <c r="C425" s="25"/>
      <c r="D425" s="25"/>
      <c r="E425" s="25"/>
      <c r="F425" s="25">
        <f t="shared" ref="F425:N425" si="678">F424/F13</f>
        <v>0.20244763903794663</v>
      </c>
      <c r="G425" s="25">
        <f t="shared" si="678"/>
        <v>0.15334190083631288</v>
      </c>
      <c r="H425" s="25">
        <f t="shared" si="678"/>
        <v>0.14815781067570991</v>
      </c>
      <c r="I425" s="25">
        <f t="shared" si="678"/>
        <v>5.2013885453156695E-2</v>
      </c>
      <c r="J425" s="25">
        <f t="shared" si="678"/>
        <v>-6.824133245360392E-2</v>
      </c>
      <c r="K425" s="25">
        <f t="shared" si="678"/>
        <v>7.5250444105251627E-2</v>
      </c>
      <c r="L425" s="25">
        <f t="shared" si="678"/>
        <v>0.15167579149715626</v>
      </c>
      <c r="M425" s="25">
        <f t="shared" si="678"/>
        <v>0.1333995494378368</v>
      </c>
      <c r="N425" s="25">
        <f t="shared" si="678"/>
        <v>0.13737331233633029</v>
      </c>
      <c r="O425" s="5"/>
      <c r="P425" s="25"/>
      <c r="Q425" s="25"/>
      <c r="R425" s="25"/>
      <c r="S425" s="25"/>
      <c r="T425" s="25"/>
      <c r="U425" s="25"/>
      <c r="V425" s="25"/>
      <c r="W425" s="25"/>
      <c r="X425" s="25">
        <f t="shared" ref="X425:AY425" si="679">X424/X13</f>
        <v>0.14225101040239785</v>
      </c>
      <c r="Y425" s="25">
        <f t="shared" si="679"/>
        <v>0.15214431087895341</v>
      </c>
      <c r="Z425" s="25">
        <f t="shared" si="679"/>
        <v>0.16297435732665025</v>
      </c>
      <c r="AA425" s="25">
        <f t="shared" si="679"/>
        <v>0.13367264442157875</v>
      </c>
      <c r="AB425" s="25">
        <f t="shared" si="679"/>
        <v>0.11910220902849179</v>
      </c>
      <c r="AC425" s="25">
        <f t="shared" si="679"/>
        <v>4.9833840134102733E-2</v>
      </c>
      <c r="AD425" s="25">
        <f t="shared" si="679"/>
        <v>1.4243930973969027E-2</v>
      </c>
      <c r="AE425" s="25">
        <f t="shared" si="679"/>
        <v>-4.6449135209639426E-2</v>
      </c>
      <c r="AF425" s="25">
        <f t="shared" si="679"/>
        <v>-4.3827084106752449E-2</v>
      </c>
      <c r="AG425" s="25">
        <f t="shared" si="679"/>
        <v>-0.1474301744435399</v>
      </c>
      <c r="AH425" s="25">
        <f t="shared" si="679"/>
        <v>-6.7988313856427354E-2</v>
      </c>
      <c r="AI425" s="25">
        <f t="shared" si="679"/>
        <v>-2.9375191238943832E-2</v>
      </c>
      <c r="AJ425" s="25">
        <f t="shared" si="679"/>
        <v>-7.6050364172706821E-5</v>
      </c>
      <c r="AK425" s="25">
        <f t="shared" si="679"/>
        <v>6.4384974231003519E-2</v>
      </c>
      <c r="AL425" s="25">
        <f t="shared" si="679"/>
        <v>0.11110292804856275</v>
      </c>
      <c r="AM425" s="25">
        <f t="shared" si="679"/>
        <v>9.5305107762397007E-2</v>
      </c>
      <c r="AN425" s="25">
        <f t="shared" si="679"/>
        <v>0.12567449549598494</v>
      </c>
      <c r="AO425" s="25">
        <f t="shared" si="679"/>
        <v>0.16986369860071815</v>
      </c>
      <c r="AP425" s="25">
        <f t="shared" si="679"/>
        <v>0.15276049334548567</v>
      </c>
      <c r="AQ425" s="25">
        <f t="shared" si="679"/>
        <v>0.15334880483833771</v>
      </c>
      <c r="AR425" s="25">
        <f t="shared" si="679"/>
        <v>0.14183574770624724</v>
      </c>
      <c r="AS425" s="25">
        <f t="shared" si="679"/>
        <v>0.13238530685861533</v>
      </c>
      <c r="AT425" s="25">
        <f t="shared" si="679"/>
        <v>0.13352407661736979</v>
      </c>
      <c r="AU425" s="25">
        <f t="shared" si="679"/>
        <v>0.12569023251872202</v>
      </c>
      <c r="AV425" s="25">
        <f t="shared" si="679"/>
        <v>0.13262145329533701</v>
      </c>
      <c r="AW425" s="25">
        <f t="shared" si="679"/>
        <v>0.14541811899440618</v>
      </c>
      <c r="AX425" s="25">
        <f t="shared" si="679"/>
        <v>0.14183325301046146</v>
      </c>
      <c r="AY425" s="25">
        <f t="shared" si="679"/>
        <v>0.12916195593159349</v>
      </c>
      <c r="AZ425" s="5"/>
      <c r="BA425" s="5"/>
      <c r="BB425" s="5"/>
      <c r="BC425" s="5"/>
      <c r="BD425" s="5"/>
      <c r="BE425" s="5"/>
      <c r="BF425" s="5"/>
      <c r="BG425" s="4">
        <v>419</v>
      </c>
      <c r="BH425"/>
      <c r="BI425"/>
      <c r="BJ425"/>
      <c r="BK425"/>
      <c r="BL425"/>
      <c r="BM425"/>
    </row>
    <row r="426" spans="1:65" s="3" customFormat="1" ht="11.25" outlineLevel="2">
      <c r="A426" s="2"/>
      <c r="B426" s="31"/>
      <c r="C426" s="30"/>
      <c r="D426" s="30"/>
      <c r="E426" s="30"/>
      <c r="F426" s="30"/>
      <c r="G426" s="30"/>
      <c r="H426" s="30"/>
      <c r="I426" s="30"/>
      <c r="J426" s="30"/>
      <c r="K426" s="30"/>
      <c r="L426" s="30"/>
      <c r="M426" s="30"/>
      <c r="N426" s="30"/>
      <c r="O426" s="5"/>
      <c r="P426" s="30"/>
      <c r="Q426" s="30"/>
      <c r="R426" s="30"/>
      <c r="S426" s="30"/>
      <c r="T426" s="30"/>
      <c r="U426" s="30"/>
      <c r="V426" s="30"/>
      <c r="W426" s="30"/>
      <c r="X426" s="30"/>
      <c r="Y426" s="30"/>
      <c r="Z426" s="30"/>
      <c r="AA426" s="30"/>
      <c r="AB426" s="30"/>
      <c r="AC426" s="30"/>
      <c r="AD426" s="30"/>
      <c r="AE426" s="30"/>
      <c r="AF426" s="30"/>
      <c r="AG426" s="30"/>
      <c r="AH426" s="30"/>
      <c r="AI426" s="30"/>
      <c r="AJ426" s="30"/>
      <c r="AK426" s="30"/>
      <c r="AL426" s="30"/>
      <c r="AM426" s="30"/>
      <c r="AN426" s="30"/>
      <c r="AO426" s="30"/>
      <c r="AP426" s="30"/>
      <c r="AQ426" s="30"/>
      <c r="AR426" s="30"/>
      <c r="AS426" s="30"/>
      <c r="AT426" s="30"/>
      <c r="AU426" s="30"/>
      <c r="AV426" s="30"/>
      <c r="AW426" s="30"/>
      <c r="AX426" s="30"/>
      <c r="AY426" s="30"/>
      <c r="AZ426" s="5"/>
      <c r="BA426" s="5"/>
      <c r="BB426" s="5"/>
      <c r="BC426" s="5"/>
      <c r="BD426" s="5"/>
      <c r="BE426" s="5"/>
      <c r="BF426" s="5"/>
      <c r="BG426" s="4">
        <v>420</v>
      </c>
      <c r="BH426"/>
      <c r="BI426"/>
      <c r="BJ426"/>
      <c r="BK426"/>
      <c r="BL426"/>
      <c r="BM426"/>
    </row>
    <row r="427" spans="1:65" s="3" customFormat="1" ht="11.25" outlineLevel="2">
      <c r="A427" s="2"/>
      <c r="B427" s="11" t="s">
        <v>42</v>
      </c>
      <c r="G427" s="10">
        <f t="shared" ref="G427:N427" si="680">G37/AVERAGE(F421:G421)</f>
        <v>0.20421757483065345</v>
      </c>
      <c r="H427" s="10">
        <f t="shared" si="680"/>
        <v>0.14533678151425403</v>
      </c>
      <c r="I427" s="10">
        <f t="shared" si="680"/>
        <v>0.14806491540986802</v>
      </c>
      <c r="J427" s="10">
        <f t="shared" si="680"/>
        <v>0.18869679637108833</v>
      </c>
      <c r="K427" s="10">
        <f t="shared" si="680"/>
        <v>0.24617244901893803</v>
      </c>
      <c r="L427" s="10">
        <f t="shared" si="680"/>
        <v>0.18016720258962488</v>
      </c>
      <c r="M427" s="10">
        <f t="shared" si="680"/>
        <v>0.16989047736719362</v>
      </c>
      <c r="N427" s="10">
        <f t="shared" si="680"/>
        <v>0.17841467502034777</v>
      </c>
      <c r="P427" s="5"/>
      <c r="Q427" s="5"/>
      <c r="R427" s="5"/>
      <c r="S427" s="5"/>
      <c r="Y427" s="10">
        <f t="shared" ref="Y427:AY427" si="681">(Y37*4)/AVERAGE(X421:Y421)</f>
        <v>0.60102353645492912</v>
      </c>
      <c r="Z427" s="10">
        <f t="shared" si="681"/>
        <v>0.56695377215731635</v>
      </c>
      <c r="AA427" s="10">
        <f t="shared" si="681"/>
        <v>0.55816799051258847</v>
      </c>
      <c r="AB427" s="10">
        <f t="shared" si="681"/>
        <v>0.55385745971375411</v>
      </c>
      <c r="AC427" s="10">
        <f t="shared" si="681"/>
        <v>0.56943112188830824</v>
      </c>
      <c r="AD427" s="10">
        <f t="shared" si="681"/>
        <v>0.57590879683953677</v>
      </c>
      <c r="AE427" s="10">
        <f t="shared" si="681"/>
        <v>0.61546005075355925</v>
      </c>
      <c r="AF427" s="10">
        <f t="shared" si="681"/>
        <v>0.64309746035934878</v>
      </c>
      <c r="AG427" s="10">
        <f t="shared" si="681"/>
        <v>0.6708336035150424</v>
      </c>
      <c r="AH427" s="10">
        <f t="shared" si="681"/>
        <v>0.79721136662247249</v>
      </c>
      <c r="AI427" s="10">
        <f t="shared" si="681"/>
        <v>0.93590005309885471</v>
      </c>
      <c r="AJ427" s="10">
        <f t="shared" si="681"/>
        <v>1.0068661522208959</v>
      </c>
      <c r="AK427" s="10">
        <f t="shared" si="681"/>
        <v>1.0417945507402531</v>
      </c>
      <c r="AL427" s="10">
        <f t="shared" si="681"/>
        <v>1.0194168746362644</v>
      </c>
      <c r="AM427" s="10">
        <f t="shared" si="681"/>
        <v>0.99054608343554695</v>
      </c>
      <c r="AN427" s="10">
        <f t="shared" si="681"/>
        <v>0.96368258060016454</v>
      </c>
      <c r="AO427" s="10">
        <f t="shared" si="681"/>
        <v>0.36463980022564463</v>
      </c>
      <c r="AP427" s="10">
        <f t="shared" si="681"/>
        <v>0.64853053412538775</v>
      </c>
      <c r="AQ427" s="10">
        <f t="shared" si="681"/>
        <v>0.65808661076252151</v>
      </c>
      <c r="AR427" s="10">
        <f t="shared" si="681"/>
        <v>0.66645203244978868</v>
      </c>
      <c r="AS427" s="10">
        <f t="shared" si="681"/>
        <v>0.67535298737078131</v>
      </c>
      <c r="AT427" s="10">
        <f t="shared" si="681"/>
        <v>0.68418547349028414</v>
      </c>
      <c r="AU427" s="10">
        <f t="shared" si="681"/>
        <v>0.69306522534517301</v>
      </c>
      <c r="AV427" s="10">
        <f t="shared" si="681"/>
        <v>0.70116569126074391</v>
      </c>
      <c r="AW427" s="10">
        <f t="shared" si="681"/>
        <v>0.70728690266296168</v>
      </c>
      <c r="AX427" s="10">
        <f t="shared" si="681"/>
        <v>0.71476082677170327</v>
      </c>
      <c r="AY427" s="10">
        <f t="shared" si="681"/>
        <v>0.72486043249855869</v>
      </c>
      <c r="BG427" s="4">
        <v>421</v>
      </c>
      <c r="BH427"/>
      <c r="BI427"/>
      <c r="BJ427"/>
      <c r="BK427"/>
      <c r="BL427"/>
      <c r="BM427"/>
    </row>
    <row r="428" spans="1:65" s="3" customFormat="1" ht="11.25" outlineLevel="2">
      <c r="A428" s="2"/>
      <c r="B428" s="11" t="s">
        <v>41</v>
      </c>
      <c r="G428" s="10">
        <f t="shared" ref="G428:N428" si="682">G424/AVERAGE(F421:G421)</f>
        <v>0.18799731079761889</v>
      </c>
      <c r="H428" s="10">
        <f t="shared" si="682"/>
        <v>0.17566038799464906</v>
      </c>
      <c r="I428" s="10">
        <f t="shared" si="682"/>
        <v>3.8917758239615186E-2</v>
      </c>
      <c r="J428" s="10">
        <f t="shared" si="682"/>
        <v>-3.8310075518382225E-2</v>
      </c>
      <c r="K428" s="10">
        <f t="shared" si="682"/>
        <v>7.8449113435408599E-2</v>
      </c>
      <c r="L428" s="10">
        <f t="shared" si="682"/>
        <v>0.12086841572099195</v>
      </c>
      <c r="M428" s="10">
        <f t="shared" si="682"/>
        <v>9.1402951102607613E-2</v>
      </c>
      <c r="N428" s="10">
        <f t="shared" si="682"/>
        <v>9.8860168435624243E-2</v>
      </c>
      <c r="P428" s="5"/>
      <c r="Q428" s="5"/>
      <c r="R428" s="5"/>
      <c r="S428" s="5"/>
      <c r="Y428" s="10">
        <f t="shared" ref="Y428:AY428" si="683">(Y424*4)/AVERAGE(X421:Y421)</f>
        <v>0.17741330593031121</v>
      </c>
      <c r="Z428" s="10">
        <f t="shared" si="683"/>
        <v>0.20675066788269725</v>
      </c>
      <c r="AA428" s="10">
        <f t="shared" si="683"/>
        <v>0.15802605696373592</v>
      </c>
      <c r="AB428" s="10">
        <f t="shared" si="683"/>
        <v>0.11956327657443813</v>
      </c>
      <c r="AC428" s="10">
        <f t="shared" si="683"/>
        <v>3.7655464555383066E-2</v>
      </c>
      <c r="AD428" s="10">
        <f t="shared" si="683"/>
        <v>8.6878841924660881E-3</v>
      </c>
      <c r="AE428" s="10">
        <f t="shared" si="683"/>
        <v>-2.3897063203669515E-2</v>
      </c>
      <c r="AF428" s="10">
        <f t="shared" si="683"/>
        <v>-2.5393916912099693E-2</v>
      </c>
      <c r="AG428" s="10">
        <f t="shared" si="683"/>
        <v>-6.9901411775080816E-2</v>
      </c>
      <c r="AH428" s="10">
        <f t="shared" si="683"/>
        <v>-3.9782961571629132E-2</v>
      </c>
      <c r="AI428" s="10">
        <f t="shared" si="683"/>
        <v>-1.817191373224428E-2</v>
      </c>
      <c r="AJ428" s="10">
        <f t="shared" si="683"/>
        <v>-5.9064884744803742E-5</v>
      </c>
      <c r="AK428" s="10">
        <f t="shared" si="683"/>
        <v>6.8558038348671926E-2</v>
      </c>
      <c r="AL428" s="10">
        <f t="shared" si="683"/>
        <v>0.14009946518887242</v>
      </c>
      <c r="AM428" s="10">
        <f t="shared" si="683"/>
        <v>0.11330378227185853</v>
      </c>
      <c r="AN428" s="10">
        <f t="shared" si="683"/>
        <v>0.14638526921884806</v>
      </c>
      <c r="AO428" s="10">
        <f t="shared" si="683"/>
        <v>7.827880300150053E-2</v>
      </c>
      <c r="AP428" s="10">
        <f t="shared" si="683"/>
        <v>0.10537647312364133</v>
      </c>
      <c r="AQ428" s="10">
        <f t="shared" si="683"/>
        <v>0.10664512109988496</v>
      </c>
      <c r="AR428" s="10">
        <f t="shared" si="683"/>
        <v>9.6393252815089397E-2</v>
      </c>
      <c r="AS428" s="10">
        <f t="shared" si="683"/>
        <v>9.0311039293814482E-2</v>
      </c>
      <c r="AT428" s="10">
        <f t="shared" si="683"/>
        <v>9.2421891602695982E-2</v>
      </c>
      <c r="AU428" s="10">
        <f t="shared" si="683"/>
        <v>8.6383921555570689E-2</v>
      </c>
      <c r="AV428" s="10">
        <f t="shared" si="683"/>
        <v>9.2587700396717765E-2</v>
      </c>
      <c r="AW428" s="10">
        <f t="shared" si="683"/>
        <v>0.10610897260234194</v>
      </c>
      <c r="AX428" s="10">
        <f t="shared" si="683"/>
        <v>0.10339318306850884</v>
      </c>
      <c r="AY428" s="10">
        <f t="shared" si="683"/>
        <v>9.2349037863579786E-2</v>
      </c>
      <c r="BG428" s="4">
        <v>422</v>
      </c>
      <c r="BH428"/>
      <c r="BI428"/>
      <c r="BJ428"/>
      <c r="BK428"/>
      <c r="BL428"/>
      <c r="BM428"/>
    </row>
    <row r="429" spans="1:65" s="3" customFormat="1" ht="11.25" outlineLevel="2">
      <c r="A429" s="2"/>
      <c r="B429" s="11" t="s">
        <v>40</v>
      </c>
      <c r="C429" s="10"/>
      <c r="D429" s="10">
        <f t="shared" ref="D429:N429" si="684">D30/AVERAGE(C311:D311)</f>
        <v>-0.73630855180397947</v>
      </c>
      <c r="E429" s="10">
        <f t="shared" si="684"/>
        <v>-0.40239755120208054</v>
      </c>
      <c r="F429" s="10">
        <f t="shared" si="684"/>
        <v>-0.40601162915363076</v>
      </c>
      <c r="G429" s="10">
        <f t="shared" si="684"/>
        <v>-0.55607022233286796</v>
      </c>
      <c r="H429" s="10">
        <f t="shared" si="684"/>
        <v>-2.5959363057417555</v>
      </c>
      <c r="I429" s="10">
        <f t="shared" si="684"/>
        <v>-0.65628100813653667</v>
      </c>
      <c r="J429" s="10">
        <f t="shared" si="684"/>
        <v>-0.67986261464144437</v>
      </c>
      <c r="K429" s="10">
        <f t="shared" si="684"/>
        <v>0.22000635759084089</v>
      </c>
      <c r="L429" s="10">
        <f t="shared" si="684"/>
        <v>0.17715586451989146</v>
      </c>
      <c r="M429" s="10">
        <f t="shared" si="684"/>
        <v>8.9350105370485683E-2</v>
      </c>
      <c r="N429" s="10">
        <f t="shared" si="684"/>
        <v>8.6476853163291109E-2</v>
      </c>
      <c r="P429" s="5"/>
      <c r="Q429" s="5"/>
      <c r="R429" s="5"/>
      <c r="S429" s="5"/>
      <c r="Y429" s="10">
        <f t="shared" ref="Y429:AY429" si="685">(Y30*4)/AVERAGE(X311:Y311)</f>
        <v>-1.654887058017674</v>
      </c>
      <c r="Z429" s="10">
        <f t="shared" si="685"/>
        <v>-4.2198853470624735</v>
      </c>
      <c r="AA429" s="10">
        <f t="shared" si="685"/>
        <v>51.235516372796752</v>
      </c>
      <c r="AB429" s="10">
        <f t="shared" si="685"/>
        <v>2.7714244143750921</v>
      </c>
      <c r="AC429" s="10">
        <f t="shared" si="685"/>
        <v>0.17178734628673506</v>
      </c>
      <c r="AD429" s="10">
        <f t="shared" si="685"/>
        <v>-0.55222876207265792</v>
      </c>
      <c r="AE429" s="10">
        <f t="shared" si="685"/>
        <v>4.1692611269458517</v>
      </c>
      <c r="AF429" s="10">
        <f t="shared" si="685"/>
        <v>0.6941737875929419</v>
      </c>
      <c r="AG429" s="10">
        <f t="shared" si="685"/>
        <v>0.60844280240831949</v>
      </c>
      <c r="AH429" s="10">
        <f t="shared" si="685"/>
        <v>0.65565836626989182</v>
      </c>
      <c r="AI429" s="10">
        <f t="shared" si="685"/>
        <v>-0.70062513690666828</v>
      </c>
      <c r="AJ429" s="10">
        <f t="shared" si="685"/>
        <v>-0.18766219832629596</v>
      </c>
      <c r="AK429" s="10">
        <f t="shared" si="685"/>
        <v>0.16783440701404764</v>
      </c>
      <c r="AL429" s="10">
        <f t="shared" si="685"/>
        <v>0.50617252655327127</v>
      </c>
      <c r="AM429" s="10">
        <f t="shared" si="685"/>
        <v>0.37655043104988989</v>
      </c>
      <c r="AN429" s="10">
        <f t="shared" si="685"/>
        <v>0.3509121613908896</v>
      </c>
      <c r="AO429" s="10">
        <f t="shared" si="685"/>
        <v>0.1249740418363756</v>
      </c>
      <c r="AP429" s="10">
        <f t="shared" si="685"/>
        <v>0.1521891560149729</v>
      </c>
      <c r="AQ429" s="10">
        <f t="shared" si="685"/>
        <v>0.14658257953162893</v>
      </c>
      <c r="AR429" s="10">
        <f t="shared" si="685"/>
        <v>0.10118575551564395</v>
      </c>
      <c r="AS429" s="10">
        <f t="shared" si="685"/>
        <v>8.9296158626386762E-2</v>
      </c>
      <c r="AT429" s="10">
        <f t="shared" si="685"/>
        <v>8.8885173320319338E-2</v>
      </c>
      <c r="AU429" s="10">
        <f t="shared" si="685"/>
        <v>7.8328609572226884E-2</v>
      </c>
      <c r="AV429" s="10">
        <f t="shared" si="685"/>
        <v>8.3405570038428467E-2</v>
      </c>
      <c r="AW429" s="10">
        <f t="shared" si="685"/>
        <v>9.6864352198444581E-2</v>
      </c>
      <c r="AX429" s="10">
        <f t="shared" si="685"/>
        <v>9.0591886184973922E-2</v>
      </c>
      <c r="AY429" s="10">
        <f t="shared" si="685"/>
        <v>7.5283687235849731E-2</v>
      </c>
      <c r="BG429" s="4">
        <v>423</v>
      </c>
      <c r="BH429"/>
      <c r="BI429"/>
      <c r="BJ429"/>
      <c r="BK429"/>
      <c r="BL429"/>
      <c r="BM429"/>
    </row>
    <row r="430" spans="1:65" s="3" customFormat="1" ht="11.25" outlineLevel="2">
      <c r="A430" s="2"/>
      <c r="B430" s="11" t="s">
        <v>39</v>
      </c>
      <c r="C430" s="10"/>
      <c r="D430" s="10">
        <f t="shared" ref="D430:N430" si="686">D32/AVERAGE(C311:D311)</f>
        <v>-0.64323018565288947</v>
      </c>
      <c r="E430" s="10">
        <f t="shared" si="686"/>
        <v>-0.36926031194958953</v>
      </c>
      <c r="F430" s="10">
        <f t="shared" si="686"/>
        <v>-0.40207565080132374</v>
      </c>
      <c r="G430" s="10">
        <f t="shared" si="686"/>
        <v>-0.45406045200331041</v>
      </c>
      <c r="H430" s="10">
        <f t="shared" si="686"/>
        <v>-2.4811266665211029</v>
      </c>
      <c r="I430" s="10">
        <f t="shared" si="686"/>
        <v>6.0947939405966602</v>
      </c>
      <c r="J430" s="10">
        <f t="shared" si="686"/>
        <v>-1.4770190327185764</v>
      </c>
      <c r="K430" s="10">
        <f t="shared" si="686"/>
        <v>0.18840886840137244</v>
      </c>
      <c r="L430" s="10">
        <f t="shared" si="686"/>
        <v>0.17715586451989146</v>
      </c>
      <c r="M430" s="10">
        <f t="shared" si="686"/>
        <v>8.9350105370485683E-2</v>
      </c>
      <c r="N430" s="10">
        <f t="shared" si="686"/>
        <v>8.6476853163291109E-2</v>
      </c>
      <c r="P430" s="5"/>
      <c r="Q430" s="5"/>
      <c r="R430" s="5"/>
      <c r="S430" s="5"/>
      <c r="Y430" s="10">
        <f t="shared" ref="Y430:AY430" si="687">(Y32*4)/AVERAGE(X311:Y311)</f>
        <v>-1.6045183112998624</v>
      </c>
      <c r="Z430" s="10">
        <f t="shared" si="687"/>
        <v>-3.9490999379267522</v>
      </c>
      <c r="AA430" s="10">
        <f t="shared" si="687"/>
        <v>47.749370277078818</v>
      </c>
      <c r="AB430" s="10">
        <f t="shared" si="687"/>
        <v>2.7540543262935246</v>
      </c>
      <c r="AC430" s="10">
        <f t="shared" si="687"/>
        <v>0.84033138908496707</v>
      </c>
      <c r="AD430" s="10">
        <f t="shared" si="687"/>
        <v>-3.5030851033580697</v>
      </c>
      <c r="AE430" s="10">
        <f t="shared" si="687"/>
        <v>22.759670498324336</v>
      </c>
      <c r="AF430" s="10">
        <f t="shared" si="687"/>
        <v>0.69698516627825247</v>
      </c>
      <c r="AG430" s="10">
        <f t="shared" si="687"/>
        <v>3.0064997263273132</v>
      </c>
      <c r="AH430" s="10">
        <f t="shared" si="687"/>
        <v>0.95064701612066926</v>
      </c>
      <c r="AI430" s="10">
        <f t="shared" si="687"/>
        <v>-0.67080054594166583</v>
      </c>
      <c r="AJ430" s="10">
        <f t="shared" si="687"/>
        <v>-0.18766219832629596</v>
      </c>
      <c r="AK430" s="10">
        <f t="shared" si="687"/>
        <v>0.16783440701404764</v>
      </c>
      <c r="AL430" s="10">
        <f t="shared" si="687"/>
        <v>0.50617252655327127</v>
      </c>
      <c r="AM430" s="10">
        <f t="shared" si="687"/>
        <v>0.25929933677133382</v>
      </c>
      <c r="AN430" s="10">
        <f t="shared" si="687"/>
        <v>0.3509121613908896</v>
      </c>
      <c r="AO430" s="10">
        <f t="shared" si="687"/>
        <v>0.1249740418363756</v>
      </c>
      <c r="AP430" s="10">
        <f t="shared" si="687"/>
        <v>0.1521891560149729</v>
      </c>
      <c r="AQ430" s="10">
        <f t="shared" si="687"/>
        <v>0.14658257953162893</v>
      </c>
      <c r="AR430" s="10">
        <f t="shared" si="687"/>
        <v>0.10118575551564395</v>
      </c>
      <c r="AS430" s="10">
        <f t="shared" si="687"/>
        <v>8.9296158626386762E-2</v>
      </c>
      <c r="AT430" s="10">
        <f t="shared" si="687"/>
        <v>8.8885173320319338E-2</v>
      </c>
      <c r="AU430" s="10">
        <f t="shared" si="687"/>
        <v>7.8328609572226884E-2</v>
      </c>
      <c r="AV430" s="10">
        <f t="shared" si="687"/>
        <v>8.3405570038428467E-2</v>
      </c>
      <c r="AW430" s="10">
        <f t="shared" si="687"/>
        <v>9.6864352198444581E-2</v>
      </c>
      <c r="AX430" s="10">
        <f t="shared" si="687"/>
        <v>9.0591886184973922E-2</v>
      </c>
      <c r="AY430" s="10">
        <f t="shared" si="687"/>
        <v>7.5283687235849731E-2</v>
      </c>
      <c r="BG430" s="4">
        <v>424</v>
      </c>
      <c r="BH430"/>
      <c r="BI430"/>
      <c r="BJ430"/>
      <c r="BK430"/>
      <c r="BL430"/>
      <c r="BM430"/>
    </row>
    <row r="431" spans="1:65" s="3" customFormat="1" ht="11.25" outlineLevel="2">
      <c r="A431" s="6"/>
      <c r="B431" s="11"/>
      <c r="C431" s="7"/>
      <c r="D431" s="7"/>
      <c r="E431" s="7"/>
      <c r="F431" s="7"/>
      <c r="G431" s="7"/>
      <c r="H431" s="7"/>
      <c r="I431" s="7"/>
      <c r="J431" s="7"/>
      <c r="K431" s="7"/>
      <c r="L431" s="7"/>
      <c r="M431" s="7"/>
      <c r="N431" s="7"/>
      <c r="O431" s="5"/>
      <c r="P431" s="7"/>
      <c r="Q431" s="7"/>
      <c r="R431" s="7"/>
      <c r="S431" s="7"/>
      <c r="T431" s="7"/>
      <c r="U431" s="7"/>
      <c r="V431" s="7"/>
      <c r="W431" s="7"/>
      <c r="X431" s="7"/>
      <c r="Y431" s="7"/>
      <c r="Z431" s="7"/>
      <c r="AA431" s="7"/>
      <c r="AB431" s="7"/>
      <c r="AC431" s="7"/>
      <c r="AD431" s="7"/>
      <c r="AE431" s="7"/>
      <c r="AF431" s="7"/>
      <c r="AG431" s="7"/>
      <c r="AH431" s="7"/>
      <c r="AI431" s="7"/>
      <c r="AJ431" s="7"/>
      <c r="AK431" s="7"/>
      <c r="AL431" s="7"/>
      <c r="AM431" s="7"/>
      <c r="AN431" s="5"/>
      <c r="AO431" s="5"/>
      <c r="AP431" s="5"/>
      <c r="AQ431" s="5"/>
      <c r="AR431" s="5"/>
      <c r="AS431" s="5"/>
      <c r="AT431" s="5"/>
      <c r="AU431" s="5"/>
      <c r="AV431" s="5"/>
      <c r="AW431" s="5"/>
      <c r="AX431" s="5"/>
      <c r="AY431" s="5"/>
      <c r="AZ431" s="5"/>
      <c r="BA431" s="5"/>
      <c r="BB431" s="5"/>
      <c r="BC431" s="5"/>
      <c r="BD431" s="5"/>
      <c r="BE431" s="5"/>
      <c r="BF431" s="5"/>
      <c r="BG431" s="4">
        <v>425</v>
      </c>
      <c r="BH431"/>
      <c r="BI431"/>
      <c r="BJ431"/>
      <c r="BK431"/>
      <c r="BL431"/>
      <c r="BM431"/>
    </row>
    <row r="432" spans="1:65" s="3" customFormat="1" ht="12.75" customHeight="1" outlineLevel="1">
      <c r="A432" s="2" t="s">
        <v>0</v>
      </c>
      <c r="B432" s="29" t="s">
        <v>38</v>
      </c>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4">
        <v>426</v>
      </c>
      <c r="BH432"/>
      <c r="BI432"/>
      <c r="BJ432"/>
      <c r="BK432"/>
      <c r="BL432"/>
      <c r="BM432"/>
    </row>
    <row r="433" spans="1:65" s="3" customFormat="1" ht="12.75" customHeight="1" outlineLevel="2">
      <c r="A433" s="6"/>
      <c r="B433" s="11" t="s">
        <v>37</v>
      </c>
      <c r="C433" s="12"/>
      <c r="D433" s="12"/>
      <c r="E433" s="12"/>
      <c r="F433" s="12">
        <f t="shared" ref="F433:N435" si="688">INDEX($P433:$AZ433,1,MATCH(F$5,$P$5:$AZ$5,0))</f>
        <v>0</v>
      </c>
      <c r="G433" s="12">
        <f t="shared" si="688"/>
        <v>961.67600000000004</v>
      </c>
      <c r="H433" s="12">
        <f t="shared" si="688"/>
        <v>1106.2750000000001</v>
      </c>
      <c r="I433" s="12">
        <f t="shared" si="688"/>
        <v>1194.1379999999999</v>
      </c>
      <c r="J433" s="12">
        <f t="shared" si="688"/>
        <v>1108.271</v>
      </c>
      <c r="K433" s="12">
        <f t="shared" si="688"/>
        <v>1231.124</v>
      </c>
      <c r="L433" s="12">
        <f t="shared" si="688"/>
        <v>3982.3239999999996</v>
      </c>
      <c r="M433" s="12">
        <f t="shared" si="688"/>
        <v>4087.1239999999989</v>
      </c>
      <c r="N433" s="12">
        <f t="shared" si="688"/>
        <v>4191.9239999999982</v>
      </c>
      <c r="O433" s="5"/>
      <c r="P433" s="7"/>
      <c r="Q433" s="7"/>
      <c r="R433" s="7"/>
      <c r="S433" s="7"/>
      <c r="T433" s="7"/>
      <c r="U433" s="7"/>
      <c r="V433" s="7"/>
      <c r="W433" s="23">
        <v>961.67600000000004</v>
      </c>
      <c r="X433" s="27">
        <v>991.524</v>
      </c>
      <c r="Y433" s="27">
        <v>1023.297</v>
      </c>
      <c r="Z433" s="27">
        <v>1048.636</v>
      </c>
      <c r="AA433" s="27">
        <v>1106.2750000000001</v>
      </c>
      <c r="AB433" s="27">
        <v>1104.1010000000001</v>
      </c>
      <c r="AC433" s="27">
        <v>1167.0219999999999</v>
      </c>
      <c r="AD433" s="27">
        <v>1181.154</v>
      </c>
      <c r="AE433" s="27">
        <v>1194.1379999999999</v>
      </c>
      <c r="AF433" s="27">
        <v>1201.4349999999999</v>
      </c>
      <c r="AG433" s="27">
        <v>1104.558</v>
      </c>
      <c r="AH433" s="27">
        <v>1107.367</v>
      </c>
      <c r="AI433" s="27">
        <v>1108.271</v>
      </c>
      <c r="AJ433" s="27">
        <v>1120.498</v>
      </c>
      <c r="AK433" s="27">
        <v>1131.8610000000001</v>
      </c>
      <c r="AL433" s="27">
        <v>1200.0060000000001</v>
      </c>
      <c r="AM433" s="27">
        <v>1231.124</v>
      </c>
      <c r="AN433" s="7">
        <f>AM433+AN441</f>
        <v>1266.124</v>
      </c>
      <c r="AO433" s="28">
        <f>AN433+AO441+AO456</f>
        <v>3946.1239999999998</v>
      </c>
      <c r="AP433" s="7">
        <f t="shared" ref="AP433:AY433" si="689">AO433+AP441</f>
        <v>3956.1239999999998</v>
      </c>
      <c r="AQ433" s="7">
        <f t="shared" si="689"/>
        <v>3982.3239999999996</v>
      </c>
      <c r="AR433" s="7">
        <f t="shared" si="689"/>
        <v>4008.5239999999994</v>
      </c>
      <c r="AS433" s="7">
        <f t="shared" si="689"/>
        <v>4034.7239999999993</v>
      </c>
      <c r="AT433" s="7">
        <f t="shared" si="689"/>
        <v>4060.9239999999991</v>
      </c>
      <c r="AU433" s="7">
        <f t="shared" si="689"/>
        <v>4087.1239999999989</v>
      </c>
      <c r="AV433" s="7">
        <f t="shared" si="689"/>
        <v>4113.3239999999987</v>
      </c>
      <c r="AW433" s="7">
        <f t="shared" si="689"/>
        <v>4139.5239999999985</v>
      </c>
      <c r="AX433" s="7">
        <f t="shared" si="689"/>
        <v>4165.7239999999983</v>
      </c>
      <c r="AY433" s="7">
        <f t="shared" si="689"/>
        <v>4191.9239999999982</v>
      </c>
      <c r="AZ433" s="5"/>
      <c r="BA433" s="5"/>
      <c r="BB433" s="5"/>
      <c r="BC433" s="5"/>
      <c r="BD433" s="5"/>
      <c r="BE433" s="5"/>
      <c r="BF433" s="5"/>
      <c r="BG433" s="4">
        <v>427</v>
      </c>
      <c r="BH433"/>
      <c r="BI433"/>
      <c r="BJ433"/>
      <c r="BK433"/>
      <c r="BL433"/>
      <c r="BM433"/>
    </row>
    <row r="434" spans="1:65" s="3" customFormat="1" ht="12.75" customHeight="1" outlineLevel="2">
      <c r="A434" s="6"/>
      <c r="B434" s="11" t="s">
        <v>36</v>
      </c>
      <c r="C434" s="12"/>
      <c r="D434" s="12"/>
      <c r="E434" s="12"/>
      <c r="F434" s="12">
        <f t="shared" si="688"/>
        <v>0</v>
      </c>
      <c r="G434" s="12">
        <f t="shared" si="688"/>
        <v>212.83799999999999</v>
      </c>
      <c r="H434" s="12">
        <f t="shared" si="688"/>
        <v>265.00099999999998</v>
      </c>
      <c r="I434" s="12">
        <f t="shared" si="688"/>
        <v>323.14100000000002</v>
      </c>
      <c r="J434" s="12">
        <f t="shared" si="688"/>
        <v>380.536</v>
      </c>
      <c r="K434" s="12">
        <f t="shared" si="688"/>
        <v>445.61099999999999</v>
      </c>
      <c r="L434" s="12">
        <f t="shared" si="688"/>
        <v>602.28149566283082</v>
      </c>
      <c r="M434" s="12">
        <f t="shared" si="688"/>
        <v>838.91440445942658</v>
      </c>
      <c r="N434" s="12">
        <f t="shared" si="688"/>
        <v>1065.9344703692907</v>
      </c>
      <c r="O434" s="5"/>
      <c r="P434" s="7"/>
      <c r="Q434" s="7"/>
      <c r="R434" s="7"/>
      <c r="S434" s="7"/>
      <c r="T434" s="7"/>
      <c r="U434" s="7"/>
      <c r="V434" s="7"/>
      <c r="W434" s="23">
        <v>212.83799999999999</v>
      </c>
      <c r="X434" s="27">
        <v>224.453</v>
      </c>
      <c r="Y434" s="27">
        <v>236.797</v>
      </c>
      <c r="Z434" s="27">
        <v>250.18299999999999</v>
      </c>
      <c r="AA434" s="27">
        <v>265.00099999999998</v>
      </c>
      <c r="AB434" s="27">
        <v>244.17099999999999</v>
      </c>
      <c r="AC434" s="27">
        <v>301.238</v>
      </c>
      <c r="AD434" s="27">
        <v>309.91300000000001</v>
      </c>
      <c r="AE434" s="27">
        <v>323.14100000000002</v>
      </c>
      <c r="AF434" s="27">
        <v>339.21100000000001</v>
      </c>
      <c r="AG434" s="27">
        <v>347.875</v>
      </c>
      <c r="AH434" s="27">
        <v>363.36799999999999</v>
      </c>
      <c r="AI434" s="27">
        <v>380.536</v>
      </c>
      <c r="AJ434" s="27">
        <v>398.03699999999998</v>
      </c>
      <c r="AK434" s="27">
        <v>415.49900000000002</v>
      </c>
      <c r="AL434" s="27">
        <v>432.59800000000001</v>
      </c>
      <c r="AM434" s="27">
        <v>445.61099999999999</v>
      </c>
      <c r="AN434" s="7">
        <f t="shared" ref="AN434:AY434" si="690">AM434+AN437</f>
        <v>462.4813457065863</v>
      </c>
      <c r="AO434" s="7">
        <f t="shared" si="690"/>
        <v>479.81666943764327</v>
      </c>
      <c r="AP434" s="7">
        <f t="shared" si="690"/>
        <v>541.53393188568748</v>
      </c>
      <c r="AQ434" s="7">
        <f t="shared" si="690"/>
        <v>602.28149566283082</v>
      </c>
      <c r="AR434" s="7">
        <f t="shared" si="690"/>
        <v>662.38129261915276</v>
      </c>
      <c r="AS434" s="7">
        <f t="shared" si="690"/>
        <v>721.84546838254369</v>
      </c>
      <c r="AT434" s="7">
        <f t="shared" si="690"/>
        <v>780.68594085037103</v>
      </c>
      <c r="AU434" s="7">
        <f t="shared" si="690"/>
        <v>838.91440445942658</v>
      </c>
      <c r="AV434" s="7">
        <f t="shared" si="690"/>
        <v>896.54233437581229</v>
      </c>
      <c r="AW434" s="7">
        <f t="shared" si="690"/>
        <v>953.5809906062658</v>
      </c>
      <c r="AX434" s="7">
        <f t="shared" si="690"/>
        <v>1010.0414220323983</v>
      </c>
      <c r="AY434" s="7">
        <f t="shared" si="690"/>
        <v>1065.9344703692907</v>
      </c>
      <c r="AZ434" s="5"/>
      <c r="BA434" s="5"/>
      <c r="BB434" s="5"/>
      <c r="BC434" s="5"/>
      <c r="BD434" s="5"/>
      <c r="BE434" s="5"/>
      <c r="BF434" s="5"/>
      <c r="BG434" s="4">
        <v>428</v>
      </c>
      <c r="BH434"/>
      <c r="BI434"/>
      <c r="BJ434"/>
      <c r="BK434"/>
      <c r="BL434"/>
      <c r="BM434"/>
    </row>
    <row r="435" spans="1:65" s="3" customFormat="1" ht="12.75" customHeight="1" outlineLevel="2">
      <c r="A435" s="6"/>
      <c r="B435" s="11" t="s">
        <v>35</v>
      </c>
      <c r="C435" s="12"/>
      <c r="D435" s="12"/>
      <c r="E435" s="12"/>
      <c r="F435" s="12">
        <f t="shared" si="688"/>
        <v>0</v>
      </c>
      <c r="G435" s="12">
        <f t="shared" si="688"/>
        <v>748.83800000000008</v>
      </c>
      <c r="H435" s="12">
        <f t="shared" si="688"/>
        <v>841.27400000000011</v>
      </c>
      <c r="I435" s="12">
        <f t="shared" si="688"/>
        <v>870.99699999999984</v>
      </c>
      <c r="J435" s="12">
        <f t="shared" si="688"/>
        <v>727.7349999999999</v>
      </c>
      <c r="K435" s="12">
        <f t="shared" si="688"/>
        <v>785.51300000000003</v>
      </c>
      <c r="L435" s="12">
        <f t="shared" si="688"/>
        <v>3380.0425043371688</v>
      </c>
      <c r="M435" s="12">
        <f t="shared" si="688"/>
        <v>3248.2095955405721</v>
      </c>
      <c r="N435" s="12">
        <f t="shared" si="688"/>
        <v>3125.9895296307077</v>
      </c>
      <c r="O435" s="5"/>
      <c r="P435" s="7"/>
      <c r="Q435" s="7"/>
      <c r="R435" s="7"/>
      <c r="S435" s="7"/>
      <c r="T435" s="7"/>
      <c r="U435" s="7"/>
      <c r="V435" s="7"/>
      <c r="W435" s="26">
        <f>W433-W434</f>
        <v>748.83800000000008</v>
      </c>
      <c r="X435" s="26">
        <f>X433-X434</f>
        <v>767.07100000000003</v>
      </c>
      <c r="Y435" s="26">
        <f>Y291</f>
        <v>786.5</v>
      </c>
      <c r="Z435" s="26">
        <f t="shared" ref="Z435:AY435" si="691">Z433-Z434</f>
        <v>798.45299999999997</v>
      </c>
      <c r="AA435" s="26">
        <f t="shared" si="691"/>
        <v>841.27400000000011</v>
      </c>
      <c r="AB435" s="26">
        <f t="shared" si="691"/>
        <v>859.93000000000006</v>
      </c>
      <c r="AC435" s="26">
        <f t="shared" si="691"/>
        <v>865.78399999999988</v>
      </c>
      <c r="AD435" s="26">
        <f t="shared" si="691"/>
        <v>871.24099999999999</v>
      </c>
      <c r="AE435" s="26">
        <f t="shared" si="691"/>
        <v>870.99699999999984</v>
      </c>
      <c r="AF435" s="26">
        <f t="shared" si="691"/>
        <v>862.22399999999993</v>
      </c>
      <c r="AG435" s="26">
        <f t="shared" si="691"/>
        <v>756.68299999999999</v>
      </c>
      <c r="AH435" s="26">
        <f t="shared" si="691"/>
        <v>743.99900000000002</v>
      </c>
      <c r="AI435" s="26">
        <f t="shared" si="691"/>
        <v>727.7349999999999</v>
      </c>
      <c r="AJ435" s="26">
        <f t="shared" si="691"/>
        <v>722.46100000000001</v>
      </c>
      <c r="AK435" s="26">
        <f t="shared" si="691"/>
        <v>716.36200000000008</v>
      </c>
      <c r="AL435" s="26">
        <f t="shared" si="691"/>
        <v>767.40800000000013</v>
      </c>
      <c r="AM435" s="26">
        <f t="shared" ref="AM435" si="692">AM433-AM434</f>
        <v>785.51300000000003</v>
      </c>
      <c r="AN435" s="26">
        <f t="shared" si="691"/>
        <v>803.64265429341367</v>
      </c>
      <c r="AO435" s="26">
        <f t="shared" si="691"/>
        <v>3466.3073305623566</v>
      </c>
      <c r="AP435" s="26">
        <f t="shared" si="691"/>
        <v>3414.5900681143121</v>
      </c>
      <c r="AQ435" s="26">
        <f t="shared" si="691"/>
        <v>3380.0425043371688</v>
      </c>
      <c r="AR435" s="26">
        <f t="shared" si="691"/>
        <v>3346.1427073808468</v>
      </c>
      <c r="AS435" s="26">
        <f t="shared" si="691"/>
        <v>3312.8785316174553</v>
      </c>
      <c r="AT435" s="26">
        <f t="shared" si="691"/>
        <v>3280.238059149628</v>
      </c>
      <c r="AU435" s="26">
        <f t="shared" si="691"/>
        <v>3248.2095955405721</v>
      </c>
      <c r="AV435" s="26">
        <f t="shared" si="691"/>
        <v>3216.7816656241866</v>
      </c>
      <c r="AW435" s="26">
        <f t="shared" si="691"/>
        <v>3185.9430093937326</v>
      </c>
      <c r="AX435" s="26">
        <f t="shared" si="691"/>
        <v>3155.6825779676001</v>
      </c>
      <c r="AY435" s="26">
        <f t="shared" si="691"/>
        <v>3125.9895296307077</v>
      </c>
      <c r="AZ435" s="5"/>
      <c r="BA435" s="5"/>
      <c r="BB435" s="5"/>
      <c r="BC435" s="5"/>
      <c r="BD435" s="5"/>
      <c r="BE435" s="5"/>
      <c r="BF435" s="5"/>
      <c r="BG435" s="4">
        <v>429</v>
      </c>
      <c r="BH435"/>
      <c r="BI435"/>
      <c r="BJ435"/>
      <c r="BK435"/>
      <c r="BL435"/>
      <c r="BM435"/>
    </row>
    <row r="436" spans="1:65" s="3" customFormat="1" ht="12.75" customHeight="1" outlineLevel="2">
      <c r="A436" s="6"/>
      <c r="B436" s="11" t="s">
        <v>34</v>
      </c>
      <c r="C436" s="7">
        <f t="shared" ref="C436:N436" si="693">-C21</f>
        <v>19.062000000000001</v>
      </c>
      <c r="D436" s="7">
        <f t="shared" si="693"/>
        <v>24.331</v>
      </c>
      <c r="E436" s="7">
        <f t="shared" si="693"/>
        <v>21.622</v>
      </c>
      <c r="F436" s="7">
        <f t="shared" si="693"/>
        <v>27.69</v>
      </c>
      <c r="G436" s="7">
        <f t="shared" si="693"/>
        <v>37.771000000000001</v>
      </c>
      <c r="H436" s="7">
        <f t="shared" si="693"/>
        <v>59.379000000000005</v>
      </c>
      <c r="I436" s="7">
        <f t="shared" si="693"/>
        <v>66.753999999999991</v>
      </c>
      <c r="J436" s="7">
        <f t="shared" si="693"/>
        <v>72.275999999999996</v>
      </c>
      <c r="K436" s="7">
        <f t="shared" si="693"/>
        <v>79.143999999999991</v>
      </c>
      <c r="L436" s="7">
        <f t="shared" si="693"/>
        <v>169.77449566283082</v>
      </c>
      <c r="M436" s="7">
        <f t="shared" si="693"/>
        <v>249.73690879659557</v>
      </c>
      <c r="N436" s="7">
        <f t="shared" si="693"/>
        <v>240.12406590986421</v>
      </c>
      <c r="O436" s="5"/>
      <c r="P436" s="7"/>
      <c r="Q436" s="7"/>
      <c r="R436" s="7"/>
      <c r="S436" s="7"/>
      <c r="T436" s="7"/>
      <c r="U436" s="7"/>
      <c r="V436" s="7"/>
      <c r="W436" s="7"/>
      <c r="X436" s="7">
        <f t="shared" ref="X436:AY436" si="694">-X21</f>
        <v>12.938000000000001</v>
      </c>
      <c r="Y436" s="7">
        <f t="shared" si="694"/>
        <v>14.584</v>
      </c>
      <c r="Z436" s="7">
        <f t="shared" si="694"/>
        <v>15.27</v>
      </c>
      <c r="AA436" s="7">
        <f t="shared" si="694"/>
        <v>16.587</v>
      </c>
      <c r="AB436" s="7">
        <f t="shared" si="694"/>
        <v>16.222999999999999</v>
      </c>
      <c r="AC436" s="7">
        <f t="shared" si="694"/>
        <v>16.276</v>
      </c>
      <c r="AD436" s="7">
        <f t="shared" si="694"/>
        <v>15.26</v>
      </c>
      <c r="AE436" s="7">
        <f t="shared" si="694"/>
        <v>18.995000000000001</v>
      </c>
      <c r="AF436" s="7">
        <f t="shared" si="694"/>
        <v>18.585999999999999</v>
      </c>
      <c r="AG436" s="7">
        <f t="shared" si="694"/>
        <v>18.056000000000001</v>
      </c>
      <c r="AH436" s="7">
        <f t="shared" si="694"/>
        <v>17.759</v>
      </c>
      <c r="AI436" s="7">
        <f t="shared" si="694"/>
        <v>17.875</v>
      </c>
      <c r="AJ436" s="7">
        <f t="shared" si="694"/>
        <v>19.442</v>
      </c>
      <c r="AK436" s="7">
        <f t="shared" si="694"/>
        <v>19.846</v>
      </c>
      <c r="AL436" s="7">
        <f t="shared" si="694"/>
        <v>20.173999999999999</v>
      </c>
      <c r="AM436" s="7">
        <f t="shared" si="694"/>
        <v>19.681999999999999</v>
      </c>
      <c r="AN436" s="7">
        <f t="shared" si="694"/>
        <v>20.146345706586327</v>
      </c>
      <c r="AO436" s="7">
        <f t="shared" si="694"/>
        <v>20.61132373105697</v>
      </c>
      <c r="AP436" s="7">
        <f t="shared" si="694"/>
        <v>64.993262448044177</v>
      </c>
      <c r="AQ436" s="7">
        <f t="shared" si="694"/>
        <v>64.023563777143352</v>
      </c>
      <c r="AR436" s="7">
        <f t="shared" si="694"/>
        <v>63.375796956321913</v>
      </c>
      <c r="AS436" s="7">
        <f t="shared" si="694"/>
        <v>62.740175763390873</v>
      </c>
      <c r="AT436" s="7">
        <f t="shared" si="694"/>
        <v>62.116472467827286</v>
      </c>
      <c r="AU436" s="7">
        <f t="shared" si="694"/>
        <v>61.50446360905552</v>
      </c>
      <c r="AV436" s="7">
        <f t="shared" si="694"/>
        <v>60.903929916385721</v>
      </c>
      <c r="AW436" s="7">
        <f t="shared" si="694"/>
        <v>60.314656230453494</v>
      </c>
      <c r="AX436" s="7">
        <f t="shared" si="694"/>
        <v>59.736431426132484</v>
      </c>
      <c r="AY436" s="7">
        <f t="shared" si="694"/>
        <v>59.169048336892502</v>
      </c>
      <c r="AZ436" s="5"/>
      <c r="BA436" s="5"/>
      <c r="BB436" s="5"/>
      <c r="BC436" s="5"/>
      <c r="BD436" s="5"/>
      <c r="BE436" s="5"/>
      <c r="BF436" s="5"/>
      <c r="BG436" s="4">
        <v>430</v>
      </c>
      <c r="BH436"/>
      <c r="BI436"/>
      <c r="BJ436"/>
      <c r="BK436"/>
      <c r="BL436"/>
      <c r="BM436"/>
    </row>
    <row r="437" spans="1:65" s="3" customFormat="1" ht="12.75" customHeight="1" outlineLevel="2">
      <c r="A437" s="6"/>
      <c r="B437" s="11" t="s">
        <v>33</v>
      </c>
      <c r="C437" s="7"/>
      <c r="D437" s="7"/>
      <c r="E437" s="7"/>
      <c r="F437" s="7">
        <f t="shared" ref="F437:N437" si="695">F436-F448</f>
        <v>27.69</v>
      </c>
      <c r="G437" s="7">
        <f t="shared" si="695"/>
        <v>29.371000000000002</v>
      </c>
      <c r="H437" s="7">
        <f t="shared" si="695"/>
        <v>47.388000000000005</v>
      </c>
      <c r="I437" s="7">
        <f t="shared" si="695"/>
        <v>55.337999999999994</v>
      </c>
      <c r="J437" s="7">
        <f t="shared" si="695"/>
        <v>60.634999999999998</v>
      </c>
      <c r="K437" s="7">
        <f t="shared" si="695"/>
        <v>66.359999999999985</v>
      </c>
      <c r="L437" s="7">
        <f t="shared" si="695"/>
        <v>156.6704956628308</v>
      </c>
      <c r="M437" s="7">
        <f t="shared" si="695"/>
        <v>236.63290879659556</v>
      </c>
      <c r="N437" s="7">
        <f t="shared" si="695"/>
        <v>227.0200659098642</v>
      </c>
      <c r="O437" s="5"/>
      <c r="P437" s="7"/>
      <c r="Q437" s="7"/>
      <c r="R437" s="7"/>
      <c r="S437" s="7"/>
      <c r="T437" s="7"/>
      <c r="U437" s="7"/>
      <c r="V437" s="7"/>
      <c r="W437" s="7"/>
      <c r="X437" s="7">
        <f t="shared" ref="X437:AL437" si="696">X436-X448</f>
        <v>9.9870000000000001</v>
      </c>
      <c r="Y437" s="7">
        <f t="shared" si="696"/>
        <v>11.637</v>
      </c>
      <c r="Z437" s="7">
        <f t="shared" si="696"/>
        <v>12.36</v>
      </c>
      <c r="AA437" s="7">
        <f t="shared" si="696"/>
        <v>13.404000000000002</v>
      </c>
      <c r="AB437" s="7">
        <f t="shared" si="696"/>
        <v>13.229999999999999</v>
      </c>
      <c r="AC437" s="7">
        <f t="shared" si="696"/>
        <v>13.619</v>
      </c>
      <c r="AD437" s="7">
        <f t="shared" si="696"/>
        <v>12.324</v>
      </c>
      <c r="AE437" s="7">
        <f t="shared" si="696"/>
        <v>16.164999999999999</v>
      </c>
      <c r="AF437" s="7">
        <f t="shared" si="696"/>
        <v>15.758999999999999</v>
      </c>
      <c r="AG437" s="7">
        <f t="shared" si="696"/>
        <v>15.138000000000002</v>
      </c>
      <c r="AH437" s="7">
        <f t="shared" si="696"/>
        <v>15.033000000000001</v>
      </c>
      <c r="AI437" s="7">
        <f t="shared" si="696"/>
        <v>14.705000000000002</v>
      </c>
      <c r="AJ437" s="7">
        <f t="shared" si="696"/>
        <v>16.312000000000001</v>
      </c>
      <c r="AK437" s="7">
        <f t="shared" si="696"/>
        <v>16.670999999999999</v>
      </c>
      <c r="AL437" s="7">
        <f t="shared" si="696"/>
        <v>16.971</v>
      </c>
      <c r="AM437" s="7">
        <f t="shared" ref="AM437" si="697">AM436-AM448</f>
        <v>16.405999999999999</v>
      </c>
      <c r="AN437" s="26">
        <f t="shared" ref="AN437:AY437" si="698">+AN436-AN448</f>
        <v>16.870345706586328</v>
      </c>
      <c r="AO437" s="26">
        <f t="shared" si="698"/>
        <v>17.335323731056967</v>
      </c>
      <c r="AP437" s="26">
        <f t="shared" si="698"/>
        <v>61.717262448044174</v>
      </c>
      <c r="AQ437" s="26">
        <f t="shared" si="698"/>
        <v>60.747563777143348</v>
      </c>
      <c r="AR437" s="26">
        <f t="shared" si="698"/>
        <v>60.09979695632191</v>
      </c>
      <c r="AS437" s="26">
        <f t="shared" si="698"/>
        <v>59.46417576339087</v>
      </c>
      <c r="AT437" s="26">
        <f t="shared" si="698"/>
        <v>58.840472467827283</v>
      </c>
      <c r="AU437" s="26">
        <f t="shared" si="698"/>
        <v>58.228463609055517</v>
      </c>
      <c r="AV437" s="26">
        <f t="shared" si="698"/>
        <v>57.627929916385717</v>
      </c>
      <c r="AW437" s="26">
        <f t="shared" si="698"/>
        <v>57.038656230453491</v>
      </c>
      <c r="AX437" s="26">
        <f t="shared" si="698"/>
        <v>56.46043142613248</v>
      </c>
      <c r="AY437" s="26">
        <f t="shared" si="698"/>
        <v>55.893048336892498</v>
      </c>
      <c r="AZ437" s="5"/>
      <c r="BA437" s="5"/>
      <c r="BB437" s="5"/>
      <c r="BC437" s="5"/>
      <c r="BD437" s="5"/>
      <c r="BE437" s="5"/>
      <c r="BF437" s="5"/>
      <c r="BG437" s="4">
        <v>431</v>
      </c>
      <c r="BH437"/>
      <c r="BI437"/>
      <c r="BJ437"/>
      <c r="BK437"/>
      <c r="BL437"/>
      <c r="BM437"/>
    </row>
    <row r="438" spans="1:65" s="3" customFormat="1" ht="11.25" outlineLevel="2">
      <c r="A438" s="6"/>
      <c r="B438" s="11" t="s">
        <v>32</v>
      </c>
      <c r="C438" s="25"/>
      <c r="D438" s="25"/>
      <c r="E438" s="25"/>
      <c r="F438" s="25">
        <f t="shared" ref="F438:N438" si="699">F437/F13</f>
        <v>3.1281419808176773E-2</v>
      </c>
      <c r="G438" s="25">
        <f t="shared" si="699"/>
        <v>2.971612305313916E-2</v>
      </c>
      <c r="H438" s="25">
        <f t="shared" si="699"/>
        <v>3.4935111274182522E-2</v>
      </c>
      <c r="I438" s="25">
        <f t="shared" si="699"/>
        <v>6.6776154235081306E-2</v>
      </c>
      <c r="J438" s="25">
        <f t="shared" si="699"/>
        <v>0.11333369469526908</v>
      </c>
      <c r="K438" s="25">
        <f t="shared" si="699"/>
        <v>6.9139764220484567E-2</v>
      </c>
      <c r="L438" s="25">
        <f t="shared" si="699"/>
        <v>7.9871169101193781E-2</v>
      </c>
      <c r="M438" s="25">
        <f t="shared" si="699"/>
        <v>8.8571841188844272E-2</v>
      </c>
      <c r="N438" s="25">
        <f t="shared" si="699"/>
        <v>8.4120348126577593E-2</v>
      </c>
      <c r="O438" s="5"/>
      <c r="P438" s="25"/>
      <c r="Q438" s="25"/>
      <c r="R438" s="25"/>
      <c r="S438" s="25"/>
      <c r="T438" s="25"/>
      <c r="U438" s="25"/>
      <c r="V438" s="25"/>
      <c r="W438" s="25"/>
      <c r="X438" s="25">
        <f t="shared" ref="X438:AY438" si="700">X437/X13</f>
        <v>3.3862042775961915E-2</v>
      </c>
      <c r="Y438" s="25">
        <f t="shared" si="700"/>
        <v>3.4811021322989598E-2</v>
      </c>
      <c r="Z438" s="25">
        <f t="shared" si="700"/>
        <v>3.3094230197681797E-2</v>
      </c>
      <c r="AA438" s="25">
        <f t="shared" si="700"/>
        <v>3.7890523411617055E-2</v>
      </c>
      <c r="AB438" s="25">
        <f t="shared" si="700"/>
        <v>4.3882052472718827E-2</v>
      </c>
      <c r="AC438" s="25">
        <f t="shared" si="700"/>
        <v>6.1534499351626352E-2</v>
      </c>
      <c r="AD438" s="25">
        <f t="shared" si="700"/>
        <v>7.2091254752851719E-2</v>
      </c>
      <c r="AE438" s="25">
        <f t="shared" si="700"/>
        <v>0.11978865620322203</v>
      </c>
      <c r="AF438" s="25">
        <f t="shared" si="700"/>
        <v>0.10834055191189208</v>
      </c>
      <c r="AG438" s="25">
        <f t="shared" si="700"/>
        <v>0.13250006564608882</v>
      </c>
      <c r="AH438" s="25">
        <f t="shared" si="700"/>
        <v>0.11154145798553144</v>
      </c>
      <c r="AI438" s="25">
        <f t="shared" si="700"/>
        <v>0.10463883413624041</v>
      </c>
      <c r="AJ438" s="25">
        <f t="shared" si="700"/>
        <v>9.4516841172073734E-2</v>
      </c>
      <c r="AK438" s="25">
        <f t="shared" si="700"/>
        <v>7.1480023668030149E-2</v>
      </c>
      <c r="AL438" s="25">
        <f t="shared" si="700"/>
        <v>6.0599892876272092E-2</v>
      </c>
      <c r="AM438" s="25">
        <f t="shared" si="700"/>
        <v>5.9889901290812439E-2</v>
      </c>
      <c r="AN438" s="25">
        <f t="shared" si="700"/>
        <v>6.0900831404102948E-2</v>
      </c>
      <c r="AO438" s="25">
        <f t="shared" si="700"/>
        <v>5.9701260530707345E-2</v>
      </c>
      <c r="AP438" s="25">
        <f t="shared" si="700"/>
        <v>8.8359815122342714E-2</v>
      </c>
      <c r="AQ438" s="25">
        <f t="shared" si="700"/>
        <v>8.7320847434928933E-2</v>
      </c>
      <c r="AR438" s="25">
        <f t="shared" si="700"/>
        <v>8.9302692635283926E-2</v>
      </c>
      <c r="AS438" s="25">
        <f t="shared" si="700"/>
        <v>8.8978632784461775E-2</v>
      </c>
      <c r="AT438" s="25">
        <f t="shared" si="700"/>
        <v>8.769044042444038E-2</v>
      </c>
      <c r="AU438" s="25">
        <f t="shared" si="700"/>
        <v>8.8310540274600863E-2</v>
      </c>
      <c r="AV438" s="25">
        <f t="shared" si="700"/>
        <v>8.6829163556493907E-2</v>
      </c>
      <c r="AW438" s="25">
        <f t="shared" si="700"/>
        <v>8.2736993913504669E-2</v>
      </c>
      <c r="AX438" s="25">
        <f t="shared" si="700"/>
        <v>8.2637369300917377E-2</v>
      </c>
      <c r="AY438" s="25">
        <f t="shared" si="700"/>
        <v>8.4375582825336401E-2</v>
      </c>
      <c r="AZ438" s="5"/>
      <c r="BA438" s="5"/>
      <c r="BB438" s="5"/>
      <c r="BC438" s="5"/>
      <c r="BD438" s="5"/>
      <c r="BE438" s="5"/>
      <c r="BF438" s="5"/>
      <c r="BG438" s="4">
        <v>432</v>
      </c>
      <c r="BH438"/>
      <c r="BI438"/>
      <c r="BJ438"/>
      <c r="BK438"/>
      <c r="BL438"/>
      <c r="BM438"/>
    </row>
    <row r="439" spans="1:65" s="3" customFormat="1" ht="11.25" outlineLevel="2">
      <c r="A439" s="6"/>
      <c r="B439" s="11" t="s">
        <v>31</v>
      </c>
      <c r="C439" s="25"/>
      <c r="D439" s="25"/>
      <c r="E439" s="25"/>
      <c r="F439" s="25">
        <f t="shared" ref="F439:N439" si="701">-F258/F13</f>
        <v>0.123155480744247</v>
      </c>
      <c r="G439" s="25">
        <f t="shared" si="701"/>
        <v>0.11282434190690682</v>
      </c>
      <c r="H439" s="25">
        <f t="shared" si="701"/>
        <v>0.10578361719936955</v>
      </c>
      <c r="I439" s="25">
        <f t="shared" si="701"/>
        <v>0.13726169258448984</v>
      </c>
      <c r="J439" s="25">
        <f t="shared" si="701"/>
        <v>5.7189264559926581E-2</v>
      </c>
      <c r="K439" s="25">
        <f t="shared" si="701"/>
        <v>7.2487354070400439E-2</v>
      </c>
      <c r="L439" s="25">
        <f t="shared" si="701"/>
        <v>5.4141133100143519E-2</v>
      </c>
      <c r="M439" s="25">
        <f t="shared" si="701"/>
        <v>3.9226703520640761E-2</v>
      </c>
      <c r="N439" s="25">
        <f t="shared" si="701"/>
        <v>3.8832745679694906E-2</v>
      </c>
      <c r="O439" s="5"/>
      <c r="P439" s="25"/>
      <c r="Q439" s="25"/>
      <c r="R439" s="25"/>
      <c r="S439" s="25"/>
      <c r="T439" s="25"/>
      <c r="U439" s="25"/>
      <c r="V439" s="25"/>
      <c r="W439" s="25"/>
      <c r="X439" s="25">
        <f t="shared" ref="X439:AY439" si="702">-X258/X13</f>
        <v>0.10115891120665102</v>
      </c>
      <c r="Y439" s="25">
        <f t="shared" si="702"/>
        <v>9.5701142404836556E-2</v>
      </c>
      <c r="Z439" s="25">
        <f t="shared" si="702"/>
        <v>6.939881492667592E-2</v>
      </c>
      <c r="AA439" s="25">
        <f t="shared" si="702"/>
        <v>0.15758036612806572</v>
      </c>
      <c r="AB439" s="25">
        <f t="shared" si="702"/>
        <v>0.10565856247305051</v>
      </c>
      <c r="AC439" s="25">
        <f t="shared" si="702"/>
        <v>0.13352430610465246</v>
      </c>
      <c r="AD439" s="25">
        <f t="shared" si="702"/>
        <v>0.17631471190406559</v>
      </c>
      <c r="AE439" s="25">
        <f t="shared" si="702"/>
        <v>0.16452506928697405</v>
      </c>
      <c r="AF439" s="25">
        <f t="shared" si="702"/>
        <v>9.4487755915797E-2</v>
      </c>
      <c r="AG439" s="25">
        <f t="shared" si="702"/>
        <v>7.1808068341954856E-2</v>
      </c>
      <c r="AH439" s="25">
        <f t="shared" si="702"/>
        <v>5.0187349285846776E-2</v>
      </c>
      <c r="AI439" s="25">
        <f t="shared" si="702"/>
        <v>1.3413410564217158E-2</v>
      </c>
      <c r="AJ439" s="25">
        <f t="shared" si="702"/>
        <v>4.0705052061906451E-2</v>
      </c>
      <c r="AK439" s="25">
        <f t="shared" si="702"/>
        <v>3.0918508228070629E-2</v>
      </c>
      <c r="AL439" s="25">
        <f t="shared" si="702"/>
        <v>7.9392965541867533E-2</v>
      </c>
      <c r="AM439" s="25">
        <f t="shared" si="702"/>
        <v>0.12084209450382567</v>
      </c>
      <c r="AN439" s="25">
        <f t="shared" si="702"/>
        <v>0.12634768345686218</v>
      </c>
      <c r="AO439" s="25">
        <f t="shared" si="702"/>
        <v>0.12053678091002422</v>
      </c>
      <c r="AP439" s="25">
        <f t="shared" si="702"/>
        <v>1.4316872073956165E-2</v>
      </c>
      <c r="AQ439" s="25">
        <f t="shared" si="702"/>
        <v>3.7660871655497391E-2</v>
      </c>
      <c r="AR439" s="25">
        <f t="shared" si="702"/>
        <v>3.8930756267693545E-2</v>
      </c>
      <c r="AS439" s="25">
        <f t="shared" si="702"/>
        <v>3.9204111534799531E-2</v>
      </c>
      <c r="AT439" s="25">
        <f t="shared" si="702"/>
        <v>3.9046075647617487E-2</v>
      </c>
      <c r="AU439" s="25">
        <f t="shared" si="702"/>
        <v>3.9735483503890993E-2</v>
      </c>
      <c r="AV439" s="25">
        <f t="shared" si="702"/>
        <v>3.9476068088527619E-2</v>
      </c>
      <c r="AW439" s="25">
        <f t="shared" si="702"/>
        <v>3.8004212998560466E-2</v>
      </c>
      <c r="AX439" s="25">
        <f t="shared" si="702"/>
        <v>3.8347193264306655E-2</v>
      </c>
      <c r="AY439" s="25">
        <f t="shared" si="702"/>
        <v>3.9551256118637371E-2</v>
      </c>
      <c r="AZ439" s="5"/>
      <c r="BA439" s="5"/>
      <c r="BB439" s="5"/>
      <c r="BC439" s="5"/>
      <c r="BD439" s="5"/>
      <c r="BE439" s="5"/>
      <c r="BF439" s="5"/>
      <c r="BG439" s="4">
        <v>433</v>
      </c>
      <c r="BH439"/>
      <c r="BI439"/>
      <c r="BJ439"/>
      <c r="BK439"/>
      <c r="BL439"/>
      <c r="BM439"/>
    </row>
    <row r="440" spans="1:65" s="3" customFormat="1" ht="11.25" outlineLevel="2">
      <c r="A440" s="6"/>
      <c r="B440" s="11" t="s">
        <v>30</v>
      </c>
      <c r="C440" s="25"/>
      <c r="D440" s="25"/>
      <c r="E440" s="25"/>
      <c r="F440" s="25">
        <f t="shared" ref="F440:N440" si="703">-F258/F437</f>
        <v>3.937016973636692</v>
      </c>
      <c r="G440" s="25">
        <f t="shared" si="703"/>
        <v>3.796738279255047</v>
      </c>
      <c r="H440" s="25">
        <f t="shared" si="703"/>
        <v>3.0280028699248756</v>
      </c>
      <c r="I440" s="25">
        <f t="shared" si="703"/>
        <v>2.0555495319671837</v>
      </c>
      <c r="J440" s="25">
        <f t="shared" si="703"/>
        <v>0.50460954894038101</v>
      </c>
      <c r="K440" s="25">
        <f t="shared" si="703"/>
        <v>1.0484177215189874</v>
      </c>
      <c r="L440" s="25">
        <f t="shared" si="703"/>
        <v>0.67785577335857861</v>
      </c>
      <c r="M440" s="25">
        <f t="shared" si="703"/>
        <v>0.44288007332946144</v>
      </c>
      <c r="N440" s="25">
        <f t="shared" si="703"/>
        <v>0.46163320224569787</v>
      </c>
      <c r="O440" s="5"/>
      <c r="P440" s="25"/>
      <c r="Q440" s="25"/>
      <c r="R440" s="25"/>
      <c r="S440" s="25"/>
      <c r="T440" s="25"/>
      <c r="U440" s="25"/>
      <c r="V440" s="25"/>
      <c r="W440" s="25"/>
      <c r="X440" s="25">
        <f t="shared" ref="X440:AY440" si="704">-X258/X437</f>
        <v>2.987383598678282</v>
      </c>
      <c r="Y440" s="25">
        <f t="shared" si="704"/>
        <v>2.7491621551946372</v>
      </c>
      <c r="Z440" s="25">
        <f t="shared" si="704"/>
        <v>2.0970064724919091</v>
      </c>
      <c r="AA440" s="25">
        <f t="shared" si="704"/>
        <v>4.1588331841241422</v>
      </c>
      <c r="AB440" s="25">
        <f t="shared" si="704"/>
        <v>2.4077853363567652</v>
      </c>
      <c r="AC440" s="25">
        <f t="shared" si="704"/>
        <v>2.1699096849988981</v>
      </c>
      <c r="AD440" s="25">
        <f t="shared" si="704"/>
        <v>2.4457156767283359</v>
      </c>
      <c r="AE440" s="25">
        <f t="shared" si="704"/>
        <v>1.3734611815651099</v>
      </c>
      <c r="AF440" s="25">
        <f t="shared" si="704"/>
        <v>0.87213655688812752</v>
      </c>
      <c r="AG440" s="25">
        <f t="shared" si="704"/>
        <v>0.54194741709604966</v>
      </c>
      <c r="AH440" s="25">
        <f t="shared" si="704"/>
        <v>0.44994345772633532</v>
      </c>
      <c r="AI440" s="25">
        <f t="shared" si="704"/>
        <v>0.12818769126147578</v>
      </c>
      <c r="AJ440" s="25">
        <f t="shared" si="704"/>
        <v>0.43066454144188326</v>
      </c>
      <c r="AK440" s="25">
        <f t="shared" si="704"/>
        <v>0.43254753764021359</v>
      </c>
      <c r="AL440" s="25">
        <f t="shared" si="704"/>
        <v>1.3101172588533381</v>
      </c>
      <c r="AM440" s="25">
        <f t="shared" si="704"/>
        <v>2.0177374131415333</v>
      </c>
      <c r="AN440" s="25">
        <f t="shared" si="704"/>
        <v>2.0746462822238256</v>
      </c>
      <c r="AO440" s="25">
        <f t="shared" si="704"/>
        <v>2.0189989262961392</v>
      </c>
      <c r="AP440" s="25">
        <f t="shared" si="704"/>
        <v>0.16202922170143827</v>
      </c>
      <c r="AQ440" s="25">
        <f t="shared" si="704"/>
        <v>0.43129301606425763</v>
      </c>
      <c r="AR440" s="25">
        <f t="shared" si="704"/>
        <v>0.43594157263195238</v>
      </c>
      <c r="AS440" s="25">
        <f t="shared" si="704"/>
        <v>0.44060141528321717</v>
      </c>
      <c r="AT440" s="25">
        <f t="shared" si="704"/>
        <v>0.44527174750892085</v>
      </c>
      <c r="AU440" s="25">
        <f t="shared" si="704"/>
        <v>0.44995176544423632</v>
      </c>
      <c r="AV440" s="25">
        <f t="shared" si="704"/>
        <v>0.45464065841015722</v>
      </c>
      <c r="AW440" s="25">
        <f t="shared" si="704"/>
        <v>0.45933760946513263</v>
      </c>
      <c r="AX440" s="25">
        <f t="shared" si="704"/>
        <v>0.46404179596604067</v>
      </c>
      <c r="AY440" s="25">
        <f t="shared" si="704"/>
        <v>0.4687523901376936</v>
      </c>
      <c r="AZ440" s="5"/>
      <c r="BA440" s="5"/>
      <c r="BB440" s="5"/>
      <c r="BC440" s="5"/>
      <c r="BD440" s="5"/>
      <c r="BE440" s="5"/>
      <c r="BF440" s="5"/>
      <c r="BG440" s="4">
        <v>434</v>
      </c>
      <c r="BH440"/>
      <c r="BI440"/>
      <c r="BJ440"/>
      <c r="BK440"/>
      <c r="BL440"/>
      <c r="BM440"/>
    </row>
    <row r="441" spans="1:65" s="3" customFormat="1" ht="12.75" customHeight="1" outlineLevel="2">
      <c r="A441" s="6"/>
      <c r="B441" s="11" t="s">
        <v>29</v>
      </c>
      <c r="C441" s="7">
        <f t="shared" ref="C441:N441" si="705">-C258</f>
        <v>20.158000000000001</v>
      </c>
      <c r="D441" s="7">
        <f t="shared" si="705"/>
        <v>41.927999999999997</v>
      </c>
      <c r="E441" s="7">
        <f t="shared" si="705"/>
        <v>77.826999999999998</v>
      </c>
      <c r="F441" s="7">
        <f t="shared" si="705"/>
        <v>109.01600000000001</v>
      </c>
      <c r="G441" s="7">
        <f t="shared" si="705"/>
        <v>111.514</v>
      </c>
      <c r="H441" s="7">
        <f t="shared" si="705"/>
        <v>143.49100000000001</v>
      </c>
      <c r="I441" s="7">
        <f t="shared" si="705"/>
        <v>113.75</v>
      </c>
      <c r="J441" s="7">
        <f t="shared" si="705"/>
        <v>30.597000000000001</v>
      </c>
      <c r="K441" s="7">
        <f t="shared" si="705"/>
        <v>69.572999999999993</v>
      </c>
      <c r="L441" s="7">
        <f t="shared" si="705"/>
        <v>106.2</v>
      </c>
      <c r="M441" s="7">
        <f t="shared" si="705"/>
        <v>104.8</v>
      </c>
      <c r="N441" s="7">
        <f t="shared" si="705"/>
        <v>104.8</v>
      </c>
      <c r="O441" s="5"/>
      <c r="P441" s="7"/>
      <c r="Q441" s="7"/>
      <c r="R441" s="7"/>
      <c r="S441" s="7"/>
      <c r="T441" s="7"/>
      <c r="U441" s="7"/>
      <c r="V441" s="7"/>
      <c r="W441" s="7"/>
      <c r="X441" s="7">
        <f t="shared" ref="X441:AM441" si="706">-X258</f>
        <v>29.835000000000001</v>
      </c>
      <c r="Y441" s="7">
        <f t="shared" si="706"/>
        <v>31.991999999999997</v>
      </c>
      <c r="Z441" s="7">
        <f t="shared" si="706"/>
        <v>25.918999999999997</v>
      </c>
      <c r="AA441" s="7">
        <f t="shared" si="706"/>
        <v>55.745000000000012</v>
      </c>
      <c r="AB441" s="7">
        <f t="shared" si="706"/>
        <v>31.855</v>
      </c>
      <c r="AC441" s="7">
        <f t="shared" si="706"/>
        <v>29.551999999999996</v>
      </c>
      <c r="AD441" s="7">
        <f t="shared" si="706"/>
        <v>30.141000000000009</v>
      </c>
      <c r="AE441" s="7">
        <f t="shared" si="706"/>
        <v>22.202000000000002</v>
      </c>
      <c r="AF441" s="7">
        <f t="shared" si="706"/>
        <v>13.744</v>
      </c>
      <c r="AG441" s="7">
        <f t="shared" si="706"/>
        <v>8.2040000000000006</v>
      </c>
      <c r="AH441" s="7">
        <f t="shared" si="706"/>
        <v>6.7639999999999993</v>
      </c>
      <c r="AI441" s="7">
        <f t="shared" si="706"/>
        <v>1.8850000000000016</v>
      </c>
      <c r="AJ441" s="7">
        <f t="shared" si="706"/>
        <v>7.0250000000000004</v>
      </c>
      <c r="AK441" s="7">
        <f t="shared" si="706"/>
        <v>7.2110000000000003</v>
      </c>
      <c r="AL441" s="7">
        <f t="shared" si="706"/>
        <v>22.234000000000002</v>
      </c>
      <c r="AM441" s="7">
        <f t="shared" si="706"/>
        <v>33.102999999999994</v>
      </c>
      <c r="AN441" s="24">
        <f t="shared" ref="AN441:AY441" si="707">-AN258-AN260</f>
        <v>35</v>
      </c>
      <c r="AO441" s="24">
        <f t="shared" si="707"/>
        <v>45</v>
      </c>
      <c r="AP441" s="24">
        <f t="shared" si="707"/>
        <v>10</v>
      </c>
      <c r="AQ441" s="24">
        <f t="shared" si="707"/>
        <v>26.2</v>
      </c>
      <c r="AR441" s="24">
        <f t="shared" si="707"/>
        <v>26.2</v>
      </c>
      <c r="AS441" s="24">
        <f t="shared" si="707"/>
        <v>26.2</v>
      </c>
      <c r="AT441" s="24">
        <f t="shared" si="707"/>
        <v>26.2</v>
      </c>
      <c r="AU441" s="24">
        <f t="shared" si="707"/>
        <v>26.2</v>
      </c>
      <c r="AV441" s="24">
        <f t="shared" si="707"/>
        <v>26.2</v>
      </c>
      <c r="AW441" s="24">
        <f t="shared" si="707"/>
        <v>26.2</v>
      </c>
      <c r="AX441" s="24">
        <f t="shared" si="707"/>
        <v>26.2</v>
      </c>
      <c r="AY441" s="24">
        <f t="shared" si="707"/>
        <v>26.2</v>
      </c>
      <c r="AZ441" s="5"/>
      <c r="BA441" s="5"/>
      <c r="BB441" s="5"/>
      <c r="BC441" s="5"/>
      <c r="BD441" s="5"/>
      <c r="BE441" s="5"/>
      <c r="BF441" s="5"/>
      <c r="BG441" s="4">
        <v>435</v>
      </c>
      <c r="BH441"/>
      <c r="BI441"/>
      <c r="BJ441"/>
      <c r="BK441"/>
      <c r="BL441"/>
      <c r="BM441"/>
    </row>
    <row r="442" spans="1:65" s="3" customFormat="1" ht="12.75" customHeight="1" outlineLevel="2">
      <c r="A442" s="6"/>
      <c r="B442" s="11" t="s">
        <v>28</v>
      </c>
      <c r="C442" s="7"/>
      <c r="D442" s="7"/>
      <c r="E442" s="7"/>
      <c r="F442" s="23">
        <v>12.3</v>
      </c>
      <c r="G442" s="23">
        <v>17.5</v>
      </c>
      <c r="H442" s="7"/>
      <c r="I442" s="7"/>
      <c r="J442" s="7"/>
      <c r="K442" s="7"/>
      <c r="L442" s="7"/>
      <c r="M442" s="7"/>
      <c r="N442" s="7"/>
      <c r="O442" s="5"/>
      <c r="P442" s="7"/>
      <c r="Q442" s="7"/>
      <c r="R442" s="7"/>
      <c r="S442" s="7"/>
      <c r="T442" s="7"/>
      <c r="U442" s="7"/>
      <c r="V442" s="7"/>
      <c r="W442" s="7"/>
      <c r="X442" s="7"/>
      <c r="Y442" s="7"/>
      <c r="Z442" s="7"/>
      <c r="AA442" s="7"/>
      <c r="AB442" s="7"/>
      <c r="AC442" s="7"/>
      <c r="AD442" s="7"/>
      <c r="AE442" s="7"/>
      <c r="AF442" s="7"/>
      <c r="AG442" s="7"/>
      <c r="AH442" s="7"/>
      <c r="AI442" s="7"/>
      <c r="AJ442" s="7"/>
      <c r="AK442" s="7"/>
      <c r="AL442" s="7"/>
      <c r="AM442" s="7"/>
      <c r="AN442" s="24"/>
      <c r="AO442" s="24"/>
      <c r="AP442" s="24"/>
      <c r="AQ442" s="24"/>
      <c r="AR442" s="24"/>
      <c r="AS442" s="24"/>
      <c r="AT442" s="24"/>
      <c r="AU442" s="24"/>
      <c r="AV442" s="24"/>
      <c r="AW442" s="24"/>
      <c r="AX442" s="24"/>
      <c r="AY442" s="24"/>
      <c r="AZ442" s="5"/>
      <c r="BA442" s="5"/>
      <c r="BB442" s="5"/>
      <c r="BC442" s="5"/>
      <c r="BD442" s="5"/>
      <c r="BE442" s="5"/>
      <c r="BF442" s="5"/>
      <c r="BG442" s="4">
        <v>436</v>
      </c>
      <c r="BH442"/>
      <c r="BI442"/>
      <c r="BJ442"/>
      <c r="BK442"/>
      <c r="BL442"/>
      <c r="BM442"/>
    </row>
    <row r="443" spans="1:65" s="3" customFormat="1" ht="12.75" customHeight="1" outlineLevel="2">
      <c r="A443" s="6"/>
      <c r="B443" s="16"/>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4">
        <v>437</v>
      </c>
      <c r="BH443"/>
      <c r="BI443"/>
      <c r="BJ443"/>
      <c r="BK443"/>
      <c r="BL443"/>
      <c r="BM443"/>
    </row>
    <row r="444" spans="1:65" s="3" customFormat="1" ht="12.75" customHeight="1" outlineLevel="2">
      <c r="A444" s="6"/>
      <c r="B444" s="11" t="s">
        <v>27</v>
      </c>
      <c r="C444" s="7"/>
      <c r="D444" s="7"/>
      <c r="E444" s="7"/>
      <c r="F444" s="7"/>
      <c r="G444" s="7">
        <f t="shared" ref="G444:N444" si="708">G433/G437</f>
        <v>32.742364917776037</v>
      </c>
      <c r="H444" s="7">
        <f t="shared" si="708"/>
        <v>23.345045159112011</v>
      </c>
      <c r="I444" s="7">
        <f t="shared" si="708"/>
        <v>21.578987314322891</v>
      </c>
      <c r="J444" s="7">
        <f t="shared" si="708"/>
        <v>18.27774387729859</v>
      </c>
      <c r="K444" s="7">
        <f t="shared" si="708"/>
        <v>18.552200120554556</v>
      </c>
      <c r="L444" s="7">
        <f t="shared" si="708"/>
        <v>25.418468124147154</v>
      </c>
      <c r="M444" s="7">
        <f t="shared" si="708"/>
        <v>17.272001687276731</v>
      </c>
      <c r="N444" s="7">
        <f t="shared" si="708"/>
        <v>18.46499331765834</v>
      </c>
      <c r="O444" s="5"/>
      <c r="P444" s="7"/>
      <c r="Q444" s="7"/>
      <c r="R444" s="7"/>
      <c r="S444" s="7"/>
      <c r="T444" s="7"/>
      <c r="U444" s="7"/>
      <c r="V444" s="7"/>
      <c r="W444" s="7"/>
      <c r="X444" s="7">
        <f t="shared" ref="X444:AY444" si="709">X433/(X437*4)</f>
        <v>24.820366476419345</v>
      </c>
      <c r="Y444" s="7">
        <f t="shared" si="709"/>
        <v>21.983694251095642</v>
      </c>
      <c r="Z444" s="7">
        <f t="shared" si="709"/>
        <v>21.21027508090615</v>
      </c>
      <c r="AA444" s="7">
        <f t="shared" si="709"/>
        <v>20.633299761265292</v>
      </c>
      <c r="AB444" s="7">
        <f t="shared" si="709"/>
        <v>20.863586545729408</v>
      </c>
      <c r="AC444" s="7">
        <f t="shared" si="709"/>
        <v>21.42268154783758</v>
      </c>
      <c r="AD444" s="7">
        <f t="shared" si="709"/>
        <v>23.960443037974684</v>
      </c>
      <c r="AE444" s="7">
        <f t="shared" si="709"/>
        <v>18.467955459325704</v>
      </c>
      <c r="AF444" s="7">
        <f t="shared" si="709"/>
        <v>19.059505679294372</v>
      </c>
      <c r="AG444" s="7">
        <f t="shared" si="709"/>
        <v>18.241478398731665</v>
      </c>
      <c r="AH444" s="7">
        <f t="shared" si="709"/>
        <v>18.415602341515331</v>
      </c>
      <c r="AI444" s="7">
        <f t="shared" si="709"/>
        <v>18.841737504250251</v>
      </c>
      <c r="AJ444" s="7">
        <f t="shared" si="709"/>
        <v>17.172909514467875</v>
      </c>
      <c r="AK444" s="7">
        <f t="shared" si="709"/>
        <v>16.973501889508729</v>
      </c>
      <c r="AL444" s="7">
        <f t="shared" si="709"/>
        <v>17.677302457132757</v>
      </c>
      <c r="AM444" s="7">
        <f t="shared" ref="AM444" si="710">AM433/(AM437*4)</f>
        <v>18.760270632695356</v>
      </c>
      <c r="AN444" s="7">
        <f t="shared" si="709"/>
        <v>18.762567495959704</v>
      </c>
      <c r="AO444" s="7">
        <f t="shared" si="709"/>
        <v>56.908715135938756</v>
      </c>
      <c r="AP444" s="7">
        <f t="shared" si="709"/>
        <v>16.025192316859517</v>
      </c>
      <c r="AQ444" s="7">
        <f t="shared" si="709"/>
        <v>16.388821840697315</v>
      </c>
      <c r="AR444" s="7">
        <f t="shared" si="709"/>
        <v>16.674449012337064</v>
      </c>
      <c r="AS444" s="7">
        <f t="shared" si="709"/>
        <v>16.962834968293539</v>
      </c>
      <c r="AT444" s="7">
        <f t="shared" si="709"/>
        <v>17.253957308978212</v>
      </c>
      <c r="AU444" s="7">
        <f t="shared" si="709"/>
        <v>17.547792551426607</v>
      </c>
      <c r="AV444" s="7">
        <f t="shared" si="709"/>
        <v>17.844316141357833</v>
      </c>
      <c r="AW444" s="7">
        <f t="shared" si="709"/>
        <v>18.143502466446023</v>
      </c>
      <c r="AX444" s="7">
        <f t="shared" si="709"/>
        <v>18.44532487079044</v>
      </c>
      <c r="AY444" s="7">
        <f t="shared" si="709"/>
        <v>18.749755670568323</v>
      </c>
      <c r="AZ444" s="5"/>
      <c r="BA444" s="5"/>
      <c r="BB444" s="5"/>
      <c r="BC444" s="5"/>
      <c r="BD444" s="5"/>
      <c r="BE444" s="5"/>
      <c r="BF444" s="5"/>
      <c r="BG444" s="4">
        <v>438</v>
      </c>
      <c r="BH444"/>
      <c r="BI444"/>
      <c r="BJ444"/>
      <c r="BK444"/>
      <c r="BL444"/>
      <c r="BM444"/>
    </row>
    <row r="445" spans="1:65" s="3" customFormat="1" ht="12.75" customHeight="1" outlineLevel="2">
      <c r="A445" s="6"/>
      <c r="B445" s="11" t="s">
        <v>26</v>
      </c>
      <c r="C445" s="7"/>
      <c r="D445" s="7"/>
      <c r="E445" s="7"/>
      <c r="F445" s="7"/>
      <c r="G445" s="7">
        <f t="shared" ref="G445:N445" si="711">G434/G437</f>
        <v>7.2465356984780902</v>
      </c>
      <c r="H445" s="7">
        <f t="shared" si="711"/>
        <v>5.5921541318477237</v>
      </c>
      <c r="I445" s="7">
        <f t="shared" si="711"/>
        <v>5.8394051104123754</v>
      </c>
      <c r="J445" s="7">
        <f t="shared" si="711"/>
        <v>6.2758472829224043</v>
      </c>
      <c r="K445" s="7">
        <f t="shared" si="711"/>
        <v>6.7150542495479222</v>
      </c>
      <c r="L445" s="7">
        <f t="shared" si="711"/>
        <v>3.8442560171571523</v>
      </c>
      <c r="M445" s="7">
        <f t="shared" si="711"/>
        <v>3.5452144366806517</v>
      </c>
      <c r="N445" s="7">
        <f t="shared" si="711"/>
        <v>4.6953315166092331</v>
      </c>
      <c r="O445" s="5"/>
      <c r="P445" s="7"/>
      <c r="Q445" s="7"/>
      <c r="R445" s="7"/>
      <c r="S445" s="7"/>
      <c r="T445" s="7"/>
      <c r="U445" s="7"/>
      <c r="V445" s="7"/>
      <c r="W445" s="7"/>
      <c r="X445" s="7">
        <f t="shared" ref="X445:AY445" si="712">X434/(X437*4)</f>
        <v>5.6186292179833783</v>
      </c>
      <c r="Y445" s="7">
        <f t="shared" si="712"/>
        <v>5.0871573429578065</v>
      </c>
      <c r="Z445" s="7">
        <f t="shared" si="712"/>
        <v>5.0603357605177992</v>
      </c>
      <c r="AA445" s="7">
        <f t="shared" si="712"/>
        <v>4.9425731125037293</v>
      </c>
      <c r="AB445" s="7">
        <f t="shared" si="712"/>
        <v>4.6139644746787605</v>
      </c>
      <c r="AC445" s="7">
        <f t="shared" si="712"/>
        <v>5.5297378662163155</v>
      </c>
      <c r="AD445" s="7">
        <f t="shared" si="712"/>
        <v>6.2867778318727687</v>
      </c>
      <c r="AE445" s="7">
        <f t="shared" si="712"/>
        <v>4.9975409836065579</v>
      </c>
      <c r="AF445" s="7">
        <f t="shared" si="712"/>
        <v>5.3812266006726324</v>
      </c>
      <c r="AG445" s="7">
        <f t="shared" si="712"/>
        <v>5.7450620953890867</v>
      </c>
      <c r="AH445" s="7">
        <f t="shared" si="712"/>
        <v>6.0428390873411821</v>
      </c>
      <c r="AI445" s="7">
        <f t="shared" si="712"/>
        <v>6.4695001700101997</v>
      </c>
      <c r="AJ445" s="7">
        <f t="shared" si="712"/>
        <v>6.100370892594408</v>
      </c>
      <c r="AK445" s="7">
        <f t="shared" si="712"/>
        <v>6.2308649751064733</v>
      </c>
      <c r="AL445" s="7">
        <f t="shared" si="712"/>
        <v>6.3726062105945438</v>
      </c>
      <c r="AM445" s="7">
        <f t="shared" ref="AM445" si="713">AM434/(AM437*4)</f>
        <v>6.7903663293916861</v>
      </c>
      <c r="AN445" s="7">
        <f t="shared" si="712"/>
        <v>6.8534657462002926</v>
      </c>
      <c r="AO445" s="7">
        <f t="shared" si="712"/>
        <v>6.9196381458113674</v>
      </c>
      <c r="AP445" s="7">
        <f t="shared" si="712"/>
        <v>2.1936080377089406</v>
      </c>
      <c r="AQ445" s="7">
        <f t="shared" si="712"/>
        <v>2.4786240723675039</v>
      </c>
      <c r="AR445" s="7">
        <f t="shared" si="712"/>
        <v>2.7553391449081954</v>
      </c>
      <c r="AS445" s="7">
        <f t="shared" si="712"/>
        <v>3.0347913643618853</v>
      </c>
      <c r="AT445" s="7">
        <f t="shared" si="712"/>
        <v>3.316959858187889</v>
      </c>
      <c r="AU445" s="7">
        <f t="shared" si="712"/>
        <v>3.6018226845717476</v>
      </c>
      <c r="AV445" s="7">
        <f t="shared" si="712"/>
        <v>3.889356843446552</v>
      </c>
      <c r="AW445" s="7">
        <f t="shared" si="712"/>
        <v>4.1795382887068246</v>
      </c>
      <c r="AX445" s="7">
        <f t="shared" si="712"/>
        <v>4.4723419416031271</v>
      </c>
      <c r="AY445" s="7">
        <f t="shared" si="712"/>
        <v>4.7677417053030684</v>
      </c>
      <c r="AZ445" s="5"/>
      <c r="BA445" s="5"/>
      <c r="BB445" s="5"/>
      <c r="BC445" s="5"/>
      <c r="BD445" s="5"/>
      <c r="BE445" s="5"/>
      <c r="BF445" s="5"/>
      <c r="BG445" s="4">
        <v>439</v>
      </c>
      <c r="BH445"/>
      <c r="BI445"/>
      <c r="BJ445"/>
      <c r="BK445"/>
      <c r="BL445"/>
      <c r="BM445"/>
    </row>
    <row r="446" spans="1:65" s="3" customFormat="1" ht="12.75" customHeight="1" outlineLevel="2">
      <c r="A446" s="6"/>
      <c r="B446" s="16" t="s">
        <v>25</v>
      </c>
      <c r="C446" s="7"/>
      <c r="D446" s="7"/>
      <c r="E446" s="7"/>
      <c r="F446" s="7"/>
      <c r="G446" s="7">
        <f t="shared" ref="G446:N446" si="714">G435/G437</f>
        <v>25.495829219297949</v>
      </c>
      <c r="H446" s="7">
        <f t="shared" si="714"/>
        <v>17.752891027264287</v>
      </c>
      <c r="I446" s="7">
        <f t="shared" si="714"/>
        <v>15.739582203910512</v>
      </c>
      <c r="J446" s="7">
        <f t="shared" si="714"/>
        <v>12.001896594376184</v>
      </c>
      <c r="K446" s="7">
        <f t="shared" si="714"/>
        <v>11.837145871006634</v>
      </c>
      <c r="L446" s="7">
        <f t="shared" si="714"/>
        <v>21.57421210699</v>
      </c>
      <c r="M446" s="7">
        <f t="shared" si="714"/>
        <v>13.726787250596077</v>
      </c>
      <c r="N446" s="7">
        <f t="shared" si="714"/>
        <v>13.769661801049107</v>
      </c>
      <c r="O446" s="5"/>
      <c r="P446" s="7"/>
      <c r="Q446" s="7"/>
      <c r="R446" s="7"/>
      <c r="S446" s="7"/>
      <c r="T446" s="7"/>
      <c r="U446" s="7"/>
      <c r="V446" s="7"/>
      <c r="W446" s="7"/>
      <c r="X446" s="7">
        <f t="shared" ref="X446:AY446" si="715">X435/(X437*4)</f>
        <v>19.201737258435966</v>
      </c>
      <c r="Y446" s="7">
        <f t="shared" si="715"/>
        <v>16.896536908137836</v>
      </c>
      <c r="Z446" s="7">
        <f t="shared" si="715"/>
        <v>16.149939320388349</v>
      </c>
      <c r="AA446" s="7">
        <f t="shared" si="715"/>
        <v>15.690726648761563</v>
      </c>
      <c r="AB446" s="7">
        <f t="shared" si="715"/>
        <v>16.249622071050645</v>
      </c>
      <c r="AC446" s="7">
        <f t="shared" si="715"/>
        <v>15.892943681621263</v>
      </c>
      <c r="AD446" s="7">
        <f t="shared" si="715"/>
        <v>17.673665206101916</v>
      </c>
      <c r="AE446" s="7">
        <f t="shared" si="715"/>
        <v>13.470414475719144</v>
      </c>
      <c r="AF446" s="7">
        <f t="shared" si="715"/>
        <v>13.67827907862174</v>
      </c>
      <c r="AG446" s="7">
        <f t="shared" si="715"/>
        <v>12.496416303342579</v>
      </c>
      <c r="AH446" s="7">
        <f t="shared" si="715"/>
        <v>12.372763254174149</v>
      </c>
      <c r="AI446" s="7">
        <f t="shared" si="715"/>
        <v>12.372237334240051</v>
      </c>
      <c r="AJ446" s="7">
        <f t="shared" si="715"/>
        <v>11.072538621873466</v>
      </c>
      <c r="AK446" s="7">
        <f t="shared" si="715"/>
        <v>10.742636914402256</v>
      </c>
      <c r="AL446" s="7">
        <f t="shared" si="715"/>
        <v>11.304696246538214</v>
      </c>
      <c r="AM446" s="7">
        <f t="shared" ref="AM446" si="716">AM435/(AM437*4)</f>
        <v>11.969904303303672</v>
      </c>
      <c r="AN446" s="7">
        <f t="shared" si="715"/>
        <v>11.909101749759412</v>
      </c>
      <c r="AO446" s="7">
        <f t="shared" si="715"/>
        <v>49.989076990127394</v>
      </c>
      <c r="AP446" s="7">
        <f t="shared" si="715"/>
        <v>13.831584279150576</v>
      </c>
      <c r="AQ446" s="7">
        <f t="shared" si="715"/>
        <v>13.910197768329811</v>
      </c>
      <c r="AR446" s="7">
        <f t="shared" si="715"/>
        <v>13.919109867428867</v>
      </c>
      <c r="AS446" s="7">
        <f t="shared" si="715"/>
        <v>13.928043603931654</v>
      </c>
      <c r="AT446" s="7">
        <f t="shared" si="715"/>
        <v>13.936997450790322</v>
      </c>
      <c r="AU446" s="7">
        <f t="shared" si="715"/>
        <v>13.94596986685486</v>
      </c>
      <c r="AV446" s="7">
        <f t="shared" si="715"/>
        <v>13.954959297911284</v>
      </c>
      <c r="AW446" s="7">
        <f t="shared" si="715"/>
        <v>13.963964177739197</v>
      </c>
      <c r="AX446" s="7">
        <f t="shared" si="715"/>
        <v>13.972982929187312</v>
      </c>
      <c r="AY446" s="7">
        <f t="shared" si="715"/>
        <v>13.982013965265256</v>
      </c>
      <c r="AZ446" s="5"/>
      <c r="BA446" s="5"/>
      <c r="BB446" s="5"/>
      <c r="BC446" s="5"/>
      <c r="BD446" s="5"/>
      <c r="BE446" s="5"/>
      <c r="BF446" s="5"/>
      <c r="BG446" s="4">
        <v>440</v>
      </c>
      <c r="BH446"/>
      <c r="BI446"/>
      <c r="BJ446"/>
      <c r="BK446"/>
      <c r="BL446"/>
      <c r="BM446"/>
    </row>
    <row r="447" spans="1:65" s="3" customFormat="1" ht="12.75" customHeight="1" outlineLevel="2">
      <c r="A447" s="6"/>
      <c r="B447" s="16"/>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4">
        <v>441</v>
      </c>
      <c r="BH447"/>
      <c r="BI447"/>
      <c r="BJ447"/>
      <c r="BK447"/>
      <c r="BL447"/>
      <c r="BM447"/>
    </row>
    <row r="448" spans="1:65" s="3" customFormat="1" ht="12.75" customHeight="1" outlineLevel="2">
      <c r="A448" s="6"/>
      <c r="B448" s="11" t="s">
        <v>24</v>
      </c>
      <c r="C448" s="7"/>
      <c r="D448" s="7"/>
      <c r="E448" s="7"/>
      <c r="F448" s="7">
        <f t="shared" ref="F448:N448" si="717">F279</f>
        <v>0</v>
      </c>
      <c r="G448" s="7">
        <f t="shared" si="717"/>
        <v>8.4</v>
      </c>
      <c r="H448" s="7">
        <f t="shared" si="717"/>
        <v>11.990999999999998</v>
      </c>
      <c r="I448" s="7">
        <f t="shared" si="717"/>
        <v>11.416</v>
      </c>
      <c r="J448" s="7">
        <f t="shared" si="717"/>
        <v>11.640999999999998</v>
      </c>
      <c r="K448" s="7">
        <f t="shared" si="717"/>
        <v>12.784000000000001</v>
      </c>
      <c r="L448" s="7">
        <f t="shared" si="717"/>
        <v>13.104000000000006</v>
      </c>
      <c r="M448" s="7">
        <f t="shared" si="717"/>
        <v>13.104000000000006</v>
      </c>
      <c r="N448" s="7">
        <f t="shared" si="717"/>
        <v>13.104000000000006</v>
      </c>
      <c r="O448" s="5"/>
      <c r="P448" s="7"/>
      <c r="Q448" s="7"/>
      <c r="R448" s="7"/>
      <c r="S448" s="7"/>
      <c r="T448" s="7"/>
      <c r="U448" s="7"/>
      <c r="V448" s="7"/>
      <c r="W448" s="7"/>
      <c r="X448" s="7">
        <f t="shared" ref="X448:AM448" si="718">SUM(X279:X279)</f>
        <v>2.9510000000000001</v>
      </c>
      <c r="Y448" s="7">
        <f t="shared" si="718"/>
        <v>2.9470000000000001</v>
      </c>
      <c r="Z448" s="7">
        <f t="shared" si="718"/>
        <v>2.91</v>
      </c>
      <c r="AA448" s="7">
        <f t="shared" si="718"/>
        <v>3.1829999999999981</v>
      </c>
      <c r="AB448" s="7">
        <f t="shared" si="718"/>
        <v>2.9929999999999999</v>
      </c>
      <c r="AC448" s="7">
        <f t="shared" si="718"/>
        <v>2.6570000000000005</v>
      </c>
      <c r="AD448" s="7">
        <f t="shared" si="718"/>
        <v>2.9360000000000004</v>
      </c>
      <c r="AE448" s="7">
        <f t="shared" si="718"/>
        <v>2.8300000000000005</v>
      </c>
      <c r="AF448" s="7">
        <f t="shared" si="718"/>
        <v>2.827</v>
      </c>
      <c r="AG448" s="7">
        <f t="shared" si="718"/>
        <v>2.9180000000000001</v>
      </c>
      <c r="AH448" s="7">
        <f t="shared" si="718"/>
        <v>2.726</v>
      </c>
      <c r="AI448" s="7">
        <f t="shared" si="718"/>
        <v>3.169999999999999</v>
      </c>
      <c r="AJ448" s="7">
        <f t="shared" si="718"/>
        <v>3.13</v>
      </c>
      <c r="AK448" s="7">
        <f t="shared" si="718"/>
        <v>3.1749999999999998</v>
      </c>
      <c r="AL448" s="7">
        <f t="shared" si="718"/>
        <v>3.2029999999999994</v>
      </c>
      <c r="AM448" s="7">
        <f t="shared" si="718"/>
        <v>3.2760000000000016</v>
      </c>
      <c r="AN448" s="23">
        <f t="shared" ref="AN448:AY448" si="719">AM448</f>
        <v>3.2760000000000016</v>
      </c>
      <c r="AO448" s="23">
        <f t="shared" si="719"/>
        <v>3.2760000000000016</v>
      </c>
      <c r="AP448" s="23">
        <f t="shared" si="719"/>
        <v>3.2760000000000016</v>
      </c>
      <c r="AQ448" s="23">
        <f t="shared" si="719"/>
        <v>3.2760000000000016</v>
      </c>
      <c r="AR448" s="23">
        <f t="shared" si="719"/>
        <v>3.2760000000000016</v>
      </c>
      <c r="AS448" s="23">
        <f t="shared" si="719"/>
        <v>3.2760000000000016</v>
      </c>
      <c r="AT448" s="23">
        <f t="shared" si="719"/>
        <v>3.2760000000000016</v>
      </c>
      <c r="AU448" s="23">
        <f t="shared" si="719"/>
        <v>3.2760000000000016</v>
      </c>
      <c r="AV448" s="23">
        <f t="shared" si="719"/>
        <v>3.2760000000000016</v>
      </c>
      <c r="AW448" s="23">
        <f t="shared" si="719"/>
        <v>3.2760000000000016</v>
      </c>
      <c r="AX448" s="23">
        <f t="shared" si="719"/>
        <v>3.2760000000000016</v>
      </c>
      <c r="AY448" s="23">
        <f t="shared" si="719"/>
        <v>3.2760000000000016</v>
      </c>
      <c r="AZ448" s="5"/>
      <c r="BA448" s="5"/>
      <c r="BB448" s="5"/>
      <c r="BC448" s="5"/>
      <c r="BD448" s="5"/>
      <c r="BE448" s="5"/>
      <c r="BF448" s="5"/>
      <c r="BG448" s="4">
        <v>442</v>
      </c>
      <c r="BH448"/>
      <c r="BI448"/>
      <c r="BJ448"/>
      <c r="BK448"/>
      <c r="BL448"/>
      <c r="BM448"/>
    </row>
    <row r="449" spans="1:65" s="3" customFormat="1" ht="12.75" customHeight="1" outlineLevel="2">
      <c r="A449" s="6"/>
      <c r="B449" s="11" t="s">
        <v>23</v>
      </c>
      <c r="C449" s="7"/>
      <c r="D449" s="7"/>
      <c r="E449" s="7"/>
      <c r="F449" s="7"/>
      <c r="G449" s="19">
        <f t="shared" ref="G449:N449" si="720">G448/F293</f>
        <v>21.932114882506529</v>
      </c>
      <c r="H449" s="19">
        <f t="shared" si="720"/>
        <v>0.11287134304755447</v>
      </c>
      <c r="I449" s="19">
        <f t="shared" si="720"/>
        <v>0.11328880905834135</v>
      </c>
      <c r="J449" s="19">
        <f t="shared" si="720"/>
        <v>0.12065462987914842</v>
      </c>
      <c r="K449" s="19">
        <f t="shared" si="720"/>
        <v>0.13408711886806307</v>
      </c>
      <c r="L449" s="19">
        <f t="shared" si="720"/>
        <v>0.14049834884419099</v>
      </c>
      <c r="M449" s="19">
        <f t="shared" si="720"/>
        <v>0.16346489696122954</v>
      </c>
      <c r="N449" s="19">
        <f t="shared" si="720"/>
        <v>0.19540709812108559</v>
      </c>
      <c r="O449" s="5"/>
      <c r="P449" s="7"/>
      <c r="Q449" s="7"/>
      <c r="R449" s="7"/>
      <c r="S449" s="7"/>
      <c r="T449" s="7"/>
      <c r="U449" s="7"/>
      <c r="V449" s="7"/>
      <c r="W449" s="7"/>
      <c r="X449" s="19">
        <f t="shared" ref="X449:AY449" si="721">X448/W293</f>
        <v>2.7777777777777776E-2</v>
      </c>
      <c r="Y449" s="19">
        <f t="shared" si="721"/>
        <v>2.8093154498050544E-2</v>
      </c>
      <c r="Z449" s="19">
        <f t="shared" si="721"/>
        <v>2.8095582910934107E-2</v>
      </c>
      <c r="AA449" s="19">
        <f t="shared" si="721"/>
        <v>3.1122887984981206E-2</v>
      </c>
      <c r="AB449" s="19">
        <f t="shared" si="721"/>
        <v>2.9701594736476492E-2</v>
      </c>
      <c r="AC449" s="19">
        <f t="shared" si="721"/>
        <v>2.67126455271148E-2</v>
      </c>
      <c r="AD449" s="19">
        <f t="shared" si="721"/>
        <v>2.980680399183765E-2</v>
      </c>
      <c r="AE449" s="19">
        <f t="shared" si="721"/>
        <v>2.9065587576772186E-2</v>
      </c>
      <c r="AF449" s="19">
        <f t="shared" si="721"/>
        <v>2.9300802222176157E-2</v>
      </c>
      <c r="AG449" s="19">
        <f t="shared" si="721"/>
        <v>3.0601757660926654E-2</v>
      </c>
      <c r="AH449" s="19">
        <f t="shared" si="721"/>
        <v>2.898242555046408E-2</v>
      </c>
      <c r="AI449" s="19">
        <f t="shared" si="721"/>
        <v>3.3585489373424017E-2</v>
      </c>
      <c r="AJ449" s="19">
        <f t="shared" si="721"/>
        <v>3.2829527695325204E-2</v>
      </c>
      <c r="AK449" s="19">
        <f t="shared" si="721"/>
        <v>3.3709893190070707E-2</v>
      </c>
      <c r="AL449" s="19">
        <f t="shared" si="721"/>
        <v>3.4618045047771384E-2</v>
      </c>
      <c r="AM449" s="19">
        <f t="shared" si="721"/>
        <v>3.4399479177604657E-2</v>
      </c>
      <c r="AN449" s="19">
        <f t="shared" si="721"/>
        <v>3.5124587211047748E-2</v>
      </c>
      <c r="AO449" s="19">
        <f t="shared" si="721"/>
        <v>3.6403235843186076E-2</v>
      </c>
      <c r="AP449" s="19">
        <f t="shared" si="721"/>
        <v>3.7778495318049742E-2</v>
      </c>
      <c r="AQ449" s="19">
        <f t="shared" si="721"/>
        <v>3.9261744966442969E-2</v>
      </c>
      <c r="AR449" s="19">
        <f t="shared" si="721"/>
        <v>4.0866224240307385E-2</v>
      </c>
      <c r="AS449" s="19">
        <f t="shared" si="721"/>
        <v>4.2607428987618365E-2</v>
      </c>
      <c r="AT449" s="19">
        <f t="shared" si="721"/>
        <v>4.4503613541270449E-2</v>
      </c>
      <c r="AU449" s="19">
        <f t="shared" si="721"/>
        <v>4.6576433121019112E-2</v>
      </c>
      <c r="AV449" s="19">
        <f t="shared" si="721"/>
        <v>4.8851774530271397E-2</v>
      </c>
      <c r="AW449" s="19">
        <f t="shared" si="721"/>
        <v>5.1360842844600532E-2</v>
      </c>
      <c r="AX449" s="19">
        <f t="shared" si="721"/>
        <v>5.4141601110596953E-2</v>
      </c>
      <c r="AY449" s="19">
        <f t="shared" si="721"/>
        <v>5.7240704500978477E-2</v>
      </c>
      <c r="AZ449" s="5"/>
      <c r="BA449" s="5"/>
      <c r="BB449" s="5"/>
      <c r="BC449" s="5"/>
      <c r="BD449" s="5"/>
      <c r="BE449" s="5"/>
      <c r="BF449" s="5"/>
      <c r="BG449" s="4">
        <v>443</v>
      </c>
      <c r="BH449"/>
      <c r="BI449"/>
      <c r="BJ449"/>
      <c r="BK449"/>
      <c r="BL449"/>
      <c r="BM449"/>
    </row>
    <row r="450" spans="1:65" s="3" customFormat="1" ht="12.75" customHeight="1" outlineLevel="2">
      <c r="A450" s="6"/>
      <c r="B450" s="11"/>
      <c r="C450" s="7"/>
      <c r="D450" s="7"/>
      <c r="E450" s="7"/>
      <c r="F450" s="7"/>
      <c r="G450" s="19"/>
      <c r="H450" s="19"/>
      <c r="I450" s="19"/>
      <c r="J450" s="19"/>
      <c r="K450" s="19"/>
      <c r="L450" s="19"/>
      <c r="M450" s="19"/>
      <c r="N450" s="19"/>
      <c r="O450" s="5"/>
      <c r="P450" s="7"/>
      <c r="Q450" s="7"/>
      <c r="R450" s="7"/>
      <c r="S450" s="7"/>
      <c r="T450" s="7"/>
      <c r="U450" s="7"/>
      <c r="V450" s="7"/>
      <c r="W450" s="7"/>
      <c r="X450" s="19"/>
      <c r="Y450" s="18"/>
      <c r="Z450" s="18"/>
      <c r="AA450" s="18"/>
      <c r="AB450" s="18"/>
      <c r="AC450" s="18"/>
      <c r="AD450" s="18"/>
      <c r="AE450" s="18"/>
      <c r="AF450" s="18"/>
      <c r="AG450" s="18"/>
      <c r="AH450" s="18"/>
      <c r="AI450" s="18"/>
      <c r="AJ450" s="18"/>
      <c r="AK450" s="18"/>
      <c r="AL450" s="18"/>
      <c r="AM450" s="18"/>
      <c r="AN450" s="5"/>
      <c r="AO450" s="5"/>
      <c r="AP450" s="5"/>
      <c r="AQ450" s="5"/>
      <c r="AR450" s="5"/>
      <c r="AS450" s="5"/>
      <c r="AT450" s="5"/>
      <c r="AU450" s="5"/>
      <c r="AV450" s="5"/>
      <c r="AW450" s="5"/>
      <c r="AX450" s="5"/>
      <c r="AY450" s="5"/>
      <c r="AZ450" s="5"/>
      <c r="BA450" s="5"/>
      <c r="BB450" s="5"/>
      <c r="BC450" s="5"/>
      <c r="BD450" s="5"/>
      <c r="BE450" s="5"/>
      <c r="BF450" s="5"/>
      <c r="BG450" s="4">
        <v>444</v>
      </c>
      <c r="BH450"/>
      <c r="BI450"/>
      <c r="BJ450"/>
      <c r="BK450"/>
      <c r="BL450"/>
      <c r="BM450"/>
    </row>
    <row r="451" spans="1:65" s="3" customFormat="1" ht="12.75" customHeight="1" outlineLevel="1">
      <c r="A451" s="6" t="s">
        <v>0</v>
      </c>
      <c r="B451" s="17" t="s">
        <v>22</v>
      </c>
      <c r="C451" s="7"/>
      <c r="D451" s="7"/>
      <c r="E451" s="7"/>
      <c r="F451" s="7"/>
      <c r="G451" s="19"/>
      <c r="H451" s="19"/>
      <c r="I451" s="19"/>
      <c r="J451" s="19"/>
      <c r="K451" s="19"/>
      <c r="L451" s="19"/>
      <c r="M451" s="19"/>
      <c r="N451" s="19"/>
      <c r="O451" s="5"/>
      <c r="P451" s="7"/>
      <c r="Q451" s="7"/>
      <c r="R451" s="7"/>
      <c r="S451" s="7"/>
      <c r="T451" s="7"/>
      <c r="U451" s="7"/>
      <c r="V451" s="7"/>
      <c r="W451" s="7"/>
      <c r="X451" s="19"/>
      <c r="Y451" s="18"/>
      <c r="Z451" s="18"/>
      <c r="AA451" s="18"/>
      <c r="AB451" s="18"/>
      <c r="AC451" s="18"/>
      <c r="AD451" s="18"/>
      <c r="AE451" s="18"/>
      <c r="AF451" s="18"/>
      <c r="AG451" s="18"/>
      <c r="AH451" s="18"/>
      <c r="AI451" s="18"/>
      <c r="AJ451" s="18"/>
      <c r="AK451" s="18"/>
      <c r="AL451" s="18"/>
      <c r="AM451" s="18"/>
      <c r="AN451" s="5"/>
      <c r="AO451" s="5"/>
      <c r="AP451" s="5"/>
      <c r="AQ451" s="5"/>
      <c r="AR451" s="5"/>
      <c r="AS451" s="5"/>
      <c r="AT451" s="5"/>
      <c r="AU451" s="5"/>
      <c r="AV451" s="5"/>
      <c r="AW451" s="5"/>
      <c r="AX451" s="5"/>
      <c r="AY451" s="5"/>
      <c r="AZ451" s="5"/>
      <c r="BA451" s="5"/>
      <c r="BB451" s="5"/>
      <c r="BC451" s="5"/>
      <c r="BD451" s="5"/>
      <c r="BE451" s="5"/>
      <c r="BF451" s="5"/>
      <c r="BG451" s="4">
        <v>445</v>
      </c>
      <c r="BH451"/>
      <c r="BI451"/>
      <c r="BJ451"/>
      <c r="BK451"/>
      <c r="BL451"/>
      <c r="BM451"/>
    </row>
    <row r="452" spans="1:65" s="3" customFormat="1" ht="12.75" customHeight="1" outlineLevel="2">
      <c r="A452" s="6"/>
      <c r="B452" s="11" t="s">
        <v>21</v>
      </c>
      <c r="C452" s="7"/>
      <c r="D452" s="7"/>
      <c r="E452" s="7"/>
      <c r="F452" s="7"/>
      <c r="G452" s="19"/>
      <c r="H452" s="19"/>
      <c r="I452" s="19"/>
      <c r="J452" s="19"/>
      <c r="K452" s="19"/>
      <c r="L452" s="19"/>
      <c r="M452" s="19"/>
      <c r="N452" s="19"/>
      <c r="O452" s="5"/>
      <c r="P452" s="7"/>
      <c r="Q452" s="7"/>
      <c r="R452" s="7"/>
      <c r="S452" s="7"/>
      <c r="T452" s="7"/>
      <c r="U452" s="7"/>
      <c r="V452" s="7"/>
      <c r="W452" s="7"/>
      <c r="X452" s="19"/>
      <c r="Y452" s="18"/>
      <c r="Z452" s="18"/>
      <c r="AA452" s="18"/>
      <c r="AB452" s="18"/>
      <c r="AC452" s="18"/>
      <c r="AD452" s="18"/>
      <c r="AE452" s="18"/>
      <c r="AF452" s="18"/>
      <c r="AG452" s="18"/>
      <c r="AH452" s="18"/>
      <c r="AI452" s="18"/>
      <c r="AJ452" s="18"/>
      <c r="AK452" s="18"/>
      <c r="AL452" s="18"/>
      <c r="AM452" s="18"/>
      <c r="AN452" s="5"/>
      <c r="AO452" s="20">
        <f>+AO454-AO453</f>
        <v>2300</v>
      </c>
      <c r="AP452" s="5"/>
      <c r="AQ452" s="5"/>
      <c r="AR452" s="5"/>
      <c r="AS452" s="5"/>
      <c r="AT452" s="5"/>
      <c r="AU452" s="5"/>
      <c r="AV452" s="5"/>
      <c r="AW452" s="5"/>
      <c r="AX452" s="5"/>
      <c r="AY452" s="5"/>
      <c r="AZ452" s="5"/>
      <c r="BA452" s="5"/>
      <c r="BB452" s="5"/>
      <c r="BC452" s="5"/>
      <c r="BD452" s="5"/>
      <c r="BE452" s="5"/>
      <c r="BF452" s="5"/>
      <c r="BG452" s="4">
        <v>446</v>
      </c>
      <c r="BH452"/>
      <c r="BI452"/>
      <c r="BJ452"/>
      <c r="BK452"/>
      <c r="BL452"/>
      <c r="BM452"/>
    </row>
    <row r="453" spans="1:65" s="3" customFormat="1" ht="12.75" customHeight="1" outlineLevel="2">
      <c r="A453" s="6"/>
      <c r="B453" s="11" t="s">
        <v>20</v>
      </c>
      <c r="C453" s="7"/>
      <c r="D453" s="7"/>
      <c r="E453" s="7"/>
      <c r="F453" s="7"/>
      <c r="G453" s="19"/>
      <c r="H453" s="19"/>
      <c r="I453" s="19"/>
      <c r="J453" s="19"/>
      <c r="K453" s="19"/>
      <c r="L453" s="19"/>
      <c r="M453" s="19"/>
      <c r="N453" s="19"/>
      <c r="O453" s="5"/>
      <c r="P453" s="7"/>
      <c r="Q453" s="7"/>
      <c r="R453" s="7"/>
      <c r="S453" s="7"/>
      <c r="T453" s="7"/>
      <c r="U453" s="7"/>
      <c r="V453" s="7"/>
      <c r="W453" s="7"/>
      <c r="X453" s="19"/>
      <c r="Y453" s="18"/>
      <c r="Z453" s="18"/>
      <c r="AA453" s="18"/>
      <c r="AB453" s="18"/>
      <c r="AC453" s="18"/>
      <c r="AD453" s="18"/>
      <c r="AE453" s="18"/>
      <c r="AF453" s="18"/>
      <c r="AG453" s="18"/>
      <c r="AH453" s="18"/>
      <c r="AI453" s="18"/>
      <c r="AJ453" s="18"/>
      <c r="AK453" s="18"/>
      <c r="AL453" s="18"/>
      <c r="AM453" s="18"/>
      <c r="AN453" s="5"/>
      <c r="AO453" s="20">
        <v>800</v>
      </c>
      <c r="AP453" s="5"/>
      <c r="AQ453" s="5"/>
      <c r="AR453" s="5"/>
      <c r="AS453" s="5"/>
      <c r="AT453" s="5"/>
      <c r="AU453" s="5"/>
      <c r="AV453" s="5"/>
      <c r="AW453" s="5"/>
      <c r="AX453" s="5"/>
      <c r="AY453" s="5"/>
      <c r="AZ453" s="5"/>
      <c r="BA453" s="5"/>
      <c r="BB453" s="5"/>
      <c r="BC453" s="5"/>
      <c r="BD453" s="5"/>
      <c r="BE453" s="5"/>
      <c r="BF453" s="5"/>
      <c r="BG453" s="4">
        <v>447</v>
      </c>
      <c r="BH453"/>
      <c r="BI453"/>
      <c r="BJ453"/>
      <c r="BK453"/>
      <c r="BL453"/>
      <c r="BM453"/>
    </row>
    <row r="454" spans="1:65" s="3" customFormat="1" ht="12.75" customHeight="1" outlineLevel="2">
      <c r="A454" s="6"/>
      <c r="B454" s="11" t="s">
        <v>19</v>
      </c>
      <c r="C454" s="7"/>
      <c r="D454" s="7"/>
      <c r="E454" s="7"/>
      <c r="F454" s="7"/>
      <c r="G454" s="19"/>
      <c r="H454" s="19"/>
      <c r="I454" s="19"/>
      <c r="J454" s="19"/>
      <c r="K454" s="19"/>
      <c r="L454" s="19"/>
      <c r="M454" s="19"/>
      <c r="N454" s="19"/>
      <c r="O454" s="5"/>
      <c r="P454" s="7"/>
      <c r="Q454" s="7"/>
      <c r="R454" s="7"/>
      <c r="S454" s="7"/>
      <c r="T454" s="7"/>
      <c r="U454" s="7"/>
      <c r="V454" s="7"/>
      <c r="W454" s="7"/>
      <c r="X454" s="19"/>
      <c r="Y454" s="18"/>
      <c r="Z454" s="18"/>
      <c r="AA454" s="18"/>
      <c r="AB454" s="18"/>
      <c r="AC454" s="18"/>
      <c r="AD454" s="18"/>
      <c r="AE454" s="18"/>
      <c r="AF454" s="18"/>
      <c r="AG454" s="18"/>
      <c r="AH454" s="18"/>
      <c r="AI454" s="18"/>
      <c r="AJ454" s="18"/>
      <c r="AK454" s="18"/>
      <c r="AL454" s="18"/>
      <c r="AM454" s="18"/>
      <c r="AN454" s="22"/>
      <c r="AO454" s="396">
        <v>3100</v>
      </c>
      <c r="AP454" s="22"/>
      <c r="AQ454" s="5"/>
      <c r="AR454" s="5"/>
      <c r="AS454" s="5"/>
      <c r="AT454" s="5"/>
      <c r="AU454" s="5"/>
      <c r="AV454" s="5"/>
      <c r="AW454" s="5"/>
      <c r="AX454" s="5"/>
      <c r="AY454" s="5"/>
      <c r="AZ454" s="5"/>
      <c r="BA454" s="5"/>
      <c r="BB454" s="5"/>
      <c r="BC454" s="5"/>
      <c r="BD454" s="5"/>
      <c r="BE454" s="5"/>
      <c r="BF454" s="5"/>
      <c r="BG454" s="4">
        <v>448</v>
      </c>
      <c r="BH454"/>
      <c r="BI454"/>
      <c r="BJ454"/>
      <c r="BK454"/>
      <c r="BL454"/>
      <c r="BM454"/>
    </row>
    <row r="455" spans="1:65" s="3" customFormat="1" ht="12.75" customHeight="1" outlineLevel="2">
      <c r="A455" s="6"/>
      <c r="B455" s="11" t="s">
        <v>18</v>
      </c>
      <c r="C455" s="7"/>
      <c r="D455" s="7"/>
      <c r="E455" s="7"/>
      <c r="F455" s="7"/>
      <c r="G455" s="19"/>
      <c r="H455" s="19"/>
      <c r="I455" s="19"/>
      <c r="J455" s="19"/>
      <c r="K455" s="19"/>
      <c r="L455" s="19"/>
      <c r="M455" s="19"/>
      <c r="N455" s="19"/>
      <c r="O455" s="5"/>
      <c r="P455" s="7"/>
      <c r="Q455" s="7"/>
      <c r="R455" s="7"/>
      <c r="S455" s="7"/>
      <c r="T455" s="7"/>
      <c r="U455" s="7"/>
      <c r="V455" s="7"/>
      <c r="W455" s="7"/>
      <c r="X455" s="19"/>
      <c r="Y455" s="18"/>
      <c r="Z455" s="18"/>
      <c r="AA455" s="18"/>
      <c r="AB455" s="18"/>
      <c r="AC455" s="18"/>
      <c r="AD455" s="18"/>
      <c r="AE455" s="18"/>
      <c r="AF455" s="18"/>
      <c r="AG455" s="18"/>
      <c r="AH455" s="18"/>
      <c r="AI455" s="18"/>
      <c r="AJ455" s="18"/>
      <c r="AK455" s="18"/>
      <c r="AL455" s="18"/>
      <c r="AM455" s="18"/>
      <c r="AN455" s="5"/>
      <c r="AO455" s="21">
        <v>0.85</v>
      </c>
      <c r="AP455" s="5"/>
      <c r="AQ455" s="5"/>
      <c r="AR455" s="5"/>
      <c r="AS455" s="5"/>
      <c r="AT455" s="5"/>
      <c r="AU455" s="5"/>
      <c r="AV455" s="5"/>
      <c r="AW455" s="5"/>
      <c r="AX455" s="5"/>
      <c r="AY455" s="5"/>
      <c r="AZ455" s="5"/>
      <c r="BA455" s="5"/>
      <c r="BB455" s="5"/>
      <c r="BC455" s="5"/>
      <c r="BD455" s="5"/>
      <c r="BE455" s="5"/>
      <c r="BF455" s="5"/>
      <c r="BG455" s="4">
        <v>449</v>
      </c>
      <c r="BH455"/>
      <c r="BI455"/>
      <c r="BJ455"/>
      <c r="BK455"/>
      <c r="BL455"/>
      <c r="BM455"/>
    </row>
    <row r="456" spans="1:65" s="3" customFormat="1" ht="12.75" customHeight="1" outlineLevel="2">
      <c r="A456" s="6"/>
      <c r="B456" s="11" t="s">
        <v>17</v>
      </c>
      <c r="C456" s="7"/>
      <c r="D456" s="7"/>
      <c r="E456" s="7"/>
      <c r="F456" s="7"/>
      <c r="G456" s="19"/>
      <c r="H456" s="19"/>
      <c r="I456" s="19"/>
      <c r="J456" s="19"/>
      <c r="K456" s="19"/>
      <c r="L456" s="19"/>
      <c r="M456" s="19"/>
      <c r="N456" s="19"/>
      <c r="O456" s="5"/>
      <c r="P456" s="7"/>
      <c r="Q456" s="7"/>
      <c r="R456" s="7"/>
      <c r="S456" s="7"/>
      <c r="T456" s="7"/>
      <c r="U456" s="7"/>
      <c r="V456" s="7"/>
      <c r="W456" s="7"/>
      <c r="X456" s="19"/>
      <c r="Y456" s="18"/>
      <c r="Z456" s="18"/>
      <c r="AA456" s="18"/>
      <c r="AB456" s="18"/>
      <c r="AC456" s="18"/>
      <c r="AD456" s="18"/>
      <c r="AE456" s="18"/>
      <c r="AF456" s="18"/>
      <c r="AG456" s="18"/>
      <c r="AH456" s="18"/>
      <c r="AI456" s="18"/>
      <c r="AJ456" s="18"/>
      <c r="AK456" s="18"/>
      <c r="AL456" s="18"/>
      <c r="AM456" s="18"/>
      <c r="AN456" s="5"/>
      <c r="AO456" s="20">
        <f>+AO454*AO455</f>
        <v>2635</v>
      </c>
      <c r="AP456" s="5"/>
      <c r="AQ456" s="5"/>
      <c r="AR456" s="5"/>
      <c r="AS456" s="5"/>
      <c r="AT456" s="5"/>
      <c r="AU456" s="5"/>
      <c r="AV456" s="5"/>
      <c r="AW456" s="5"/>
      <c r="AX456" s="5"/>
      <c r="AY456" s="5"/>
      <c r="AZ456" s="5"/>
      <c r="BA456" s="5"/>
      <c r="BB456" s="5"/>
      <c r="BC456" s="5"/>
      <c r="BD456" s="5"/>
      <c r="BE456" s="5"/>
      <c r="BF456" s="5"/>
      <c r="BG456" s="4">
        <v>450</v>
      </c>
      <c r="BH456"/>
      <c r="BI456"/>
      <c r="BJ456"/>
      <c r="BK456"/>
      <c r="BL456"/>
      <c r="BM456"/>
    </row>
    <row r="457" spans="1:65" s="3" customFormat="1" ht="12.75" customHeight="1" outlineLevel="2">
      <c r="A457" s="6"/>
      <c r="B457" s="11" t="s">
        <v>16</v>
      </c>
      <c r="C457" s="7"/>
      <c r="D457" s="7"/>
      <c r="E457" s="7"/>
      <c r="F457" s="7"/>
      <c r="G457" s="19"/>
      <c r="H457" s="19"/>
      <c r="I457" s="19"/>
      <c r="J457" s="19"/>
      <c r="K457" s="19"/>
      <c r="L457" s="19"/>
      <c r="M457" s="19"/>
      <c r="N457" s="19"/>
      <c r="O457" s="5"/>
      <c r="P457" s="7"/>
      <c r="Q457" s="7"/>
      <c r="R457" s="7"/>
      <c r="S457" s="7"/>
      <c r="T457" s="7"/>
      <c r="U457" s="7"/>
      <c r="V457" s="7"/>
      <c r="W457" s="7"/>
      <c r="X457" s="19"/>
      <c r="Y457" s="18"/>
      <c r="Z457" s="18"/>
      <c r="AA457" s="18"/>
      <c r="AB457" s="18"/>
      <c r="AC457" s="18"/>
      <c r="AD457" s="18"/>
      <c r="AE457" s="18"/>
      <c r="AF457" s="18"/>
      <c r="AG457" s="18"/>
      <c r="AH457" s="18"/>
      <c r="AI457" s="18"/>
      <c r="AJ457" s="18"/>
      <c r="AK457" s="18"/>
      <c r="AL457" s="18"/>
      <c r="AM457" s="18"/>
      <c r="AN457" s="5"/>
      <c r="AO457" s="397">
        <f>(AP13-AO13)*4</f>
        <v>1632.4351604135666</v>
      </c>
      <c r="AP457" s="5"/>
      <c r="AQ457" s="5"/>
      <c r="AR457" s="5"/>
      <c r="AS457" s="5"/>
      <c r="AT457" s="5"/>
      <c r="AU457" s="5"/>
      <c r="AV457" s="5"/>
      <c r="AW457" s="5"/>
      <c r="AX457" s="5"/>
      <c r="AY457" s="5"/>
      <c r="AZ457" s="5"/>
      <c r="BA457" s="5"/>
      <c r="BB457" s="5"/>
      <c r="BC457" s="5"/>
      <c r="BD457" s="5"/>
      <c r="BE457" s="5"/>
      <c r="BF457" s="5"/>
      <c r="BG457" s="4">
        <v>451</v>
      </c>
      <c r="BH457"/>
      <c r="BI457"/>
      <c r="BJ457"/>
      <c r="BK457"/>
      <c r="BL457"/>
      <c r="BM457"/>
    </row>
    <row r="458" spans="1:65" s="3" customFormat="1" ht="12.75" customHeight="1" outlineLevel="2">
      <c r="A458" s="6"/>
      <c r="B458" s="11" t="s">
        <v>15</v>
      </c>
      <c r="C458" s="7"/>
      <c r="D458" s="7"/>
      <c r="E458" s="7"/>
      <c r="F458" s="7"/>
      <c r="G458" s="19"/>
      <c r="H458" s="19"/>
      <c r="I458" s="19"/>
      <c r="J458" s="19"/>
      <c r="K458" s="19"/>
      <c r="L458" s="19"/>
      <c r="M458" s="19"/>
      <c r="N458" s="19"/>
      <c r="O458" s="5"/>
      <c r="P458" s="7"/>
      <c r="Q458" s="7"/>
      <c r="R458" s="7"/>
      <c r="S458" s="7"/>
      <c r="T458" s="7"/>
      <c r="U458" s="7"/>
      <c r="V458" s="7"/>
      <c r="W458" s="7"/>
      <c r="X458" s="19"/>
      <c r="Y458" s="18"/>
      <c r="Z458" s="18"/>
      <c r="AA458" s="18"/>
      <c r="AB458" s="18"/>
      <c r="AC458" s="18"/>
      <c r="AD458" s="18"/>
      <c r="AE458" s="18"/>
      <c r="AF458" s="18"/>
      <c r="AG458" s="18"/>
      <c r="AH458" s="18"/>
      <c r="AI458" s="18"/>
      <c r="AJ458" s="18"/>
      <c r="AK458" s="18"/>
      <c r="AL458" s="18"/>
      <c r="AM458" s="18"/>
      <c r="AN458" s="5"/>
      <c r="AO458" s="20">
        <f>+AO338*AO457/365</f>
        <v>235.69426873524176</v>
      </c>
      <c r="AP458" s="5"/>
      <c r="AQ458" s="5"/>
      <c r="AR458" s="5"/>
      <c r="AS458" s="5"/>
      <c r="AT458" s="5"/>
      <c r="AU458" s="5"/>
      <c r="AV458" s="5"/>
      <c r="AW458" s="5"/>
      <c r="AX458" s="5"/>
      <c r="AY458" s="5"/>
      <c r="AZ458" s="5"/>
      <c r="BA458" s="5"/>
      <c r="BB458" s="5"/>
      <c r="BC458" s="5"/>
      <c r="BD458" s="5"/>
      <c r="BE458" s="5"/>
      <c r="BF458" s="5"/>
      <c r="BG458" s="4">
        <v>452</v>
      </c>
      <c r="BH458"/>
      <c r="BI458"/>
      <c r="BJ458"/>
      <c r="BK458"/>
      <c r="BL458"/>
      <c r="BM458"/>
    </row>
    <row r="459" spans="1:65" s="3" customFormat="1" ht="12.75" customHeight="1" outlineLevel="2">
      <c r="A459" s="6"/>
      <c r="B459" s="11" t="s">
        <v>14</v>
      </c>
      <c r="C459" s="7"/>
      <c r="D459" s="7"/>
      <c r="E459" s="7"/>
      <c r="F459" s="7"/>
      <c r="G459" s="19"/>
      <c r="H459" s="19"/>
      <c r="I459" s="19"/>
      <c r="J459" s="19"/>
      <c r="K459" s="19"/>
      <c r="L459" s="19"/>
      <c r="M459" s="19"/>
      <c r="N459" s="19"/>
      <c r="O459" s="5"/>
      <c r="P459" s="7"/>
      <c r="Q459" s="7"/>
      <c r="R459" s="7"/>
      <c r="S459" s="7"/>
      <c r="T459" s="7"/>
      <c r="U459" s="7"/>
      <c r="V459" s="7"/>
      <c r="W459" s="7"/>
      <c r="X459" s="19"/>
      <c r="Y459" s="18"/>
      <c r="Z459" s="18"/>
      <c r="AA459" s="18"/>
      <c r="AB459" s="18"/>
      <c r="AC459" s="18"/>
      <c r="AD459" s="18"/>
      <c r="AE459" s="18"/>
      <c r="AF459" s="18"/>
      <c r="AG459" s="18"/>
      <c r="AH459" s="18"/>
      <c r="AI459" s="18"/>
      <c r="AJ459" s="18"/>
      <c r="AK459" s="18"/>
      <c r="AL459" s="18"/>
      <c r="AM459" s="18"/>
      <c r="AN459" s="5"/>
      <c r="AO459" s="20">
        <f>+AO340*AO457/365</f>
        <v>157.46912520806652</v>
      </c>
      <c r="AP459" s="5"/>
      <c r="AQ459" s="5"/>
      <c r="AR459" s="5"/>
      <c r="AS459" s="5"/>
      <c r="AT459" s="5"/>
      <c r="AU459" s="5"/>
      <c r="AV459" s="5"/>
      <c r="AW459" s="5"/>
      <c r="AX459" s="5"/>
      <c r="AY459" s="5"/>
      <c r="AZ459" s="5"/>
      <c r="BA459" s="5"/>
      <c r="BB459" s="5"/>
      <c r="BC459" s="5"/>
      <c r="BD459" s="5"/>
      <c r="BE459" s="5"/>
      <c r="BF459" s="5"/>
      <c r="BG459" s="4">
        <v>453</v>
      </c>
      <c r="BH459"/>
      <c r="BI459"/>
      <c r="BJ459"/>
      <c r="BK459"/>
      <c r="BL459"/>
      <c r="BM459"/>
    </row>
    <row r="460" spans="1:65" s="3" customFormat="1" ht="12.75" customHeight="1" outlineLevel="2">
      <c r="A460" s="6"/>
      <c r="B460" s="11" t="s">
        <v>13</v>
      </c>
      <c r="C460" s="7"/>
      <c r="D460" s="7"/>
      <c r="E460" s="7"/>
      <c r="F460" s="7"/>
      <c r="G460" s="19"/>
      <c r="H460" s="19"/>
      <c r="I460" s="19"/>
      <c r="J460" s="19"/>
      <c r="K460" s="19"/>
      <c r="L460" s="19"/>
      <c r="M460" s="19"/>
      <c r="N460" s="19"/>
      <c r="O460" s="5"/>
      <c r="P460" s="7"/>
      <c r="Q460" s="7"/>
      <c r="R460" s="7"/>
      <c r="S460" s="7"/>
      <c r="T460" s="7"/>
      <c r="U460" s="7"/>
      <c r="V460" s="7"/>
      <c r="W460" s="7"/>
      <c r="X460" s="19"/>
      <c r="Y460" s="18"/>
      <c r="Z460" s="18"/>
      <c r="AA460" s="18"/>
      <c r="AB460" s="18"/>
      <c r="AC460" s="18"/>
      <c r="AD460" s="18"/>
      <c r="AE460" s="18"/>
      <c r="AF460" s="18"/>
      <c r="AG460" s="18"/>
      <c r="AH460" s="18"/>
      <c r="AI460" s="18"/>
      <c r="AJ460" s="18"/>
      <c r="AK460" s="18"/>
      <c r="AL460" s="18"/>
      <c r="AM460" s="18"/>
      <c r="AN460" s="5"/>
      <c r="AO460" s="20">
        <f>+AO341*AO457/365</f>
        <v>157.70356058333371</v>
      </c>
      <c r="AP460" s="5"/>
      <c r="AQ460" s="5"/>
      <c r="AR460" s="5"/>
      <c r="AS460" s="5"/>
      <c r="AT460" s="5"/>
      <c r="AU460" s="5"/>
      <c r="AV460" s="5"/>
      <c r="AW460" s="5"/>
      <c r="AX460" s="5"/>
      <c r="AY460" s="5"/>
      <c r="AZ460" s="5"/>
      <c r="BA460" s="5"/>
      <c r="BB460" s="5"/>
      <c r="BC460" s="5"/>
      <c r="BD460" s="5"/>
      <c r="BE460" s="5"/>
      <c r="BF460" s="5"/>
      <c r="BG460" s="4">
        <v>454</v>
      </c>
      <c r="BH460"/>
      <c r="BI460"/>
      <c r="BJ460"/>
      <c r="BK460"/>
      <c r="BL460"/>
      <c r="BM460"/>
    </row>
    <row r="461" spans="1:65" s="3" customFormat="1" ht="12.75" customHeight="1" outlineLevel="2">
      <c r="A461" s="6"/>
      <c r="B461" s="11" t="s">
        <v>12</v>
      </c>
      <c r="C461" s="7"/>
      <c r="D461" s="7"/>
      <c r="E461" s="7"/>
      <c r="F461" s="7"/>
      <c r="G461" s="19"/>
      <c r="H461" s="19"/>
      <c r="I461" s="19"/>
      <c r="J461" s="19"/>
      <c r="K461" s="19"/>
      <c r="L461" s="19"/>
      <c r="M461" s="19"/>
      <c r="N461" s="19"/>
      <c r="O461" s="5"/>
      <c r="P461" s="7"/>
      <c r="Q461" s="7"/>
      <c r="R461" s="7"/>
      <c r="S461" s="7"/>
      <c r="T461" s="7"/>
      <c r="U461" s="7"/>
      <c r="V461" s="7"/>
      <c r="W461" s="7"/>
      <c r="X461" s="19"/>
      <c r="Y461" s="18"/>
      <c r="Z461" s="18"/>
      <c r="AA461" s="18"/>
      <c r="AB461" s="18"/>
      <c r="AC461" s="18"/>
      <c r="AD461" s="18"/>
      <c r="AE461" s="18"/>
      <c r="AF461" s="18"/>
      <c r="AG461" s="18"/>
      <c r="AH461" s="18"/>
      <c r="AI461" s="18"/>
      <c r="AJ461" s="18"/>
      <c r="AK461" s="18"/>
      <c r="AL461" s="18"/>
      <c r="AM461" s="18"/>
      <c r="AN461" s="5"/>
      <c r="AO461" s="20">
        <f>+AO456+AO458+AO459-AO460</f>
        <v>2870.4598333599743</v>
      </c>
      <c r="AP461" s="5"/>
      <c r="AQ461" s="5"/>
      <c r="AR461" s="5"/>
      <c r="AS461" s="5"/>
      <c r="AT461" s="5"/>
      <c r="AU461" s="5"/>
      <c r="AV461" s="5"/>
      <c r="AW461" s="5"/>
      <c r="AX461" s="5"/>
      <c r="AY461" s="5"/>
      <c r="AZ461" s="5"/>
      <c r="BA461" s="5"/>
      <c r="BB461" s="5"/>
      <c r="BC461" s="5"/>
      <c r="BD461" s="5"/>
      <c r="BE461" s="5"/>
      <c r="BF461" s="5"/>
      <c r="BG461" s="4">
        <v>455</v>
      </c>
      <c r="BH461"/>
      <c r="BI461"/>
      <c r="BJ461"/>
      <c r="BK461"/>
      <c r="BL461"/>
      <c r="BM461"/>
    </row>
    <row r="462" spans="1:65" s="3" customFormat="1" ht="12.75" customHeight="1" outlineLevel="2">
      <c r="A462" s="6"/>
      <c r="B462" s="11" t="s">
        <v>11</v>
      </c>
      <c r="C462" s="7"/>
      <c r="D462" s="7"/>
      <c r="E462" s="7"/>
      <c r="F462" s="7"/>
      <c r="G462" s="19"/>
      <c r="H462" s="19"/>
      <c r="I462" s="19"/>
      <c r="J462" s="19"/>
      <c r="K462" s="19"/>
      <c r="L462" s="19"/>
      <c r="M462" s="19"/>
      <c r="N462" s="19"/>
      <c r="O462" s="5"/>
      <c r="P462" s="7"/>
      <c r="Q462" s="7"/>
      <c r="R462" s="7"/>
      <c r="S462" s="7"/>
      <c r="T462" s="7"/>
      <c r="U462" s="7"/>
      <c r="V462" s="7"/>
      <c r="W462" s="7"/>
      <c r="X462" s="19"/>
      <c r="Y462" s="18"/>
      <c r="Z462" s="18"/>
      <c r="AA462" s="18"/>
      <c r="AB462" s="18"/>
      <c r="AC462" s="18"/>
      <c r="AD462" s="18"/>
      <c r="AE462" s="18"/>
      <c r="AF462" s="18"/>
      <c r="AG462" s="18"/>
      <c r="AH462" s="18"/>
      <c r="AI462" s="18"/>
      <c r="AJ462" s="18"/>
      <c r="AK462" s="18"/>
      <c r="AL462" s="18"/>
      <c r="AM462" s="18"/>
      <c r="AN462" s="5"/>
      <c r="AO462" s="20">
        <f>+AO454-AO461</f>
        <v>229.54016664002575</v>
      </c>
      <c r="AP462" s="5"/>
      <c r="AQ462" s="5"/>
      <c r="AR462" s="5"/>
      <c r="AS462" s="5"/>
      <c r="AT462" s="5"/>
      <c r="AU462" s="5"/>
      <c r="AV462" s="5"/>
      <c r="AW462" s="5"/>
      <c r="AX462" s="5"/>
      <c r="AY462" s="5"/>
      <c r="AZ462" s="5"/>
      <c r="BA462" s="5"/>
      <c r="BB462" s="5"/>
      <c r="BC462" s="5"/>
      <c r="BD462" s="5"/>
      <c r="BE462" s="5"/>
      <c r="BF462" s="5"/>
      <c r="BG462" s="4">
        <v>456</v>
      </c>
      <c r="BH462"/>
      <c r="BI462"/>
      <c r="BJ462"/>
      <c r="BK462"/>
      <c r="BL462"/>
      <c r="BM462"/>
    </row>
    <row r="463" spans="1:65" s="3" customFormat="1" ht="12.75" customHeight="1" outlineLevel="2">
      <c r="A463" s="6"/>
      <c r="B463" s="11"/>
      <c r="C463" s="7"/>
      <c r="D463" s="7"/>
      <c r="E463" s="7"/>
      <c r="F463" s="7"/>
      <c r="G463" s="19"/>
      <c r="H463" s="19"/>
      <c r="I463" s="19"/>
      <c r="J463" s="19"/>
      <c r="K463" s="19"/>
      <c r="L463" s="19"/>
      <c r="M463" s="19"/>
      <c r="N463" s="19"/>
      <c r="O463" s="5"/>
      <c r="P463" s="7"/>
      <c r="Q463" s="7"/>
      <c r="R463" s="7"/>
      <c r="S463" s="7"/>
      <c r="T463" s="7"/>
      <c r="U463" s="7"/>
      <c r="V463" s="7"/>
      <c r="W463" s="7"/>
      <c r="X463" s="19"/>
      <c r="Y463" s="18"/>
      <c r="Z463" s="18"/>
      <c r="AA463" s="18"/>
      <c r="AB463" s="18"/>
      <c r="AC463" s="18"/>
      <c r="AD463" s="18"/>
      <c r="AE463" s="18"/>
      <c r="AF463" s="18"/>
      <c r="AG463" s="18"/>
      <c r="AH463" s="18"/>
      <c r="AI463" s="18"/>
      <c r="AJ463" s="18"/>
      <c r="AK463" s="18"/>
      <c r="AL463" s="18"/>
      <c r="AM463" s="18"/>
      <c r="AN463" s="5"/>
      <c r="AO463" s="5"/>
      <c r="AP463" s="5"/>
      <c r="AQ463" s="5"/>
      <c r="AR463" s="5"/>
      <c r="AS463" s="5"/>
      <c r="AT463" s="5"/>
      <c r="AU463" s="5"/>
      <c r="AV463" s="5"/>
      <c r="AW463" s="5"/>
      <c r="AX463" s="5"/>
      <c r="AY463" s="5"/>
      <c r="AZ463" s="5"/>
      <c r="BA463" s="5"/>
      <c r="BB463" s="5"/>
      <c r="BC463" s="5"/>
      <c r="BD463" s="5"/>
      <c r="BE463" s="5"/>
      <c r="BF463" s="5"/>
      <c r="BG463" s="4">
        <v>457</v>
      </c>
      <c r="BH463"/>
      <c r="BI463"/>
      <c r="BJ463"/>
      <c r="BK463"/>
      <c r="BL463"/>
      <c r="BM463"/>
    </row>
    <row r="464" spans="1:65" s="3" customFormat="1" ht="12.75" customHeight="1" outlineLevel="1">
      <c r="A464" s="6" t="s">
        <v>0</v>
      </c>
      <c r="B464" s="17" t="s">
        <v>10</v>
      </c>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4">
        <v>458</v>
      </c>
      <c r="BH464"/>
      <c r="BI464"/>
      <c r="BJ464"/>
      <c r="BK464"/>
      <c r="BL464"/>
      <c r="BM464"/>
    </row>
    <row r="465" spans="1:65" s="3" customFormat="1" ht="11.25" outlineLevel="2">
      <c r="A465" s="2"/>
      <c r="B465" s="16" t="s">
        <v>9</v>
      </c>
      <c r="C465" s="14">
        <f>D465</f>
        <v>0.36159999999999998</v>
      </c>
      <c r="D465" s="14">
        <f>E465</f>
        <v>0.36159999999999998</v>
      </c>
      <c r="E465" s="14">
        <f>F465</f>
        <v>0.36159999999999998</v>
      </c>
      <c r="F465" s="13">
        <f>0.35+0.011+0.0006</f>
        <v>0.36159999999999998</v>
      </c>
      <c r="G465" s="13">
        <f>0.35+0.022+0.014</f>
        <v>0.38600000000000001</v>
      </c>
      <c r="H465" s="13">
        <v>0.375</v>
      </c>
      <c r="I465" s="13">
        <v>0.375</v>
      </c>
      <c r="J465" s="13">
        <v>0.375</v>
      </c>
      <c r="K465" s="13">
        <v>0.375</v>
      </c>
      <c r="L465" s="13">
        <v>0.24</v>
      </c>
      <c r="M465" s="13">
        <v>0.24</v>
      </c>
      <c r="N465" s="13">
        <v>0.24</v>
      </c>
      <c r="P465" s="15"/>
      <c r="Q465" s="15"/>
      <c r="R465" s="15"/>
      <c r="S465" s="15"/>
      <c r="T465" s="14">
        <f>$G$465</f>
        <v>0.38600000000000001</v>
      </c>
      <c r="U465" s="14">
        <f>$G$465</f>
        <v>0.38600000000000001</v>
      </c>
      <c r="V465" s="13"/>
      <c r="W465" s="13"/>
      <c r="X465" s="13">
        <v>0.375</v>
      </c>
      <c r="Y465" s="13">
        <v>0.375</v>
      </c>
      <c r="Z465" s="13">
        <v>0.375</v>
      </c>
      <c r="AA465" s="13">
        <v>0.375</v>
      </c>
      <c r="AB465" s="13">
        <v>0.375</v>
      </c>
      <c r="AC465" s="13">
        <v>0.375</v>
      </c>
      <c r="AD465" s="13">
        <v>0.375</v>
      </c>
      <c r="AE465" s="13">
        <v>0.375</v>
      </c>
      <c r="AF465" s="13">
        <v>0.375</v>
      </c>
      <c r="AG465" s="13">
        <v>0.375</v>
      </c>
      <c r="AH465" s="13">
        <v>0.375</v>
      </c>
      <c r="AI465" s="13">
        <v>0.375</v>
      </c>
      <c r="AJ465" s="13">
        <v>0.375</v>
      </c>
      <c r="AK465" s="13">
        <v>0.375</v>
      </c>
      <c r="AL465" s="13">
        <v>0.375</v>
      </c>
      <c r="AM465" s="13">
        <v>0.375</v>
      </c>
      <c r="AN465" s="13">
        <v>0.24</v>
      </c>
      <c r="AO465" s="13">
        <v>0.24</v>
      </c>
      <c r="AP465" s="13">
        <v>0.24</v>
      </c>
      <c r="AQ465" s="13">
        <v>0.24</v>
      </c>
      <c r="AR465" s="13">
        <v>0.24</v>
      </c>
      <c r="AS465" s="13">
        <v>0.24</v>
      </c>
      <c r="AT465" s="13">
        <v>0.24</v>
      </c>
      <c r="AU465" s="13">
        <v>0.24</v>
      </c>
      <c r="AV465" s="13">
        <v>0.24</v>
      </c>
      <c r="AW465" s="13">
        <v>0.24</v>
      </c>
      <c r="AX465" s="13">
        <v>0.24</v>
      </c>
      <c r="AY465" s="13">
        <v>0.24</v>
      </c>
      <c r="BG465" s="4">
        <v>459</v>
      </c>
      <c r="BH465"/>
      <c r="BI465"/>
      <c r="BJ465"/>
      <c r="BK465"/>
      <c r="BL465"/>
      <c r="BM465"/>
    </row>
    <row r="466" spans="1:65" s="3" customFormat="1" ht="12.75" customHeight="1" outlineLevel="2">
      <c r="A466" s="2"/>
      <c r="B466" s="11" t="s">
        <v>8</v>
      </c>
      <c r="C466" s="12">
        <f t="shared" ref="C466:N466" si="722">C415</f>
        <v>26.062999999999999</v>
      </c>
      <c r="D466" s="12">
        <f t="shared" si="722"/>
        <v>-335.29599999999999</v>
      </c>
      <c r="E466" s="12">
        <f t="shared" si="722"/>
        <v>-451.04900000000004</v>
      </c>
      <c r="F466" s="12">
        <f t="shared" si="722"/>
        <v>-289.53799999999995</v>
      </c>
      <c r="G466" s="12">
        <f t="shared" si="722"/>
        <v>-168.37900000000002</v>
      </c>
      <c r="H466" s="12">
        <f t="shared" si="722"/>
        <v>30.981999999999942</v>
      </c>
      <c r="I466" s="12">
        <f t="shared" si="722"/>
        <v>-61.216000000000022</v>
      </c>
      <c r="J466" s="12">
        <f t="shared" si="722"/>
        <v>251.04699999999997</v>
      </c>
      <c r="K466" s="12">
        <f t="shared" si="722"/>
        <v>319.92399999999998</v>
      </c>
      <c r="L466" s="12">
        <f t="shared" si="722"/>
        <v>2923.1925588619847</v>
      </c>
      <c r="M466" s="12">
        <f t="shared" si="722"/>
        <v>3217.5296469312375</v>
      </c>
      <c r="N466" s="12">
        <f t="shared" si="722"/>
        <v>3529.2497735670077</v>
      </c>
      <c r="P466" s="5"/>
      <c r="Q466" s="5"/>
      <c r="R466" s="5"/>
      <c r="S466" s="5"/>
      <c r="X466" s="12">
        <f t="shared" ref="X466:AY466" si="723">X415</f>
        <v>-134.06700000000009</v>
      </c>
      <c r="Y466" s="12">
        <f t="shared" si="723"/>
        <v>-84.918000000000006</v>
      </c>
      <c r="Z466" s="12">
        <f t="shared" si="723"/>
        <v>-24.630000000000038</v>
      </c>
      <c r="AA466" s="12">
        <f t="shared" si="723"/>
        <v>30.981999999999942</v>
      </c>
      <c r="AB466" s="12">
        <f t="shared" si="723"/>
        <v>58.366999999999997</v>
      </c>
      <c r="AC466" s="12">
        <f t="shared" si="723"/>
        <v>76.217999999999961</v>
      </c>
      <c r="AD466" s="12">
        <f t="shared" si="723"/>
        <v>29.289000000000065</v>
      </c>
      <c r="AE466" s="12">
        <f t="shared" si="723"/>
        <v>-61.216000000000022</v>
      </c>
      <c r="AF466" s="12">
        <f t="shared" si="723"/>
        <v>-73.948999999999955</v>
      </c>
      <c r="AG466" s="12">
        <f t="shared" si="723"/>
        <v>-159.90699999999995</v>
      </c>
      <c r="AH466" s="12">
        <f t="shared" si="723"/>
        <v>-13.658999999999935</v>
      </c>
      <c r="AI466" s="12">
        <f t="shared" si="723"/>
        <v>251.04699999999997</v>
      </c>
      <c r="AJ466" s="12">
        <f t="shared" si="723"/>
        <v>242.947</v>
      </c>
      <c r="AK466" s="12">
        <f t="shared" si="723"/>
        <v>256.73600000000005</v>
      </c>
      <c r="AL466" s="12">
        <f t="shared" si="723"/>
        <v>295.55</v>
      </c>
      <c r="AM466" s="12">
        <f t="shared" ref="AM466" si="724">AM415</f>
        <v>319.92399999999998</v>
      </c>
      <c r="AN466" s="12">
        <f t="shared" si="723"/>
        <v>352.41551400604516</v>
      </c>
      <c r="AO466" s="12">
        <f t="shared" si="723"/>
        <v>2703.148791677575</v>
      </c>
      <c r="AP466" s="12">
        <f t="shared" si="723"/>
        <v>2813.0877139488584</v>
      </c>
      <c r="AQ466" s="12">
        <f t="shared" si="723"/>
        <v>2923.1925588619847</v>
      </c>
      <c r="AR466" s="12">
        <f t="shared" si="723"/>
        <v>3003.1502430945689</v>
      </c>
      <c r="AS466" s="12">
        <f t="shared" si="723"/>
        <v>3076.0059045539433</v>
      </c>
      <c r="AT466" s="12">
        <f t="shared" si="723"/>
        <v>3150.1828883011881</v>
      </c>
      <c r="AU466" s="12">
        <f t="shared" si="723"/>
        <v>3217.5296469312375</v>
      </c>
      <c r="AV466" s="12">
        <f t="shared" si="723"/>
        <v>3290.3791270628712</v>
      </c>
      <c r="AW466" s="12">
        <f t="shared" si="723"/>
        <v>3376.0971148907661</v>
      </c>
      <c r="AX466" s="12">
        <f t="shared" si="723"/>
        <v>3458.4919037024497</v>
      </c>
      <c r="AY466" s="12">
        <f t="shared" si="723"/>
        <v>3529.2497735670077</v>
      </c>
      <c r="BG466" s="4">
        <v>460</v>
      </c>
      <c r="BH466"/>
      <c r="BI466"/>
      <c r="BJ466"/>
      <c r="BK466"/>
      <c r="BL466"/>
      <c r="BM466"/>
    </row>
    <row r="467" spans="1:65" s="3" customFormat="1" ht="12.75" customHeight="1" outlineLevel="2">
      <c r="A467" s="2"/>
      <c r="B467" s="11" t="s">
        <v>7</v>
      </c>
      <c r="C467" s="12">
        <f t="shared" ref="C467:N467" si="725">C30</f>
        <v>50.4497584</v>
      </c>
      <c r="D467" s="12">
        <f t="shared" si="725"/>
        <v>113.8454512</v>
      </c>
      <c r="E467" s="12">
        <f t="shared" si="725"/>
        <v>158.21165120000001</v>
      </c>
      <c r="F467" s="12">
        <f t="shared" si="725"/>
        <v>150.34346719999996</v>
      </c>
      <c r="G467" s="12">
        <f t="shared" si="725"/>
        <v>127.31700399999994</v>
      </c>
      <c r="H467" s="12">
        <f t="shared" si="725"/>
        <v>178.33693030000009</v>
      </c>
      <c r="I467" s="12">
        <f t="shared" si="725"/>
        <v>9.9210000000000509</v>
      </c>
      <c r="J467" s="12">
        <f t="shared" si="725"/>
        <v>-64.529499999999999</v>
      </c>
      <c r="K467" s="12">
        <f t="shared" si="725"/>
        <v>62.808625000000006</v>
      </c>
      <c r="L467" s="12">
        <f t="shared" si="725"/>
        <v>287.26855886198518</v>
      </c>
      <c r="M467" s="12">
        <f t="shared" si="725"/>
        <v>274.33708806925284</v>
      </c>
      <c r="N467" s="12">
        <f t="shared" si="725"/>
        <v>291.72012663577055</v>
      </c>
      <c r="P467" s="5"/>
      <c r="Q467" s="5"/>
      <c r="R467" s="5"/>
      <c r="S467" s="5"/>
      <c r="X467" s="12">
        <f t="shared" ref="X467:AY467" si="726">X30</f>
        <v>34.571500000000015</v>
      </c>
      <c r="Y467" s="12">
        <f t="shared" si="726"/>
        <v>45.299430300000061</v>
      </c>
      <c r="Z467" s="12">
        <f t="shared" si="726"/>
        <v>57.785000000000004</v>
      </c>
      <c r="AA467" s="12">
        <f t="shared" si="726"/>
        <v>40.681000000000012</v>
      </c>
      <c r="AB467" s="12">
        <f t="shared" si="726"/>
        <v>30.952999999999992</v>
      </c>
      <c r="AC467" s="12">
        <f t="shared" si="726"/>
        <v>2.8900000000000285</v>
      </c>
      <c r="AD467" s="12">
        <f t="shared" si="726"/>
        <v>-7.2829999999999924</v>
      </c>
      <c r="AE467" s="12">
        <f t="shared" si="726"/>
        <v>-16.639000000000003</v>
      </c>
      <c r="AF467" s="12">
        <f t="shared" si="726"/>
        <v>-11.728499999999997</v>
      </c>
      <c r="AG467" s="12">
        <f t="shared" si="726"/>
        <v>-17.785999999999987</v>
      </c>
      <c r="AH467" s="12">
        <f t="shared" si="726"/>
        <v>-14.224999999999996</v>
      </c>
      <c r="AI467" s="12">
        <f t="shared" si="726"/>
        <v>-20.790000000000024</v>
      </c>
      <c r="AJ467" s="12">
        <f t="shared" si="726"/>
        <v>-11.588000000000031</v>
      </c>
      <c r="AK467" s="12">
        <f t="shared" si="726"/>
        <v>10.483000000000047</v>
      </c>
      <c r="AL467" s="12">
        <f t="shared" si="726"/>
        <v>34.944000000000003</v>
      </c>
      <c r="AM467" s="12">
        <f t="shared" si="726"/>
        <v>28.969624999999986</v>
      </c>
      <c r="AN467" s="12">
        <f t="shared" si="726"/>
        <v>29.4915140060452</v>
      </c>
      <c r="AO467" s="12">
        <f t="shared" si="726"/>
        <v>47.733277671530089</v>
      </c>
      <c r="AP467" s="12">
        <f t="shared" si="726"/>
        <v>104.93892227128377</v>
      </c>
      <c r="AQ467" s="12">
        <f t="shared" si="726"/>
        <v>105.1048449131262</v>
      </c>
      <c r="AR467" s="12">
        <f t="shared" si="726"/>
        <v>74.957684232584015</v>
      </c>
      <c r="AS467" s="12">
        <f t="shared" si="726"/>
        <v>67.855661459374474</v>
      </c>
      <c r="AT467" s="12">
        <f t="shared" si="726"/>
        <v>69.176983747244776</v>
      </c>
      <c r="AU467" s="12">
        <f t="shared" si="726"/>
        <v>62.346758630049457</v>
      </c>
      <c r="AV467" s="12">
        <f t="shared" si="726"/>
        <v>67.849480131633598</v>
      </c>
      <c r="AW467" s="12">
        <f t="shared" si="726"/>
        <v>80.717987827895044</v>
      </c>
      <c r="AX467" s="12">
        <f t="shared" si="726"/>
        <v>77.394788811683654</v>
      </c>
      <c r="AY467" s="12">
        <f t="shared" si="726"/>
        <v>65.757869864558231</v>
      </c>
      <c r="BG467" s="4">
        <v>461</v>
      </c>
      <c r="BH467"/>
      <c r="BI467"/>
      <c r="BJ467"/>
      <c r="BK467"/>
      <c r="BL467"/>
      <c r="BM467"/>
    </row>
    <row r="468" spans="1:65" s="3" customFormat="1" ht="12.75" customHeight="1" outlineLevel="2">
      <c r="A468" s="2"/>
      <c r="B468" s="11" t="s">
        <v>6</v>
      </c>
      <c r="C468" s="10"/>
      <c r="D468" s="10">
        <f t="shared" ref="D468:N468" si="727">D467/AVERAGE(C466:D466)</f>
        <v>-0.73630855180397947</v>
      </c>
      <c r="E468" s="10">
        <f t="shared" si="727"/>
        <v>-0.40239755120208054</v>
      </c>
      <c r="F468" s="10">
        <f t="shared" si="727"/>
        <v>-0.40601162915363076</v>
      </c>
      <c r="G468" s="10">
        <f t="shared" si="727"/>
        <v>-0.55607022233286796</v>
      </c>
      <c r="H468" s="10">
        <f t="shared" si="727"/>
        <v>-2.5959363057417555</v>
      </c>
      <c r="I468" s="10">
        <f t="shared" si="727"/>
        <v>-0.65628100813653667</v>
      </c>
      <c r="J468" s="10">
        <f t="shared" si="727"/>
        <v>-0.67986261464144437</v>
      </c>
      <c r="K468" s="10">
        <f t="shared" si="727"/>
        <v>0.22000635759084089</v>
      </c>
      <c r="L468" s="10">
        <f t="shared" si="727"/>
        <v>0.17715586451989146</v>
      </c>
      <c r="M468" s="10">
        <f t="shared" si="727"/>
        <v>8.9350105370485683E-2</v>
      </c>
      <c r="N468" s="10">
        <f t="shared" si="727"/>
        <v>8.6476853163291109E-2</v>
      </c>
      <c r="P468" s="5"/>
      <c r="Q468" s="5"/>
      <c r="R468" s="5"/>
      <c r="S468" s="5"/>
      <c r="Y468" s="10">
        <f t="shared" ref="Y468:AY468" si="728">(Y467*4)/AVERAGE(X466:Y466)</f>
        <v>-1.654887058017674</v>
      </c>
      <c r="Z468" s="10">
        <f t="shared" si="728"/>
        <v>-4.2198853470624735</v>
      </c>
      <c r="AA468" s="10">
        <f t="shared" si="728"/>
        <v>51.235516372796752</v>
      </c>
      <c r="AB468" s="10">
        <f t="shared" si="728"/>
        <v>2.7714244143750921</v>
      </c>
      <c r="AC468" s="10">
        <f t="shared" si="728"/>
        <v>0.17178734628673506</v>
      </c>
      <c r="AD468" s="10">
        <f t="shared" si="728"/>
        <v>-0.55222876207265792</v>
      </c>
      <c r="AE468" s="10">
        <f t="shared" si="728"/>
        <v>4.1692611269458517</v>
      </c>
      <c r="AF468" s="10">
        <f t="shared" si="728"/>
        <v>0.6941737875929419</v>
      </c>
      <c r="AG468" s="10">
        <f t="shared" si="728"/>
        <v>0.60844280240831949</v>
      </c>
      <c r="AH468" s="10">
        <f t="shared" si="728"/>
        <v>0.65565836626989182</v>
      </c>
      <c r="AI468" s="10">
        <f t="shared" si="728"/>
        <v>-0.70062513690666828</v>
      </c>
      <c r="AJ468" s="10">
        <f t="shared" si="728"/>
        <v>-0.18766219832629596</v>
      </c>
      <c r="AK468" s="10">
        <f t="shared" si="728"/>
        <v>0.16783440701404764</v>
      </c>
      <c r="AL468" s="10">
        <f t="shared" si="728"/>
        <v>0.50617252655327127</v>
      </c>
      <c r="AM468" s="10">
        <f t="shared" si="728"/>
        <v>0.37655043104988989</v>
      </c>
      <c r="AN468" s="10">
        <f t="shared" si="728"/>
        <v>0.3509121613908896</v>
      </c>
      <c r="AO468" s="10">
        <f t="shared" si="728"/>
        <v>0.1249740418363756</v>
      </c>
      <c r="AP468" s="10">
        <f t="shared" si="728"/>
        <v>0.1521891560149729</v>
      </c>
      <c r="AQ468" s="10">
        <f t="shared" si="728"/>
        <v>0.14658257953162893</v>
      </c>
      <c r="AR468" s="10">
        <f t="shared" si="728"/>
        <v>0.10118575551564395</v>
      </c>
      <c r="AS468" s="10">
        <f t="shared" si="728"/>
        <v>8.9296158626386762E-2</v>
      </c>
      <c r="AT468" s="10">
        <f t="shared" si="728"/>
        <v>8.8885173320319338E-2</v>
      </c>
      <c r="AU468" s="10">
        <f t="shared" si="728"/>
        <v>7.8328609572226884E-2</v>
      </c>
      <c r="AV468" s="10">
        <f t="shared" si="728"/>
        <v>8.3405570038428467E-2</v>
      </c>
      <c r="AW468" s="10">
        <f t="shared" si="728"/>
        <v>9.6864352198444581E-2</v>
      </c>
      <c r="AX468" s="10">
        <f t="shared" si="728"/>
        <v>9.0591886184973922E-2</v>
      </c>
      <c r="AY468" s="10">
        <f t="shared" si="728"/>
        <v>7.5283687235849731E-2</v>
      </c>
      <c r="BG468" s="4">
        <v>462</v>
      </c>
      <c r="BH468"/>
      <c r="BI468"/>
      <c r="BJ468"/>
      <c r="BK468"/>
      <c r="BL468"/>
      <c r="BM468"/>
    </row>
    <row r="469" spans="1:65" s="3" customFormat="1" ht="12.75" customHeight="1" outlineLevel="2">
      <c r="A469" s="6"/>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4">
        <v>463</v>
      </c>
      <c r="BH469"/>
      <c r="BI469"/>
      <c r="BJ469"/>
      <c r="BK469"/>
      <c r="BL469"/>
      <c r="BM469"/>
    </row>
    <row r="470" spans="1:65" s="5" customFormat="1" ht="12.75" customHeight="1" outlineLevel="2">
      <c r="A470" s="6"/>
      <c r="B470" s="9" t="s">
        <v>5</v>
      </c>
      <c r="BG470" s="4">
        <v>464</v>
      </c>
      <c r="BH470"/>
      <c r="BI470"/>
      <c r="BJ470"/>
      <c r="BK470"/>
      <c r="BL470"/>
      <c r="BM470"/>
    </row>
    <row r="471" spans="1:65" s="5" customFormat="1" ht="12.75" customHeight="1" outlineLevel="2">
      <c r="A471" s="6"/>
      <c r="B471" s="5" t="s">
        <v>4</v>
      </c>
      <c r="C471" s="8" t="s">
        <v>3</v>
      </c>
      <c r="D471" s="8" t="s">
        <v>3</v>
      </c>
      <c r="E471" s="8" t="s">
        <v>3</v>
      </c>
      <c r="F471" s="8" t="s">
        <v>3</v>
      </c>
      <c r="G471" s="8" t="s">
        <v>3</v>
      </c>
      <c r="H471" s="8" t="s">
        <v>3</v>
      </c>
      <c r="I471" s="8" t="s">
        <v>3</v>
      </c>
      <c r="J471" s="8" t="s">
        <v>3</v>
      </c>
      <c r="K471" s="8" t="s">
        <v>3</v>
      </c>
      <c r="L471" s="8" t="s">
        <v>3</v>
      </c>
      <c r="M471" s="8" t="s">
        <v>3</v>
      </c>
      <c r="N471" s="8" t="s">
        <v>3</v>
      </c>
      <c r="O471" s="8"/>
      <c r="T471" s="8" t="s">
        <v>3</v>
      </c>
      <c r="U471" s="8" t="s">
        <v>3</v>
      </c>
      <c r="V471" s="8" t="s">
        <v>3</v>
      </c>
      <c r="W471" s="8" t="s">
        <v>3</v>
      </c>
      <c r="X471" s="8" t="s">
        <v>3</v>
      </c>
      <c r="Y471" s="8" t="s">
        <v>3</v>
      </c>
      <c r="Z471" s="8" t="s">
        <v>3</v>
      </c>
      <c r="AA471" s="8" t="s">
        <v>3</v>
      </c>
      <c r="AB471" s="8" t="s">
        <v>3</v>
      </c>
      <c r="AC471" s="8" t="s">
        <v>3</v>
      </c>
      <c r="AD471" s="8" t="s">
        <v>3</v>
      </c>
      <c r="AE471" s="8" t="s">
        <v>3</v>
      </c>
      <c r="AF471" s="8" t="s">
        <v>3</v>
      </c>
      <c r="AG471" s="8" t="s">
        <v>3</v>
      </c>
      <c r="AH471" s="8" t="s">
        <v>3</v>
      </c>
      <c r="AI471" s="8" t="s">
        <v>3</v>
      </c>
      <c r="AJ471" s="8" t="s">
        <v>3</v>
      </c>
      <c r="AK471" s="8" t="s">
        <v>3</v>
      </c>
      <c r="AL471" s="8" t="s">
        <v>3</v>
      </c>
      <c r="AM471" s="8" t="s">
        <v>3</v>
      </c>
      <c r="AN471" s="8" t="s">
        <v>3</v>
      </c>
      <c r="AO471" s="8" t="s">
        <v>3</v>
      </c>
      <c r="AP471" s="8" t="s">
        <v>3</v>
      </c>
      <c r="AQ471" s="8" t="s">
        <v>3</v>
      </c>
      <c r="AR471" s="8" t="s">
        <v>3</v>
      </c>
      <c r="AS471" s="8" t="s">
        <v>3</v>
      </c>
      <c r="AT471" s="8" t="s">
        <v>3</v>
      </c>
      <c r="AU471" s="8" t="s">
        <v>3</v>
      </c>
      <c r="AV471" s="8" t="s">
        <v>3</v>
      </c>
      <c r="AW471" s="8" t="s">
        <v>3</v>
      </c>
      <c r="AX471" s="8" t="s">
        <v>3</v>
      </c>
      <c r="AY471" s="8" t="s">
        <v>3</v>
      </c>
      <c r="BG471" s="4">
        <v>465</v>
      </c>
      <c r="BH471"/>
      <c r="BI471"/>
      <c r="BJ471"/>
      <c r="BK471"/>
      <c r="BL471"/>
      <c r="BM471"/>
    </row>
    <row r="472" spans="1:65" s="5" customFormat="1" ht="12.75" customHeight="1" outlineLevel="2">
      <c r="A472" s="6"/>
      <c r="B472" s="5" t="s">
        <v>2</v>
      </c>
      <c r="C472" s="7">
        <f t="shared" ref="C472:N472" si="729">C32-C29</f>
        <v>48.901000000000003</v>
      </c>
      <c r="D472" s="7">
        <f t="shared" si="729"/>
        <v>99.453999999999994</v>
      </c>
      <c r="E472" s="7">
        <f t="shared" si="729"/>
        <v>145.18299999999999</v>
      </c>
      <c r="F472" s="7">
        <f t="shared" si="729"/>
        <v>149.47299999999996</v>
      </c>
      <c r="G472" s="7">
        <f t="shared" si="729"/>
        <v>104.65699999999994</v>
      </c>
      <c r="H472" s="7">
        <f t="shared" si="729"/>
        <v>170.6226803000001</v>
      </c>
      <c r="I472" s="7">
        <f t="shared" si="729"/>
        <v>-91.929999999999964</v>
      </c>
      <c r="J472" s="7">
        <f t="shared" si="729"/>
        <v>-140.125</v>
      </c>
      <c r="K472" s="7">
        <f t="shared" si="729"/>
        <v>54.085000000000008</v>
      </c>
      <c r="L472" s="7">
        <f t="shared" si="729"/>
        <v>287.68455886198518</v>
      </c>
      <c r="M472" s="7">
        <f t="shared" si="729"/>
        <v>274.75308806925284</v>
      </c>
      <c r="N472" s="7">
        <f t="shared" si="729"/>
        <v>292.13612663577055</v>
      </c>
      <c r="O472" s="7"/>
      <c r="P472" s="7">
        <f t="shared" ref="P472:AY472" si="730">P32-P29</f>
        <v>0</v>
      </c>
      <c r="Q472" s="7">
        <f t="shared" si="730"/>
        <v>0</v>
      </c>
      <c r="R472" s="7">
        <f t="shared" si="730"/>
        <v>0</v>
      </c>
      <c r="S472" s="7">
        <f t="shared" si="730"/>
        <v>0</v>
      </c>
      <c r="T472" s="7">
        <f t="shared" si="730"/>
        <v>33.592999999999996</v>
      </c>
      <c r="U472" s="7">
        <f t="shared" si="730"/>
        <v>35.223000000000006</v>
      </c>
      <c r="V472" s="7">
        <f t="shared" si="730"/>
        <v>25.015999999999984</v>
      </c>
      <c r="W472" s="7">
        <f t="shared" si="730"/>
        <v>10.824999999999983</v>
      </c>
      <c r="X472" s="7">
        <f t="shared" si="730"/>
        <v>34.612000000000016</v>
      </c>
      <c r="Y472" s="7">
        <f t="shared" si="730"/>
        <v>44.202680300000061</v>
      </c>
      <c r="Z472" s="7">
        <f t="shared" si="730"/>
        <v>54.162000000000006</v>
      </c>
      <c r="AA472" s="7">
        <f t="shared" si="730"/>
        <v>37.646000000000008</v>
      </c>
      <c r="AB472" s="7">
        <f t="shared" si="730"/>
        <v>30.879999999999992</v>
      </c>
      <c r="AC472" s="7">
        <f t="shared" si="730"/>
        <v>14.14100000000003</v>
      </c>
      <c r="AD472" s="7">
        <f t="shared" si="730"/>
        <v>-46.128999999999998</v>
      </c>
      <c r="AE472" s="7">
        <f t="shared" si="730"/>
        <v>-90.822000000000017</v>
      </c>
      <c r="AF472" s="7">
        <f t="shared" si="730"/>
        <v>-11.778999999999996</v>
      </c>
      <c r="AG472" s="7">
        <f t="shared" si="730"/>
        <v>-87.869999999999976</v>
      </c>
      <c r="AH472" s="7">
        <f t="shared" si="730"/>
        <v>-20.622999999999998</v>
      </c>
      <c r="AI472" s="7">
        <f t="shared" si="730"/>
        <v>-19.853000000000023</v>
      </c>
      <c r="AJ472" s="7">
        <f t="shared" si="730"/>
        <v>-11.41000000000003</v>
      </c>
      <c r="AK472" s="7">
        <f t="shared" si="730"/>
        <v>10.523000000000046</v>
      </c>
      <c r="AL472" s="7">
        <f t="shared" si="730"/>
        <v>34.919000000000004</v>
      </c>
      <c r="AM472" s="7">
        <f t="shared" ref="AM472" si="731">AM32-AM29</f>
        <v>20.052999999999987</v>
      </c>
      <c r="AN472" s="7">
        <f t="shared" si="730"/>
        <v>29.5955140060452</v>
      </c>
      <c r="AO472" s="7">
        <f t="shared" si="730"/>
        <v>47.837277671530089</v>
      </c>
      <c r="AP472" s="7">
        <f t="shared" si="730"/>
        <v>105.04292227128377</v>
      </c>
      <c r="AQ472" s="7">
        <f t="shared" si="730"/>
        <v>105.2088449131262</v>
      </c>
      <c r="AR472" s="7">
        <f t="shared" si="730"/>
        <v>75.061684232584014</v>
      </c>
      <c r="AS472" s="7">
        <f t="shared" si="730"/>
        <v>67.959661459374473</v>
      </c>
      <c r="AT472" s="7">
        <f t="shared" si="730"/>
        <v>69.280983747244775</v>
      </c>
      <c r="AU472" s="7">
        <f t="shared" si="730"/>
        <v>62.450758630049457</v>
      </c>
      <c r="AV472" s="7">
        <f t="shared" si="730"/>
        <v>67.953480131633597</v>
      </c>
      <c r="AW472" s="7">
        <f t="shared" si="730"/>
        <v>80.821987827895043</v>
      </c>
      <c r="AX472" s="7">
        <f t="shared" si="730"/>
        <v>77.498788811683653</v>
      </c>
      <c r="AY472" s="7">
        <f t="shared" si="730"/>
        <v>65.86186986455823</v>
      </c>
      <c r="BG472" s="4">
        <v>466</v>
      </c>
      <c r="BH472"/>
      <c r="BI472"/>
      <c r="BJ472"/>
      <c r="BK472"/>
      <c r="BL472"/>
      <c r="BM472"/>
    </row>
    <row r="473" spans="1:65" s="5" customFormat="1" ht="12.75" customHeight="1" outlineLevel="2">
      <c r="A473" s="6"/>
      <c r="B473" s="5" t="s">
        <v>1</v>
      </c>
      <c r="C473" s="7">
        <f t="shared" ref="C473:N473" si="732">+C248+C264+C265</f>
        <v>3.9060000000000001</v>
      </c>
      <c r="D473" s="7">
        <f t="shared" si="732"/>
        <v>23.277999999999999</v>
      </c>
      <c r="E473" s="7">
        <f t="shared" si="732"/>
        <v>17.539000000000001</v>
      </c>
      <c r="F473" s="7">
        <f t="shared" si="732"/>
        <v>12.036999999999999</v>
      </c>
      <c r="G473" s="7">
        <f t="shared" si="732"/>
        <v>11.534999999999998</v>
      </c>
      <c r="H473" s="7">
        <f t="shared" si="732"/>
        <v>38.183999999999997</v>
      </c>
      <c r="I473" s="7">
        <f t="shared" si="732"/>
        <v>4.3550000000000004</v>
      </c>
      <c r="J473" s="7">
        <f t="shared" si="732"/>
        <v>454.86400000000003</v>
      </c>
      <c r="K473" s="7">
        <f t="shared" si="732"/>
        <v>10.916000000000002</v>
      </c>
      <c r="L473" s="7">
        <f t="shared" si="732"/>
        <v>16</v>
      </c>
      <c r="M473" s="7">
        <f t="shared" si="732"/>
        <v>20</v>
      </c>
      <c r="N473" s="7">
        <f t="shared" si="732"/>
        <v>20</v>
      </c>
      <c r="O473" s="7"/>
      <c r="P473" s="7">
        <f t="shared" ref="P473:AY473" si="733">+P248+P264+P265</f>
        <v>0</v>
      </c>
      <c r="Q473" s="7">
        <f t="shared" si="733"/>
        <v>0</v>
      </c>
      <c r="R473" s="7">
        <f t="shared" si="733"/>
        <v>0</v>
      </c>
      <c r="S473" s="7">
        <f t="shared" si="733"/>
        <v>0</v>
      </c>
      <c r="T473" s="7">
        <f t="shared" si="733"/>
        <v>1.839</v>
      </c>
      <c r="U473" s="7">
        <f t="shared" si="733"/>
        <v>1.4400000000000004</v>
      </c>
      <c r="V473" s="7">
        <f t="shared" si="733"/>
        <v>2.0309999999999997</v>
      </c>
      <c r="W473" s="7">
        <f t="shared" si="733"/>
        <v>6.2249999999999988</v>
      </c>
      <c r="X473" s="7">
        <f t="shared" si="733"/>
        <v>2.0939999999999999</v>
      </c>
      <c r="Y473" s="7">
        <f t="shared" si="733"/>
        <v>8.2289999999999992</v>
      </c>
      <c r="Z473" s="7">
        <f t="shared" si="733"/>
        <v>5.7850000000000001</v>
      </c>
      <c r="AA473" s="7">
        <f t="shared" si="733"/>
        <v>22.076000000000001</v>
      </c>
      <c r="AB473" s="7">
        <f t="shared" si="733"/>
        <v>2.5449999999999999</v>
      </c>
      <c r="AC473" s="7">
        <f t="shared" si="733"/>
        <v>3.27</v>
      </c>
      <c r="AD473" s="7">
        <f t="shared" si="733"/>
        <v>2.6989999999999998</v>
      </c>
      <c r="AE473" s="7">
        <f t="shared" si="733"/>
        <v>-4.1589999999999998</v>
      </c>
      <c r="AF473" s="7">
        <f t="shared" si="733"/>
        <v>1.016</v>
      </c>
      <c r="AG473" s="7">
        <f t="shared" si="733"/>
        <v>5.2610000000000001</v>
      </c>
      <c r="AH473" s="7">
        <f t="shared" si="733"/>
        <v>165.85</v>
      </c>
      <c r="AI473" s="7">
        <f t="shared" si="733"/>
        <v>282.73700000000002</v>
      </c>
      <c r="AJ473" s="7">
        <f t="shared" si="733"/>
        <v>2.9020000000000001</v>
      </c>
      <c r="AK473" s="7">
        <f t="shared" si="733"/>
        <v>2.8129999999999997</v>
      </c>
      <c r="AL473" s="7">
        <f t="shared" si="733"/>
        <v>2.4290000000000003</v>
      </c>
      <c r="AM473" s="7">
        <f t="shared" ref="AM473" si="734">+AM248+AM264+AM265</f>
        <v>2.7720000000000002</v>
      </c>
      <c r="AN473" s="7">
        <f t="shared" si="733"/>
        <v>3</v>
      </c>
      <c r="AO473" s="7">
        <f t="shared" si="733"/>
        <v>3</v>
      </c>
      <c r="AP473" s="7">
        <f t="shared" si="733"/>
        <v>5</v>
      </c>
      <c r="AQ473" s="7">
        <f t="shared" si="733"/>
        <v>5</v>
      </c>
      <c r="AR473" s="7">
        <f t="shared" si="733"/>
        <v>5</v>
      </c>
      <c r="AS473" s="7">
        <f t="shared" si="733"/>
        <v>5</v>
      </c>
      <c r="AT473" s="7">
        <f t="shared" si="733"/>
        <v>5</v>
      </c>
      <c r="AU473" s="7">
        <f t="shared" si="733"/>
        <v>5</v>
      </c>
      <c r="AV473" s="7">
        <f t="shared" si="733"/>
        <v>5</v>
      </c>
      <c r="AW473" s="7">
        <f t="shared" si="733"/>
        <v>5</v>
      </c>
      <c r="AX473" s="7">
        <f t="shared" si="733"/>
        <v>5</v>
      </c>
      <c r="AY473" s="7">
        <f t="shared" si="733"/>
        <v>5</v>
      </c>
      <c r="BG473" s="4">
        <v>467</v>
      </c>
      <c r="BH473"/>
      <c r="BI473"/>
      <c r="BJ473"/>
      <c r="BK473"/>
      <c r="BL473"/>
      <c r="BM473"/>
    </row>
    <row r="474" spans="1:65" s="3" customFormat="1" ht="12.75" customHeight="1" outlineLevel="1">
      <c r="A474" s="6"/>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4"/>
      <c r="BH474"/>
      <c r="BI474"/>
      <c r="BJ474"/>
      <c r="BK474"/>
      <c r="BL474"/>
      <c r="BM474"/>
    </row>
    <row r="475" spans="1:65" s="3" customFormat="1" ht="11.25">
      <c r="A475" s="6" t="s">
        <v>0</v>
      </c>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4"/>
      <c r="BH475"/>
      <c r="BI475"/>
      <c r="BJ475"/>
      <c r="BK475"/>
      <c r="BL475"/>
      <c r="BM475"/>
    </row>
    <row r="476" spans="1:65" customFormat="1" ht="11.25"/>
  </sheetData>
  <conditionalFormatting sqref="E2:N2">
    <cfRule type="cellIs" dxfId="5" priority="8" stopIfTrue="1" operator="equal">
      <formula>0</formula>
    </cfRule>
  </conditionalFormatting>
  <conditionalFormatting sqref="T2:AY2">
    <cfRule type="cellIs" dxfId="4" priority="7" stopIfTrue="1" operator="equal">
      <formula>0</formula>
    </cfRule>
  </conditionalFormatting>
  <conditionalFormatting sqref="A314:BF314 BN314:IW314">
    <cfRule type="cellIs" dxfId="3" priority="6" operator="equal">
      <formula>0</formula>
    </cfRule>
  </conditionalFormatting>
  <conditionalFormatting sqref="A269:BF269 BN269:IW269">
    <cfRule type="cellIs" dxfId="2" priority="5" operator="equal">
      <formula>0</formula>
    </cfRule>
  </conditionalFormatting>
  <conditionalFormatting sqref="AB270:AY270">
    <cfRule type="cellIs" dxfId="1" priority="4" operator="equal">
      <formula>0</formula>
    </cfRule>
  </conditionalFormatting>
  <conditionalFormatting sqref="F270:L270">
    <cfRule type="cellIs" dxfId="0" priority="3" operator="equal">
      <formula>0</formula>
    </cfRule>
  </conditionalFormatting>
  <pageMargins left="0" right="0" top="0" bottom="0" header="0" footer="0"/>
  <pageSetup paperSize="5"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34.5" style="1" bestFit="1" customWidth="1"/>
    <col min="2" max="2" width="23.1640625" style="428" customWidth="1"/>
    <col min="3" max="3" width="14" style="1" bestFit="1" customWidth="1"/>
    <col min="4" max="256" width="9.33203125" style="1"/>
    <col min="257" max="257" width="34.5" style="1" bestFit="1" customWidth="1"/>
    <col min="258" max="258" width="23.1640625" style="1" customWidth="1"/>
    <col min="259" max="259" width="14" style="1" bestFit="1" customWidth="1"/>
    <col min="260" max="512" width="9.33203125" style="1"/>
    <col min="513" max="513" width="34.5" style="1" bestFit="1" customWidth="1"/>
    <col min="514" max="514" width="23.1640625" style="1" customWidth="1"/>
    <col min="515" max="515" width="14" style="1" bestFit="1" customWidth="1"/>
    <col min="516" max="768" width="9.33203125" style="1"/>
    <col min="769" max="769" width="34.5" style="1" bestFit="1" customWidth="1"/>
    <col min="770" max="770" width="23.1640625" style="1" customWidth="1"/>
    <col min="771" max="771" width="14" style="1" bestFit="1" customWidth="1"/>
    <col min="772" max="1024" width="9.33203125" style="1"/>
    <col min="1025" max="1025" width="34.5" style="1" bestFit="1" customWidth="1"/>
    <col min="1026" max="1026" width="23.1640625" style="1" customWidth="1"/>
    <col min="1027" max="1027" width="14" style="1" bestFit="1" customWidth="1"/>
    <col min="1028" max="1280" width="9.33203125" style="1"/>
    <col min="1281" max="1281" width="34.5" style="1" bestFit="1" customWidth="1"/>
    <col min="1282" max="1282" width="23.1640625" style="1" customWidth="1"/>
    <col min="1283" max="1283" width="14" style="1" bestFit="1" customWidth="1"/>
    <col min="1284" max="1536" width="9.33203125" style="1"/>
    <col min="1537" max="1537" width="34.5" style="1" bestFit="1" customWidth="1"/>
    <col min="1538" max="1538" width="23.1640625" style="1" customWidth="1"/>
    <col min="1539" max="1539" width="14" style="1" bestFit="1" customWidth="1"/>
    <col min="1540" max="1792" width="9.33203125" style="1"/>
    <col min="1793" max="1793" width="34.5" style="1" bestFit="1" customWidth="1"/>
    <col min="1794" max="1794" width="23.1640625" style="1" customWidth="1"/>
    <col min="1795" max="1795" width="14" style="1" bestFit="1" customWidth="1"/>
    <col min="1796" max="2048" width="9.33203125" style="1"/>
    <col min="2049" max="2049" width="34.5" style="1" bestFit="1" customWidth="1"/>
    <col min="2050" max="2050" width="23.1640625" style="1" customWidth="1"/>
    <col min="2051" max="2051" width="14" style="1" bestFit="1" customWidth="1"/>
    <col min="2052" max="2304" width="9.33203125" style="1"/>
    <col min="2305" max="2305" width="34.5" style="1" bestFit="1" customWidth="1"/>
    <col min="2306" max="2306" width="23.1640625" style="1" customWidth="1"/>
    <col min="2307" max="2307" width="14" style="1" bestFit="1" customWidth="1"/>
    <col min="2308" max="2560" width="9.33203125" style="1"/>
    <col min="2561" max="2561" width="34.5" style="1" bestFit="1" customWidth="1"/>
    <col min="2562" max="2562" width="23.1640625" style="1" customWidth="1"/>
    <col min="2563" max="2563" width="14" style="1" bestFit="1" customWidth="1"/>
    <col min="2564" max="2816" width="9.33203125" style="1"/>
    <col min="2817" max="2817" width="34.5" style="1" bestFit="1" customWidth="1"/>
    <col min="2818" max="2818" width="23.1640625" style="1" customWidth="1"/>
    <col min="2819" max="2819" width="14" style="1" bestFit="1" customWidth="1"/>
    <col min="2820" max="3072" width="9.33203125" style="1"/>
    <col min="3073" max="3073" width="34.5" style="1" bestFit="1" customWidth="1"/>
    <col min="3074" max="3074" width="23.1640625" style="1" customWidth="1"/>
    <col min="3075" max="3075" width="14" style="1" bestFit="1" customWidth="1"/>
    <col min="3076" max="3328" width="9.33203125" style="1"/>
    <col min="3329" max="3329" width="34.5" style="1" bestFit="1" customWidth="1"/>
    <col min="3330" max="3330" width="23.1640625" style="1" customWidth="1"/>
    <col min="3331" max="3331" width="14" style="1" bestFit="1" customWidth="1"/>
    <col min="3332" max="3584" width="9.33203125" style="1"/>
    <col min="3585" max="3585" width="34.5" style="1" bestFit="1" customWidth="1"/>
    <col min="3586" max="3586" width="23.1640625" style="1" customWidth="1"/>
    <col min="3587" max="3587" width="14" style="1" bestFit="1" customWidth="1"/>
    <col min="3588" max="3840" width="9.33203125" style="1"/>
    <col min="3841" max="3841" width="34.5" style="1" bestFit="1" customWidth="1"/>
    <col min="3842" max="3842" width="23.1640625" style="1" customWidth="1"/>
    <col min="3843" max="3843" width="14" style="1" bestFit="1" customWidth="1"/>
    <col min="3844" max="4096" width="9.33203125" style="1"/>
    <col min="4097" max="4097" width="34.5" style="1" bestFit="1" customWidth="1"/>
    <col min="4098" max="4098" width="23.1640625" style="1" customWidth="1"/>
    <col min="4099" max="4099" width="14" style="1" bestFit="1" customWidth="1"/>
    <col min="4100" max="4352" width="9.33203125" style="1"/>
    <col min="4353" max="4353" width="34.5" style="1" bestFit="1" customWidth="1"/>
    <col min="4354" max="4354" width="23.1640625" style="1" customWidth="1"/>
    <col min="4355" max="4355" width="14" style="1" bestFit="1" customWidth="1"/>
    <col min="4356" max="4608" width="9.33203125" style="1"/>
    <col min="4609" max="4609" width="34.5" style="1" bestFit="1" customWidth="1"/>
    <col min="4610" max="4610" width="23.1640625" style="1" customWidth="1"/>
    <col min="4611" max="4611" width="14" style="1" bestFit="1" customWidth="1"/>
    <col min="4612" max="4864" width="9.33203125" style="1"/>
    <col min="4865" max="4865" width="34.5" style="1" bestFit="1" customWidth="1"/>
    <col min="4866" max="4866" width="23.1640625" style="1" customWidth="1"/>
    <col min="4867" max="4867" width="14" style="1" bestFit="1" customWidth="1"/>
    <col min="4868" max="5120" width="9.33203125" style="1"/>
    <col min="5121" max="5121" width="34.5" style="1" bestFit="1" customWidth="1"/>
    <col min="5122" max="5122" width="23.1640625" style="1" customWidth="1"/>
    <col min="5123" max="5123" width="14" style="1" bestFit="1" customWidth="1"/>
    <col min="5124" max="5376" width="9.33203125" style="1"/>
    <col min="5377" max="5377" width="34.5" style="1" bestFit="1" customWidth="1"/>
    <col min="5378" max="5378" width="23.1640625" style="1" customWidth="1"/>
    <col min="5379" max="5379" width="14" style="1" bestFit="1" customWidth="1"/>
    <col min="5380" max="5632" width="9.33203125" style="1"/>
    <col min="5633" max="5633" width="34.5" style="1" bestFit="1" customWidth="1"/>
    <col min="5634" max="5634" width="23.1640625" style="1" customWidth="1"/>
    <col min="5635" max="5635" width="14" style="1" bestFit="1" customWidth="1"/>
    <col min="5636" max="5888" width="9.33203125" style="1"/>
    <col min="5889" max="5889" width="34.5" style="1" bestFit="1" customWidth="1"/>
    <col min="5890" max="5890" width="23.1640625" style="1" customWidth="1"/>
    <col min="5891" max="5891" width="14" style="1" bestFit="1" customWidth="1"/>
    <col min="5892" max="6144" width="9.33203125" style="1"/>
    <col min="6145" max="6145" width="34.5" style="1" bestFit="1" customWidth="1"/>
    <col min="6146" max="6146" width="23.1640625" style="1" customWidth="1"/>
    <col min="6147" max="6147" width="14" style="1" bestFit="1" customWidth="1"/>
    <col min="6148" max="6400" width="9.33203125" style="1"/>
    <col min="6401" max="6401" width="34.5" style="1" bestFit="1" customWidth="1"/>
    <col min="6402" max="6402" width="23.1640625" style="1" customWidth="1"/>
    <col min="6403" max="6403" width="14" style="1" bestFit="1" customWidth="1"/>
    <col min="6404" max="6656" width="9.33203125" style="1"/>
    <col min="6657" max="6657" width="34.5" style="1" bestFit="1" customWidth="1"/>
    <col min="6658" max="6658" width="23.1640625" style="1" customWidth="1"/>
    <col min="6659" max="6659" width="14" style="1" bestFit="1" customWidth="1"/>
    <col min="6660" max="6912" width="9.33203125" style="1"/>
    <col min="6913" max="6913" width="34.5" style="1" bestFit="1" customWidth="1"/>
    <col min="6914" max="6914" width="23.1640625" style="1" customWidth="1"/>
    <col min="6915" max="6915" width="14" style="1" bestFit="1" customWidth="1"/>
    <col min="6916" max="7168" width="9.33203125" style="1"/>
    <col min="7169" max="7169" width="34.5" style="1" bestFit="1" customWidth="1"/>
    <col min="7170" max="7170" width="23.1640625" style="1" customWidth="1"/>
    <col min="7171" max="7171" width="14" style="1" bestFit="1" customWidth="1"/>
    <col min="7172" max="7424" width="9.33203125" style="1"/>
    <col min="7425" max="7425" width="34.5" style="1" bestFit="1" customWidth="1"/>
    <col min="7426" max="7426" width="23.1640625" style="1" customWidth="1"/>
    <col min="7427" max="7427" width="14" style="1" bestFit="1" customWidth="1"/>
    <col min="7428" max="7680" width="9.33203125" style="1"/>
    <col min="7681" max="7681" width="34.5" style="1" bestFit="1" customWidth="1"/>
    <col min="7682" max="7682" width="23.1640625" style="1" customWidth="1"/>
    <col min="7683" max="7683" width="14" style="1" bestFit="1" customWidth="1"/>
    <col min="7684" max="7936" width="9.33203125" style="1"/>
    <col min="7937" max="7937" width="34.5" style="1" bestFit="1" customWidth="1"/>
    <col min="7938" max="7938" width="23.1640625" style="1" customWidth="1"/>
    <col min="7939" max="7939" width="14" style="1" bestFit="1" customWidth="1"/>
    <col min="7940" max="8192" width="9.33203125" style="1"/>
    <col min="8193" max="8193" width="34.5" style="1" bestFit="1" customWidth="1"/>
    <col min="8194" max="8194" width="23.1640625" style="1" customWidth="1"/>
    <col min="8195" max="8195" width="14" style="1" bestFit="1" customWidth="1"/>
    <col min="8196" max="8448" width="9.33203125" style="1"/>
    <col min="8449" max="8449" width="34.5" style="1" bestFit="1" customWidth="1"/>
    <col min="8450" max="8450" width="23.1640625" style="1" customWidth="1"/>
    <col min="8451" max="8451" width="14" style="1" bestFit="1" customWidth="1"/>
    <col min="8452" max="8704" width="9.33203125" style="1"/>
    <col min="8705" max="8705" width="34.5" style="1" bestFit="1" customWidth="1"/>
    <col min="8706" max="8706" width="23.1640625" style="1" customWidth="1"/>
    <col min="8707" max="8707" width="14" style="1" bestFit="1" customWidth="1"/>
    <col min="8708" max="8960" width="9.33203125" style="1"/>
    <col min="8961" max="8961" width="34.5" style="1" bestFit="1" customWidth="1"/>
    <col min="8962" max="8962" width="23.1640625" style="1" customWidth="1"/>
    <col min="8963" max="8963" width="14" style="1" bestFit="1" customWidth="1"/>
    <col min="8964" max="9216" width="9.33203125" style="1"/>
    <col min="9217" max="9217" width="34.5" style="1" bestFit="1" customWidth="1"/>
    <col min="9218" max="9218" width="23.1640625" style="1" customWidth="1"/>
    <col min="9219" max="9219" width="14" style="1" bestFit="1" customWidth="1"/>
    <col min="9220" max="9472" width="9.33203125" style="1"/>
    <col min="9473" max="9473" width="34.5" style="1" bestFit="1" customWidth="1"/>
    <col min="9474" max="9474" width="23.1640625" style="1" customWidth="1"/>
    <col min="9475" max="9475" width="14" style="1" bestFit="1" customWidth="1"/>
    <col min="9476" max="9728" width="9.33203125" style="1"/>
    <col min="9729" max="9729" width="34.5" style="1" bestFit="1" customWidth="1"/>
    <col min="9730" max="9730" width="23.1640625" style="1" customWidth="1"/>
    <col min="9731" max="9731" width="14" style="1" bestFit="1" customWidth="1"/>
    <col min="9732" max="9984" width="9.33203125" style="1"/>
    <col min="9985" max="9985" width="34.5" style="1" bestFit="1" customWidth="1"/>
    <col min="9986" max="9986" width="23.1640625" style="1" customWidth="1"/>
    <col min="9987" max="9987" width="14" style="1" bestFit="1" customWidth="1"/>
    <col min="9988" max="10240" width="9.33203125" style="1"/>
    <col min="10241" max="10241" width="34.5" style="1" bestFit="1" customWidth="1"/>
    <col min="10242" max="10242" width="23.1640625" style="1" customWidth="1"/>
    <col min="10243" max="10243" width="14" style="1" bestFit="1" customWidth="1"/>
    <col min="10244" max="10496" width="9.33203125" style="1"/>
    <col min="10497" max="10497" width="34.5" style="1" bestFit="1" customWidth="1"/>
    <col min="10498" max="10498" width="23.1640625" style="1" customWidth="1"/>
    <col min="10499" max="10499" width="14" style="1" bestFit="1" customWidth="1"/>
    <col min="10500" max="10752" width="9.33203125" style="1"/>
    <col min="10753" max="10753" width="34.5" style="1" bestFit="1" customWidth="1"/>
    <col min="10754" max="10754" width="23.1640625" style="1" customWidth="1"/>
    <col min="10755" max="10755" width="14" style="1" bestFit="1" customWidth="1"/>
    <col min="10756" max="11008" width="9.33203125" style="1"/>
    <col min="11009" max="11009" width="34.5" style="1" bestFit="1" customWidth="1"/>
    <col min="11010" max="11010" width="23.1640625" style="1" customWidth="1"/>
    <col min="11011" max="11011" width="14" style="1" bestFit="1" customWidth="1"/>
    <col min="11012" max="11264" width="9.33203125" style="1"/>
    <col min="11265" max="11265" width="34.5" style="1" bestFit="1" customWidth="1"/>
    <col min="11266" max="11266" width="23.1640625" style="1" customWidth="1"/>
    <col min="11267" max="11267" width="14" style="1" bestFit="1" customWidth="1"/>
    <col min="11268" max="11520" width="9.33203125" style="1"/>
    <col min="11521" max="11521" width="34.5" style="1" bestFit="1" customWidth="1"/>
    <col min="11522" max="11522" width="23.1640625" style="1" customWidth="1"/>
    <col min="11523" max="11523" width="14" style="1" bestFit="1" customWidth="1"/>
    <col min="11524" max="11776" width="9.33203125" style="1"/>
    <col min="11777" max="11777" width="34.5" style="1" bestFit="1" customWidth="1"/>
    <col min="11778" max="11778" width="23.1640625" style="1" customWidth="1"/>
    <col min="11779" max="11779" width="14" style="1" bestFit="1" customWidth="1"/>
    <col min="11780" max="12032" width="9.33203125" style="1"/>
    <col min="12033" max="12033" width="34.5" style="1" bestFit="1" customWidth="1"/>
    <col min="12034" max="12034" width="23.1640625" style="1" customWidth="1"/>
    <col min="12035" max="12035" width="14" style="1" bestFit="1" customWidth="1"/>
    <col min="12036" max="12288" width="9.33203125" style="1"/>
    <col min="12289" max="12289" width="34.5" style="1" bestFit="1" customWidth="1"/>
    <col min="12290" max="12290" width="23.1640625" style="1" customWidth="1"/>
    <col min="12291" max="12291" width="14" style="1" bestFit="1" customWidth="1"/>
    <col min="12292" max="12544" width="9.33203125" style="1"/>
    <col min="12545" max="12545" width="34.5" style="1" bestFit="1" customWidth="1"/>
    <col min="12546" max="12546" width="23.1640625" style="1" customWidth="1"/>
    <col min="12547" max="12547" width="14" style="1" bestFit="1" customWidth="1"/>
    <col min="12548" max="12800" width="9.33203125" style="1"/>
    <col min="12801" max="12801" width="34.5" style="1" bestFit="1" customWidth="1"/>
    <col min="12802" max="12802" width="23.1640625" style="1" customWidth="1"/>
    <col min="12803" max="12803" width="14" style="1" bestFit="1" customWidth="1"/>
    <col min="12804" max="13056" width="9.33203125" style="1"/>
    <col min="13057" max="13057" width="34.5" style="1" bestFit="1" customWidth="1"/>
    <col min="13058" max="13058" width="23.1640625" style="1" customWidth="1"/>
    <col min="13059" max="13059" width="14" style="1" bestFit="1" customWidth="1"/>
    <col min="13060" max="13312" width="9.33203125" style="1"/>
    <col min="13313" max="13313" width="34.5" style="1" bestFit="1" customWidth="1"/>
    <col min="13314" max="13314" width="23.1640625" style="1" customWidth="1"/>
    <col min="13315" max="13315" width="14" style="1" bestFit="1" customWidth="1"/>
    <col min="13316" max="13568" width="9.33203125" style="1"/>
    <col min="13569" max="13569" width="34.5" style="1" bestFit="1" customWidth="1"/>
    <col min="13570" max="13570" width="23.1640625" style="1" customWidth="1"/>
    <col min="13571" max="13571" width="14" style="1" bestFit="1" customWidth="1"/>
    <col min="13572" max="13824" width="9.33203125" style="1"/>
    <col min="13825" max="13825" width="34.5" style="1" bestFit="1" customWidth="1"/>
    <col min="13826" max="13826" width="23.1640625" style="1" customWidth="1"/>
    <col min="13827" max="13827" width="14" style="1" bestFit="1" customWidth="1"/>
    <col min="13828" max="14080" width="9.33203125" style="1"/>
    <col min="14081" max="14081" width="34.5" style="1" bestFit="1" customWidth="1"/>
    <col min="14082" max="14082" width="23.1640625" style="1" customWidth="1"/>
    <col min="14083" max="14083" width="14" style="1" bestFit="1" customWidth="1"/>
    <col min="14084" max="14336" width="9.33203125" style="1"/>
    <col min="14337" max="14337" width="34.5" style="1" bestFit="1" customWidth="1"/>
    <col min="14338" max="14338" width="23.1640625" style="1" customWidth="1"/>
    <col min="14339" max="14339" width="14" style="1" bestFit="1" customWidth="1"/>
    <col min="14340" max="14592" width="9.33203125" style="1"/>
    <col min="14593" max="14593" width="34.5" style="1" bestFit="1" customWidth="1"/>
    <col min="14594" max="14594" width="23.1640625" style="1" customWidth="1"/>
    <col min="14595" max="14595" width="14" style="1" bestFit="1" customWidth="1"/>
    <col min="14596" max="14848" width="9.33203125" style="1"/>
    <col min="14849" max="14849" width="34.5" style="1" bestFit="1" customWidth="1"/>
    <col min="14850" max="14850" width="23.1640625" style="1" customWidth="1"/>
    <col min="14851" max="14851" width="14" style="1" bestFit="1" customWidth="1"/>
    <col min="14852" max="15104" width="9.33203125" style="1"/>
    <col min="15105" max="15105" width="34.5" style="1" bestFit="1" customWidth="1"/>
    <col min="15106" max="15106" width="23.1640625" style="1" customWidth="1"/>
    <col min="15107" max="15107" width="14" style="1" bestFit="1" customWidth="1"/>
    <col min="15108" max="15360" width="9.33203125" style="1"/>
    <col min="15361" max="15361" width="34.5" style="1" bestFit="1" customWidth="1"/>
    <col min="15362" max="15362" width="23.1640625" style="1" customWidth="1"/>
    <col min="15363" max="15363" width="14" style="1" bestFit="1" customWidth="1"/>
    <col min="15364" max="15616" width="9.33203125" style="1"/>
    <col min="15617" max="15617" width="34.5" style="1" bestFit="1" customWidth="1"/>
    <col min="15618" max="15618" width="23.1640625" style="1" customWidth="1"/>
    <col min="15619" max="15619" width="14" style="1" bestFit="1" customWidth="1"/>
    <col min="15620" max="15872" width="9.33203125" style="1"/>
    <col min="15873" max="15873" width="34.5" style="1" bestFit="1" customWidth="1"/>
    <col min="15874" max="15874" width="23.1640625" style="1" customWidth="1"/>
    <col min="15875" max="15875" width="14" style="1" bestFit="1" customWidth="1"/>
    <col min="15876" max="16128" width="9.33203125" style="1"/>
    <col min="16129" max="16129" width="34.5" style="1" bestFit="1" customWidth="1"/>
    <col min="16130" max="16130" width="23.1640625" style="1" customWidth="1"/>
    <col min="16131" max="16131" width="14" style="1" bestFit="1" customWidth="1"/>
    <col min="16132" max="16384" width="9.33203125" style="1"/>
  </cols>
  <sheetData>
    <row r="1" spans="1:2">
      <c r="A1" s="1" t="s">
        <v>711</v>
      </c>
      <c r="B1" s="427">
        <v>6.1</v>
      </c>
    </row>
    <row r="2" spans="1:2">
      <c r="A2" s="1" t="s">
        <v>712</v>
      </c>
      <c r="B2" s="430">
        <v>43201.402592592596</v>
      </c>
    </row>
    <row r="3" spans="1:2">
      <c r="A3" s="1" t="s">
        <v>713</v>
      </c>
      <c r="B3" s="428" t="s">
        <v>419</v>
      </c>
    </row>
    <row r="4" spans="1:2">
      <c r="A4" s="1" t="s">
        <v>714</v>
      </c>
      <c r="B4" s="428" t="s">
        <v>715</v>
      </c>
    </row>
    <row r="5" spans="1:2">
      <c r="A5" s="1" t="s">
        <v>716</v>
      </c>
      <c r="B5" s="428" t="s">
        <v>717</v>
      </c>
    </row>
    <row r="6" spans="1:2">
      <c r="A6" s="1" t="s">
        <v>718</v>
      </c>
    </row>
    <row r="7" spans="1:2">
      <c r="A7" s="1" t="s">
        <v>719</v>
      </c>
      <c r="B7" s="428" t="s">
        <v>408</v>
      </c>
    </row>
    <row r="8" spans="1:2">
      <c r="A8" s="1" t="s">
        <v>720</v>
      </c>
      <c r="B8" s="428" t="s">
        <v>721</v>
      </c>
    </row>
    <row r="9" spans="1:2">
      <c r="A9" s="1" t="s">
        <v>722</v>
      </c>
      <c r="B9" s="428" t="s">
        <v>760</v>
      </c>
    </row>
    <row r="10" spans="1:2">
      <c r="A10" s="1" t="s">
        <v>723</v>
      </c>
    </row>
    <row r="11" spans="1:2">
      <c r="A11" s="1" t="s">
        <v>724</v>
      </c>
    </row>
    <row r="12" spans="1:2">
      <c r="A12" s="1" t="s">
        <v>725</v>
      </c>
    </row>
    <row r="13" spans="1:2">
      <c r="A13" s="1" t="s">
        <v>726</v>
      </c>
    </row>
    <row r="14" spans="1:2">
      <c r="A14" s="1" t="s">
        <v>727</v>
      </c>
    </row>
    <row r="15" spans="1:2">
      <c r="A15" s="1" t="s">
        <v>728</v>
      </c>
    </row>
    <row r="16" spans="1:2">
      <c r="A16" s="1" t="s">
        <v>729</v>
      </c>
    </row>
    <row r="17" spans="1:4">
      <c r="A17" s="1" t="s">
        <v>730</v>
      </c>
      <c r="B17" s="428" t="s">
        <v>761</v>
      </c>
    </row>
    <row r="18" spans="1:4">
      <c r="A18" s="1" t="s">
        <v>731</v>
      </c>
      <c r="B18" s="428" t="s">
        <v>420</v>
      </c>
    </row>
    <row r="19" spans="1:4">
      <c r="A19" s="1" t="s">
        <v>732</v>
      </c>
      <c r="B19" s="428" t="s">
        <v>409</v>
      </c>
    </row>
    <row r="20" spans="1:4">
      <c r="A20" s="1" t="s">
        <v>733</v>
      </c>
      <c r="B20" s="429" t="s">
        <v>764</v>
      </c>
    </row>
    <row r="21" spans="1:4">
      <c r="A21" s="1" t="s">
        <v>734</v>
      </c>
      <c r="B21" s="428" t="s">
        <v>409</v>
      </c>
    </row>
    <row r="22" spans="1:4">
      <c r="A22" s="1" t="s">
        <v>735</v>
      </c>
      <c r="B22" s="429" t="s">
        <v>765</v>
      </c>
    </row>
    <row r="23" spans="1:4">
      <c r="A23" s="1" t="s">
        <v>406</v>
      </c>
      <c r="B23" s="427">
        <v>4.72</v>
      </c>
    </row>
    <row r="24" spans="1:4">
      <c r="A24" s="1" t="s">
        <v>407</v>
      </c>
      <c r="B24" s="428" t="s">
        <v>404</v>
      </c>
      <c r="D24" s="1" t="s">
        <v>736</v>
      </c>
    </row>
    <row r="25" spans="1:4">
      <c r="A25" s="1" t="s">
        <v>737</v>
      </c>
      <c r="B25" s="428" t="s">
        <v>766</v>
      </c>
    </row>
    <row r="26" spans="1:4">
      <c r="A26" s="1" t="s">
        <v>738</v>
      </c>
      <c r="B26" s="428">
        <v>0</v>
      </c>
    </row>
    <row r="27" spans="1:4">
      <c r="A27" s="1" t="s">
        <v>739</v>
      </c>
      <c r="B27" s="428" t="s">
        <v>740</v>
      </c>
    </row>
    <row r="28" spans="1:4">
      <c r="A28" s="1" t="s">
        <v>741</v>
      </c>
      <c r="B28" s="428" t="s">
        <v>742</v>
      </c>
    </row>
    <row r="29" spans="1:4">
      <c r="A29" s="1" t="s">
        <v>743</v>
      </c>
    </row>
    <row r="30" spans="1:4">
      <c r="A30" s="1" t="s">
        <v>744</v>
      </c>
    </row>
    <row r="31" spans="1:4">
      <c r="A31" s="1" t="s">
        <v>745</v>
      </c>
    </row>
    <row r="32" spans="1:4">
      <c r="A32" s="1" t="s">
        <v>746</v>
      </c>
      <c r="B32" s="427"/>
    </row>
    <row r="33" spans="1:2">
      <c r="A33" s="1" t="s">
        <v>747</v>
      </c>
      <c r="B33" s="427"/>
    </row>
    <row r="34" spans="1:2">
      <c r="A34" s="1" t="s">
        <v>748</v>
      </c>
      <c r="B34" s="427"/>
    </row>
    <row r="35" spans="1:2">
      <c r="A35" s="1" t="s">
        <v>749</v>
      </c>
      <c r="B35" s="428">
        <v>1000000</v>
      </c>
    </row>
    <row r="36" spans="1:2">
      <c r="A36" s="1" t="s">
        <v>750</v>
      </c>
      <c r="B36" s="428" t="s">
        <v>762</v>
      </c>
    </row>
    <row r="37" spans="1:2">
      <c r="A37" s="1" t="s">
        <v>751</v>
      </c>
      <c r="B37" s="428" t="s">
        <v>752</v>
      </c>
    </row>
    <row r="38" spans="1:2">
      <c r="A38" s="1" t="s">
        <v>753</v>
      </c>
      <c r="B38" s="428" t="s">
        <v>754</v>
      </c>
    </row>
    <row r="39" spans="1:2">
      <c r="A39" s="1" t="s">
        <v>755</v>
      </c>
      <c r="B39" s="428" t="s">
        <v>763</v>
      </c>
    </row>
    <row r="40" spans="1:2">
      <c r="A40" s="1" t="s">
        <v>756</v>
      </c>
      <c r="B40" s="428">
        <v>1500000135</v>
      </c>
    </row>
    <row r="41" spans="1:2">
      <c r="A41" s="1" t="s">
        <v>757</v>
      </c>
      <c r="B41" s="428">
        <v>1</v>
      </c>
    </row>
    <row r="42" spans="1:2">
      <c r="A42" s="368" t="s">
        <v>758</v>
      </c>
    </row>
    <row r="43" spans="1:2">
      <c r="A43" s="1" t="s">
        <v>759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cols>
    <col min="1" max="1" width="33.33203125" style="1" bestFit="1" customWidth="1"/>
    <col min="2" max="256" width="9.33203125" style="1"/>
    <col min="257" max="257" width="33.33203125" style="1" bestFit="1" customWidth="1"/>
    <col min="258" max="512" width="9.33203125" style="1"/>
    <col min="513" max="513" width="33.33203125" style="1" bestFit="1" customWidth="1"/>
    <col min="514" max="768" width="9.33203125" style="1"/>
    <col min="769" max="769" width="33.33203125" style="1" bestFit="1" customWidth="1"/>
    <col min="770" max="1024" width="9.33203125" style="1"/>
    <col min="1025" max="1025" width="33.33203125" style="1" bestFit="1" customWidth="1"/>
    <col min="1026" max="1280" width="9.33203125" style="1"/>
    <col min="1281" max="1281" width="33.33203125" style="1" bestFit="1" customWidth="1"/>
    <col min="1282" max="1536" width="9.33203125" style="1"/>
    <col min="1537" max="1537" width="33.33203125" style="1" bestFit="1" customWidth="1"/>
    <col min="1538" max="1792" width="9.33203125" style="1"/>
    <col min="1793" max="1793" width="33.33203125" style="1" bestFit="1" customWidth="1"/>
    <col min="1794" max="2048" width="9.33203125" style="1"/>
    <col min="2049" max="2049" width="33.33203125" style="1" bestFit="1" customWidth="1"/>
    <col min="2050" max="2304" width="9.33203125" style="1"/>
    <col min="2305" max="2305" width="33.33203125" style="1" bestFit="1" customWidth="1"/>
    <col min="2306" max="2560" width="9.33203125" style="1"/>
    <col min="2561" max="2561" width="33.33203125" style="1" bestFit="1" customWidth="1"/>
    <col min="2562" max="2816" width="9.33203125" style="1"/>
    <col min="2817" max="2817" width="33.33203125" style="1" bestFit="1" customWidth="1"/>
    <col min="2818" max="3072" width="9.33203125" style="1"/>
    <col min="3073" max="3073" width="33.33203125" style="1" bestFit="1" customWidth="1"/>
    <col min="3074" max="3328" width="9.33203125" style="1"/>
    <col min="3329" max="3329" width="33.33203125" style="1" bestFit="1" customWidth="1"/>
    <col min="3330" max="3584" width="9.33203125" style="1"/>
    <col min="3585" max="3585" width="33.33203125" style="1" bestFit="1" customWidth="1"/>
    <col min="3586" max="3840" width="9.33203125" style="1"/>
    <col min="3841" max="3841" width="33.33203125" style="1" bestFit="1" customWidth="1"/>
    <col min="3842" max="4096" width="9.33203125" style="1"/>
    <col min="4097" max="4097" width="33.33203125" style="1" bestFit="1" customWidth="1"/>
    <col min="4098" max="4352" width="9.33203125" style="1"/>
    <col min="4353" max="4353" width="33.33203125" style="1" bestFit="1" customWidth="1"/>
    <col min="4354" max="4608" width="9.33203125" style="1"/>
    <col min="4609" max="4609" width="33.33203125" style="1" bestFit="1" customWidth="1"/>
    <col min="4610" max="4864" width="9.33203125" style="1"/>
    <col min="4865" max="4865" width="33.33203125" style="1" bestFit="1" customWidth="1"/>
    <col min="4866" max="5120" width="9.33203125" style="1"/>
    <col min="5121" max="5121" width="33.33203125" style="1" bestFit="1" customWidth="1"/>
    <col min="5122" max="5376" width="9.33203125" style="1"/>
    <col min="5377" max="5377" width="33.33203125" style="1" bestFit="1" customWidth="1"/>
    <col min="5378" max="5632" width="9.33203125" style="1"/>
    <col min="5633" max="5633" width="33.33203125" style="1" bestFit="1" customWidth="1"/>
    <col min="5634" max="5888" width="9.33203125" style="1"/>
    <col min="5889" max="5889" width="33.33203125" style="1" bestFit="1" customWidth="1"/>
    <col min="5890" max="6144" width="9.33203125" style="1"/>
    <col min="6145" max="6145" width="33.33203125" style="1" bestFit="1" customWidth="1"/>
    <col min="6146" max="6400" width="9.33203125" style="1"/>
    <col min="6401" max="6401" width="33.33203125" style="1" bestFit="1" customWidth="1"/>
    <col min="6402" max="6656" width="9.33203125" style="1"/>
    <col min="6657" max="6657" width="33.33203125" style="1" bestFit="1" customWidth="1"/>
    <col min="6658" max="6912" width="9.33203125" style="1"/>
    <col min="6913" max="6913" width="33.33203125" style="1" bestFit="1" customWidth="1"/>
    <col min="6914" max="7168" width="9.33203125" style="1"/>
    <col min="7169" max="7169" width="33.33203125" style="1" bestFit="1" customWidth="1"/>
    <col min="7170" max="7424" width="9.33203125" style="1"/>
    <col min="7425" max="7425" width="33.33203125" style="1" bestFit="1" customWidth="1"/>
    <col min="7426" max="7680" width="9.33203125" style="1"/>
    <col min="7681" max="7681" width="33.33203125" style="1" bestFit="1" customWidth="1"/>
    <col min="7682" max="7936" width="9.33203125" style="1"/>
    <col min="7937" max="7937" width="33.33203125" style="1" bestFit="1" customWidth="1"/>
    <col min="7938" max="8192" width="9.33203125" style="1"/>
    <col min="8193" max="8193" width="33.33203125" style="1" bestFit="1" customWidth="1"/>
    <col min="8194" max="8448" width="9.33203125" style="1"/>
    <col min="8449" max="8449" width="33.33203125" style="1" bestFit="1" customWidth="1"/>
    <col min="8450" max="8704" width="9.33203125" style="1"/>
    <col min="8705" max="8705" width="33.33203125" style="1" bestFit="1" customWidth="1"/>
    <col min="8706" max="8960" width="9.33203125" style="1"/>
    <col min="8961" max="8961" width="33.33203125" style="1" bestFit="1" customWidth="1"/>
    <col min="8962" max="9216" width="9.33203125" style="1"/>
    <col min="9217" max="9217" width="33.33203125" style="1" bestFit="1" customWidth="1"/>
    <col min="9218" max="9472" width="9.33203125" style="1"/>
    <col min="9473" max="9473" width="33.33203125" style="1" bestFit="1" customWidth="1"/>
    <col min="9474" max="9728" width="9.33203125" style="1"/>
    <col min="9729" max="9729" width="33.33203125" style="1" bestFit="1" customWidth="1"/>
    <col min="9730" max="9984" width="9.33203125" style="1"/>
    <col min="9985" max="9985" width="33.33203125" style="1" bestFit="1" customWidth="1"/>
    <col min="9986" max="10240" width="9.33203125" style="1"/>
    <col min="10241" max="10241" width="33.33203125" style="1" bestFit="1" customWidth="1"/>
    <col min="10242" max="10496" width="9.33203125" style="1"/>
    <col min="10497" max="10497" width="33.33203125" style="1" bestFit="1" customWidth="1"/>
    <col min="10498" max="10752" width="9.33203125" style="1"/>
    <col min="10753" max="10753" width="33.33203125" style="1" bestFit="1" customWidth="1"/>
    <col min="10754" max="11008" width="9.33203125" style="1"/>
    <col min="11009" max="11009" width="33.33203125" style="1" bestFit="1" customWidth="1"/>
    <col min="11010" max="11264" width="9.33203125" style="1"/>
    <col min="11265" max="11265" width="33.33203125" style="1" bestFit="1" customWidth="1"/>
    <col min="11266" max="11520" width="9.33203125" style="1"/>
    <col min="11521" max="11521" width="33.33203125" style="1" bestFit="1" customWidth="1"/>
    <col min="11522" max="11776" width="9.33203125" style="1"/>
    <col min="11777" max="11777" width="33.33203125" style="1" bestFit="1" customWidth="1"/>
    <col min="11778" max="12032" width="9.33203125" style="1"/>
    <col min="12033" max="12033" width="33.33203125" style="1" bestFit="1" customWidth="1"/>
    <col min="12034" max="12288" width="9.33203125" style="1"/>
    <col min="12289" max="12289" width="33.33203125" style="1" bestFit="1" customWidth="1"/>
    <col min="12290" max="12544" width="9.33203125" style="1"/>
    <col min="12545" max="12545" width="33.33203125" style="1" bestFit="1" customWidth="1"/>
    <col min="12546" max="12800" width="9.33203125" style="1"/>
    <col min="12801" max="12801" width="33.33203125" style="1" bestFit="1" customWidth="1"/>
    <col min="12802" max="13056" width="9.33203125" style="1"/>
    <col min="13057" max="13057" width="33.33203125" style="1" bestFit="1" customWidth="1"/>
    <col min="13058" max="13312" width="9.33203125" style="1"/>
    <col min="13313" max="13313" width="33.33203125" style="1" bestFit="1" customWidth="1"/>
    <col min="13314" max="13568" width="9.33203125" style="1"/>
    <col min="13569" max="13569" width="33.33203125" style="1" bestFit="1" customWidth="1"/>
    <col min="13570" max="13824" width="9.33203125" style="1"/>
    <col min="13825" max="13825" width="33.33203125" style="1" bestFit="1" customWidth="1"/>
    <col min="13826" max="14080" width="9.33203125" style="1"/>
    <col min="14081" max="14081" width="33.33203125" style="1" bestFit="1" customWidth="1"/>
    <col min="14082" max="14336" width="9.33203125" style="1"/>
    <col min="14337" max="14337" width="33.33203125" style="1" bestFit="1" customWidth="1"/>
    <col min="14338" max="14592" width="9.33203125" style="1"/>
    <col min="14593" max="14593" width="33.33203125" style="1" bestFit="1" customWidth="1"/>
    <col min="14594" max="14848" width="9.33203125" style="1"/>
    <col min="14849" max="14849" width="33.33203125" style="1" bestFit="1" customWidth="1"/>
    <col min="14850" max="15104" width="9.33203125" style="1"/>
    <col min="15105" max="15105" width="33.33203125" style="1" bestFit="1" customWidth="1"/>
    <col min="15106" max="15360" width="9.33203125" style="1"/>
    <col min="15361" max="15361" width="33.33203125" style="1" bestFit="1" customWidth="1"/>
    <col min="15362" max="15616" width="9.33203125" style="1"/>
    <col min="15617" max="15617" width="33.33203125" style="1" bestFit="1" customWidth="1"/>
    <col min="15618" max="15872" width="9.33203125" style="1"/>
    <col min="15873" max="15873" width="33.33203125" style="1" bestFit="1" customWidth="1"/>
    <col min="15874" max="16128" width="9.33203125" style="1"/>
    <col min="16129" max="16129" width="33.33203125" style="1" bestFit="1" customWidth="1"/>
    <col min="16130" max="16384" width="9.33203125" style="1"/>
  </cols>
  <sheetData>
    <row r="1" spans="1:1">
      <c r="A1" s="431" t="s">
        <v>767</v>
      </c>
    </row>
    <row r="2" spans="1:1">
      <c r="A2" s="431" t="s">
        <v>772</v>
      </c>
    </row>
    <row r="3" spans="1:1">
      <c r="A3" s="431" t="s">
        <v>773</v>
      </c>
    </row>
    <row r="4" spans="1:1">
      <c r="A4" s="431" t="s">
        <v>774</v>
      </c>
    </row>
    <row r="5" spans="1:1">
      <c r="A5" s="431" t="s">
        <v>775</v>
      </c>
    </row>
    <row r="6" spans="1:1">
      <c r="A6" s="431" t="s">
        <v>768</v>
      </c>
    </row>
    <row r="7" spans="1:1">
      <c r="A7" s="431" t="s">
        <v>776</v>
      </c>
    </row>
    <row r="8" spans="1:1">
      <c r="A8" s="431" t="s">
        <v>777</v>
      </c>
    </row>
    <row r="9" spans="1:1">
      <c r="A9" s="431" t="s">
        <v>778</v>
      </c>
    </row>
    <row r="10" spans="1:1">
      <c r="A10" s="431" t="s">
        <v>769</v>
      </c>
    </row>
    <row r="11" spans="1:1">
      <c r="A11" s="431" t="s">
        <v>779</v>
      </c>
    </row>
    <row r="12" spans="1:1">
      <c r="A12" s="431" t="s">
        <v>770</v>
      </c>
    </row>
    <row r="13" spans="1:1">
      <c r="A13" s="431" t="s">
        <v>771</v>
      </c>
    </row>
  </sheetData>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76</vt:i4>
      </vt:variant>
    </vt:vector>
  </HeadingPairs>
  <TitlesOfParts>
    <vt:vector size="80" baseType="lpstr">
      <vt:lpstr>ImportantDisclosures</vt:lpstr>
      <vt:lpstr>Model</vt:lpstr>
      <vt:lpstr>IndexInformation</vt:lpstr>
      <vt:lpstr>ModPubIndex</vt:lpstr>
      <vt:lpstr>_bdm.632E397AAAA04E58AD9890248CC98FE5.edm</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Linking_2</vt:lpstr>
      <vt:lpstr>Linking_3</vt:lpstr>
      <vt:lpstr>Linking_4</vt:lpstr>
      <vt:lpstr>IndexInformation!MacroVersion</vt:lpstr>
      <vt:lpstr>model</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Model!Print_Area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2017-12-19T17:02:01Z</dcterms:created>
  <dc:creator>Lynagh, Connor J (Research)</dc:creator>
  <cp:lastModifiedBy>Chen, Alan (COMPLIANCE)</cp:lastModifiedBy>
  <cp:lastPrinted>2018-01-10T17:35:35Z</cp:lastPrinted>
  <dcterms:modified xsi:type="dcterms:W3CDTF">2018-04-11T14:15:55Z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ERModPubTicket" pid="2">
    <vt:lpwstr>NA</vt:lpwstr>
  </property>
  <property fmtid="{D5CDD505-2E9C-101B-9397-08002B2CF9AE}" name="ERCompanyUploadState" pid="3">
    <vt:lpwstr>P</vt:lpwstr>
  </property>
  <property fmtid="{D5CDD505-2E9C-101B-9397-08002B2CF9AE}" name="ModelId" pid="4">
    <vt:lpwstr>760965</vt:lpwstr>
  </property>
  <property fmtid="{D5CDD505-2E9C-101B-9397-08002B2CF9AE}" name="ERModPubCompanyName" pid="5">
    <vt:lpwstr>FMSA Holdings Inc</vt:lpwstr>
  </property>
  <property fmtid="{D5CDD505-2E9C-101B-9397-08002B2CF9AE}" name="MSDH34TAG" pid="6">
    <vt:lpwstr>.TEZUF76X5TAHATHESADREYAK-00-INB160+*94600-06=cfa9efbe/-3d8d/-11e8/-b3f7/-7a79cfe26848,MD=20180411101720/-0400,ZZ=000Z-5a72.</vt:lpwstr>
  </property>
</Properties>
</file>